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-Bend Analyz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2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0"/>
    </font>
    <font>
      <name val="Segoe UI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E7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1" fontId="4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1" fontId="5" fillId="3" borderId="1" applyAlignment="1" pivotButton="0" quotePrefix="0" xfId="0">
      <alignment horizontal="right" vertical="center"/>
    </xf>
    <xf numFmtId="0" fontId="6" fillId="5" borderId="1" pivotButton="0" quotePrefix="0" xfId="0"/>
    <xf numFmtId="4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right" vertical="center"/>
    </xf>
    <xf numFmtId="11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1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166" fontId="4" fillId="6" borderId="2" applyAlignment="1" pivotButton="0" quotePrefix="0" xfId="0">
      <alignment horizontal="right" vertical="center"/>
    </xf>
    <xf numFmtId="11" fontId="4" fillId="6" borderId="2" applyAlignment="1" pivotButton="0" quotePrefix="0" xfId="0">
      <alignment horizontal="right" vertical="center"/>
    </xf>
    <xf numFmtId="2" fontId="4" fillId="6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Segoe U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1" customWidth="1" min="2" max="2"/>
    <col width="17" customWidth="1" min="3" max="3"/>
    <col width="12" customWidth="1" min="4" max="4"/>
    <col width="12" customWidth="1" min="5" max="5"/>
    <col width="41" customWidth="1" min="6" max="6"/>
    <col width="23" customWidth="1" min="7" max="7"/>
    <col width="19" customWidth="1" min="8" max="8"/>
    <col width="24" customWidth="1" min="9" max="9"/>
    <col width="27" customWidth="1" min="10" max="10"/>
    <col width="18" customWidth="1" min="11" max="11"/>
    <col width="24" customWidth="1" min="12" max="12"/>
    <col width="27" customWidth="1" min="13" max="13"/>
    <col width="18" customWidth="1" min="14" max="14"/>
    <col width="13" customWidth="1" min="15" max="15"/>
    <col width="13" customWidth="1" min="16" max="16"/>
  </cols>
  <sheetData>
    <row r="1"/>
    <row r="2">
      <c r="B2" s="1" t="inlineStr">
        <is>
          <t>ASME B31.3 Piping L-Bend Stress Compliance Analyzer</t>
        </is>
      </c>
    </row>
    <row r="3">
      <c r="B3" s="2" t="inlineStr">
        <is>
          <t>Interactive formula-based solver. Edit values in yellow cells; output updates instantly.</t>
        </is>
      </c>
    </row>
    <row r="4"/>
    <row r="5">
      <c r="B5" s="3" t="inlineStr">
        <is>
          <t>1. DESIGN INPUTS</t>
        </is>
      </c>
      <c r="F5" s="3" t="inlineStr">
        <is>
          <t>4. FLEXIBILITY / COMPATIBILITY MATRIX</t>
        </is>
      </c>
    </row>
    <row r="6">
      <c r="B6" s="4" t="inlineStr">
        <is>
          <t>Horizontal Run Length (L1)</t>
        </is>
      </c>
      <c r="C6" s="5" t="n">
        <v>5</v>
      </c>
      <c r="D6" s="6" t="inlineStr">
        <is>
          <t>m</t>
        </is>
      </c>
      <c r="F6" s="7" t="inlineStr">
        <is>
          <t>Flexibility f_iX</t>
        </is>
      </c>
      <c r="G6" s="7" t="inlineStr">
        <is>
          <t>Flexibility f_iY</t>
        </is>
      </c>
      <c r="H6" s="7" t="inlineStr">
        <is>
          <t>Flexibility f_iM</t>
        </is>
      </c>
      <c r="I6" s="7" t="inlineStr">
        <is>
          <t>Load Vector d_i</t>
        </is>
      </c>
    </row>
    <row r="7">
      <c r="B7" s="4" t="inlineStr">
        <is>
          <t>Vertical Run Length (L2)</t>
        </is>
      </c>
      <c r="C7" s="5" t="n">
        <v>4</v>
      </c>
      <c r="D7" s="6" t="inlineStr">
        <is>
          <t>m</t>
        </is>
      </c>
      <c r="F7" s="8">
        <f>((C7^3)/3+C6*(C7^2))+(C22/C21)*C6</f>
        <v/>
      </c>
      <c r="G7" s="8">
        <f>-((C6^2)*C7)/2</f>
        <v/>
      </c>
      <c r="H7" s="8">
        <f>-C7*(C6+C7/2)</f>
        <v/>
      </c>
      <c r="I7" s="8">
        <f>-C12*C22*C28</f>
        <v/>
      </c>
    </row>
    <row r="8">
      <c r="B8" s="4" t="inlineStr">
        <is>
          <t>Pipe Outer Diameter (OD)</t>
        </is>
      </c>
      <c r="C8" s="9" t="n">
        <v>0.1143</v>
      </c>
      <c r="D8" s="6" t="inlineStr">
        <is>
          <t>m</t>
        </is>
      </c>
      <c r="F8" s="8">
        <f>G7</f>
        <v/>
      </c>
      <c r="G8" s="8">
        <f>((C6^3)/3)+(C22/C21)*C7</f>
        <v/>
      </c>
      <c r="H8" s="8">
        <f>(C6^2)/2</f>
        <v/>
      </c>
      <c r="I8" s="8">
        <f>-C12*C22*C29</f>
        <v/>
      </c>
    </row>
    <row r="9">
      <c r="B9" s="4" t="inlineStr">
        <is>
          <t>Nominal Wall Thickness (t)</t>
        </is>
      </c>
      <c r="C9" s="9" t="n">
        <v>0.00602</v>
      </c>
      <c r="D9" s="6" t="inlineStr">
        <is>
          <t>m</t>
        </is>
      </c>
      <c r="F9" s="8">
        <f>H7</f>
        <v/>
      </c>
      <c r="G9" s="8">
        <f>H8</f>
        <v/>
      </c>
      <c r="H9" s="8">
        <f>C6+C7</f>
        <v/>
      </c>
      <c r="I9" s="8" t="n">
        <v>0</v>
      </c>
    </row>
    <row r="10">
      <c r="B10" s="4" t="inlineStr">
        <is>
          <t>Temperature Change (dT)</t>
        </is>
      </c>
      <c r="C10" s="5" t="n">
        <v>150</v>
      </c>
      <c r="D10" s="6" t="inlineStr">
        <is>
          <t>°C</t>
        </is>
      </c>
    </row>
    <row r="11">
      <c r="B11" s="4" t="inlineStr">
        <is>
          <t>Internal Design Pressure (P)</t>
        </is>
      </c>
      <c r="C11" s="10" t="n">
        <v>0</v>
      </c>
      <c r="D11" s="6" t="inlineStr">
        <is>
          <t>Pa</t>
        </is>
      </c>
      <c r="F11" s="3" t="inlineStr">
        <is>
          <t>5. SOLVED ANCHOR 2 REACTIONS</t>
        </is>
      </c>
    </row>
    <row r="12">
      <c r="B12" s="4" t="inlineStr">
        <is>
          <t>Young's Modulus (E)</t>
        </is>
      </c>
      <c r="C12" s="10" t="n">
        <v>200000000000</v>
      </c>
      <c r="D12" s="6" t="inlineStr">
        <is>
          <t>Pa</t>
        </is>
      </c>
      <c r="F12" s="11" t="inlineStr">
        <is>
          <t>Reaction Component</t>
        </is>
      </c>
      <c r="G12" s="11" t="inlineStr">
        <is>
          <t>Solved Force/Moment</t>
        </is>
      </c>
      <c r="H12" s="11" t="inlineStr">
        <is>
          <t>Unit</t>
        </is>
      </c>
    </row>
    <row r="13">
      <c r="B13" s="4" t="inlineStr">
        <is>
          <t>Shear Modulus (G)</t>
        </is>
      </c>
      <c r="C13" s="10" t="n">
        <v>77000000000</v>
      </c>
      <c r="D13" s="6" t="inlineStr">
        <is>
          <t>Pa</t>
        </is>
      </c>
      <c r="F13" s="4" t="inlineStr">
        <is>
          <t>Fx (Horizontal Reaction Force)</t>
        </is>
      </c>
      <c r="G13" s="12">
        <f>INDEX(MMULT(MINVERSE(F7:H9), I7:I9), 1, 1)</f>
        <v/>
      </c>
      <c r="H13" s="6" t="inlineStr">
        <is>
          <t>N</t>
        </is>
      </c>
    </row>
    <row r="14">
      <c r="B14" s="4" t="inlineStr">
        <is>
          <t>Thermal Expansion Coeff (alpha)</t>
        </is>
      </c>
      <c r="C14" s="10" t="n">
        <v>1.2e-05</v>
      </c>
      <c r="D14" s="6" t="inlineStr">
        <is>
          <t>1/°C</t>
        </is>
      </c>
      <c r="F14" s="4" t="inlineStr">
        <is>
          <t>Fy (Vertical Reaction Force)</t>
        </is>
      </c>
      <c r="G14" s="12">
        <f>INDEX(MMULT(MINVERSE(F7:H9), I7:I9), 2, 1)</f>
        <v/>
      </c>
      <c r="H14" s="6" t="inlineStr">
        <is>
          <t>N</t>
        </is>
      </c>
    </row>
    <row r="15">
      <c r="B15" s="4" t="inlineStr">
        <is>
          <t>Cold Allowable Stress (Sc)</t>
        </is>
      </c>
      <c r="C15" s="10" t="n">
        <v>137900000</v>
      </c>
      <c r="D15" s="6" t="inlineStr">
        <is>
          <t>Pa</t>
        </is>
      </c>
      <c r="F15" s="4" t="inlineStr">
        <is>
          <t>Mz (Bending Moment)</t>
        </is>
      </c>
      <c r="G15" s="12">
        <f>INDEX(MMULT(MINVERSE(F7:H9), I7:I9), 3, 1)</f>
        <v/>
      </c>
      <c r="H15" s="6" t="inlineStr">
        <is>
          <t>N-m</t>
        </is>
      </c>
    </row>
    <row r="16">
      <c r="B16" s="4" t="inlineStr">
        <is>
          <t>Hot Allowable Stress (Sh)</t>
        </is>
      </c>
      <c r="C16" s="10" t="n">
        <v>137900000</v>
      </c>
      <c r="D16" s="6" t="inlineStr">
        <is>
          <t>Pa</t>
        </is>
      </c>
    </row>
    <row r="17">
      <c r="F17" s="3" t="inlineStr">
        <is>
          <t>6. ASME B31.3 STRESS COMPLIANCE REPORT</t>
        </is>
      </c>
    </row>
    <row r="18">
      <c r="B18" s="3" t="inlineStr">
        <is>
          <t>2. SECTION PROPERTIES</t>
        </is>
      </c>
      <c r="F18" s="7" t="inlineStr">
        <is>
          <t>Node</t>
        </is>
      </c>
      <c r="G18" s="7" t="inlineStr">
        <is>
          <t>Bending Moment (N-m)</t>
        </is>
      </c>
      <c r="H18" s="7" t="inlineStr">
        <is>
          <t>Axial Force (N)</t>
        </is>
      </c>
      <c r="I18" s="7" t="inlineStr">
        <is>
          <t>Sustained Stress (Pa)</t>
        </is>
      </c>
      <c r="J18" s="7" t="inlineStr">
        <is>
          <t>Sustained Allowable (Pa)</t>
        </is>
      </c>
      <c r="K18" s="7" t="inlineStr">
        <is>
          <t>Sustained Ratio</t>
        </is>
      </c>
      <c r="L18" s="7" t="inlineStr">
        <is>
          <t>Expansion Stress (Pa)</t>
        </is>
      </c>
      <c r="M18" s="7" t="inlineStr">
        <is>
          <t>Expansion Allowable (Pa)</t>
        </is>
      </c>
      <c r="N18" s="7" t="inlineStr">
        <is>
          <t>Expansion Ratio</t>
        </is>
      </c>
      <c r="O18" s="7" t="inlineStr">
        <is>
          <t>Max Ratio</t>
        </is>
      </c>
      <c r="P18" s="7" t="inlineStr">
        <is>
          <t>Status</t>
        </is>
      </c>
    </row>
    <row r="19">
      <c r="B19" s="4" t="inlineStr">
        <is>
          <t>Outer Radius (ro)</t>
        </is>
      </c>
      <c r="C19" s="13">
        <f>C8/2</f>
        <v/>
      </c>
      <c r="D19" s="6" t="inlineStr">
        <is>
          <t>m</t>
        </is>
      </c>
      <c r="F19" s="14" t="inlineStr">
        <is>
          <t>0 (Anchor 1)</t>
        </is>
      </c>
      <c r="G19" s="15">
        <f>G15+G13*C7-G14*C6</f>
        <v/>
      </c>
      <c r="H19" s="15">
        <f>G13</f>
        <v/>
      </c>
      <c r="I19" s="16">
        <f>ABS(G19)/C23+ABS(H19)/C21+C24</f>
        <v/>
      </c>
      <c r="J19" s="16">
        <f>C16</f>
        <v/>
      </c>
      <c r="K19" s="17">
        <f>I19/J19</f>
        <v/>
      </c>
      <c r="L19" s="16">
        <f>ABS(G19)/C23</f>
        <v/>
      </c>
      <c r="M19" s="16">
        <f>C25</f>
        <v/>
      </c>
      <c r="N19" s="17">
        <f>L19/M19</f>
        <v/>
      </c>
      <c r="O19" s="17">
        <f>MAX(K19,N19)</f>
        <v/>
      </c>
      <c r="P19" s="18">
        <f>IF(O19&lt;=1.0,"PASS","FAIL")</f>
        <v/>
      </c>
    </row>
    <row r="20">
      <c r="B20" s="4" t="inlineStr">
        <is>
          <t>Inner Radius (ri)</t>
        </is>
      </c>
      <c r="C20" s="13">
        <f>C19-C9</f>
        <v/>
      </c>
      <c r="D20" s="6" t="inlineStr">
        <is>
          <t>m</t>
        </is>
      </c>
      <c r="F20" s="19" t="inlineStr">
        <is>
          <t>1 (Corner Elbow)</t>
        </is>
      </c>
      <c r="G20" s="20">
        <f>G15+G13*C7</f>
        <v/>
      </c>
      <c r="H20" s="20">
        <f>MAX(ABS(G13),ABS(G14))</f>
        <v/>
      </c>
      <c r="I20" s="21">
        <f>ABS(G20)/C23+ABS(H20)/C21+C24</f>
        <v/>
      </c>
      <c r="J20" s="21">
        <f>C16</f>
        <v/>
      </c>
      <c r="K20" s="22">
        <f>I20/J20</f>
        <v/>
      </c>
      <c r="L20" s="21">
        <f>ABS(G20)/C23</f>
        <v/>
      </c>
      <c r="M20" s="21">
        <f>C25</f>
        <v/>
      </c>
      <c r="N20" s="22">
        <f>L20/M20</f>
        <v/>
      </c>
      <c r="O20" s="22">
        <f>MAX(K20,N20)</f>
        <v/>
      </c>
      <c r="P20" s="18">
        <f>IF(O20&lt;=1.0,"PASS","FAIL")</f>
        <v/>
      </c>
    </row>
    <row r="21">
      <c r="B21" s="4" t="inlineStr">
        <is>
          <t>Cross-sectional Area (A)</t>
        </is>
      </c>
      <c r="C21" s="8">
        <f>PI()*(C19^2-C20^2)</f>
        <v/>
      </c>
      <c r="D21" s="6" t="inlineStr">
        <is>
          <t>m²</t>
        </is>
      </c>
      <c r="F21" s="23" t="inlineStr">
        <is>
          <t>2 (Anchor 2)</t>
        </is>
      </c>
      <c r="G21" s="24">
        <f>G15</f>
        <v/>
      </c>
      <c r="H21" s="24">
        <f>G14</f>
        <v/>
      </c>
      <c r="I21" s="25">
        <f>ABS(G21)/C23+ABS(H21)/C21+C24</f>
        <v/>
      </c>
      <c r="J21" s="25">
        <f>C16</f>
        <v/>
      </c>
      <c r="K21" s="26">
        <f>I21/J21</f>
        <v/>
      </c>
      <c r="L21" s="25">
        <f>ABS(G21)/C23</f>
        <v/>
      </c>
      <c r="M21" s="25">
        <f>C25</f>
        <v/>
      </c>
      <c r="N21" s="26">
        <f>L21/M21</f>
        <v/>
      </c>
      <c r="O21" s="26">
        <f>MAX(K21,N21)</f>
        <v/>
      </c>
      <c r="P21" s="27">
        <f>IF(O21&lt;=1.0,"PASS","FAIL")</f>
        <v/>
      </c>
    </row>
    <row r="22">
      <c r="B22" s="4" t="inlineStr">
        <is>
          <t>Moment of Inertia (I)</t>
        </is>
      </c>
      <c r="C22" s="8">
        <f>(PI()/4)*(C19^4-C20^4)</f>
        <v/>
      </c>
      <c r="D22" s="6" t="inlineStr">
        <is>
          <t>m⁴</t>
        </is>
      </c>
    </row>
    <row r="23">
      <c r="B23" s="4" t="inlineStr">
        <is>
          <t>Section Modulus (Z)</t>
        </is>
      </c>
      <c r="C23" s="8">
        <f>C22/C19</f>
        <v/>
      </c>
      <c r="D23" s="6" t="inlineStr">
        <is>
          <t>m³</t>
        </is>
      </c>
    </row>
    <row r="24">
      <c r="B24" s="4" t="inlineStr">
        <is>
          <t>Pressure Long. Stress (SL_pr)</t>
        </is>
      </c>
      <c r="C24" s="8">
        <f>(C11*C8)/(4*C9)</f>
        <v/>
      </c>
      <c r="D24" s="6" t="inlineStr">
        <is>
          <t>Pa</t>
        </is>
      </c>
    </row>
    <row r="25">
      <c r="B25" s="4" t="inlineStr">
        <is>
          <t>Allowable Expansion Stress (SA)</t>
        </is>
      </c>
      <c r="C25" s="8">
        <f>1.25*C15+0.25*C16</f>
        <v/>
      </c>
      <c r="D25" s="6" t="inlineStr">
        <is>
          <t>Pa</t>
        </is>
      </c>
    </row>
    <row r="26"/>
    <row r="27">
      <c r="B27" s="3" t="inlineStr">
        <is>
          <t>3. THERMAL EXPANSION</t>
        </is>
      </c>
    </row>
    <row r="28">
      <c r="B28" s="4" t="inlineStr">
        <is>
          <t>Free X Deflection (dx_th)</t>
        </is>
      </c>
      <c r="C28" s="13">
        <f>C14*C6*C10</f>
        <v/>
      </c>
      <c r="D28" s="6" t="inlineStr">
        <is>
          <t>m</t>
        </is>
      </c>
    </row>
    <row r="29">
      <c r="B29" s="4" t="inlineStr">
        <is>
          <t>Free Y Deflection (dy_th)</t>
        </is>
      </c>
      <c r="C29" s="13">
        <f>C14*C7*C10</f>
        <v/>
      </c>
      <c r="D29" s="6" t="inlineStr">
        <is>
          <t>m</t>
        </is>
      </c>
    </row>
  </sheetData>
  <mergeCells count="6">
    <mergeCell ref="F17:P17"/>
    <mergeCell ref="B5:D5"/>
    <mergeCell ref="B18:D18"/>
    <mergeCell ref="B27:D27"/>
    <mergeCell ref="F5:I5"/>
    <mergeCell ref="F11:H11"/>
  </mergeCells>
  <conditionalFormatting sqref="P19:P21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conditionalFormatting sqref="K19:K21">
    <cfRule type="cellIs" priority="3" operator="greaterThan" dxfId="1" stopIfTrue="1">
      <formula>1.0</formula>
    </cfRule>
  </conditionalFormatting>
  <conditionalFormatting sqref="N19:N21">
    <cfRule type="cellIs" priority="3" operator="greaterThan" dxfId="1" stopIfTrue="1">
      <formula>1.0</formula>
    </cfRule>
  </conditionalFormatting>
  <conditionalFormatting sqref="O19:O21">
    <cfRule type="cellIs" priority="3" operator="greaterThan" dxfId="1" stopIfTrue="1">
      <formula>1.0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2026-07-09T17:30:14Z</dcterms:created>
  <dcterms:modified xsi:type="dcterms:W3CDTF">2026-07-09T17:30:14Z</dcterms:modified>
</cp:coreProperties>
</file>