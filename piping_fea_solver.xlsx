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Element_Stiffness" sheetId="2" state="visible" r:id="rId2"/>
    <sheet name="Global_Solver" sheetId="3" state="visible" r:id="rId3"/>
    <sheet name="Stress_Re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0"/>
    <numFmt numFmtId="165" formatCode="0.0"/>
    <numFmt numFmtId="166" formatCode="0.000"/>
    <numFmt numFmtId="167" formatCode="#,##0.0"/>
    <numFmt numFmtId="168" formatCode="0.000000"/>
  </numFmts>
  <fonts count="8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2"/>
    </font>
    <font>
      <name val="Segoe UI"/>
      <b val="1"/>
      <color rgb="00FFFFFF"/>
      <sz val="10"/>
    </font>
    <font>
      <name val="Segoe UI"/>
      <sz val="10"/>
    </font>
    <font>
      <name val="Segoe UI"/>
      <b val="1"/>
      <sz val="10"/>
    </font>
    <font>
      <name val="Segoe UI"/>
      <b val="1"/>
      <color rgb="00006100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double">
        <color rgb="001F4E79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11" fontId="5" fillId="4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2" fontId="6" fillId="4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11" fontId="6" fillId="4" borderId="1" applyAlignment="1" pivotButton="0" quotePrefix="0" xfId="0">
      <alignment horizontal="right" vertical="center"/>
    </xf>
    <xf numFmtId="165" fontId="6" fillId="4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166" fontId="5" fillId="4" borderId="1" applyAlignment="1" pivotButton="0" quotePrefix="0" xfId="0">
      <alignment horizontal="right" vertical="center"/>
    </xf>
    <xf numFmtId="167" fontId="5" fillId="4" borderId="1" applyAlignment="1" pivotButton="0" quotePrefix="0" xfId="0">
      <alignment horizontal="right" vertical="center"/>
    </xf>
    <xf numFmtId="0" fontId="6" fillId="0" borderId="0" pivotButton="0" quotePrefix="0" xfId="0"/>
    <xf numFmtId="0" fontId="5" fillId="0" borderId="0" pivotButton="0" quotePrefix="0" xfId="0"/>
    <xf numFmtId="2" fontId="0" fillId="0" borderId="0" pivotButton="0" quotePrefix="0" xfId="0"/>
    <xf numFmtId="166" fontId="0" fillId="0" borderId="0" pivotButton="0" quotePrefix="0" xfId="0"/>
    <xf numFmtId="164" fontId="5" fillId="5" borderId="1" applyAlignment="1" pivotButton="0" quotePrefix="0" xfId="0">
      <alignment horizontal="right" vertical="center"/>
    </xf>
    <xf numFmtId="11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168" fontId="5" fillId="0" borderId="1" pivotButton="0" quotePrefix="0" xfId="0"/>
    <xf numFmtId="11" fontId="5" fillId="0" borderId="1" pivotButton="0" quotePrefix="0" xfId="0"/>
    <xf numFmtId="11" fontId="5" fillId="5" borderId="1" applyAlignment="1" pivotButton="0" quotePrefix="0" xfId="0">
      <alignment horizontal="right" vertical="center"/>
    </xf>
    <xf numFmtId="0" fontId="4" fillId="3" borderId="1" pivotButton="0" quotePrefix="0" xfId="0"/>
    <xf numFmtId="0" fontId="6" fillId="0" borderId="1" applyAlignment="1" pivotButton="0" quotePrefix="0" xfId="0">
      <alignment horizontal="left" vertical="center"/>
    </xf>
    <xf numFmtId="168" fontId="6" fillId="5" borderId="1" applyAlignment="1" pivotButton="0" quotePrefix="0" xfId="0">
      <alignment horizontal="right" vertical="center"/>
    </xf>
    <xf numFmtId="2" fontId="5" fillId="0" borderId="1" applyAlignment="1" pivotButton="0" quotePrefix="0" xfId="0">
      <alignment horizontal="right" vertical="center"/>
    </xf>
    <xf numFmtId="2" fontId="5" fillId="0" borderId="1" pivotButton="0" quotePrefix="0" xfId="0"/>
    <xf numFmtId="0" fontId="7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2" fontId="5" fillId="7" borderId="1" applyAlignment="1" pivotButton="0" quotePrefix="0" xfId="0">
      <alignment horizontal="right" vertical="center"/>
    </xf>
    <xf numFmtId="11" fontId="5" fillId="7" borderId="1" pivotButton="0" quotePrefix="0" xfId="0"/>
    <xf numFmtId="2" fontId="5" fillId="7" borderId="1" pivotButton="0" quotePrefix="0" xfId="0"/>
    <xf numFmtId="0" fontId="5" fillId="0" borderId="2" applyAlignment="1" pivotButton="0" quotePrefix="0" xfId="0">
      <alignment horizontal="center" vertical="center"/>
    </xf>
    <xf numFmtId="2" fontId="5" fillId="0" borderId="2" applyAlignment="1" pivotButton="0" quotePrefix="0" xfId="0">
      <alignment horizontal="right" vertical="center"/>
    </xf>
    <xf numFmtId="11" fontId="5" fillId="0" borderId="2" pivotButton="0" quotePrefix="0" xfId="0"/>
    <xf numFmtId="2" fontId="5" fillId="0" borderId="2" pivotButton="0" quotePrefix="0" xfId="0"/>
    <xf numFmtId="0" fontId="7" fillId="6" borderId="2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ont>
        <name val="Segoe UI"/>
        <b val="1"/>
        <color rgb="00006100"/>
        <sz val="10"/>
      </font>
      <fill>
        <patternFill patternType="solid">
          <fgColor rgb="00C6EFCE"/>
          <bgColor rgb="00C6EFCE"/>
        </patternFill>
      </fill>
    </dxf>
    <dxf>
      <font>
        <name val="Segoe UI"/>
        <b val="1"/>
        <color rgb="009C0006"/>
        <sz val="10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1" customWidth="1" min="3" max="3"/>
    <col width="21" customWidth="1" min="4" max="4"/>
    <col width="15" customWidth="1" min="5" max="5"/>
    <col width="24" customWidth="1" min="6" max="6"/>
    <col width="27" customWidth="1" min="7" max="7"/>
    <col width="29" customWidth="1" min="8" max="8"/>
    <col width="10" customWidth="1" min="9" max="9"/>
    <col width="25" customWidth="1" min="10" max="10"/>
    <col width="12" customWidth="1" min="11" max="11"/>
    <col width="10" customWidth="1" min="12" max="12"/>
  </cols>
  <sheetData>
    <row r="1"/>
    <row r="2">
      <c r="B2" s="1" t="inlineStr">
        <is>
          <t>ASME B31.3 Piping 3D Multi-Element FEA Solver</t>
        </is>
      </c>
    </row>
    <row r="3">
      <c r="B3" s="2" t="inlineStr">
        <is>
          <t>Edit values in yellow cells. Calculations update automatically in all sheets.</t>
        </is>
      </c>
    </row>
    <row r="4"/>
    <row r="5">
      <c r="B5" s="3" t="inlineStr">
        <is>
          <t>1. MATERIAL PROPERTIES</t>
        </is>
      </c>
      <c r="J5" s="3" t="inlineStr">
        <is>
          <t>6. GLOBAL DESIGN LOADS</t>
        </is>
      </c>
    </row>
    <row r="6">
      <c r="B6" s="4" t="inlineStr">
        <is>
          <t>Material ID</t>
        </is>
      </c>
      <c r="C6" s="4" t="inlineStr">
        <is>
          <t>E (Pa)</t>
        </is>
      </c>
      <c r="D6" s="4" t="inlineStr">
        <is>
          <t>G (Pa)</t>
        </is>
      </c>
      <c r="E6" s="4" t="inlineStr">
        <is>
          <t>alpha (1/°C)</t>
        </is>
      </c>
      <c r="F6" s="4" t="inlineStr">
        <is>
          <t>Yield Strength (Pa)</t>
        </is>
      </c>
      <c r="G6" s="4" t="inlineStr">
        <is>
          <t>Sc (Pa)</t>
        </is>
      </c>
      <c r="H6" s="4" t="inlineStr">
        <is>
          <t>Sh (Pa)</t>
        </is>
      </c>
      <c r="J6" s="4" t="inlineStr">
        <is>
          <t>Parameter Name</t>
        </is>
      </c>
      <c r="K6" s="4" t="inlineStr">
        <is>
          <t>Value</t>
        </is>
      </c>
      <c r="L6" s="4" t="inlineStr">
        <is>
          <t>Unit</t>
        </is>
      </c>
    </row>
    <row r="7">
      <c r="B7" s="5" t="inlineStr">
        <is>
          <t>mat1</t>
        </is>
      </c>
      <c r="C7" s="6" t="n">
        <v>200000000000</v>
      </c>
      <c r="D7" s="6" t="n">
        <v>77000000000</v>
      </c>
      <c r="E7" s="6" t="n">
        <v>1.2e-05</v>
      </c>
      <c r="F7" s="6" t="n">
        <v>250000000</v>
      </c>
      <c r="G7" s="6" t="n">
        <v>137900000</v>
      </c>
      <c r="H7" s="6" t="n">
        <v>137900000</v>
      </c>
      <c r="J7" s="7" t="inlineStr">
        <is>
          <t>global_gravity_x</t>
        </is>
      </c>
      <c r="K7" s="8" t="n">
        <v>0</v>
      </c>
      <c r="L7" s="9" t="inlineStr">
        <is>
          <t>m/s²</t>
        </is>
      </c>
    </row>
    <row r="8">
      <c r="J8" s="7" t="inlineStr">
        <is>
          <t>global_gravity_y</t>
        </is>
      </c>
      <c r="K8" s="8" t="n">
        <v>-9.81</v>
      </c>
      <c r="L8" s="9" t="inlineStr">
        <is>
          <t>m/s²</t>
        </is>
      </c>
    </row>
    <row r="9">
      <c r="J9" s="7" t="inlineStr">
        <is>
          <t>global_gravity_z</t>
        </is>
      </c>
      <c r="K9" s="8" t="n">
        <v>0</v>
      </c>
      <c r="L9" s="9" t="inlineStr">
        <is>
          <t>m/s²</t>
        </is>
      </c>
    </row>
    <row r="10">
      <c r="B10" s="3" t="inlineStr">
        <is>
          <t>2. SECTION PROPERTIES</t>
        </is>
      </c>
      <c r="J10" s="7" t="inlineStr">
        <is>
          <t>global_internal_pressure</t>
        </is>
      </c>
      <c r="K10" s="10" t="n">
        <v>2000000</v>
      </c>
      <c r="L10" s="9" t="inlineStr">
        <is>
          <t>Pa</t>
        </is>
      </c>
    </row>
    <row r="11">
      <c r="B11" s="4" t="inlineStr">
        <is>
          <t>Section ID</t>
        </is>
      </c>
      <c r="C11" s="4" t="inlineStr">
        <is>
          <t>Outer Diameter (m)</t>
        </is>
      </c>
      <c r="D11" s="4" t="inlineStr">
        <is>
          <t>Wall Thickness (m)</t>
        </is>
      </c>
      <c r="E11" s="4" t="inlineStr">
        <is>
          <t>Type</t>
        </is>
      </c>
      <c r="F11" s="4" t="inlineStr">
        <is>
          <t>Fluid Density (kg/m³)</t>
        </is>
      </c>
      <c r="G11" s="4" t="inlineStr">
        <is>
          <t>Insulation Thickness (m)</t>
        </is>
      </c>
      <c r="H11" s="4" t="inlineStr">
        <is>
          <t>Insulation Density (kg/m³)</t>
        </is>
      </c>
      <c r="J11" s="7" t="inlineStr">
        <is>
          <t>global_temperature_change</t>
        </is>
      </c>
      <c r="K11" s="11" t="n">
        <v>120</v>
      </c>
      <c r="L11" s="9" t="inlineStr">
        <is>
          <t>°C</t>
        </is>
      </c>
    </row>
    <row r="12">
      <c r="B12" s="5" t="inlineStr">
        <is>
          <t>sec1</t>
        </is>
      </c>
      <c r="C12" s="12" t="n">
        <v>0.1143</v>
      </c>
      <c r="D12" s="12" t="n">
        <v>0.00602</v>
      </c>
      <c r="E12" s="5" t="inlineStr">
        <is>
          <t>pipe</t>
        </is>
      </c>
      <c r="F12" s="13" t="n">
        <v>1000</v>
      </c>
      <c r="G12" s="12" t="n">
        <v>0.025</v>
      </c>
      <c r="H12" s="13" t="n">
        <v>200</v>
      </c>
    </row>
    <row r="13"/>
    <row r="14"/>
    <row r="15">
      <c r="B15" s="3" t="inlineStr">
        <is>
          <t>3. NODES COORDINATES</t>
        </is>
      </c>
    </row>
    <row r="16">
      <c r="B16" s="4" t="inlineStr">
        <is>
          <t>Node ID</t>
        </is>
      </c>
      <c r="C16" s="4" t="inlineStr">
        <is>
          <t>X (m)</t>
        </is>
      </c>
      <c r="D16" s="4" t="inlineStr">
        <is>
          <t>Y (m)</t>
        </is>
      </c>
      <c r="E16" s="4" t="inlineStr">
        <is>
          <t>Z (m)</t>
        </is>
      </c>
    </row>
    <row r="17">
      <c r="B17" s="5" t="inlineStr">
        <is>
          <t>0</t>
        </is>
      </c>
      <c r="C17" s="14" t="n">
        <v>0</v>
      </c>
      <c r="D17" s="14" t="n">
        <v>0</v>
      </c>
      <c r="E17" s="14" t="n">
        <v>0</v>
      </c>
    </row>
    <row r="18">
      <c r="B18" s="5" t="inlineStr">
        <is>
          <t>1</t>
        </is>
      </c>
      <c r="C18" s="14" t="n">
        <v>3</v>
      </c>
      <c r="D18" s="14" t="n">
        <v>0</v>
      </c>
      <c r="E18" s="14" t="n">
        <v>0</v>
      </c>
    </row>
    <row r="19">
      <c r="B19" s="5" t="inlineStr">
        <is>
          <t>2</t>
        </is>
      </c>
      <c r="C19" s="14" t="n">
        <v>3</v>
      </c>
      <c r="D19" s="14" t="n">
        <v>3</v>
      </c>
      <c r="E19" s="14" t="n">
        <v>0</v>
      </c>
    </row>
    <row r="20">
      <c r="B20" s="5" t="inlineStr">
        <is>
          <t>3</t>
        </is>
      </c>
      <c r="C20" s="14" t="n">
        <v>5</v>
      </c>
      <c r="D20" s="14" t="n">
        <v>3</v>
      </c>
      <c r="E20" s="14" t="n">
        <v>0</v>
      </c>
    </row>
    <row r="21">
      <c r="B21" s="5" t="inlineStr">
        <is>
          <t>4</t>
        </is>
      </c>
      <c r="C21" s="14" t="n">
        <v>3</v>
      </c>
      <c r="D21" s="14" t="n">
        <v>3</v>
      </c>
      <c r="E21" s="14" t="n">
        <v>2</v>
      </c>
    </row>
    <row r="22">
      <c r="B22" s="5" t="inlineStr">
        <is>
          <t>5</t>
        </is>
      </c>
      <c r="C22" s="5" t="inlineStr"/>
      <c r="D22" s="5" t="inlineStr"/>
      <c r="E22" s="5" t="inlineStr"/>
    </row>
    <row r="23">
      <c r="B23" s="5" t="inlineStr">
        <is>
          <t>6</t>
        </is>
      </c>
      <c r="C23" s="5" t="inlineStr"/>
      <c r="D23" s="5" t="inlineStr"/>
      <c r="E23" s="5" t="inlineStr"/>
    </row>
    <row r="24">
      <c r="B24" s="5" t="inlineStr">
        <is>
          <t>7</t>
        </is>
      </c>
      <c r="C24" s="5" t="inlineStr"/>
      <c r="D24" s="5" t="inlineStr"/>
      <c r="E24" s="5" t="inlineStr"/>
    </row>
    <row r="25"/>
    <row r="26"/>
    <row r="27">
      <c r="B27" s="3" t="inlineStr">
        <is>
          <t>4. ELEMENTS CONNECTIVITY</t>
        </is>
      </c>
    </row>
    <row r="28">
      <c r="B28" s="4" t="inlineStr">
        <is>
          <t>Element ID</t>
        </is>
      </c>
      <c r="C28" s="4" t="inlineStr">
        <is>
          <t>Node A</t>
        </is>
      </c>
      <c r="D28" s="4" t="inlineStr">
        <is>
          <t>Node B</t>
        </is>
      </c>
      <c r="E28" s="4" t="inlineStr">
        <is>
          <t>Type</t>
        </is>
      </c>
      <c r="F28" s="4" t="inlineStr">
        <is>
          <t>Bend Radius (m)</t>
        </is>
      </c>
      <c r="G28" s="4" t="inlineStr">
        <is>
          <t>Material ID</t>
        </is>
      </c>
      <c r="H28" s="4" t="inlineStr">
        <is>
          <t>Section ID</t>
        </is>
      </c>
    </row>
    <row r="29">
      <c r="B29" s="5" t="n">
        <v>0</v>
      </c>
      <c r="C29" s="5" t="inlineStr">
        <is>
          <t>0</t>
        </is>
      </c>
      <c r="D29" s="5" t="inlineStr">
        <is>
          <t>1</t>
        </is>
      </c>
      <c r="E29" s="5" t="inlineStr">
        <is>
          <t>pipe</t>
        </is>
      </c>
      <c r="F29" s="5" t="inlineStr"/>
      <c r="G29" s="5" t="inlineStr">
        <is>
          <t>mat1</t>
        </is>
      </c>
      <c r="H29" s="5" t="inlineStr">
        <is>
          <t>sec1</t>
        </is>
      </c>
    </row>
    <row r="30">
      <c r="B30" s="5" t="n">
        <v>1</v>
      </c>
      <c r="C30" s="5" t="inlineStr">
        <is>
          <t>1</t>
        </is>
      </c>
      <c r="D30" s="5" t="inlineStr">
        <is>
          <t>2</t>
        </is>
      </c>
      <c r="E30" s="5" t="inlineStr">
        <is>
          <t>bend</t>
        </is>
      </c>
      <c r="F30" s="12" t="n">
        <v>0.17145</v>
      </c>
      <c r="G30" s="5" t="inlineStr">
        <is>
          <t>mat1</t>
        </is>
      </c>
      <c r="H30" s="5" t="inlineStr">
        <is>
          <t>sec1</t>
        </is>
      </c>
    </row>
    <row r="31">
      <c r="B31" s="5" t="n">
        <v>2</v>
      </c>
      <c r="C31" s="5" t="inlineStr">
        <is>
          <t>2</t>
        </is>
      </c>
      <c r="D31" s="5" t="inlineStr">
        <is>
          <t>3</t>
        </is>
      </c>
      <c r="E31" s="5" t="inlineStr">
        <is>
          <t>pipe</t>
        </is>
      </c>
      <c r="F31" s="5" t="inlineStr"/>
      <c r="G31" s="5" t="inlineStr">
        <is>
          <t>mat1</t>
        </is>
      </c>
      <c r="H31" s="5" t="inlineStr">
        <is>
          <t>sec1</t>
        </is>
      </c>
    </row>
    <row r="32">
      <c r="B32" s="5" t="n">
        <v>3</v>
      </c>
      <c r="C32" s="5" t="inlineStr">
        <is>
          <t>2</t>
        </is>
      </c>
      <c r="D32" s="5" t="inlineStr">
        <is>
          <t>4</t>
        </is>
      </c>
      <c r="E32" s="5" t="inlineStr">
        <is>
          <t>pipe</t>
        </is>
      </c>
      <c r="F32" s="5" t="inlineStr"/>
      <c r="G32" s="5" t="inlineStr">
        <is>
          <t>mat1</t>
        </is>
      </c>
      <c r="H32" s="5" t="inlineStr">
        <is>
          <t>sec1</t>
        </is>
      </c>
    </row>
    <row r="33">
      <c r="B33" s="5" t="n">
        <v>4</v>
      </c>
      <c r="C33" s="5" t="inlineStr"/>
      <c r="D33" s="5" t="inlineStr"/>
      <c r="E33" s="5" t="inlineStr">
        <is>
          <t>pipe</t>
        </is>
      </c>
      <c r="F33" s="5" t="inlineStr"/>
      <c r="G33" s="5" t="inlineStr">
        <is>
          <t>mat1</t>
        </is>
      </c>
      <c r="H33" s="5" t="inlineStr">
        <is>
          <t>sec1</t>
        </is>
      </c>
    </row>
    <row r="34">
      <c r="B34" s="5" t="n">
        <v>5</v>
      </c>
      <c r="C34" s="5" t="inlineStr"/>
      <c r="D34" s="5" t="inlineStr"/>
      <c r="E34" s="5" t="inlineStr">
        <is>
          <t>pipe</t>
        </is>
      </c>
      <c r="F34" s="5" t="inlineStr"/>
      <c r="G34" s="5" t="inlineStr">
        <is>
          <t>mat1</t>
        </is>
      </c>
      <c r="H34" s="5" t="inlineStr">
        <is>
          <t>sec1</t>
        </is>
      </c>
    </row>
    <row r="35">
      <c r="B35" s="5" t="n">
        <v>6</v>
      </c>
      <c r="C35" s="5" t="inlineStr"/>
      <c r="D35" s="5" t="inlineStr"/>
      <c r="E35" s="5" t="inlineStr">
        <is>
          <t>pipe</t>
        </is>
      </c>
      <c r="F35" s="5" t="inlineStr"/>
      <c r="G35" s="5" t="inlineStr">
        <is>
          <t>mat1</t>
        </is>
      </c>
      <c r="H35" s="5" t="inlineStr">
        <is>
          <t>sec1</t>
        </is>
      </c>
    </row>
    <row r="36"/>
    <row r="37"/>
    <row r="38">
      <c r="B38" s="3" t="inlineStr">
        <is>
          <t>5. NODAL BOUNDARY CONDITIONS</t>
        </is>
      </c>
    </row>
    <row r="39">
      <c r="B39" s="4" t="inlineStr">
        <is>
          <t>Node ID</t>
        </is>
      </c>
      <c r="C39" s="4" t="inlineStr">
        <is>
          <t>tx</t>
        </is>
      </c>
      <c r="D39" s="4" t="inlineStr">
        <is>
          <t>ty</t>
        </is>
      </c>
      <c r="E39" s="4" t="inlineStr">
        <is>
          <t>tz</t>
        </is>
      </c>
      <c r="F39" s="4" t="inlineStr">
        <is>
          <t>rx</t>
        </is>
      </c>
      <c r="G39" s="4" t="inlineStr">
        <is>
          <t>ry</t>
        </is>
      </c>
      <c r="H39" s="4" t="inlineStr">
        <is>
          <t>rz</t>
        </is>
      </c>
    </row>
    <row r="40">
      <c r="B40" s="5" t="inlineStr">
        <is>
          <t>0</t>
        </is>
      </c>
      <c r="C40" s="15" t="b">
        <v>1</v>
      </c>
      <c r="D40" s="15" t="b">
        <v>1</v>
      </c>
      <c r="E40" s="15" t="b">
        <v>1</v>
      </c>
      <c r="F40" s="15" t="b">
        <v>1</v>
      </c>
      <c r="G40" s="15" t="b">
        <v>1</v>
      </c>
      <c r="H40" s="15" t="b">
        <v>1</v>
      </c>
    </row>
    <row r="41">
      <c r="B41" s="5" t="inlineStr">
        <is>
          <t>3</t>
        </is>
      </c>
      <c r="C41" s="5" t="inlineStr"/>
      <c r="D41" s="15" t="n">
        <v>50000</v>
      </c>
      <c r="E41" s="5" t="inlineStr"/>
      <c r="F41" s="5" t="inlineStr"/>
      <c r="G41" s="5" t="inlineStr"/>
      <c r="H41" s="5" t="inlineStr"/>
    </row>
    <row r="42">
      <c r="B42" s="5" t="inlineStr">
        <is>
          <t>4</t>
        </is>
      </c>
      <c r="C42" s="15" t="b">
        <v>1</v>
      </c>
      <c r="D42" s="5" t="inlineStr"/>
      <c r="E42" s="15" t="b">
        <v>1</v>
      </c>
      <c r="F42" s="5" t="inlineStr"/>
      <c r="G42" s="5" t="inlineStr"/>
      <c r="H42" s="5" t="inlineStr"/>
    </row>
    <row r="43">
      <c r="B43" s="5" t="inlineStr">
        <is>
          <t>1</t>
        </is>
      </c>
      <c r="C43" s="5" t="inlineStr"/>
      <c r="D43" s="5" t="inlineStr"/>
      <c r="E43" s="5" t="inlineStr"/>
      <c r="F43" s="5" t="inlineStr"/>
      <c r="G43" s="5" t="inlineStr"/>
      <c r="H43" s="5" t="inlineStr"/>
    </row>
    <row r="44">
      <c r="B44" s="5" t="inlineStr">
        <is>
          <t>2</t>
        </is>
      </c>
      <c r="C44" s="5" t="inlineStr"/>
      <c r="D44" s="5" t="inlineStr"/>
      <c r="E44" s="5" t="inlineStr"/>
      <c r="F44" s="5" t="inlineStr"/>
      <c r="G44" s="5" t="inlineStr"/>
      <c r="H44" s="5" t="inlineStr"/>
    </row>
    <row r="45">
      <c r="B45" s="5" t="inlineStr">
        <is>
          <t>5</t>
        </is>
      </c>
      <c r="C45" s="5" t="inlineStr"/>
      <c r="D45" s="5" t="inlineStr"/>
      <c r="E45" s="5" t="inlineStr"/>
      <c r="F45" s="5" t="inlineStr"/>
      <c r="G45" s="5" t="inlineStr"/>
      <c r="H45" s="5" t="inlineStr"/>
    </row>
    <row r="46">
      <c r="B46" s="5" t="inlineStr">
        <is>
          <t>6</t>
        </is>
      </c>
      <c r="C46" s="5" t="inlineStr"/>
      <c r="D46" s="5" t="inlineStr"/>
      <c r="E46" s="5" t="inlineStr"/>
      <c r="F46" s="5" t="inlineStr"/>
      <c r="G46" s="5" t="inlineStr"/>
      <c r="H46" s="5" t="inlineStr"/>
    </row>
    <row r="47">
      <c r="B47" s="5" t="inlineStr">
        <is>
          <t>7</t>
        </is>
      </c>
      <c r="C47" s="5" t="inlineStr"/>
      <c r="D47" s="5" t="inlineStr"/>
      <c r="E47" s="5" t="inlineStr"/>
      <c r="F47" s="5" t="inlineStr"/>
      <c r="G47" s="5" t="inlineStr"/>
      <c r="H47" s="5" t="inlineStr"/>
    </row>
  </sheetData>
  <mergeCells count="6">
    <mergeCell ref="J5:L5"/>
    <mergeCell ref="B27:H27"/>
    <mergeCell ref="B15:E15"/>
    <mergeCell ref="B38:H38"/>
    <mergeCell ref="B10:H10"/>
    <mergeCell ref="B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247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</cols>
  <sheetData>
    <row r="1">
      <c r="A1" s="1" t="inlineStr">
        <is>
          <t>3D Finite Element Local &amp; Global Stiffness Matrices</t>
        </is>
      </c>
    </row>
    <row r="4">
      <c r="B4" s="3" t="inlineStr">
        <is>
          <t>ELEMENT 0 ANALYSIS BLOCK</t>
        </is>
      </c>
    </row>
    <row r="5">
      <c r="B5" s="16" t="inlineStr">
        <is>
          <t>Node A ID</t>
        </is>
      </c>
      <c r="C5" s="17">
        <f>Inputs!C29</f>
        <v/>
      </c>
      <c r="D5" s="16" t="inlineStr">
        <is>
          <t>Node B ID</t>
        </is>
      </c>
      <c r="E5" s="17">
        <f>Inputs!D29</f>
        <v/>
      </c>
    </row>
    <row r="6">
      <c r="B6" s="16" t="inlineStr">
        <is>
          <t>Is Active?</t>
        </is>
      </c>
      <c r="C6" s="16">
        <f>AND(C5&lt;&gt;"",E5&lt;&gt;"")</f>
        <v/>
      </c>
    </row>
    <row r="7">
      <c r="B7" s="16" t="inlineStr">
        <is>
          <t>Node A Coord</t>
        </is>
      </c>
      <c r="C7" s="18">
        <f>IF(C6,VLOOKUP(C5,Inputs!$B$17:$E$24,2,FALSE),0.0)</f>
        <v/>
      </c>
      <c r="D7" s="18">
        <f>IF(C6,VLOOKUP(C5,Inputs!$B$17:$E$24,3,FALSE),0.0)</f>
        <v/>
      </c>
      <c r="E7" s="18">
        <f>IF(C6,VLOOKUP(C5,Inputs!$B$17:$E$24,4,FALSE),0.0)</f>
        <v/>
      </c>
      <c r="F7" s="16" t="inlineStr">
        <is>
          <t>Node B Coord</t>
        </is>
      </c>
      <c r="G7" s="18">
        <f>IF(C6,VLOOKUP(E5,Inputs!$B$17:$E$24,2,FALSE),0.0)</f>
        <v/>
      </c>
      <c r="H7" s="18">
        <f>IF(C6,VLOOKUP(E5,Inputs!$B$17:$E$24,3,FALSE),0.0)</f>
        <v/>
      </c>
      <c r="I7" s="18">
        <f>IF(C6,VLOOKUP(E5,Inputs!$B$17:$E$24,4,FALSE),0.0)</f>
        <v/>
      </c>
    </row>
    <row r="8">
      <c r="B8" s="16" t="inlineStr">
        <is>
          <t>deltas dx,dy,dz</t>
        </is>
      </c>
      <c r="C8">
        <f>G7-C7</f>
        <v/>
      </c>
      <c r="D8">
        <f>H7-D7</f>
        <v/>
      </c>
      <c r="E8">
        <f>I7-E7</f>
        <v/>
      </c>
      <c r="F8" s="16" t="inlineStr">
        <is>
          <t>Length L</t>
        </is>
      </c>
      <c r="G8" s="19">
        <f>IF(C6,SQRT(C8^2+D8^2+E8^2),1.0)</f>
        <v/>
      </c>
    </row>
    <row r="9">
      <c r="B9" s="16" t="inlineStr">
        <is>
          <t>dir cosines lx,my,nz</t>
        </is>
      </c>
      <c r="C9">
        <f>C8/G8</f>
        <v/>
      </c>
      <c r="D9">
        <f>D8/G8</f>
        <v/>
      </c>
      <c r="E9">
        <f>E8/G8</f>
        <v/>
      </c>
      <c r="F9" s="16" t="inlineStr">
        <is>
          <t>D_is_zero</t>
        </is>
      </c>
      <c r="G9">
        <f>AND(ABS(C9)&lt;1E-5,ABS(D9)&lt;1E-5)</f>
        <v/>
      </c>
      <c r="H9" s="16" t="inlineStr">
        <is>
          <t>D</t>
        </is>
      </c>
      <c r="I9">
        <f>SQRT(C9^2+D9^2)</f>
        <v/>
      </c>
      <c r="L9" s="16" t="inlineStr">
        <is>
          <t>ROTATION MATRIX lambda</t>
        </is>
      </c>
    </row>
    <row r="10">
      <c r="B10" s="16" t="inlineStr">
        <is>
          <t>Material E, G, alpha</t>
        </is>
      </c>
      <c r="C10">
        <f>VLOOKUP(Inputs!G29,Inputs!$B$7:$H$8,2,FALSE)</f>
        <v/>
      </c>
      <c r="D10">
        <f>VLOOKUP(Inputs!G29,Inputs!$B$7:$H$8,3,FALSE)</f>
        <v/>
      </c>
      <c r="E10">
        <f>VLOOKUP(Inputs!G29,Inputs!$B$7:$H$8,4,FALSE)</f>
        <v/>
      </c>
      <c r="L10" s="20">
        <f>C9</f>
        <v/>
      </c>
      <c r="M10" s="20">
        <f>D9</f>
        <v/>
      </c>
      <c r="N10" s="20">
        <f>E9</f>
        <v/>
      </c>
    </row>
    <row r="11">
      <c r="B11" s="16" t="inlineStr">
        <is>
          <t>Section OD, t</t>
        </is>
      </c>
      <c r="C11">
        <f>VLOOKUP(Inputs!H29,Inputs!$B$12:$H$13,2,FALSE)</f>
        <v/>
      </c>
      <c r="D11">
        <f>VLOOKUP(Inputs!H29,Inputs!$B$12:$H$13,3,FALSE)</f>
        <v/>
      </c>
      <c r="L11" s="20">
        <f>IF(G9,0,-D9/I9)</f>
        <v/>
      </c>
      <c r="M11" s="20">
        <f>IF(G9,IF(E9&gt;0,1,-1),C9/I9)</f>
        <v/>
      </c>
      <c r="N11" s="20" t="n">
        <v>0</v>
      </c>
    </row>
    <row r="12">
      <c r="B12" s="16" t="inlineStr">
        <is>
          <t>ro, ri</t>
        </is>
      </c>
      <c r="C12">
        <f>C11/2</f>
        <v/>
      </c>
      <c r="D12">
        <f>C12-D11</f>
        <v/>
      </c>
      <c r="E12" s="16" t="inlineStr">
        <is>
          <t>Area A</t>
        </is>
      </c>
      <c r="F12">
        <f>PI()*(C12^2-D12^2)</f>
        <v/>
      </c>
      <c r="L12" s="20">
        <f>IF(G9,IF(E9&gt;0,-1,1),-C9*E9/I9)</f>
        <v/>
      </c>
      <c r="M12" s="20">
        <f>IF(G9,0,-D9*E9/I9)</f>
        <v/>
      </c>
      <c r="N12" s="20">
        <f>IF(G9,0,I9)</f>
        <v/>
      </c>
    </row>
    <row r="13">
      <c r="B13" s="16" t="inlineStr">
        <is>
          <t>Inertia I, J</t>
        </is>
      </c>
      <c r="C13">
        <f>(PI()/4)*(C12^4-D12^4)</f>
        <v/>
      </c>
      <c r="D13">
        <f>C13*2</f>
        <v/>
      </c>
      <c r="E13" s="16" t="inlineStr">
        <is>
          <t>Flex Factor k</t>
        </is>
      </c>
      <c r="F13">
        <f>IF(Inputs!E29="bend",IF(Inputs!F29&lt;&gt;"",MAX(1.0,1.65/((D11*Inputs!F29)/(((C11-D11)/2)^2))),1.0),1.0)</f>
        <v/>
      </c>
    </row>
    <row r="14">
      <c r="D14" s="21">
        <f>IF(C6,$C$10*$F$12/$G$8,0)</f>
        <v/>
      </c>
      <c r="E14" s="21" t="n">
        <v>0</v>
      </c>
      <c r="F14" s="21" t="n">
        <v>0</v>
      </c>
      <c r="G14" s="21" t="n">
        <v>0</v>
      </c>
      <c r="H14" s="21" t="n">
        <v>0</v>
      </c>
      <c r="I14" s="21" t="n">
        <v>0</v>
      </c>
      <c r="J14" s="21">
        <f>-D14</f>
        <v/>
      </c>
      <c r="K14" s="21" t="n">
        <v>0</v>
      </c>
      <c r="L14" s="21" t="n">
        <v>0</v>
      </c>
      <c r="M14" s="21" t="n">
        <v>0</v>
      </c>
      <c r="N14" s="21" t="n">
        <v>0</v>
      </c>
      <c r="O14" s="21" t="n">
        <v>0</v>
      </c>
      <c r="P14" s="22">
        <f>L10</f>
        <v/>
      </c>
      <c r="Q14" s="22">
        <f>M10</f>
        <v/>
      </c>
      <c r="R14" s="22">
        <f>N10</f>
        <v/>
      </c>
      <c r="S14" s="22" t="n">
        <v>0</v>
      </c>
      <c r="T14" s="22" t="n">
        <v>0</v>
      </c>
      <c r="U14" s="22" t="n">
        <v>0</v>
      </c>
      <c r="V14" s="22" t="n">
        <v>0</v>
      </c>
      <c r="W14" s="22" t="n">
        <v>0</v>
      </c>
      <c r="X14" s="22" t="n">
        <v>0</v>
      </c>
      <c r="Y14" s="22" t="n">
        <v>0</v>
      </c>
      <c r="Z14" s="22" t="n">
        <v>0</v>
      </c>
      <c r="AA14" s="22" t="n">
        <v>0</v>
      </c>
      <c r="AG14" s="23">
        <f>INDEX(Global_Solver!$BC$5:$BC$52, 6*C5+1, 1)</f>
        <v/>
      </c>
      <c r="AH14" s="23">
        <f>SUMPRODUCT(P14:AA14, AG14:AG25)</f>
        <v/>
      </c>
      <c r="AI14" s="24">
        <f>SUMPRODUCT(D14:O14, AH14:AH25)-B26</f>
        <v/>
      </c>
    </row>
    <row r="15">
      <c r="D15" s="21" t="n">
        <v>0</v>
      </c>
      <c r="E15" s="21">
        <f>IF(C6,=(12*$C$10*($C$13/$F$13))/($G$8^3),0)</f>
        <v/>
      </c>
      <c r="F15" s="21" t="n">
        <v>0</v>
      </c>
      <c r="G15" s="21" t="n">
        <v>0</v>
      </c>
      <c r="H15" s="21" t="n">
        <v>0</v>
      </c>
      <c r="I15" s="21">
        <f>IF(C6,=(6*$C$10*($C$13/$F$13))/($G$8^2),0)</f>
        <v/>
      </c>
      <c r="J15" s="21" t="n">
        <v>0</v>
      </c>
      <c r="K15" s="21">
        <f>-E15</f>
        <v/>
      </c>
      <c r="L15" s="21" t="n">
        <v>0</v>
      </c>
      <c r="M15" s="21" t="n">
        <v>0</v>
      </c>
      <c r="N15" s="21" t="n">
        <v>0</v>
      </c>
      <c r="O15" s="21">
        <f>I15</f>
        <v/>
      </c>
      <c r="P15" s="22">
        <f>L11</f>
        <v/>
      </c>
      <c r="Q15" s="22">
        <f>M11</f>
        <v/>
      </c>
      <c r="R15" s="22">
        <f>N11</f>
        <v/>
      </c>
      <c r="S15" s="22" t="n">
        <v>0</v>
      </c>
      <c r="T15" s="22" t="n">
        <v>0</v>
      </c>
      <c r="U15" s="22" t="n">
        <v>0</v>
      </c>
      <c r="V15" s="22" t="n">
        <v>0</v>
      </c>
      <c r="W15" s="22" t="n">
        <v>0</v>
      </c>
      <c r="X15" s="22" t="n">
        <v>0</v>
      </c>
      <c r="Y15" s="22" t="n">
        <v>0</v>
      </c>
      <c r="Z15" s="22" t="n">
        <v>0</v>
      </c>
      <c r="AA15" s="22" t="n">
        <v>0</v>
      </c>
      <c r="AG15" s="23">
        <f>INDEX(Global_Solver!$BC$5:$BC$52, 6*C5+2, 1)</f>
        <v/>
      </c>
      <c r="AH15" s="23">
        <f>SUMPRODUCT(P15:AA15, AG14:AG25)</f>
        <v/>
      </c>
      <c r="AI15" s="24">
        <f>SUMPRODUCT(D15:O15, AH14:AH25)-B27</f>
        <v/>
      </c>
    </row>
    <row r="16">
      <c r="D16" s="21" t="n">
        <v>0</v>
      </c>
      <c r="E16" s="21" t="n">
        <v>0</v>
      </c>
      <c r="F16" s="21">
        <f>IF(C6,=(12*$C$10*($C$13/$F$13))/($G$8^3),0)</f>
        <v/>
      </c>
      <c r="G16" s="21" t="n">
        <v>0</v>
      </c>
      <c r="H16" s="21">
        <f>IF(C6,-=(6*$C$10*($C$13/$F$13))/($G$8^2),0)</f>
        <v/>
      </c>
      <c r="I16" s="21" t="n">
        <v>0</v>
      </c>
      <c r="J16" s="21" t="n">
        <v>0</v>
      </c>
      <c r="K16" s="21" t="n">
        <v>0</v>
      </c>
      <c r="L16" s="21">
        <f>-F16</f>
        <v/>
      </c>
      <c r="M16" s="21" t="n">
        <v>0</v>
      </c>
      <c r="N16" s="21">
        <f>H16</f>
        <v/>
      </c>
      <c r="O16" s="21" t="n">
        <v>0</v>
      </c>
      <c r="P16" s="22">
        <f>L12</f>
        <v/>
      </c>
      <c r="Q16" s="22">
        <f>M12</f>
        <v/>
      </c>
      <c r="R16" s="22">
        <f>N12</f>
        <v/>
      </c>
      <c r="S16" s="22" t="n">
        <v>0</v>
      </c>
      <c r="T16" s="22" t="n">
        <v>0</v>
      </c>
      <c r="U16" s="22" t="n">
        <v>0</v>
      </c>
      <c r="V16" s="22" t="n">
        <v>0</v>
      </c>
      <c r="W16" s="22" t="n">
        <v>0</v>
      </c>
      <c r="X16" s="22" t="n">
        <v>0</v>
      </c>
      <c r="Y16" s="22" t="n">
        <v>0</v>
      </c>
      <c r="Z16" s="22" t="n">
        <v>0</v>
      </c>
      <c r="AA16" s="22" t="n">
        <v>0</v>
      </c>
      <c r="AG16" s="23">
        <f>INDEX(Global_Solver!$BC$5:$BC$52, 6*C5+3, 1)</f>
        <v/>
      </c>
      <c r="AH16" s="23">
        <f>SUMPRODUCT(P16:AA16, AG14:AG25)</f>
        <v/>
      </c>
      <c r="AI16" s="24">
        <f>SUMPRODUCT(D16:O16, AH14:AH25)-B28</f>
        <v/>
      </c>
    </row>
    <row r="17">
      <c r="D17" s="21" t="n">
        <v>0</v>
      </c>
      <c r="E17" s="21" t="n">
        <v>0</v>
      </c>
      <c r="F17" s="21" t="n">
        <v>0</v>
      </c>
      <c r="G17" s="21">
        <f>IF(C6,$D$10*$D$13/$G$8,0)</f>
        <v/>
      </c>
      <c r="H17" s="21" t="n">
        <v>0</v>
      </c>
      <c r="I17" s="21" t="n">
        <v>0</v>
      </c>
      <c r="J17" s="21" t="n">
        <v>0</v>
      </c>
      <c r="K17" s="21" t="n">
        <v>0</v>
      </c>
      <c r="L17" s="21" t="n">
        <v>0</v>
      </c>
      <c r="M17" s="21">
        <f>-G17</f>
        <v/>
      </c>
      <c r="N17" s="21" t="n">
        <v>0</v>
      </c>
      <c r="O17" s="21" t="n">
        <v>0</v>
      </c>
      <c r="P17" s="22" t="n">
        <v>0</v>
      </c>
      <c r="Q17" s="22" t="n">
        <v>0</v>
      </c>
      <c r="R17" s="22" t="n">
        <v>0</v>
      </c>
      <c r="S17" s="22">
        <f>L10</f>
        <v/>
      </c>
      <c r="T17" s="22">
        <f>M10</f>
        <v/>
      </c>
      <c r="U17" s="22">
        <f>N10</f>
        <v/>
      </c>
      <c r="V17" s="22" t="n">
        <v>0</v>
      </c>
      <c r="W17" s="22" t="n">
        <v>0</v>
      </c>
      <c r="X17" s="22" t="n">
        <v>0</v>
      </c>
      <c r="Y17" s="22" t="n">
        <v>0</v>
      </c>
      <c r="Z17" s="22" t="n">
        <v>0</v>
      </c>
      <c r="AA17" s="22" t="n">
        <v>0</v>
      </c>
      <c r="AG17" s="23">
        <f>INDEX(Global_Solver!$BC$5:$BC$52, 6*C5+4, 1)</f>
        <v/>
      </c>
      <c r="AH17" s="23">
        <f>SUMPRODUCT(P17:AA17, AG14:AG25)</f>
        <v/>
      </c>
      <c r="AI17" s="24">
        <f>SUMPRODUCT(D17:O17, AH14:AH25)-B29</f>
        <v/>
      </c>
    </row>
    <row r="18">
      <c r="D18" s="21" t="n">
        <v>0</v>
      </c>
      <c r="E18" s="21" t="n">
        <v>0</v>
      </c>
      <c r="F18" s="21">
        <f>H16</f>
        <v/>
      </c>
      <c r="G18" s="21" t="n">
        <v>0</v>
      </c>
      <c r="H18" s="21">
        <f>IF(C6,=(4*$C$10*($C$13/$F$13))/$G$8,0)</f>
        <v/>
      </c>
      <c r="I18" s="21" t="n">
        <v>0</v>
      </c>
      <c r="J18" s="21" t="n">
        <v>0</v>
      </c>
      <c r="K18" s="21" t="n">
        <v>0</v>
      </c>
      <c r="L18" s="21">
        <f>-H16</f>
        <v/>
      </c>
      <c r="M18" s="21" t="n">
        <v>0</v>
      </c>
      <c r="N18" s="21">
        <f>IF(C6,=(2*$C$10*($C$13/$F$13))/$G$8,0)</f>
        <v/>
      </c>
      <c r="O18" s="21" t="n">
        <v>0</v>
      </c>
      <c r="P18" s="22" t="n">
        <v>0</v>
      </c>
      <c r="Q18" s="22" t="n">
        <v>0</v>
      </c>
      <c r="R18" s="22" t="n">
        <v>0</v>
      </c>
      <c r="S18" s="22">
        <f>L11</f>
        <v/>
      </c>
      <c r="T18" s="22">
        <f>M11</f>
        <v/>
      </c>
      <c r="U18" s="22">
        <f>N11</f>
        <v/>
      </c>
      <c r="V18" s="22" t="n">
        <v>0</v>
      </c>
      <c r="W18" s="22" t="n">
        <v>0</v>
      </c>
      <c r="X18" s="22" t="n">
        <v>0</v>
      </c>
      <c r="Y18" s="22" t="n">
        <v>0</v>
      </c>
      <c r="Z18" s="22" t="n">
        <v>0</v>
      </c>
      <c r="AA18" s="22" t="n">
        <v>0</v>
      </c>
      <c r="AG18" s="23">
        <f>INDEX(Global_Solver!$BC$5:$BC$52, 6*C5+5, 1)</f>
        <v/>
      </c>
      <c r="AH18" s="23">
        <f>SUMPRODUCT(P18:AA18, AG14:AG25)</f>
        <v/>
      </c>
      <c r="AI18" s="24">
        <f>SUMPRODUCT(D18:O18, AH14:AH25)-B30</f>
        <v/>
      </c>
    </row>
    <row r="19">
      <c r="D19" s="21" t="n">
        <v>0</v>
      </c>
      <c r="E19" s="21">
        <f>I15</f>
        <v/>
      </c>
      <c r="F19" s="21" t="n">
        <v>0</v>
      </c>
      <c r="G19" s="21" t="n">
        <v>0</v>
      </c>
      <c r="H19" s="21" t="n">
        <v>0</v>
      </c>
      <c r="I19" s="21">
        <f>IF(C6,=(4*$C$10*($C$13/$F$13))/$G$8,0)</f>
        <v/>
      </c>
      <c r="J19" s="21" t="n">
        <v>0</v>
      </c>
      <c r="K19" s="21">
        <f>-I15</f>
        <v/>
      </c>
      <c r="L19" s="21" t="n">
        <v>0</v>
      </c>
      <c r="M19" s="21" t="n">
        <v>0</v>
      </c>
      <c r="N19" s="21" t="n">
        <v>0</v>
      </c>
      <c r="O19" s="21">
        <f>IF(C6,=(2*$C$10*($C$13/$F$13))/$G$8,0)</f>
        <v/>
      </c>
      <c r="P19" s="22" t="n">
        <v>0</v>
      </c>
      <c r="Q19" s="22" t="n">
        <v>0</v>
      </c>
      <c r="R19" s="22" t="n">
        <v>0</v>
      </c>
      <c r="S19" s="22">
        <f>L12</f>
        <v/>
      </c>
      <c r="T19" s="22">
        <f>M12</f>
        <v/>
      </c>
      <c r="U19" s="22">
        <f>N12</f>
        <v/>
      </c>
      <c r="V19" s="22" t="n">
        <v>0</v>
      </c>
      <c r="W19" s="22" t="n">
        <v>0</v>
      </c>
      <c r="X19" s="22" t="n">
        <v>0</v>
      </c>
      <c r="Y19" s="22" t="n">
        <v>0</v>
      </c>
      <c r="Z19" s="22" t="n">
        <v>0</v>
      </c>
      <c r="AA19" s="22" t="n">
        <v>0</v>
      </c>
      <c r="AG19" s="23">
        <f>INDEX(Global_Solver!$BC$5:$BC$52, 6*C5+6, 1)</f>
        <v/>
      </c>
      <c r="AH19" s="23">
        <f>SUMPRODUCT(P19:AA19, AG14:AG25)</f>
        <v/>
      </c>
      <c r="AI19" s="24">
        <f>SUMPRODUCT(D19:O19, AH14:AH25)-B31</f>
        <v/>
      </c>
    </row>
    <row r="20">
      <c r="D20" s="21">
        <f>J14</f>
        <v/>
      </c>
      <c r="E20" s="21" t="n">
        <v>0</v>
      </c>
      <c r="F20" s="21" t="n">
        <v>0</v>
      </c>
      <c r="G20" s="21" t="n">
        <v>0</v>
      </c>
      <c r="H20" s="21" t="n">
        <v>0</v>
      </c>
      <c r="I20" s="21" t="n">
        <v>0</v>
      </c>
      <c r="J20" s="21">
        <f>-J14</f>
        <v/>
      </c>
      <c r="K20" s="21" t="n">
        <v>0</v>
      </c>
      <c r="L20" s="21" t="n">
        <v>0</v>
      </c>
      <c r="M20" s="21" t="n">
        <v>0</v>
      </c>
      <c r="N20" s="21" t="n">
        <v>0</v>
      </c>
      <c r="O20" s="21" t="n">
        <v>0</v>
      </c>
      <c r="P20" s="22" t="n">
        <v>0</v>
      </c>
      <c r="Q20" s="22" t="n">
        <v>0</v>
      </c>
      <c r="R20" s="22" t="n">
        <v>0</v>
      </c>
      <c r="S20" s="22" t="n">
        <v>0</v>
      </c>
      <c r="T20" s="22" t="n">
        <v>0</v>
      </c>
      <c r="U20" s="22" t="n">
        <v>0</v>
      </c>
      <c r="V20" s="22">
        <f>L10</f>
        <v/>
      </c>
      <c r="W20" s="22">
        <f>M10</f>
        <v/>
      </c>
      <c r="X20" s="22">
        <f>N10</f>
        <v/>
      </c>
      <c r="Y20" s="22" t="n">
        <v>0</v>
      </c>
      <c r="Z20" s="22" t="n">
        <v>0</v>
      </c>
      <c r="AA20" s="22" t="n">
        <v>0</v>
      </c>
      <c r="AG20" s="23">
        <f>INDEX(Global_Solver!$BC$5:$BC$52, 6*E5+1, 1)</f>
        <v/>
      </c>
      <c r="AH20" s="23">
        <f>SUMPRODUCT(P20:AA20, AG14:AG25)</f>
        <v/>
      </c>
      <c r="AI20" s="24">
        <f>SUMPRODUCT(D20:O20, AH14:AH25)-B32</f>
        <v/>
      </c>
    </row>
    <row r="21">
      <c r="D21" s="21" t="n">
        <v>0</v>
      </c>
      <c r="E21" s="21">
        <f>K15</f>
        <v/>
      </c>
      <c r="F21" s="21" t="n">
        <v>0</v>
      </c>
      <c r="G21" s="21" t="n">
        <v>0</v>
      </c>
      <c r="H21" s="21" t="n">
        <v>0</v>
      </c>
      <c r="I21" s="21">
        <f>K19</f>
        <v/>
      </c>
      <c r="J21" s="21" t="n">
        <v>0</v>
      </c>
      <c r="K21" s="21">
        <f>E15</f>
        <v/>
      </c>
      <c r="L21" s="21" t="n">
        <v>0</v>
      </c>
      <c r="M21" s="21" t="n">
        <v>0</v>
      </c>
      <c r="N21" s="21" t="n">
        <v>0</v>
      </c>
      <c r="O21" s="21">
        <f>-I15</f>
        <v/>
      </c>
      <c r="P21" s="22" t="n">
        <v>0</v>
      </c>
      <c r="Q21" s="22" t="n">
        <v>0</v>
      </c>
      <c r="R21" s="22" t="n">
        <v>0</v>
      </c>
      <c r="S21" s="22" t="n">
        <v>0</v>
      </c>
      <c r="T21" s="22" t="n">
        <v>0</v>
      </c>
      <c r="U21" s="22" t="n">
        <v>0</v>
      </c>
      <c r="V21" s="22">
        <f>L11</f>
        <v/>
      </c>
      <c r="W21" s="22">
        <f>M11</f>
        <v/>
      </c>
      <c r="X21" s="22">
        <f>N11</f>
        <v/>
      </c>
      <c r="Y21" s="22" t="n">
        <v>0</v>
      </c>
      <c r="Z21" s="22" t="n">
        <v>0</v>
      </c>
      <c r="AA21" s="22" t="n">
        <v>0</v>
      </c>
      <c r="AG21" s="23">
        <f>INDEX(Global_Solver!$BC$5:$BC$52, 6*E5+2, 1)</f>
        <v/>
      </c>
      <c r="AH21" s="23">
        <f>SUMPRODUCT(P21:AA21, AG14:AG25)</f>
        <v/>
      </c>
      <c r="AI21" s="24">
        <f>SUMPRODUCT(D21:O21, AH14:AH25)-B33</f>
        <v/>
      </c>
    </row>
    <row r="22">
      <c r="D22" s="21" t="n">
        <v>0</v>
      </c>
      <c r="E22" s="21" t="n">
        <v>0</v>
      </c>
      <c r="F22" s="21">
        <f>L16</f>
        <v/>
      </c>
      <c r="G22" s="21" t="n">
        <v>0</v>
      </c>
      <c r="H22" s="21">
        <f>L18</f>
        <v/>
      </c>
      <c r="I22" s="21" t="n">
        <v>0</v>
      </c>
      <c r="J22" s="21" t="n">
        <v>0</v>
      </c>
      <c r="K22" s="21" t="n">
        <v>0</v>
      </c>
      <c r="L22" s="21">
        <f>F16</f>
        <v/>
      </c>
      <c r="M22" s="21" t="n">
        <v>0</v>
      </c>
      <c r="N22" s="21">
        <f>-H16</f>
        <v/>
      </c>
      <c r="O22" s="21" t="n">
        <v>0</v>
      </c>
      <c r="P22" s="22" t="n">
        <v>0</v>
      </c>
      <c r="Q22" s="22" t="n">
        <v>0</v>
      </c>
      <c r="R22" s="22" t="n">
        <v>0</v>
      </c>
      <c r="S22" s="22" t="n">
        <v>0</v>
      </c>
      <c r="T22" s="22" t="n">
        <v>0</v>
      </c>
      <c r="U22" s="22" t="n">
        <v>0</v>
      </c>
      <c r="V22" s="22">
        <f>L12</f>
        <v/>
      </c>
      <c r="W22" s="22">
        <f>M12</f>
        <v/>
      </c>
      <c r="X22" s="22">
        <f>N12</f>
        <v/>
      </c>
      <c r="Y22" s="22" t="n">
        <v>0</v>
      </c>
      <c r="Z22" s="22" t="n">
        <v>0</v>
      </c>
      <c r="AA22" s="22" t="n">
        <v>0</v>
      </c>
      <c r="AG22" s="23">
        <f>INDEX(Global_Solver!$BC$5:$BC$52, 6*E5+3, 1)</f>
        <v/>
      </c>
      <c r="AH22" s="23">
        <f>SUMPRODUCT(P22:AA22, AG14:AG25)</f>
        <v/>
      </c>
      <c r="AI22" s="24">
        <f>SUMPRODUCT(D22:O22, AH14:AH25)-B34</f>
        <v/>
      </c>
    </row>
    <row r="23">
      <c r="D23" s="21" t="n">
        <v>0</v>
      </c>
      <c r="E23" s="21" t="n">
        <v>0</v>
      </c>
      <c r="F23" s="21" t="n">
        <v>0</v>
      </c>
      <c r="G23" s="21">
        <f>M17</f>
        <v/>
      </c>
      <c r="H23" s="21" t="n">
        <v>0</v>
      </c>
      <c r="I23" s="21" t="n">
        <v>0</v>
      </c>
      <c r="J23" s="21" t="n">
        <v>0</v>
      </c>
      <c r="K23" s="21" t="n">
        <v>0</v>
      </c>
      <c r="L23" s="21" t="n">
        <v>0</v>
      </c>
      <c r="M23" s="21">
        <f>-M17</f>
        <v/>
      </c>
      <c r="N23" s="21" t="n">
        <v>0</v>
      </c>
      <c r="O23" s="21" t="n">
        <v>0</v>
      </c>
      <c r="P23" s="22" t="n">
        <v>0</v>
      </c>
      <c r="Q23" s="22" t="n">
        <v>0</v>
      </c>
      <c r="R23" s="22" t="n">
        <v>0</v>
      </c>
      <c r="S23" s="22" t="n">
        <v>0</v>
      </c>
      <c r="T23" s="22" t="n">
        <v>0</v>
      </c>
      <c r="U23" s="22" t="n">
        <v>0</v>
      </c>
      <c r="V23" s="22" t="n">
        <v>0</v>
      </c>
      <c r="W23" s="22" t="n">
        <v>0</v>
      </c>
      <c r="X23" s="22" t="n">
        <v>0</v>
      </c>
      <c r="Y23" s="22">
        <f>L10</f>
        <v/>
      </c>
      <c r="Z23" s="22">
        <f>M10</f>
        <v/>
      </c>
      <c r="AA23" s="22">
        <f>N10</f>
        <v/>
      </c>
      <c r="AG23" s="23">
        <f>INDEX(Global_Solver!$BC$5:$BC$52, 6*E5+4, 1)</f>
        <v/>
      </c>
      <c r="AH23" s="23">
        <f>SUMPRODUCT(P23:AA23, AG14:AG25)</f>
        <v/>
      </c>
      <c r="AI23" s="24">
        <f>SUMPRODUCT(D23:O23, AH14:AH25)-B35</f>
        <v/>
      </c>
    </row>
    <row r="24">
      <c r="D24" s="21" t="n">
        <v>0</v>
      </c>
      <c r="E24" s="21" t="n">
        <v>0</v>
      </c>
      <c r="F24" s="21">
        <f>N16</f>
        <v/>
      </c>
      <c r="G24" s="21" t="n">
        <v>0</v>
      </c>
      <c r="H24" s="21">
        <f>N18</f>
        <v/>
      </c>
      <c r="I24" s="21" t="n">
        <v>0</v>
      </c>
      <c r="J24" s="21" t="n">
        <v>0</v>
      </c>
      <c r="K24" s="21" t="n">
        <v>0</v>
      </c>
      <c r="L24" s="21">
        <f>L22</f>
        <v/>
      </c>
      <c r="M24" s="21" t="n">
        <v>0</v>
      </c>
      <c r="N24" s="21">
        <f>H18</f>
        <v/>
      </c>
      <c r="O24" s="21" t="n">
        <v>0</v>
      </c>
      <c r="P24" s="22" t="n">
        <v>0</v>
      </c>
      <c r="Q24" s="22" t="n">
        <v>0</v>
      </c>
      <c r="R24" s="22" t="n">
        <v>0</v>
      </c>
      <c r="S24" s="22" t="n">
        <v>0</v>
      </c>
      <c r="T24" s="22" t="n">
        <v>0</v>
      </c>
      <c r="U24" s="22" t="n">
        <v>0</v>
      </c>
      <c r="V24" s="22" t="n">
        <v>0</v>
      </c>
      <c r="W24" s="22" t="n">
        <v>0</v>
      </c>
      <c r="X24" s="22" t="n">
        <v>0</v>
      </c>
      <c r="Y24" s="22">
        <f>L11</f>
        <v/>
      </c>
      <c r="Z24" s="22">
        <f>M11</f>
        <v/>
      </c>
      <c r="AA24" s="22">
        <f>N11</f>
        <v/>
      </c>
      <c r="AG24" s="23">
        <f>INDEX(Global_Solver!$BC$5:$BC$52, 6*E5+5, 1)</f>
        <v/>
      </c>
      <c r="AH24" s="23">
        <f>SUMPRODUCT(P24:AA24, AG14:AG25)</f>
        <v/>
      </c>
      <c r="AI24" s="24">
        <f>SUMPRODUCT(D24:O24, AH14:AH25)-B36</f>
        <v/>
      </c>
    </row>
    <row r="25">
      <c r="D25" s="21" t="n">
        <v>0</v>
      </c>
      <c r="E25" s="21">
        <f>O15</f>
        <v/>
      </c>
      <c r="F25" s="21" t="n">
        <v>0</v>
      </c>
      <c r="G25" s="21" t="n">
        <v>0</v>
      </c>
      <c r="H25" s="21" t="n">
        <v>0</v>
      </c>
      <c r="I25" s="21">
        <f>O19</f>
        <v/>
      </c>
      <c r="J25" s="21" t="n">
        <v>0</v>
      </c>
      <c r="K25" s="21">
        <f>K21</f>
        <v/>
      </c>
      <c r="L25" s="21" t="n">
        <v>0</v>
      </c>
      <c r="M25" s="21" t="n">
        <v>0</v>
      </c>
      <c r="N25" s="21" t="n">
        <v>0</v>
      </c>
      <c r="O25" s="21">
        <f>I19</f>
        <v/>
      </c>
      <c r="P25" s="22" t="n">
        <v>0</v>
      </c>
      <c r="Q25" s="22" t="n">
        <v>0</v>
      </c>
      <c r="R25" s="22" t="n">
        <v>0</v>
      </c>
      <c r="S25" s="22" t="n">
        <v>0</v>
      </c>
      <c r="T25" s="22" t="n">
        <v>0</v>
      </c>
      <c r="U25" s="22" t="n">
        <v>0</v>
      </c>
      <c r="V25" s="22" t="n">
        <v>0</v>
      </c>
      <c r="W25" s="22" t="n">
        <v>0</v>
      </c>
      <c r="X25" s="22" t="n">
        <v>0</v>
      </c>
      <c r="Y25" s="22">
        <f>L12</f>
        <v/>
      </c>
      <c r="Z25" s="22">
        <f>M12</f>
        <v/>
      </c>
      <c r="AA25" s="22">
        <f>N12</f>
        <v/>
      </c>
      <c r="AG25" s="23">
        <f>INDEX(Global_Solver!$BC$5:$BC$52, 6*E5+6, 1)</f>
        <v/>
      </c>
      <c r="AH25" s="23">
        <f>SUMPRODUCT(P25:AA25, AG14:AG25)</f>
        <v/>
      </c>
      <c r="AI25" s="24">
        <f>SUMPRODUCT(D25:O25, AH14:AH25)-B37</f>
        <v/>
      </c>
    </row>
    <row r="26">
      <c r="B26" s="24">
        <f>IF(C6,-C10*F12*E10*Inputs!$K$11,0)</f>
        <v/>
      </c>
      <c r="C26" s="24">
        <f>SUMPRODUCT(P14:AA14, B26:B37)</f>
        <v/>
      </c>
      <c r="D26" s="25">
        <f>SUMPRODUCT(D14:O14, P14:P25)</f>
        <v/>
      </c>
      <c r="E26" s="25">
        <f>SUMPRODUCT(D14:O14, Q14:Q25)</f>
        <v/>
      </c>
      <c r="F26" s="25">
        <f>SUMPRODUCT(D14:O14, R14:R25)</f>
        <v/>
      </c>
      <c r="G26" s="25">
        <f>SUMPRODUCT(D14:O14, S14:S25)</f>
        <v/>
      </c>
      <c r="H26" s="25">
        <f>SUMPRODUCT(D14:O14, T14:T25)</f>
        <v/>
      </c>
      <c r="I26" s="25">
        <f>SUMPRODUCT(D14:O14, U14:U25)</f>
        <v/>
      </c>
      <c r="J26" s="25">
        <f>SUMPRODUCT(D14:O14, V14:V25)</f>
        <v/>
      </c>
      <c r="K26" s="25">
        <f>SUMPRODUCT(D14:O14, W14:W25)</f>
        <v/>
      </c>
      <c r="L26" s="25">
        <f>SUMPRODUCT(D14:O14, X14:X25)</f>
        <v/>
      </c>
      <c r="M26" s="25">
        <f>SUMPRODUCT(D14:O14, Y14:Y25)</f>
        <v/>
      </c>
      <c r="N26" s="25">
        <f>SUMPRODUCT(D14:O14, Z14:Z25)</f>
        <v/>
      </c>
      <c r="O26" s="25">
        <f>SUMPRODUCT(D14:O14, AA14:AA25)</f>
        <v/>
      </c>
      <c r="P26" s="25">
        <f>SUMPRODUCT(P14:AA14, D26:D37)</f>
        <v/>
      </c>
      <c r="Q26" s="25">
        <f>SUMPRODUCT(P14:AA14, E26:E37)</f>
        <v/>
      </c>
      <c r="R26" s="25">
        <f>SUMPRODUCT(P14:AA14, F26:F37)</f>
        <v/>
      </c>
      <c r="S26" s="25">
        <f>SUMPRODUCT(P14:AA14, G26:G37)</f>
        <v/>
      </c>
      <c r="T26" s="25">
        <f>SUMPRODUCT(P14:AA14, H26:H37)</f>
        <v/>
      </c>
      <c r="U26" s="25">
        <f>SUMPRODUCT(P14:AA14, I26:I37)</f>
        <v/>
      </c>
      <c r="V26" s="25">
        <f>SUMPRODUCT(P14:AA14, J26:J37)</f>
        <v/>
      </c>
      <c r="W26" s="25">
        <f>SUMPRODUCT(P14:AA14, K26:K37)</f>
        <v/>
      </c>
      <c r="X26" s="25">
        <f>SUMPRODUCT(P14:AA14, L26:L37)</f>
        <v/>
      </c>
      <c r="Y26" s="25">
        <f>SUMPRODUCT(P14:AA14, M26:M37)</f>
        <v/>
      </c>
      <c r="Z26" s="25">
        <f>SUMPRODUCT(P14:AA14, N26:N37)</f>
        <v/>
      </c>
      <c r="AA26" s="25">
        <f>SUMPRODUCT(P14:AA14, O26:O37)</f>
        <v/>
      </c>
    </row>
    <row r="27">
      <c r="B27" s="24" t="n">
        <v>0</v>
      </c>
      <c r="C27" s="24">
        <f>SUMPRODUCT(P15:AA15, B26:B37)</f>
        <v/>
      </c>
      <c r="D27" s="25">
        <f>SUMPRODUCT(D15:O15, P14:P25)</f>
        <v/>
      </c>
      <c r="E27" s="25">
        <f>SUMPRODUCT(D15:O15, Q14:Q25)</f>
        <v/>
      </c>
      <c r="F27" s="25">
        <f>SUMPRODUCT(D15:O15, R14:R25)</f>
        <v/>
      </c>
      <c r="G27" s="25">
        <f>SUMPRODUCT(D15:O15, S14:S25)</f>
        <v/>
      </c>
      <c r="H27" s="25">
        <f>SUMPRODUCT(D15:O15, T14:T25)</f>
        <v/>
      </c>
      <c r="I27" s="25">
        <f>SUMPRODUCT(D15:O15, U14:U25)</f>
        <v/>
      </c>
      <c r="J27" s="25">
        <f>SUMPRODUCT(D15:O15, V14:V25)</f>
        <v/>
      </c>
      <c r="K27" s="25">
        <f>SUMPRODUCT(D15:O15, W14:W25)</f>
        <v/>
      </c>
      <c r="L27" s="25">
        <f>SUMPRODUCT(D15:O15, X14:X25)</f>
        <v/>
      </c>
      <c r="M27" s="25">
        <f>SUMPRODUCT(D15:O15, Y14:Y25)</f>
        <v/>
      </c>
      <c r="N27" s="25">
        <f>SUMPRODUCT(D15:O15, Z14:Z25)</f>
        <v/>
      </c>
      <c r="O27" s="25">
        <f>SUMPRODUCT(D15:O15, AA14:AA25)</f>
        <v/>
      </c>
      <c r="P27" s="25">
        <f>SUMPRODUCT(P15:AA15, D26:D37)</f>
        <v/>
      </c>
      <c r="Q27" s="25">
        <f>SUMPRODUCT(P15:AA15, E26:E37)</f>
        <v/>
      </c>
      <c r="R27" s="25">
        <f>SUMPRODUCT(P15:AA15, F26:F37)</f>
        <v/>
      </c>
      <c r="S27" s="25">
        <f>SUMPRODUCT(P15:AA15, G26:G37)</f>
        <v/>
      </c>
      <c r="T27" s="25">
        <f>SUMPRODUCT(P15:AA15, H26:H37)</f>
        <v/>
      </c>
      <c r="U27" s="25">
        <f>SUMPRODUCT(P15:AA15, I26:I37)</f>
        <v/>
      </c>
      <c r="V27" s="25">
        <f>SUMPRODUCT(P15:AA15, J26:J37)</f>
        <v/>
      </c>
      <c r="W27" s="25">
        <f>SUMPRODUCT(P15:AA15, K26:K37)</f>
        <v/>
      </c>
      <c r="X27" s="25">
        <f>SUMPRODUCT(P15:AA15, L26:L37)</f>
        <v/>
      </c>
      <c r="Y27" s="25">
        <f>SUMPRODUCT(P15:AA15, M26:M37)</f>
        <v/>
      </c>
      <c r="Z27" s="25">
        <f>SUMPRODUCT(P15:AA15, N26:N37)</f>
        <v/>
      </c>
      <c r="AA27" s="25">
        <f>SUMPRODUCT(P15:AA15, O26:O37)</f>
        <v/>
      </c>
    </row>
    <row r="28">
      <c r="B28" s="24" t="n">
        <v>0</v>
      </c>
      <c r="C28" s="24">
        <f>SUMPRODUCT(P16:AA16, B26:B37)</f>
        <v/>
      </c>
      <c r="D28" s="25">
        <f>SUMPRODUCT(D16:O16, P14:P25)</f>
        <v/>
      </c>
      <c r="E28" s="25">
        <f>SUMPRODUCT(D16:O16, Q14:Q25)</f>
        <v/>
      </c>
      <c r="F28" s="25">
        <f>SUMPRODUCT(D16:O16, R14:R25)</f>
        <v/>
      </c>
      <c r="G28" s="25">
        <f>SUMPRODUCT(D16:O16, S14:S25)</f>
        <v/>
      </c>
      <c r="H28" s="25">
        <f>SUMPRODUCT(D16:O16, T14:T25)</f>
        <v/>
      </c>
      <c r="I28" s="25">
        <f>SUMPRODUCT(D16:O16, U14:U25)</f>
        <v/>
      </c>
      <c r="J28" s="25">
        <f>SUMPRODUCT(D16:O16, V14:V25)</f>
        <v/>
      </c>
      <c r="K28" s="25">
        <f>SUMPRODUCT(D16:O16, W14:W25)</f>
        <v/>
      </c>
      <c r="L28" s="25">
        <f>SUMPRODUCT(D16:O16, X14:X25)</f>
        <v/>
      </c>
      <c r="M28" s="25">
        <f>SUMPRODUCT(D16:O16, Y14:Y25)</f>
        <v/>
      </c>
      <c r="N28" s="25">
        <f>SUMPRODUCT(D16:O16, Z14:Z25)</f>
        <v/>
      </c>
      <c r="O28" s="25">
        <f>SUMPRODUCT(D16:O16, AA14:AA25)</f>
        <v/>
      </c>
      <c r="P28" s="25">
        <f>SUMPRODUCT(P16:AA16, D26:D37)</f>
        <v/>
      </c>
      <c r="Q28" s="25">
        <f>SUMPRODUCT(P16:AA16, E26:E37)</f>
        <v/>
      </c>
      <c r="R28" s="25">
        <f>SUMPRODUCT(P16:AA16, F26:F37)</f>
        <v/>
      </c>
      <c r="S28" s="25">
        <f>SUMPRODUCT(P16:AA16, G26:G37)</f>
        <v/>
      </c>
      <c r="T28" s="25">
        <f>SUMPRODUCT(P16:AA16, H26:H37)</f>
        <v/>
      </c>
      <c r="U28" s="25">
        <f>SUMPRODUCT(P16:AA16, I26:I37)</f>
        <v/>
      </c>
      <c r="V28" s="25">
        <f>SUMPRODUCT(P16:AA16, J26:J37)</f>
        <v/>
      </c>
      <c r="W28" s="25">
        <f>SUMPRODUCT(P16:AA16, K26:K37)</f>
        <v/>
      </c>
      <c r="X28" s="25">
        <f>SUMPRODUCT(P16:AA16, L26:L37)</f>
        <v/>
      </c>
      <c r="Y28" s="25">
        <f>SUMPRODUCT(P16:AA16, M26:M37)</f>
        <v/>
      </c>
      <c r="Z28" s="25">
        <f>SUMPRODUCT(P16:AA16, N26:N37)</f>
        <v/>
      </c>
      <c r="AA28" s="25">
        <f>SUMPRODUCT(P16:AA16, O26:O37)</f>
        <v/>
      </c>
    </row>
    <row r="29">
      <c r="B29" s="24" t="n">
        <v>0</v>
      </c>
      <c r="C29" s="24">
        <f>SUMPRODUCT(P17:AA17, B26:B37)</f>
        <v/>
      </c>
      <c r="D29" s="25">
        <f>SUMPRODUCT(D17:O17, P14:P25)</f>
        <v/>
      </c>
      <c r="E29" s="25">
        <f>SUMPRODUCT(D17:O17, Q14:Q25)</f>
        <v/>
      </c>
      <c r="F29" s="25">
        <f>SUMPRODUCT(D17:O17, R14:R25)</f>
        <v/>
      </c>
      <c r="G29" s="25">
        <f>SUMPRODUCT(D17:O17, S14:S25)</f>
        <v/>
      </c>
      <c r="H29" s="25">
        <f>SUMPRODUCT(D17:O17, T14:T25)</f>
        <v/>
      </c>
      <c r="I29" s="25">
        <f>SUMPRODUCT(D17:O17, U14:U25)</f>
        <v/>
      </c>
      <c r="J29" s="25">
        <f>SUMPRODUCT(D17:O17, V14:V25)</f>
        <v/>
      </c>
      <c r="K29" s="25">
        <f>SUMPRODUCT(D17:O17, W14:W25)</f>
        <v/>
      </c>
      <c r="L29" s="25">
        <f>SUMPRODUCT(D17:O17, X14:X25)</f>
        <v/>
      </c>
      <c r="M29" s="25">
        <f>SUMPRODUCT(D17:O17, Y14:Y25)</f>
        <v/>
      </c>
      <c r="N29" s="25">
        <f>SUMPRODUCT(D17:O17, Z14:Z25)</f>
        <v/>
      </c>
      <c r="O29" s="25">
        <f>SUMPRODUCT(D17:O17, AA14:AA25)</f>
        <v/>
      </c>
      <c r="P29" s="25">
        <f>SUMPRODUCT(P17:AA17, D26:D37)</f>
        <v/>
      </c>
      <c r="Q29" s="25">
        <f>SUMPRODUCT(P17:AA17, E26:E37)</f>
        <v/>
      </c>
      <c r="R29" s="25">
        <f>SUMPRODUCT(P17:AA17, F26:F37)</f>
        <v/>
      </c>
      <c r="S29" s="25">
        <f>SUMPRODUCT(P17:AA17, G26:G37)</f>
        <v/>
      </c>
      <c r="T29" s="25">
        <f>SUMPRODUCT(P17:AA17, H26:H37)</f>
        <v/>
      </c>
      <c r="U29" s="25">
        <f>SUMPRODUCT(P17:AA17, I26:I37)</f>
        <v/>
      </c>
      <c r="V29" s="25">
        <f>SUMPRODUCT(P17:AA17, J26:J37)</f>
        <v/>
      </c>
      <c r="W29" s="25">
        <f>SUMPRODUCT(P17:AA17, K26:K37)</f>
        <v/>
      </c>
      <c r="X29" s="25">
        <f>SUMPRODUCT(P17:AA17, L26:L37)</f>
        <v/>
      </c>
      <c r="Y29" s="25">
        <f>SUMPRODUCT(P17:AA17, M26:M37)</f>
        <v/>
      </c>
      <c r="Z29" s="25">
        <f>SUMPRODUCT(P17:AA17, N26:N37)</f>
        <v/>
      </c>
      <c r="AA29" s="25">
        <f>SUMPRODUCT(P17:AA17, O26:O37)</f>
        <v/>
      </c>
    </row>
    <row r="30">
      <c r="B30" s="24" t="n">
        <v>0</v>
      </c>
      <c r="C30" s="24">
        <f>SUMPRODUCT(P18:AA18, B26:B37)</f>
        <v/>
      </c>
      <c r="D30" s="25">
        <f>SUMPRODUCT(D18:O18, P14:P25)</f>
        <v/>
      </c>
      <c r="E30" s="25">
        <f>SUMPRODUCT(D18:O18, Q14:Q25)</f>
        <v/>
      </c>
      <c r="F30" s="25">
        <f>SUMPRODUCT(D18:O18, R14:R25)</f>
        <v/>
      </c>
      <c r="G30" s="25">
        <f>SUMPRODUCT(D18:O18, S14:S25)</f>
        <v/>
      </c>
      <c r="H30" s="25">
        <f>SUMPRODUCT(D18:O18, T14:T25)</f>
        <v/>
      </c>
      <c r="I30" s="25">
        <f>SUMPRODUCT(D18:O18, U14:U25)</f>
        <v/>
      </c>
      <c r="J30" s="25">
        <f>SUMPRODUCT(D18:O18, V14:V25)</f>
        <v/>
      </c>
      <c r="K30" s="25">
        <f>SUMPRODUCT(D18:O18, W14:W25)</f>
        <v/>
      </c>
      <c r="L30" s="25">
        <f>SUMPRODUCT(D18:O18, X14:X25)</f>
        <v/>
      </c>
      <c r="M30" s="25">
        <f>SUMPRODUCT(D18:O18, Y14:Y25)</f>
        <v/>
      </c>
      <c r="N30" s="25">
        <f>SUMPRODUCT(D18:O18, Z14:Z25)</f>
        <v/>
      </c>
      <c r="O30" s="25">
        <f>SUMPRODUCT(D18:O18, AA14:AA25)</f>
        <v/>
      </c>
      <c r="P30" s="25">
        <f>SUMPRODUCT(P18:AA18, D26:D37)</f>
        <v/>
      </c>
      <c r="Q30" s="25">
        <f>SUMPRODUCT(P18:AA18, E26:E37)</f>
        <v/>
      </c>
      <c r="R30" s="25">
        <f>SUMPRODUCT(P18:AA18, F26:F37)</f>
        <v/>
      </c>
      <c r="S30" s="25">
        <f>SUMPRODUCT(P18:AA18, G26:G37)</f>
        <v/>
      </c>
      <c r="T30" s="25">
        <f>SUMPRODUCT(P18:AA18, H26:H37)</f>
        <v/>
      </c>
      <c r="U30" s="25">
        <f>SUMPRODUCT(P18:AA18, I26:I37)</f>
        <v/>
      </c>
      <c r="V30" s="25">
        <f>SUMPRODUCT(P18:AA18, J26:J37)</f>
        <v/>
      </c>
      <c r="W30" s="25">
        <f>SUMPRODUCT(P18:AA18, K26:K37)</f>
        <v/>
      </c>
      <c r="X30" s="25">
        <f>SUMPRODUCT(P18:AA18, L26:L37)</f>
        <v/>
      </c>
      <c r="Y30" s="25">
        <f>SUMPRODUCT(P18:AA18, M26:M37)</f>
        <v/>
      </c>
      <c r="Z30" s="25">
        <f>SUMPRODUCT(P18:AA18, N26:N37)</f>
        <v/>
      </c>
      <c r="AA30" s="25">
        <f>SUMPRODUCT(P18:AA18, O26:O37)</f>
        <v/>
      </c>
    </row>
    <row r="31">
      <c r="B31" s="24" t="n">
        <v>0</v>
      </c>
      <c r="C31" s="24">
        <f>SUMPRODUCT(P19:AA19, B26:B37)</f>
        <v/>
      </c>
      <c r="D31" s="25">
        <f>SUMPRODUCT(D19:O19, P14:P25)</f>
        <v/>
      </c>
      <c r="E31" s="25">
        <f>SUMPRODUCT(D19:O19, Q14:Q25)</f>
        <v/>
      </c>
      <c r="F31" s="25">
        <f>SUMPRODUCT(D19:O19, R14:R25)</f>
        <v/>
      </c>
      <c r="G31" s="25">
        <f>SUMPRODUCT(D19:O19, S14:S25)</f>
        <v/>
      </c>
      <c r="H31" s="25">
        <f>SUMPRODUCT(D19:O19, T14:T25)</f>
        <v/>
      </c>
      <c r="I31" s="25">
        <f>SUMPRODUCT(D19:O19, U14:U25)</f>
        <v/>
      </c>
      <c r="J31" s="25">
        <f>SUMPRODUCT(D19:O19, V14:V25)</f>
        <v/>
      </c>
      <c r="K31" s="25">
        <f>SUMPRODUCT(D19:O19, W14:W25)</f>
        <v/>
      </c>
      <c r="L31" s="25">
        <f>SUMPRODUCT(D19:O19, X14:X25)</f>
        <v/>
      </c>
      <c r="M31" s="25">
        <f>SUMPRODUCT(D19:O19, Y14:Y25)</f>
        <v/>
      </c>
      <c r="N31" s="25">
        <f>SUMPRODUCT(D19:O19, Z14:Z25)</f>
        <v/>
      </c>
      <c r="O31" s="25">
        <f>SUMPRODUCT(D19:O19, AA14:AA25)</f>
        <v/>
      </c>
      <c r="P31" s="25">
        <f>SUMPRODUCT(P19:AA19, D26:D37)</f>
        <v/>
      </c>
      <c r="Q31" s="25">
        <f>SUMPRODUCT(P19:AA19, E26:E37)</f>
        <v/>
      </c>
      <c r="R31" s="25">
        <f>SUMPRODUCT(P19:AA19, F26:F37)</f>
        <v/>
      </c>
      <c r="S31" s="25">
        <f>SUMPRODUCT(P19:AA19, G26:G37)</f>
        <v/>
      </c>
      <c r="T31" s="25">
        <f>SUMPRODUCT(P19:AA19, H26:H37)</f>
        <v/>
      </c>
      <c r="U31" s="25">
        <f>SUMPRODUCT(P19:AA19, I26:I37)</f>
        <v/>
      </c>
      <c r="V31" s="25">
        <f>SUMPRODUCT(P19:AA19, J26:J37)</f>
        <v/>
      </c>
      <c r="W31" s="25">
        <f>SUMPRODUCT(P19:AA19, K26:K37)</f>
        <v/>
      </c>
      <c r="X31" s="25">
        <f>SUMPRODUCT(P19:AA19, L26:L37)</f>
        <v/>
      </c>
      <c r="Y31" s="25">
        <f>SUMPRODUCT(P19:AA19, M26:M37)</f>
        <v/>
      </c>
      <c r="Z31" s="25">
        <f>SUMPRODUCT(P19:AA19, N26:N37)</f>
        <v/>
      </c>
      <c r="AA31" s="25">
        <f>SUMPRODUCT(P19:AA19, O26:O37)</f>
        <v/>
      </c>
    </row>
    <row r="32">
      <c r="B32" s="24">
        <f>IF(C6,C10*F12*E10*Inputs!$K$11,0)</f>
        <v/>
      </c>
      <c r="C32" s="24">
        <f>SUMPRODUCT(P20:AA20, B26:B37)</f>
        <v/>
      </c>
      <c r="D32" s="25">
        <f>SUMPRODUCT(D20:O20, P14:P25)</f>
        <v/>
      </c>
      <c r="E32" s="25">
        <f>SUMPRODUCT(D20:O20, Q14:Q25)</f>
        <v/>
      </c>
      <c r="F32" s="25">
        <f>SUMPRODUCT(D20:O20, R14:R25)</f>
        <v/>
      </c>
      <c r="G32" s="25">
        <f>SUMPRODUCT(D20:O20, S14:S25)</f>
        <v/>
      </c>
      <c r="H32" s="25">
        <f>SUMPRODUCT(D20:O20, T14:T25)</f>
        <v/>
      </c>
      <c r="I32" s="25">
        <f>SUMPRODUCT(D20:O20, U14:U25)</f>
        <v/>
      </c>
      <c r="J32" s="25">
        <f>SUMPRODUCT(D20:O20, V14:V25)</f>
        <v/>
      </c>
      <c r="K32" s="25">
        <f>SUMPRODUCT(D20:O20, W14:W25)</f>
        <v/>
      </c>
      <c r="L32" s="25">
        <f>SUMPRODUCT(D20:O20, X14:X25)</f>
        <v/>
      </c>
      <c r="M32" s="25">
        <f>SUMPRODUCT(D20:O20, Y14:Y25)</f>
        <v/>
      </c>
      <c r="N32" s="25">
        <f>SUMPRODUCT(D20:O20, Z14:Z25)</f>
        <v/>
      </c>
      <c r="O32" s="25">
        <f>SUMPRODUCT(D20:O20, AA14:AA25)</f>
        <v/>
      </c>
      <c r="P32" s="25">
        <f>SUMPRODUCT(P20:AA20, D26:D37)</f>
        <v/>
      </c>
      <c r="Q32" s="25">
        <f>SUMPRODUCT(P20:AA20, E26:E37)</f>
        <v/>
      </c>
      <c r="R32" s="25">
        <f>SUMPRODUCT(P20:AA20, F26:F37)</f>
        <v/>
      </c>
      <c r="S32" s="25">
        <f>SUMPRODUCT(P20:AA20, G26:G37)</f>
        <v/>
      </c>
      <c r="T32" s="25">
        <f>SUMPRODUCT(P20:AA20, H26:H37)</f>
        <v/>
      </c>
      <c r="U32" s="25">
        <f>SUMPRODUCT(P20:AA20, I26:I37)</f>
        <v/>
      </c>
      <c r="V32" s="25">
        <f>SUMPRODUCT(P20:AA20, J26:J37)</f>
        <v/>
      </c>
      <c r="W32" s="25">
        <f>SUMPRODUCT(P20:AA20, K26:K37)</f>
        <v/>
      </c>
      <c r="X32" s="25">
        <f>SUMPRODUCT(P20:AA20, L26:L37)</f>
        <v/>
      </c>
      <c r="Y32" s="25">
        <f>SUMPRODUCT(P20:AA20, M26:M37)</f>
        <v/>
      </c>
      <c r="Z32" s="25">
        <f>SUMPRODUCT(P20:AA20, N26:N37)</f>
        <v/>
      </c>
      <c r="AA32" s="25">
        <f>SUMPRODUCT(P20:AA20, O26:O37)</f>
        <v/>
      </c>
    </row>
    <row r="33">
      <c r="B33" s="24" t="n">
        <v>0</v>
      </c>
      <c r="C33" s="24">
        <f>SUMPRODUCT(P21:AA21, B26:B37)</f>
        <v/>
      </c>
      <c r="D33" s="25">
        <f>SUMPRODUCT(D21:O21, P14:P25)</f>
        <v/>
      </c>
      <c r="E33" s="25">
        <f>SUMPRODUCT(D21:O21, Q14:Q25)</f>
        <v/>
      </c>
      <c r="F33" s="25">
        <f>SUMPRODUCT(D21:O21, R14:R25)</f>
        <v/>
      </c>
      <c r="G33" s="25">
        <f>SUMPRODUCT(D21:O21, S14:S25)</f>
        <v/>
      </c>
      <c r="H33" s="25">
        <f>SUMPRODUCT(D21:O21, T14:T25)</f>
        <v/>
      </c>
      <c r="I33" s="25">
        <f>SUMPRODUCT(D21:O21, U14:U25)</f>
        <v/>
      </c>
      <c r="J33" s="25">
        <f>SUMPRODUCT(D21:O21, V14:V25)</f>
        <v/>
      </c>
      <c r="K33" s="25">
        <f>SUMPRODUCT(D21:O21, W14:W25)</f>
        <v/>
      </c>
      <c r="L33" s="25">
        <f>SUMPRODUCT(D21:O21, X14:X25)</f>
        <v/>
      </c>
      <c r="M33" s="25">
        <f>SUMPRODUCT(D21:O21, Y14:Y25)</f>
        <v/>
      </c>
      <c r="N33" s="25">
        <f>SUMPRODUCT(D21:O21, Z14:Z25)</f>
        <v/>
      </c>
      <c r="O33" s="25">
        <f>SUMPRODUCT(D21:O21, AA14:AA25)</f>
        <v/>
      </c>
      <c r="P33" s="25">
        <f>SUMPRODUCT(P21:AA21, D26:D37)</f>
        <v/>
      </c>
      <c r="Q33" s="25">
        <f>SUMPRODUCT(P21:AA21, E26:E37)</f>
        <v/>
      </c>
      <c r="R33" s="25">
        <f>SUMPRODUCT(P21:AA21, F26:F37)</f>
        <v/>
      </c>
      <c r="S33" s="25">
        <f>SUMPRODUCT(P21:AA21, G26:G37)</f>
        <v/>
      </c>
      <c r="T33" s="25">
        <f>SUMPRODUCT(P21:AA21, H26:H37)</f>
        <v/>
      </c>
      <c r="U33" s="25">
        <f>SUMPRODUCT(P21:AA21, I26:I37)</f>
        <v/>
      </c>
      <c r="V33" s="25">
        <f>SUMPRODUCT(P21:AA21, J26:J37)</f>
        <v/>
      </c>
      <c r="W33" s="25">
        <f>SUMPRODUCT(P21:AA21, K26:K37)</f>
        <v/>
      </c>
      <c r="X33" s="25">
        <f>SUMPRODUCT(P21:AA21, L26:L37)</f>
        <v/>
      </c>
      <c r="Y33" s="25">
        <f>SUMPRODUCT(P21:AA21, M26:M37)</f>
        <v/>
      </c>
      <c r="Z33" s="25">
        <f>SUMPRODUCT(P21:AA21, N26:N37)</f>
        <v/>
      </c>
      <c r="AA33" s="25">
        <f>SUMPRODUCT(P21:AA21, O26:O37)</f>
        <v/>
      </c>
    </row>
    <row r="34">
      <c r="B34" s="24" t="n">
        <v>0</v>
      </c>
      <c r="C34" s="24">
        <f>SUMPRODUCT(P22:AA22, B26:B37)</f>
        <v/>
      </c>
      <c r="D34" s="25">
        <f>SUMPRODUCT(D22:O22, P14:P25)</f>
        <v/>
      </c>
      <c r="E34" s="25">
        <f>SUMPRODUCT(D22:O22, Q14:Q25)</f>
        <v/>
      </c>
      <c r="F34" s="25">
        <f>SUMPRODUCT(D22:O22, R14:R25)</f>
        <v/>
      </c>
      <c r="G34" s="25">
        <f>SUMPRODUCT(D22:O22, S14:S25)</f>
        <v/>
      </c>
      <c r="H34" s="25">
        <f>SUMPRODUCT(D22:O22, T14:T25)</f>
        <v/>
      </c>
      <c r="I34" s="25">
        <f>SUMPRODUCT(D22:O22, U14:U25)</f>
        <v/>
      </c>
      <c r="J34" s="25">
        <f>SUMPRODUCT(D22:O22, V14:V25)</f>
        <v/>
      </c>
      <c r="K34" s="25">
        <f>SUMPRODUCT(D22:O22, W14:W25)</f>
        <v/>
      </c>
      <c r="L34" s="25">
        <f>SUMPRODUCT(D22:O22, X14:X25)</f>
        <v/>
      </c>
      <c r="M34" s="25">
        <f>SUMPRODUCT(D22:O22, Y14:Y25)</f>
        <v/>
      </c>
      <c r="N34" s="25">
        <f>SUMPRODUCT(D22:O22, Z14:Z25)</f>
        <v/>
      </c>
      <c r="O34" s="25">
        <f>SUMPRODUCT(D22:O22, AA14:AA25)</f>
        <v/>
      </c>
      <c r="P34" s="25">
        <f>SUMPRODUCT(P22:AA22, D26:D37)</f>
        <v/>
      </c>
      <c r="Q34" s="25">
        <f>SUMPRODUCT(P22:AA22, E26:E37)</f>
        <v/>
      </c>
      <c r="R34" s="25">
        <f>SUMPRODUCT(P22:AA22, F26:F37)</f>
        <v/>
      </c>
      <c r="S34" s="25">
        <f>SUMPRODUCT(P22:AA22, G26:G37)</f>
        <v/>
      </c>
      <c r="T34" s="25">
        <f>SUMPRODUCT(P22:AA22, H26:H37)</f>
        <v/>
      </c>
      <c r="U34" s="25">
        <f>SUMPRODUCT(P22:AA22, I26:I37)</f>
        <v/>
      </c>
      <c r="V34" s="25">
        <f>SUMPRODUCT(P22:AA22, J26:J37)</f>
        <v/>
      </c>
      <c r="W34" s="25">
        <f>SUMPRODUCT(P22:AA22, K26:K37)</f>
        <v/>
      </c>
      <c r="X34" s="25">
        <f>SUMPRODUCT(P22:AA22, L26:L37)</f>
        <v/>
      </c>
      <c r="Y34" s="25">
        <f>SUMPRODUCT(P22:AA22, M26:M37)</f>
        <v/>
      </c>
      <c r="Z34" s="25">
        <f>SUMPRODUCT(P22:AA22, N26:N37)</f>
        <v/>
      </c>
      <c r="AA34" s="25">
        <f>SUMPRODUCT(P22:AA22, O26:O37)</f>
        <v/>
      </c>
    </row>
    <row r="35">
      <c r="B35" s="24" t="n">
        <v>0</v>
      </c>
      <c r="C35" s="24">
        <f>SUMPRODUCT(P23:AA23, B26:B37)</f>
        <v/>
      </c>
      <c r="D35" s="25">
        <f>SUMPRODUCT(D23:O23, P14:P25)</f>
        <v/>
      </c>
      <c r="E35" s="25">
        <f>SUMPRODUCT(D23:O23, Q14:Q25)</f>
        <v/>
      </c>
      <c r="F35" s="25">
        <f>SUMPRODUCT(D23:O23, R14:R25)</f>
        <v/>
      </c>
      <c r="G35" s="25">
        <f>SUMPRODUCT(D23:O23, S14:S25)</f>
        <v/>
      </c>
      <c r="H35" s="25">
        <f>SUMPRODUCT(D23:O23, T14:T25)</f>
        <v/>
      </c>
      <c r="I35" s="25">
        <f>SUMPRODUCT(D23:O23, U14:U25)</f>
        <v/>
      </c>
      <c r="J35" s="25">
        <f>SUMPRODUCT(D23:O23, V14:V25)</f>
        <v/>
      </c>
      <c r="K35" s="25">
        <f>SUMPRODUCT(D23:O23, W14:W25)</f>
        <v/>
      </c>
      <c r="L35" s="25">
        <f>SUMPRODUCT(D23:O23, X14:X25)</f>
        <v/>
      </c>
      <c r="M35" s="25">
        <f>SUMPRODUCT(D23:O23, Y14:Y25)</f>
        <v/>
      </c>
      <c r="N35" s="25">
        <f>SUMPRODUCT(D23:O23, Z14:Z25)</f>
        <v/>
      </c>
      <c r="O35" s="25">
        <f>SUMPRODUCT(D23:O23, AA14:AA25)</f>
        <v/>
      </c>
      <c r="P35" s="25">
        <f>SUMPRODUCT(P23:AA23, D26:D37)</f>
        <v/>
      </c>
      <c r="Q35" s="25">
        <f>SUMPRODUCT(P23:AA23, E26:E37)</f>
        <v/>
      </c>
      <c r="R35" s="25">
        <f>SUMPRODUCT(P23:AA23, F26:F37)</f>
        <v/>
      </c>
      <c r="S35" s="25">
        <f>SUMPRODUCT(P23:AA23, G26:G37)</f>
        <v/>
      </c>
      <c r="T35" s="25">
        <f>SUMPRODUCT(P23:AA23, H26:H37)</f>
        <v/>
      </c>
      <c r="U35" s="25">
        <f>SUMPRODUCT(P23:AA23, I26:I37)</f>
        <v/>
      </c>
      <c r="V35" s="25">
        <f>SUMPRODUCT(P23:AA23, J26:J37)</f>
        <v/>
      </c>
      <c r="W35" s="25">
        <f>SUMPRODUCT(P23:AA23, K26:K37)</f>
        <v/>
      </c>
      <c r="X35" s="25">
        <f>SUMPRODUCT(P23:AA23, L26:L37)</f>
        <v/>
      </c>
      <c r="Y35" s="25">
        <f>SUMPRODUCT(P23:AA23, M26:M37)</f>
        <v/>
      </c>
      <c r="Z35" s="25">
        <f>SUMPRODUCT(P23:AA23, N26:N37)</f>
        <v/>
      </c>
      <c r="AA35" s="25">
        <f>SUMPRODUCT(P23:AA23, O26:O37)</f>
        <v/>
      </c>
    </row>
    <row r="36">
      <c r="B36" s="24" t="n">
        <v>0</v>
      </c>
      <c r="C36" s="24">
        <f>SUMPRODUCT(P24:AA24, B26:B37)</f>
        <v/>
      </c>
      <c r="D36" s="25">
        <f>SUMPRODUCT(D24:O24, P14:P25)</f>
        <v/>
      </c>
      <c r="E36" s="25">
        <f>SUMPRODUCT(D24:O24, Q14:Q25)</f>
        <v/>
      </c>
      <c r="F36" s="25">
        <f>SUMPRODUCT(D24:O24, R14:R25)</f>
        <v/>
      </c>
      <c r="G36" s="25">
        <f>SUMPRODUCT(D24:O24, S14:S25)</f>
        <v/>
      </c>
      <c r="H36" s="25">
        <f>SUMPRODUCT(D24:O24, T14:T25)</f>
        <v/>
      </c>
      <c r="I36" s="25">
        <f>SUMPRODUCT(D24:O24, U14:U25)</f>
        <v/>
      </c>
      <c r="J36" s="25">
        <f>SUMPRODUCT(D24:O24, V14:V25)</f>
        <v/>
      </c>
      <c r="K36" s="25">
        <f>SUMPRODUCT(D24:O24, W14:W25)</f>
        <v/>
      </c>
      <c r="L36" s="25">
        <f>SUMPRODUCT(D24:O24, X14:X25)</f>
        <v/>
      </c>
      <c r="M36" s="25">
        <f>SUMPRODUCT(D24:O24, Y14:Y25)</f>
        <v/>
      </c>
      <c r="N36" s="25">
        <f>SUMPRODUCT(D24:O24, Z14:Z25)</f>
        <v/>
      </c>
      <c r="O36" s="25">
        <f>SUMPRODUCT(D24:O24, AA14:AA25)</f>
        <v/>
      </c>
      <c r="P36" s="25">
        <f>SUMPRODUCT(P24:AA24, D26:D37)</f>
        <v/>
      </c>
      <c r="Q36" s="25">
        <f>SUMPRODUCT(P24:AA24, E26:E37)</f>
        <v/>
      </c>
      <c r="R36" s="25">
        <f>SUMPRODUCT(P24:AA24, F26:F37)</f>
        <v/>
      </c>
      <c r="S36" s="25">
        <f>SUMPRODUCT(P24:AA24, G26:G37)</f>
        <v/>
      </c>
      <c r="T36" s="25">
        <f>SUMPRODUCT(P24:AA24, H26:H37)</f>
        <v/>
      </c>
      <c r="U36" s="25">
        <f>SUMPRODUCT(P24:AA24, I26:I37)</f>
        <v/>
      </c>
      <c r="V36" s="25">
        <f>SUMPRODUCT(P24:AA24, J26:J37)</f>
        <v/>
      </c>
      <c r="W36" s="25">
        <f>SUMPRODUCT(P24:AA24, K26:K37)</f>
        <v/>
      </c>
      <c r="X36" s="25">
        <f>SUMPRODUCT(P24:AA24, L26:L37)</f>
        <v/>
      </c>
      <c r="Y36" s="25">
        <f>SUMPRODUCT(P24:AA24, M26:M37)</f>
        <v/>
      </c>
      <c r="Z36" s="25">
        <f>SUMPRODUCT(P24:AA24, N26:N37)</f>
        <v/>
      </c>
      <c r="AA36" s="25">
        <f>SUMPRODUCT(P24:AA24, O26:O37)</f>
        <v/>
      </c>
    </row>
    <row r="37">
      <c r="B37" s="24" t="n">
        <v>0</v>
      </c>
      <c r="C37" s="24">
        <f>SUMPRODUCT(P25:AA25, B26:B37)</f>
        <v/>
      </c>
      <c r="D37" s="25">
        <f>SUMPRODUCT(D25:O25, P14:P25)</f>
        <v/>
      </c>
      <c r="E37" s="25">
        <f>SUMPRODUCT(D25:O25, Q14:Q25)</f>
        <v/>
      </c>
      <c r="F37" s="25">
        <f>SUMPRODUCT(D25:O25, R14:R25)</f>
        <v/>
      </c>
      <c r="G37" s="25">
        <f>SUMPRODUCT(D25:O25, S14:S25)</f>
        <v/>
      </c>
      <c r="H37" s="25">
        <f>SUMPRODUCT(D25:O25, T14:T25)</f>
        <v/>
      </c>
      <c r="I37" s="25">
        <f>SUMPRODUCT(D25:O25, U14:U25)</f>
        <v/>
      </c>
      <c r="J37" s="25">
        <f>SUMPRODUCT(D25:O25, V14:V25)</f>
        <v/>
      </c>
      <c r="K37" s="25">
        <f>SUMPRODUCT(D25:O25, W14:W25)</f>
        <v/>
      </c>
      <c r="L37" s="25">
        <f>SUMPRODUCT(D25:O25, X14:X25)</f>
        <v/>
      </c>
      <c r="M37" s="25">
        <f>SUMPRODUCT(D25:O25, Y14:Y25)</f>
        <v/>
      </c>
      <c r="N37" s="25">
        <f>SUMPRODUCT(D25:O25, Z14:Z25)</f>
        <v/>
      </c>
      <c r="O37" s="25">
        <f>SUMPRODUCT(D25:O25, AA14:AA25)</f>
        <v/>
      </c>
      <c r="P37" s="25">
        <f>SUMPRODUCT(P25:AA25, D26:D37)</f>
        <v/>
      </c>
      <c r="Q37" s="25">
        <f>SUMPRODUCT(P25:AA25, E26:E37)</f>
        <v/>
      </c>
      <c r="R37" s="25">
        <f>SUMPRODUCT(P25:AA25, F26:F37)</f>
        <v/>
      </c>
      <c r="S37" s="25">
        <f>SUMPRODUCT(P25:AA25, G26:G37)</f>
        <v/>
      </c>
      <c r="T37" s="25">
        <f>SUMPRODUCT(P25:AA25, H26:H37)</f>
        <v/>
      </c>
      <c r="U37" s="25">
        <f>SUMPRODUCT(P25:AA25, I26:I37)</f>
        <v/>
      </c>
      <c r="V37" s="25">
        <f>SUMPRODUCT(P25:AA25, J26:J37)</f>
        <v/>
      </c>
      <c r="W37" s="25">
        <f>SUMPRODUCT(P25:AA25, K26:K37)</f>
        <v/>
      </c>
      <c r="X37" s="25">
        <f>SUMPRODUCT(P25:AA25, L26:L37)</f>
        <v/>
      </c>
      <c r="Y37" s="25">
        <f>SUMPRODUCT(P25:AA25, M26:M37)</f>
        <v/>
      </c>
      <c r="Z37" s="25">
        <f>SUMPRODUCT(P25:AA25, N26:N37)</f>
        <v/>
      </c>
      <c r="AA37" s="25">
        <f>SUMPRODUCT(P25:AA25, O26:O37)</f>
        <v/>
      </c>
    </row>
    <row r="39">
      <c r="B39" s="3" t="inlineStr">
        <is>
          <t>ELEMENT 1 ANALYSIS BLOCK</t>
        </is>
      </c>
    </row>
    <row r="40">
      <c r="B40" s="16" t="inlineStr">
        <is>
          <t>Node A ID</t>
        </is>
      </c>
      <c r="C40" s="17">
        <f>Inputs!C30</f>
        <v/>
      </c>
      <c r="D40" s="16" t="inlineStr">
        <is>
          <t>Node B ID</t>
        </is>
      </c>
      <c r="E40" s="17">
        <f>Inputs!D30</f>
        <v/>
      </c>
    </row>
    <row r="41">
      <c r="B41" s="16" t="inlineStr">
        <is>
          <t>Is Active?</t>
        </is>
      </c>
      <c r="C41" s="16">
        <f>AND(C40&lt;&gt;"",E40&lt;&gt;"")</f>
        <v/>
      </c>
    </row>
    <row r="42">
      <c r="B42" s="16" t="inlineStr">
        <is>
          <t>Node A Coord</t>
        </is>
      </c>
      <c r="C42" s="18">
        <f>IF(C41,VLOOKUP(C40,Inputs!$B$17:$E$24,2,FALSE),0.0)</f>
        <v/>
      </c>
      <c r="D42" s="18">
        <f>IF(C41,VLOOKUP(C40,Inputs!$B$17:$E$24,3,FALSE),0.0)</f>
        <v/>
      </c>
      <c r="E42" s="18">
        <f>IF(C41,VLOOKUP(C40,Inputs!$B$17:$E$24,4,FALSE),0.0)</f>
        <v/>
      </c>
      <c r="F42" s="16" t="inlineStr">
        <is>
          <t>Node B Coord</t>
        </is>
      </c>
      <c r="G42" s="18">
        <f>IF(C41,VLOOKUP(E40,Inputs!$B$17:$E$24,2,FALSE),0.0)</f>
        <v/>
      </c>
      <c r="H42" s="18">
        <f>IF(C41,VLOOKUP(E40,Inputs!$B$17:$E$24,3,FALSE),0.0)</f>
        <v/>
      </c>
      <c r="I42" s="18">
        <f>IF(C41,VLOOKUP(E40,Inputs!$B$17:$E$24,4,FALSE),0.0)</f>
        <v/>
      </c>
    </row>
    <row r="43">
      <c r="B43" s="16" t="inlineStr">
        <is>
          <t>deltas dx,dy,dz</t>
        </is>
      </c>
      <c r="C43">
        <f>G42-C42</f>
        <v/>
      </c>
      <c r="D43">
        <f>H42-D42</f>
        <v/>
      </c>
      <c r="E43">
        <f>I42-E42</f>
        <v/>
      </c>
      <c r="F43" s="16" t="inlineStr">
        <is>
          <t>Length L</t>
        </is>
      </c>
      <c r="G43" s="19">
        <f>IF(C41,SQRT(C43^2+D43^2+E43^2),1.0)</f>
        <v/>
      </c>
    </row>
    <row r="44">
      <c r="B44" s="16" t="inlineStr">
        <is>
          <t>dir cosines lx,my,nz</t>
        </is>
      </c>
      <c r="C44">
        <f>C43/G43</f>
        <v/>
      </c>
      <c r="D44">
        <f>D43/G43</f>
        <v/>
      </c>
      <c r="E44">
        <f>E43/G43</f>
        <v/>
      </c>
      <c r="F44" s="16" t="inlineStr">
        <is>
          <t>D_is_zero</t>
        </is>
      </c>
      <c r="G44">
        <f>AND(ABS(C44)&lt;1E-5,ABS(D44)&lt;1E-5)</f>
        <v/>
      </c>
      <c r="H44" s="16" t="inlineStr">
        <is>
          <t>D</t>
        </is>
      </c>
      <c r="I44">
        <f>SQRT(C44^2+D44^2)</f>
        <v/>
      </c>
      <c r="L44" s="16" t="inlineStr">
        <is>
          <t>ROTATION MATRIX lambda</t>
        </is>
      </c>
    </row>
    <row r="45">
      <c r="B45" s="16" t="inlineStr">
        <is>
          <t>Material E, G, alpha</t>
        </is>
      </c>
      <c r="C45">
        <f>VLOOKUP(Inputs!G30,Inputs!$B$7:$H$8,2,FALSE)</f>
        <v/>
      </c>
      <c r="D45">
        <f>VLOOKUP(Inputs!G30,Inputs!$B$7:$H$8,3,FALSE)</f>
        <v/>
      </c>
      <c r="E45">
        <f>VLOOKUP(Inputs!G30,Inputs!$B$7:$H$8,4,FALSE)</f>
        <v/>
      </c>
      <c r="L45" s="20">
        <f>C44</f>
        <v/>
      </c>
      <c r="M45" s="20">
        <f>D44</f>
        <v/>
      </c>
      <c r="N45" s="20">
        <f>E44</f>
        <v/>
      </c>
    </row>
    <row r="46">
      <c r="B46" s="16" t="inlineStr">
        <is>
          <t>Section OD, t</t>
        </is>
      </c>
      <c r="C46">
        <f>VLOOKUP(Inputs!H30,Inputs!$B$12:$H$13,2,FALSE)</f>
        <v/>
      </c>
      <c r="D46">
        <f>VLOOKUP(Inputs!H30,Inputs!$B$12:$H$13,3,FALSE)</f>
        <v/>
      </c>
      <c r="L46" s="20">
        <f>IF(G44,0,-D44/I44)</f>
        <v/>
      </c>
      <c r="M46" s="20">
        <f>IF(G44,IF(E44&gt;0,1,-1),C44/I44)</f>
        <v/>
      </c>
      <c r="N46" s="20" t="n">
        <v>0</v>
      </c>
    </row>
    <row r="47">
      <c r="B47" s="16" t="inlineStr">
        <is>
          <t>ro, ri</t>
        </is>
      </c>
      <c r="C47">
        <f>C46/2</f>
        <v/>
      </c>
      <c r="D47">
        <f>C47-D46</f>
        <v/>
      </c>
      <c r="E47" s="16" t="inlineStr">
        <is>
          <t>Area A</t>
        </is>
      </c>
      <c r="F47">
        <f>PI()*(C47^2-D47^2)</f>
        <v/>
      </c>
      <c r="L47" s="20">
        <f>IF(G44,IF(E44&gt;0,-1,1),-C44*E44/I44)</f>
        <v/>
      </c>
      <c r="M47" s="20">
        <f>IF(G44,0,-D44*E44/I44)</f>
        <v/>
      </c>
      <c r="N47" s="20">
        <f>IF(G44,0,I44)</f>
        <v/>
      </c>
    </row>
    <row r="48">
      <c r="B48" s="16" t="inlineStr">
        <is>
          <t>Inertia I, J</t>
        </is>
      </c>
      <c r="C48">
        <f>(PI()/4)*(C47^4-D47^4)</f>
        <v/>
      </c>
      <c r="D48">
        <f>C48*2</f>
        <v/>
      </c>
      <c r="E48" s="16" t="inlineStr">
        <is>
          <t>Flex Factor k</t>
        </is>
      </c>
      <c r="F48">
        <f>IF(Inputs!E30="bend",IF(Inputs!F30&lt;&gt;"",MAX(1.0,1.65/((D46*Inputs!F30)/(((C46-D46)/2)^2))),1.0),1.0)</f>
        <v/>
      </c>
    </row>
    <row r="49">
      <c r="D49" s="21">
        <f>IF(C41,$C$45*$F$47/$G$43,0)</f>
        <v/>
      </c>
      <c r="E49" s="21" t="n">
        <v>0</v>
      </c>
      <c r="F49" s="21" t="n">
        <v>0</v>
      </c>
      <c r="G49" s="21" t="n">
        <v>0</v>
      </c>
      <c r="H49" s="21" t="n">
        <v>0</v>
      </c>
      <c r="I49" s="21" t="n">
        <v>0</v>
      </c>
      <c r="J49" s="21">
        <f>-D49</f>
        <v/>
      </c>
      <c r="K49" s="21" t="n">
        <v>0</v>
      </c>
      <c r="L49" s="21" t="n">
        <v>0</v>
      </c>
      <c r="M49" s="21" t="n">
        <v>0</v>
      </c>
      <c r="N49" s="21" t="n">
        <v>0</v>
      </c>
      <c r="O49" s="21" t="n">
        <v>0</v>
      </c>
      <c r="P49" s="22">
        <f>L45</f>
        <v/>
      </c>
      <c r="Q49" s="22">
        <f>M45</f>
        <v/>
      </c>
      <c r="R49" s="22">
        <f>N45</f>
        <v/>
      </c>
      <c r="S49" s="22" t="n">
        <v>0</v>
      </c>
      <c r="T49" s="22" t="n">
        <v>0</v>
      </c>
      <c r="U49" s="22" t="n">
        <v>0</v>
      </c>
      <c r="V49" s="22" t="n">
        <v>0</v>
      </c>
      <c r="W49" s="22" t="n">
        <v>0</v>
      </c>
      <c r="X49" s="22" t="n">
        <v>0</v>
      </c>
      <c r="Y49" s="22" t="n">
        <v>0</v>
      </c>
      <c r="Z49" s="22" t="n">
        <v>0</v>
      </c>
      <c r="AA49" s="22" t="n">
        <v>0</v>
      </c>
      <c r="AG49" s="23">
        <f>INDEX(Global_Solver!$BC$5:$BC$52, 6*C40+1, 1)</f>
        <v/>
      </c>
      <c r="AH49" s="23">
        <f>SUMPRODUCT(P49:AA49, AG49:AG60)</f>
        <v/>
      </c>
      <c r="AI49" s="24">
        <f>SUMPRODUCT(D49:O49, AH49:AH60)-B61</f>
        <v/>
      </c>
    </row>
    <row r="50">
      <c r="D50" s="21" t="n">
        <v>0</v>
      </c>
      <c r="E50" s="21">
        <f>IF(C41,=(12*$C$45*($C$48/$F$48))/($G$43^3),0)</f>
        <v/>
      </c>
      <c r="F50" s="21" t="n">
        <v>0</v>
      </c>
      <c r="G50" s="21" t="n">
        <v>0</v>
      </c>
      <c r="H50" s="21" t="n">
        <v>0</v>
      </c>
      <c r="I50" s="21">
        <f>IF(C41,=(6*$C$45*($C$48/$F$48))/($G$43^2),0)</f>
        <v/>
      </c>
      <c r="J50" s="21" t="n">
        <v>0</v>
      </c>
      <c r="K50" s="21">
        <f>-E50</f>
        <v/>
      </c>
      <c r="L50" s="21" t="n">
        <v>0</v>
      </c>
      <c r="M50" s="21" t="n">
        <v>0</v>
      </c>
      <c r="N50" s="21" t="n">
        <v>0</v>
      </c>
      <c r="O50" s="21">
        <f>I50</f>
        <v/>
      </c>
      <c r="P50" s="22">
        <f>L46</f>
        <v/>
      </c>
      <c r="Q50" s="22">
        <f>M46</f>
        <v/>
      </c>
      <c r="R50" s="22">
        <f>N46</f>
        <v/>
      </c>
      <c r="S50" s="22" t="n">
        <v>0</v>
      </c>
      <c r="T50" s="22" t="n">
        <v>0</v>
      </c>
      <c r="U50" s="22" t="n">
        <v>0</v>
      </c>
      <c r="V50" s="22" t="n">
        <v>0</v>
      </c>
      <c r="W50" s="22" t="n">
        <v>0</v>
      </c>
      <c r="X50" s="22" t="n">
        <v>0</v>
      </c>
      <c r="Y50" s="22" t="n">
        <v>0</v>
      </c>
      <c r="Z50" s="22" t="n">
        <v>0</v>
      </c>
      <c r="AA50" s="22" t="n">
        <v>0</v>
      </c>
      <c r="AG50" s="23">
        <f>INDEX(Global_Solver!$BC$5:$BC$52, 6*C40+2, 1)</f>
        <v/>
      </c>
      <c r="AH50" s="23">
        <f>SUMPRODUCT(P50:AA50, AG49:AG60)</f>
        <v/>
      </c>
      <c r="AI50" s="24">
        <f>SUMPRODUCT(D50:O50, AH49:AH60)-B62</f>
        <v/>
      </c>
    </row>
    <row r="51">
      <c r="D51" s="21" t="n">
        <v>0</v>
      </c>
      <c r="E51" s="21" t="n">
        <v>0</v>
      </c>
      <c r="F51" s="21">
        <f>IF(C41,=(12*$C$45*($C$48/$F$48))/($G$43^3),0)</f>
        <v/>
      </c>
      <c r="G51" s="21" t="n">
        <v>0</v>
      </c>
      <c r="H51" s="21">
        <f>IF(C41,-=(6*$C$45*($C$48/$F$48))/($G$43^2),0)</f>
        <v/>
      </c>
      <c r="I51" s="21" t="n">
        <v>0</v>
      </c>
      <c r="J51" s="21" t="n">
        <v>0</v>
      </c>
      <c r="K51" s="21" t="n">
        <v>0</v>
      </c>
      <c r="L51" s="21">
        <f>-F51</f>
        <v/>
      </c>
      <c r="M51" s="21" t="n">
        <v>0</v>
      </c>
      <c r="N51" s="21">
        <f>H51</f>
        <v/>
      </c>
      <c r="O51" s="21" t="n">
        <v>0</v>
      </c>
      <c r="P51" s="22">
        <f>L47</f>
        <v/>
      </c>
      <c r="Q51" s="22">
        <f>M47</f>
        <v/>
      </c>
      <c r="R51" s="22">
        <f>N47</f>
        <v/>
      </c>
      <c r="S51" s="22" t="n">
        <v>0</v>
      </c>
      <c r="T51" s="22" t="n">
        <v>0</v>
      </c>
      <c r="U51" s="22" t="n">
        <v>0</v>
      </c>
      <c r="V51" s="22" t="n">
        <v>0</v>
      </c>
      <c r="W51" s="22" t="n">
        <v>0</v>
      </c>
      <c r="X51" s="22" t="n">
        <v>0</v>
      </c>
      <c r="Y51" s="22" t="n">
        <v>0</v>
      </c>
      <c r="Z51" s="22" t="n">
        <v>0</v>
      </c>
      <c r="AA51" s="22" t="n">
        <v>0</v>
      </c>
      <c r="AG51" s="23">
        <f>INDEX(Global_Solver!$BC$5:$BC$52, 6*C40+3, 1)</f>
        <v/>
      </c>
      <c r="AH51" s="23">
        <f>SUMPRODUCT(P51:AA51, AG49:AG60)</f>
        <v/>
      </c>
      <c r="AI51" s="24">
        <f>SUMPRODUCT(D51:O51, AH49:AH60)-B63</f>
        <v/>
      </c>
    </row>
    <row r="52">
      <c r="D52" s="21" t="n">
        <v>0</v>
      </c>
      <c r="E52" s="21" t="n">
        <v>0</v>
      </c>
      <c r="F52" s="21" t="n">
        <v>0</v>
      </c>
      <c r="G52" s="21">
        <f>IF(C41,$D$45*$D$48/$G$43,0)</f>
        <v/>
      </c>
      <c r="H52" s="21" t="n">
        <v>0</v>
      </c>
      <c r="I52" s="21" t="n">
        <v>0</v>
      </c>
      <c r="J52" s="21" t="n">
        <v>0</v>
      </c>
      <c r="K52" s="21" t="n">
        <v>0</v>
      </c>
      <c r="L52" s="21" t="n">
        <v>0</v>
      </c>
      <c r="M52" s="21">
        <f>-G52</f>
        <v/>
      </c>
      <c r="N52" s="21" t="n">
        <v>0</v>
      </c>
      <c r="O52" s="21" t="n">
        <v>0</v>
      </c>
      <c r="P52" s="22" t="n">
        <v>0</v>
      </c>
      <c r="Q52" s="22" t="n">
        <v>0</v>
      </c>
      <c r="R52" s="22" t="n">
        <v>0</v>
      </c>
      <c r="S52" s="22">
        <f>L45</f>
        <v/>
      </c>
      <c r="T52" s="22">
        <f>M45</f>
        <v/>
      </c>
      <c r="U52" s="22">
        <f>N45</f>
        <v/>
      </c>
      <c r="V52" s="22" t="n">
        <v>0</v>
      </c>
      <c r="W52" s="22" t="n">
        <v>0</v>
      </c>
      <c r="X52" s="22" t="n">
        <v>0</v>
      </c>
      <c r="Y52" s="22" t="n">
        <v>0</v>
      </c>
      <c r="Z52" s="22" t="n">
        <v>0</v>
      </c>
      <c r="AA52" s="22" t="n">
        <v>0</v>
      </c>
      <c r="AG52" s="23">
        <f>INDEX(Global_Solver!$BC$5:$BC$52, 6*C40+4, 1)</f>
        <v/>
      </c>
      <c r="AH52" s="23">
        <f>SUMPRODUCT(P52:AA52, AG49:AG60)</f>
        <v/>
      </c>
      <c r="AI52" s="24">
        <f>SUMPRODUCT(D52:O52, AH49:AH60)-B64</f>
        <v/>
      </c>
    </row>
    <row r="53">
      <c r="D53" s="21" t="n">
        <v>0</v>
      </c>
      <c r="E53" s="21" t="n">
        <v>0</v>
      </c>
      <c r="F53" s="21">
        <f>H51</f>
        <v/>
      </c>
      <c r="G53" s="21" t="n">
        <v>0</v>
      </c>
      <c r="H53" s="21">
        <f>IF(C41,=(4*$C$45*($C$48/$F$48))/$G$43,0)</f>
        <v/>
      </c>
      <c r="I53" s="21" t="n">
        <v>0</v>
      </c>
      <c r="J53" s="21" t="n">
        <v>0</v>
      </c>
      <c r="K53" s="21" t="n">
        <v>0</v>
      </c>
      <c r="L53" s="21">
        <f>-H51</f>
        <v/>
      </c>
      <c r="M53" s="21" t="n">
        <v>0</v>
      </c>
      <c r="N53" s="21">
        <f>IF(C41,=(2*$C$45*($C$48/$F$48))/$G$43,0)</f>
        <v/>
      </c>
      <c r="O53" s="21" t="n">
        <v>0</v>
      </c>
      <c r="P53" s="22" t="n">
        <v>0</v>
      </c>
      <c r="Q53" s="22" t="n">
        <v>0</v>
      </c>
      <c r="R53" s="22" t="n">
        <v>0</v>
      </c>
      <c r="S53" s="22">
        <f>L46</f>
        <v/>
      </c>
      <c r="T53" s="22">
        <f>M46</f>
        <v/>
      </c>
      <c r="U53" s="22">
        <f>N46</f>
        <v/>
      </c>
      <c r="V53" s="22" t="n">
        <v>0</v>
      </c>
      <c r="W53" s="22" t="n">
        <v>0</v>
      </c>
      <c r="X53" s="22" t="n">
        <v>0</v>
      </c>
      <c r="Y53" s="22" t="n">
        <v>0</v>
      </c>
      <c r="Z53" s="22" t="n">
        <v>0</v>
      </c>
      <c r="AA53" s="22" t="n">
        <v>0</v>
      </c>
      <c r="AG53" s="23">
        <f>INDEX(Global_Solver!$BC$5:$BC$52, 6*C40+5, 1)</f>
        <v/>
      </c>
      <c r="AH53" s="23">
        <f>SUMPRODUCT(P53:AA53, AG49:AG60)</f>
        <v/>
      </c>
      <c r="AI53" s="24">
        <f>SUMPRODUCT(D53:O53, AH49:AH60)-B65</f>
        <v/>
      </c>
    </row>
    <row r="54">
      <c r="D54" s="21" t="n">
        <v>0</v>
      </c>
      <c r="E54" s="21">
        <f>I50</f>
        <v/>
      </c>
      <c r="F54" s="21" t="n">
        <v>0</v>
      </c>
      <c r="G54" s="21" t="n">
        <v>0</v>
      </c>
      <c r="H54" s="21" t="n">
        <v>0</v>
      </c>
      <c r="I54" s="21">
        <f>IF(C41,=(4*$C$45*($C$48/$F$48))/$G$43,0)</f>
        <v/>
      </c>
      <c r="J54" s="21" t="n">
        <v>0</v>
      </c>
      <c r="K54" s="21">
        <f>-I50</f>
        <v/>
      </c>
      <c r="L54" s="21" t="n">
        <v>0</v>
      </c>
      <c r="M54" s="21" t="n">
        <v>0</v>
      </c>
      <c r="N54" s="21" t="n">
        <v>0</v>
      </c>
      <c r="O54" s="21">
        <f>IF(C41,=(2*$C$45*($C$48/$F$48))/$G$43,0)</f>
        <v/>
      </c>
      <c r="P54" s="22" t="n">
        <v>0</v>
      </c>
      <c r="Q54" s="22" t="n">
        <v>0</v>
      </c>
      <c r="R54" s="22" t="n">
        <v>0</v>
      </c>
      <c r="S54" s="22">
        <f>L47</f>
        <v/>
      </c>
      <c r="T54" s="22">
        <f>M47</f>
        <v/>
      </c>
      <c r="U54" s="22">
        <f>N47</f>
        <v/>
      </c>
      <c r="V54" s="22" t="n">
        <v>0</v>
      </c>
      <c r="W54" s="22" t="n">
        <v>0</v>
      </c>
      <c r="X54" s="22" t="n">
        <v>0</v>
      </c>
      <c r="Y54" s="22" t="n">
        <v>0</v>
      </c>
      <c r="Z54" s="22" t="n">
        <v>0</v>
      </c>
      <c r="AA54" s="22" t="n">
        <v>0</v>
      </c>
      <c r="AG54" s="23">
        <f>INDEX(Global_Solver!$BC$5:$BC$52, 6*C40+6, 1)</f>
        <v/>
      </c>
      <c r="AH54" s="23">
        <f>SUMPRODUCT(P54:AA54, AG49:AG60)</f>
        <v/>
      </c>
      <c r="AI54" s="24">
        <f>SUMPRODUCT(D54:O54, AH49:AH60)-B66</f>
        <v/>
      </c>
    </row>
    <row r="55">
      <c r="D55" s="21">
        <f>J49</f>
        <v/>
      </c>
      <c r="E55" s="21" t="n">
        <v>0</v>
      </c>
      <c r="F55" s="21" t="n">
        <v>0</v>
      </c>
      <c r="G55" s="21" t="n">
        <v>0</v>
      </c>
      <c r="H55" s="21" t="n">
        <v>0</v>
      </c>
      <c r="I55" s="21" t="n">
        <v>0</v>
      </c>
      <c r="J55" s="21">
        <f>-J49</f>
        <v/>
      </c>
      <c r="K55" s="21" t="n">
        <v>0</v>
      </c>
      <c r="L55" s="21" t="n">
        <v>0</v>
      </c>
      <c r="M55" s="21" t="n">
        <v>0</v>
      </c>
      <c r="N55" s="21" t="n">
        <v>0</v>
      </c>
      <c r="O55" s="21" t="n">
        <v>0</v>
      </c>
      <c r="P55" s="22" t="n">
        <v>0</v>
      </c>
      <c r="Q55" s="22" t="n">
        <v>0</v>
      </c>
      <c r="R55" s="22" t="n">
        <v>0</v>
      </c>
      <c r="S55" s="22" t="n">
        <v>0</v>
      </c>
      <c r="T55" s="22" t="n">
        <v>0</v>
      </c>
      <c r="U55" s="22" t="n">
        <v>0</v>
      </c>
      <c r="V55" s="22">
        <f>L45</f>
        <v/>
      </c>
      <c r="W55" s="22">
        <f>M45</f>
        <v/>
      </c>
      <c r="X55" s="22">
        <f>N45</f>
        <v/>
      </c>
      <c r="Y55" s="22" t="n">
        <v>0</v>
      </c>
      <c r="Z55" s="22" t="n">
        <v>0</v>
      </c>
      <c r="AA55" s="22" t="n">
        <v>0</v>
      </c>
      <c r="AG55" s="23">
        <f>INDEX(Global_Solver!$BC$5:$BC$52, 6*E40+1, 1)</f>
        <v/>
      </c>
      <c r="AH55" s="23">
        <f>SUMPRODUCT(P55:AA55, AG49:AG60)</f>
        <v/>
      </c>
      <c r="AI55" s="24">
        <f>SUMPRODUCT(D55:O55, AH49:AH60)-B67</f>
        <v/>
      </c>
    </row>
    <row r="56">
      <c r="D56" s="21" t="n">
        <v>0</v>
      </c>
      <c r="E56" s="21">
        <f>K50</f>
        <v/>
      </c>
      <c r="F56" s="21" t="n">
        <v>0</v>
      </c>
      <c r="G56" s="21" t="n">
        <v>0</v>
      </c>
      <c r="H56" s="21" t="n">
        <v>0</v>
      </c>
      <c r="I56" s="21">
        <f>K54</f>
        <v/>
      </c>
      <c r="J56" s="21" t="n">
        <v>0</v>
      </c>
      <c r="K56" s="21">
        <f>E50</f>
        <v/>
      </c>
      <c r="L56" s="21" t="n">
        <v>0</v>
      </c>
      <c r="M56" s="21" t="n">
        <v>0</v>
      </c>
      <c r="N56" s="21" t="n">
        <v>0</v>
      </c>
      <c r="O56" s="21">
        <f>-I50</f>
        <v/>
      </c>
      <c r="P56" s="22" t="n">
        <v>0</v>
      </c>
      <c r="Q56" s="22" t="n">
        <v>0</v>
      </c>
      <c r="R56" s="22" t="n">
        <v>0</v>
      </c>
      <c r="S56" s="22" t="n">
        <v>0</v>
      </c>
      <c r="T56" s="22" t="n">
        <v>0</v>
      </c>
      <c r="U56" s="22" t="n">
        <v>0</v>
      </c>
      <c r="V56" s="22">
        <f>L46</f>
        <v/>
      </c>
      <c r="W56" s="22">
        <f>M46</f>
        <v/>
      </c>
      <c r="X56" s="22">
        <f>N46</f>
        <v/>
      </c>
      <c r="Y56" s="22" t="n">
        <v>0</v>
      </c>
      <c r="Z56" s="22" t="n">
        <v>0</v>
      </c>
      <c r="AA56" s="22" t="n">
        <v>0</v>
      </c>
      <c r="AG56" s="23">
        <f>INDEX(Global_Solver!$BC$5:$BC$52, 6*E40+2, 1)</f>
        <v/>
      </c>
      <c r="AH56" s="23">
        <f>SUMPRODUCT(P56:AA56, AG49:AG60)</f>
        <v/>
      </c>
      <c r="AI56" s="24">
        <f>SUMPRODUCT(D56:O56, AH49:AH60)-B68</f>
        <v/>
      </c>
    </row>
    <row r="57">
      <c r="D57" s="21" t="n">
        <v>0</v>
      </c>
      <c r="E57" s="21" t="n">
        <v>0</v>
      </c>
      <c r="F57" s="21">
        <f>L51</f>
        <v/>
      </c>
      <c r="G57" s="21" t="n">
        <v>0</v>
      </c>
      <c r="H57" s="21">
        <f>L53</f>
        <v/>
      </c>
      <c r="I57" s="21" t="n">
        <v>0</v>
      </c>
      <c r="J57" s="21" t="n">
        <v>0</v>
      </c>
      <c r="K57" s="21" t="n">
        <v>0</v>
      </c>
      <c r="L57" s="21">
        <f>F51</f>
        <v/>
      </c>
      <c r="M57" s="21" t="n">
        <v>0</v>
      </c>
      <c r="N57" s="21">
        <f>-H51</f>
        <v/>
      </c>
      <c r="O57" s="21" t="n">
        <v>0</v>
      </c>
      <c r="P57" s="22" t="n">
        <v>0</v>
      </c>
      <c r="Q57" s="22" t="n">
        <v>0</v>
      </c>
      <c r="R57" s="22" t="n">
        <v>0</v>
      </c>
      <c r="S57" s="22" t="n">
        <v>0</v>
      </c>
      <c r="T57" s="22" t="n">
        <v>0</v>
      </c>
      <c r="U57" s="22" t="n">
        <v>0</v>
      </c>
      <c r="V57" s="22">
        <f>L47</f>
        <v/>
      </c>
      <c r="W57" s="22">
        <f>M47</f>
        <v/>
      </c>
      <c r="X57" s="22">
        <f>N47</f>
        <v/>
      </c>
      <c r="Y57" s="22" t="n">
        <v>0</v>
      </c>
      <c r="Z57" s="22" t="n">
        <v>0</v>
      </c>
      <c r="AA57" s="22" t="n">
        <v>0</v>
      </c>
      <c r="AG57" s="23">
        <f>INDEX(Global_Solver!$BC$5:$BC$52, 6*E40+3, 1)</f>
        <v/>
      </c>
      <c r="AH57" s="23">
        <f>SUMPRODUCT(P57:AA57, AG49:AG60)</f>
        <v/>
      </c>
      <c r="AI57" s="24">
        <f>SUMPRODUCT(D57:O57, AH49:AH60)-B69</f>
        <v/>
      </c>
    </row>
    <row r="58">
      <c r="D58" s="21" t="n">
        <v>0</v>
      </c>
      <c r="E58" s="21" t="n">
        <v>0</v>
      </c>
      <c r="F58" s="21" t="n">
        <v>0</v>
      </c>
      <c r="G58" s="21">
        <f>M52</f>
        <v/>
      </c>
      <c r="H58" s="21" t="n">
        <v>0</v>
      </c>
      <c r="I58" s="21" t="n">
        <v>0</v>
      </c>
      <c r="J58" s="21" t="n">
        <v>0</v>
      </c>
      <c r="K58" s="21" t="n">
        <v>0</v>
      </c>
      <c r="L58" s="21" t="n">
        <v>0</v>
      </c>
      <c r="M58" s="21">
        <f>-M52</f>
        <v/>
      </c>
      <c r="N58" s="21" t="n">
        <v>0</v>
      </c>
      <c r="O58" s="21" t="n">
        <v>0</v>
      </c>
      <c r="P58" s="22" t="n">
        <v>0</v>
      </c>
      <c r="Q58" s="22" t="n">
        <v>0</v>
      </c>
      <c r="R58" s="22" t="n">
        <v>0</v>
      </c>
      <c r="S58" s="22" t="n">
        <v>0</v>
      </c>
      <c r="T58" s="22" t="n">
        <v>0</v>
      </c>
      <c r="U58" s="22" t="n">
        <v>0</v>
      </c>
      <c r="V58" s="22" t="n">
        <v>0</v>
      </c>
      <c r="W58" s="22" t="n">
        <v>0</v>
      </c>
      <c r="X58" s="22" t="n">
        <v>0</v>
      </c>
      <c r="Y58" s="22">
        <f>L45</f>
        <v/>
      </c>
      <c r="Z58" s="22">
        <f>M45</f>
        <v/>
      </c>
      <c r="AA58" s="22">
        <f>N45</f>
        <v/>
      </c>
      <c r="AG58" s="23">
        <f>INDEX(Global_Solver!$BC$5:$BC$52, 6*E40+4, 1)</f>
        <v/>
      </c>
      <c r="AH58" s="23">
        <f>SUMPRODUCT(P58:AA58, AG49:AG60)</f>
        <v/>
      </c>
      <c r="AI58" s="24">
        <f>SUMPRODUCT(D58:O58, AH49:AH60)-B70</f>
        <v/>
      </c>
    </row>
    <row r="59">
      <c r="D59" s="21" t="n">
        <v>0</v>
      </c>
      <c r="E59" s="21" t="n">
        <v>0</v>
      </c>
      <c r="F59" s="21">
        <f>N51</f>
        <v/>
      </c>
      <c r="G59" s="21" t="n">
        <v>0</v>
      </c>
      <c r="H59" s="21">
        <f>N53</f>
        <v/>
      </c>
      <c r="I59" s="21" t="n">
        <v>0</v>
      </c>
      <c r="J59" s="21" t="n">
        <v>0</v>
      </c>
      <c r="K59" s="21" t="n">
        <v>0</v>
      </c>
      <c r="L59" s="21">
        <f>L57</f>
        <v/>
      </c>
      <c r="M59" s="21" t="n">
        <v>0</v>
      </c>
      <c r="N59" s="21">
        <f>H53</f>
        <v/>
      </c>
      <c r="O59" s="21" t="n">
        <v>0</v>
      </c>
      <c r="P59" s="22" t="n">
        <v>0</v>
      </c>
      <c r="Q59" s="22" t="n">
        <v>0</v>
      </c>
      <c r="R59" s="22" t="n">
        <v>0</v>
      </c>
      <c r="S59" s="22" t="n">
        <v>0</v>
      </c>
      <c r="T59" s="22" t="n">
        <v>0</v>
      </c>
      <c r="U59" s="22" t="n">
        <v>0</v>
      </c>
      <c r="V59" s="22" t="n">
        <v>0</v>
      </c>
      <c r="W59" s="22" t="n">
        <v>0</v>
      </c>
      <c r="X59" s="22" t="n">
        <v>0</v>
      </c>
      <c r="Y59" s="22">
        <f>L46</f>
        <v/>
      </c>
      <c r="Z59" s="22">
        <f>M46</f>
        <v/>
      </c>
      <c r="AA59" s="22">
        <f>N46</f>
        <v/>
      </c>
      <c r="AG59" s="23">
        <f>INDEX(Global_Solver!$BC$5:$BC$52, 6*E40+5, 1)</f>
        <v/>
      </c>
      <c r="AH59" s="23">
        <f>SUMPRODUCT(P59:AA59, AG49:AG60)</f>
        <v/>
      </c>
      <c r="AI59" s="24">
        <f>SUMPRODUCT(D59:O59, AH49:AH60)-B71</f>
        <v/>
      </c>
    </row>
    <row r="60">
      <c r="D60" s="21" t="n">
        <v>0</v>
      </c>
      <c r="E60" s="21">
        <f>O50</f>
        <v/>
      </c>
      <c r="F60" s="21" t="n">
        <v>0</v>
      </c>
      <c r="G60" s="21" t="n">
        <v>0</v>
      </c>
      <c r="H60" s="21" t="n">
        <v>0</v>
      </c>
      <c r="I60" s="21">
        <f>O54</f>
        <v/>
      </c>
      <c r="J60" s="21" t="n">
        <v>0</v>
      </c>
      <c r="K60" s="21">
        <f>K56</f>
        <v/>
      </c>
      <c r="L60" s="21" t="n">
        <v>0</v>
      </c>
      <c r="M60" s="21" t="n">
        <v>0</v>
      </c>
      <c r="N60" s="21" t="n">
        <v>0</v>
      </c>
      <c r="O60" s="21">
        <f>I54</f>
        <v/>
      </c>
      <c r="P60" s="22" t="n">
        <v>0</v>
      </c>
      <c r="Q60" s="22" t="n">
        <v>0</v>
      </c>
      <c r="R60" s="22" t="n">
        <v>0</v>
      </c>
      <c r="S60" s="22" t="n">
        <v>0</v>
      </c>
      <c r="T60" s="22" t="n">
        <v>0</v>
      </c>
      <c r="U60" s="22" t="n">
        <v>0</v>
      </c>
      <c r="V60" s="22" t="n">
        <v>0</v>
      </c>
      <c r="W60" s="22" t="n">
        <v>0</v>
      </c>
      <c r="X60" s="22" t="n">
        <v>0</v>
      </c>
      <c r="Y60" s="22">
        <f>L47</f>
        <v/>
      </c>
      <c r="Z60" s="22">
        <f>M47</f>
        <v/>
      </c>
      <c r="AA60" s="22">
        <f>N47</f>
        <v/>
      </c>
      <c r="AG60" s="23">
        <f>INDEX(Global_Solver!$BC$5:$BC$52, 6*E40+6, 1)</f>
        <v/>
      </c>
      <c r="AH60" s="23">
        <f>SUMPRODUCT(P60:AA60, AG49:AG60)</f>
        <v/>
      </c>
      <c r="AI60" s="24">
        <f>SUMPRODUCT(D60:O60, AH49:AH60)-B72</f>
        <v/>
      </c>
    </row>
    <row r="61">
      <c r="B61" s="24">
        <f>IF(C41,-C45*F47*E45*Inputs!$K$11,0)</f>
        <v/>
      </c>
      <c r="C61" s="24">
        <f>SUMPRODUCT(P49:AA49, B61:B72)</f>
        <v/>
      </c>
      <c r="D61" s="25">
        <f>SUMPRODUCT(D49:O49, P49:P60)</f>
        <v/>
      </c>
      <c r="E61" s="25">
        <f>SUMPRODUCT(D49:O49, Q49:Q60)</f>
        <v/>
      </c>
      <c r="F61" s="25">
        <f>SUMPRODUCT(D49:O49, R49:R60)</f>
        <v/>
      </c>
      <c r="G61" s="25">
        <f>SUMPRODUCT(D49:O49, S49:S60)</f>
        <v/>
      </c>
      <c r="H61" s="25">
        <f>SUMPRODUCT(D49:O49, T49:T60)</f>
        <v/>
      </c>
      <c r="I61" s="25">
        <f>SUMPRODUCT(D49:O49, U49:U60)</f>
        <v/>
      </c>
      <c r="J61" s="25">
        <f>SUMPRODUCT(D49:O49, V49:V60)</f>
        <v/>
      </c>
      <c r="K61" s="25">
        <f>SUMPRODUCT(D49:O49, W49:W60)</f>
        <v/>
      </c>
      <c r="L61" s="25">
        <f>SUMPRODUCT(D49:O49, X49:X60)</f>
        <v/>
      </c>
      <c r="M61" s="25">
        <f>SUMPRODUCT(D49:O49, Y49:Y60)</f>
        <v/>
      </c>
      <c r="N61" s="25">
        <f>SUMPRODUCT(D49:O49, Z49:Z60)</f>
        <v/>
      </c>
      <c r="O61" s="25">
        <f>SUMPRODUCT(D49:O49, AA49:AA60)</f>
        <v/>
      </c>
      <c r="P61" s="25">
        <f>SUMPRODUCT(P49:AA49, D61:D72)</f>
        <v/>
      </c>
      <c r="Q61" s="25">
        <f>SUMPRODUCT(P49:AA49, E61:E72)</f>
        <v/>
      </c>
      <c r="R61" s="25">
        <f>SUMPRODUCT(P49:AA49, F61:F72)</f>
        <v/>
      </c>
      <c r="S61" s="25">
        <f>SUMPRODUCT(P49:AA49, G61:G72)</f>
        <v/>
      </c>
      <c r="T61" s="25">
        <f>SUMPRODUCT(P49:AA49, H61:H72)</f>
        <v/>
      </c>
      <c r="U61" s="25">
        <f>SUMPRODUCT(P49:AA49, I61:I72)</f>
        <v/>
      </c>
      <c r="V61" s="25">
        <f>SUMPRODUCT(P49:AA49, J61:J72)</f>
        <v/>
      </c>
      <c r="W61" s="25">
        <f>SUMPRODUCT(P49:AA49, K61:K72)</f>
        <v/>
      </c>
      <c r="X61" s="25">
        <f>SUMPRODUCT(P49:AA49, L61:L72)</f>
        <v/>
      </c>
      <c r="Y61" s="25">
        <f>SUMPRODUCT(P49:AA49, M61:M72)</f>
        <v/>
      </c>
      <c r="Z61" s="25">
        <f>SUMPRODUCT(P49:AA49, N61:N72)</f>
        <v/>
      </c>
      <c r="AA61" s="25">
        <f>SUMPRODUCT(P49:AA49, O61:O72)</f>
        <v/>
      </c>
    </row>
    <row r="62">
      <c r="B62" s="24" t="n">
        <v>0</v>
      </c>
      <c r="C62" s="24">
        <f>SUMPRODUCT(P50:AA50, B61:B72)</f>
        <v/>
      </c>
      <c r="D62" s="25">
        <f>SUMPRODUCT(D50:O50, P49:P60)</f>
        <v/>
      </c>
      <c r="E62" s="25">
        <f>SUMPRODUCT(D50:O50, Q49:Q60)</f>
        <v/>
      </c>
      <c r="F62" s="25">
        <f>SUMPRODUCT(D50:O50, R49:R60)</f>
        <v/>
      </c>
      <c r="G62" s="25">
        <f>SUMPRODUCT(D50:O50, S49:S60)</f>
        <v/>
      </c>
      <c r="H62" s="25">
        <f>SUMPRODUCT(D50:O50, T49:T60)</f>
        <v/>
      </c>
      <c r="I62" s="25">
        <f>SUMPRODUCT(D50:O50, U49:U60)</f>
        <v/>
      </c>
      <c r="J62" s="25">
        <f>SUMPRODUCT(D50:O50, V49:V60)</f>
        <v/>
      </c>
      <c r="K62" s="25">
        <f>SUMPRODUCT(D50:O50, W49:W60)</f>
        <v/>
      </c>
      <c r="L62" s="25">
        <f>SUMPRODUCT(D50:O50, X49:X60)</f>
        <v/>
      </c>
      <c r="M62" s="25">
        <f>SUMPRODUCT(D50:O50, Y49:Y60)</f>
        <v/>
      </c>
      <c r="N62" s="25">
        <f>SUMPRODUCT(D50:O50, Z49:Z60)</f>
        <v/>
      </c>
      <c r="O62" s="25">
        <f>SUMPRODUCT(D50:O50, AA49:AA60)</f>
        <v/>
      </c>
      <c r="P62" s="25">
        <f>SUMPRODUCT(P50:AA50, D61:D72)</f>
        <v/>
      </c>
      <c r="Q62" s="25">
        <f>SUMPRODUCT(P50:AA50, E61:E72)</f>
        <v/>
      </c>
      <c r="R62" s="25">
        <f>SUMPRODUCT(P50:AA50, F61:F72)</f>
        <v/>
      </c>
      <c r="S62" s="25">
        <f>SUMPRODUCT(P50:AA50, G61:G72)</f>
        <v/>
      </c>
      <c r="T62" s="25">
        <f>SUMPRODUCT(P50:AA50, H61:H72)</f>
        <v/>
      </c>
      <c r="U62" s="25">
        <f>SUMPRODUCT(P50:AA50, I61:I72)</f>
        <v/>
      </c>
      <c r="V62" s="25">
        <f>SUMPRODUCT(P50:AA50, J61:J72)</f>
        <v/>
      </c>
      <c r="W62" s="25">
        <f>SUMPRODUCT(P50:AA50, K61:K72)</f>
        <v/>
      </c>
      <c r="X62" s="25">
        <f>SUMPRODUCT(P50:AA50, L61:L72)</f>
        <v/>
      </c>
      <c r="Y62" s="25">
        <f>SUMPRODUCT(P50:AA50, M61:M72)</f>
        <v/>
      </c>
      <c r="Z62" s="25">
        <f>SUMPRODUCT(P50:AA50, N61:N72)</f>
        <v/>
      </c>
      <c r="AA62" s="25">
        <f>SUMPRODUCT(P50:AA50, O61:O72)</f>
        <v/>
      </c>
    </row>
    <row r="63">
      <c r="B63" s="24" t="n">
        <v>0</v>
      </c>
      <c r="C63" s="24">
        <f>SUMPRODUCT(P51:AA51, B61:B72)</f>
        <v/>
      </c>
      <c r="D63" s="25">
        <f>SUMPRODUCT(D51:O51, P49:P60)</f>
        <v/>
      </c>
      <c r="E63" s="25">
        <f>SUMPRODUCT(D51:O51, Q49:Q60)</f>
        <v/>
      </c>
      <c r="F63" s="25">
        <f>SUMPRODUCT(D51:O51, R49:R60)</f>
        <v/>
      </c>
      <c r="G63" s="25">
        <f>SUMPRODUCT(D51:O51, S49:S60)</f>
        <v/>
      </c>
      <c r="H63" s="25">
        <f>SUMPRODUCT(D51:O51, T49:T60)</f>
        <v/>
      </c>
      <c r="I63" s="25">
        <f>SUMPRODUCT(D51:O51, U49:U60)</f>
        <v/>
      </c>
      <c r="J63" s="25">
        <f>SUMPRODUCT(D51:O51, V49:V60)</f>
        <v/>
      </c>
      <c r="K63" s="25">
        <f>SUMPRODUCT(D51:O51, W49:W60)</f>
        <v/>
      </c>
      <c r="L63" s="25">
        <f>SUMPRODUCT(D51:O51, X49:X60)</f>
        <v/>
      </c>
      <c r="M63" s="25">
        <f>SUMPRODUCT(D51:O51, Y49:Y60)</f>
        <v/>
      </c>
      <c r="N63" s="25">
        <f>SUMPRODUCT(D51:O51, Z49:Z60)</f>
        <v/>
      </c>
      <c r="O63" s="25">
        <f>SUMPRODUCT(D51:O51, AA49:AA60)</f>
        <v/>
      </c>
      <c r="P63" s="25">
        <f>SUMPRODUCT(P51:AA51, D61:D72)</f>
        <v/>
      </c>
      <c r="Q63" s="25">
        <f>SUMPRODUCT(P51:AA51, E61:E72)</f>
        <v/>
      </c>
      <c r="R63" s="25">
        <f>SUMPRODUCT(P51:AA51, F61:F72)</f>
        <v/>
      </c>
      <c r="S63" s="25">
        <f>SUMPRODUCT(P51:AA51, G61:G72)</f>
        <v/>
      </c>
      <c r="T63" s="25">
        <f>SUMPRODUCT(P51:AA51, H61:H72)</f>
        <v/>
      </c>
      <c r="U63" s="25">
        <f>SUMPRODUCT(P51:AA51, I61:I72)</f>
        <v/>
      </c>
      <c r="V63" s="25">
        <f>SUMPRODUCT(P51:AA51, J61:J72)</f>
        <v/>
      </c>
      <c r="W63" s="25">
        <f>SUMPRODUCT(P51:AA51, K61:K72)</f>
        <v/>
      </c>
      <c r="X63" s="25">
        <f>SUMPRODUCT(P51:AA51, L61:L72)</f>
        <v/>
      </c>
      <c r="Y63" s="25">
        <f>SUMPRODUCT(P51:AA51, M61:M72)</f>
        <v/>
      </c>
      <c r="Z63" s="25">
        <f>SUMPRODUCT(P51:AA51, N61:N72)</f>
        <v/>
      </c>
      <c r="AA63" s="25">
        <f>SUMPRODUCT(P51:AA51, O61:O72)</f>
        <v/>
      </c>
    </row>
    <row r="64">
      <c r="B64" s="24" t="n">
        <v>0</v>
      </c>
      <c r="C64" s="24">
        <f>SUMPRODUCT(P52:AA52, B61:B72)</f>
        <v/>
      </c>
      <c r="D64" s="25">
        <f>SUMPRODUCT(D52:O52, P49:P60)</f>
        <v/>
      </c>
      <c r="E64" s="25">
        <f>SUMPRODUCT(D52:O52, Q49:Q60)</f>
        <v/>
      </c>
      <c r="F64" s="25">
        <f>SUMPRODUCT(D52:O52, R49:R60)</f>
        <v/>
      </c>
      <c r="G64" s="25">
        <f>SUMPRODUCT(D52:O52, S49:S60)</f>
        <v/>
      </c>
      <c r="H64" s="25">
        <f>SUMPRODUCT(D52:O52, T49:T60)</f>
        <v/>
      </c>
      <c r="I64" s="25">
        <f>SUMPRODUCT(D52:O52, U49:U60)</f>
        <v/>
      </c>
      <c r="J64" s="25">
        <f>SUMPRODUCT(D52:O52, V49:V60)</f>
        <v/>
      </c>
      <c r="K64" s="25">
        <f>SUMPRODUCT(D52:O52, W49:W60)</f>
        <v/>
      </c>
      <c r="L64" s="25">
        <f>SUMPRODUCT(D52:O52, X49:X60)</f>
        <v/>
      </c>
      <c r="M64" s="25">
        <f>SUMPRODUCT(D52:O52, Y49:Y60)</f>
        <v/>
      </c>
      <c r="N64" s="25">
        <f>SUMPRODUCT(D52:O52, Z49:Z60)</f>
        <v/>
      </c>
      <c r="O64" s="25">
        <f>SUMPRODUCT(D52:O52, AA49:AA60)</f>
        <v/>
      </c>
      <c r="P64" s="25">
        <f>SUMPRODUCT(P52:AA52, D61:D72)</f>
        <v/>
      </c>
      <c r="Q64" s="25">
        <f>SUMPRODUCT(P52:AA52, E61:E72)</f>
        <v/>
      </c>
      <c r="R64" s="25">
        <f>SUMPRODUCT(P52:AA52, F61:F72)</f>
        <v/>
      </c>
      <c r="S64" s="25">
        <f>SUMPRODUCT(P52:AA52, G61:G72)</f>
        <v/>
      </c>
      <c r="T64" s="25">
        <f>SUMPRODUCT(P52:AA52, H61:H72)</f>
        <v/>
      </c>
      <c r="U64" s="25">
        <f>SUMPRODUCT(P52:AA52, I61:I72)</f>
        <v/>
      </c>
      <c r="V64" s="25">
        <f>SUMPRODUCT(P52:AA52, J61:J72)</f>
        <v/>
      </c>
      <c r="W64" s="25">
        <f>SUMPRODUCT(P52:AA52, K61:K72)</f>
        <v/>
      </c>
      <c r="X64" s="25">
        <f>SUMPRODUCT(P52:AA52, L61:L72)</f>
        <v/>
      </c>
      <c r="Y64" s="25">
        <f>SUMPRODUCT(P52:AA52, M61:M72)</f>
        <v/>
      </c>
      <c r="Z64" s="25">
        <f>SUMPRODUCT(P52:AA52, N61:N72)</f>
        <v/>
      </c>
      <c r="AA64" s="25">
        <f>SUMPRODUCT(P52:AA52, O61:O72)</f>
        <v/>
      </c>
    </row>
    <row r="65">
      <c r="B65" s="24" t="n">
        <v>0</v>
      </c>
      <c r="C65" s="24">
        <f>SUMPRODUCT(P53:AA53, B61:B72)</f>
        <v/>
      </c>
      <c r="D65" s="25">
        <f>SUMPRODUCT(D53:O53, P49:P60)</f>
        <v/>
      </c>
      <c r="E65" s="25">
        <f>SUMPRODUCT(D53:O53, Q49:Q60)</f>
        <v/>
      </c>
      <c r="F65" s="25">
        <f>SUMPRODUCT(D53:O53, R49:R60)</f>
        <v/>
      </c>
      <c r="G65" s="25">
        <f>SUMPRODUCT(D53:O53, S49:S60)</f>
        <v/>
      </c>
      <c r="H65" s="25">
        <f>SUMPRODUCT(D53:O53, T49:T60)</f>
        <v/>
      </c>
      <c r="I65" s="25">
        <f>SUMPRODUCT(D53:O53, U49:U60)</f>
        <v/>
      </c>
      <c r="J65" s="25">
        <f>SUMPRODUCT(D53:O53, V49:V60)</f>
        <v/>
      </c>
      <c r="K65" s="25">
        <f>SUMPRODUCT(D53:O53, W49:W60)</f>
        <v/>
      </c>
      <c r="L65" s="25">
        <f>SUMPRODUCT(D53:O53, X49:X60)</f>
        <v/>
      </c>
      <c r="M65" s="25">
        <f>SUMPRODUCT(D53:O53, Y49:Y60)</f>
        <v/>
      </c>
      <c r="N65" s="25">
        <f>SUMPRODUCT(D53:O53, Z49:Z60)</f>
        <v/>
      </c>
      <c r="O65" s="25">
        <f>SUMPRODUCT(D53:O53, AA49:AA60)</f>
        <v/>
      </c>
      <c r="P65" s="25">
        <f>SUMPRODUCT(P53:AA53, D61:D72)</f>
        <v/>
      </c>
      <c r="Q65" s="25">
        <f>SUMPRODUCT(P53:AA53, E61:E72)</f>
        <v/>
      </c>
      <c r="R65" s="25">
        <f>SUMPRODUCT(P53:AA53, F61:F72)</f>
        <v/>
      </c>
      <c r="S65" s="25">
        <f>SUMPRODUCT(P53:AA53, G61:G72)</f>
        <v/>
      </c>
      <c r="T65" s="25">
        <f>SUMPRODUCT(P53:AA53, H61:H72)</f>
        <v/>
      </c>
      <c r="U65" s="25">
        <f>SUMPRODUCT(P53:AA53, I61:I72)</f>
        <v/>
      </c>
      <c r="V65" s="25">
        <f>SUMPRODUCT(P53:AA53, J61:J72)</f>
        <v/>
      </c>
      <c r="W65" s="25">
        <f>SUMPRODUCT(P53:AA53, K61:K72)</f>
        <v/>
      </c>
      <c r="X65" s="25">
        <f>SUMPRODUCT(P53:AA53, L61:L72)</f>
        <v/>
      </c>
      <c r="Y65" s="25">
        <f>SUMPRODUCT(P53:AA53, M61:M72)</f>
        <v/>
      </c>
      <c r="Z65" s="25">
        <f>SUMPRODUCT(P53:AA53, N61:N72)</f>
        <v/>
      </c>
      <c r="AA65" s="25">
        <f>SUMPRODUCT(P53:AA53, O61:O72)</f>
        <v/>
      </c>
    </row>
    <row r="66">
      <c r="B66" s="24" t="n">
        <v>0</v>
      </c>
      <c r="C66" s="24">
        <f>SUMPRODUCT(P54:AA54, B61:B72)</f>
        <v/>
      </c>
      <c r="D66" s="25">
        <f>SUMPRODUCT(D54:O54, P49:P60)</f>
        <v/>
      </c>
      <c r="E66" s="25">
        <f>SUMPRODUCT(D54:O54, Q49:Q60)</f>
        <v/>
      </c>
      <c r="F66" s="25">
        <f>SUMPRODUCT(D54:O54, R49:R60)</f>
        <v/>
      </c>
      <c r="G66" s="25">
        <f>SUMPRODUCT(D54:O54, S49:S60)</f>
        <v/>
      </c>
      <c r="H66" s="25">
        <f>SUMPRODUCT(D54:O54, T49:T60)</f>
        <v/>
      </c>
      <c r="I66" s="25">
        <f>SUMPRODUCT(D54:O54, U49:U60)</f>
        <v/>
      </c>
      <c r="J66" s="25">
        <f>SUMPRODUCT(D54:O54, V49:V60)</f>
        <v/>
      </c>
      <c r="K66" s="25">
        <f>SUMPRODUCT(D54:O54, W49:W60)</f>
        <v/>
      </c>
      <c r="L66" s="25">
        <f>SUMPRODUCT(D54:O54, X49:X60)</f>
        <v/>
      </c>
      <c r="M66" s="25">
        <f>SUMPRODUCT(D54:O54, Y49:Y60)</f>
        <v/>
      </c>
      <c r="N66" s="25">
        <f>SUMPRODUCT(D54:O54, Z49:Z60)</f>
        <v/>
      </c>
      <c r="O66" s="25">
        <f>SUMPRODUCT(D54:O54, AA49:AA60)</f>
        <v/>
      </c>
      <c r="P66" s="25">
        <f>SUMPRODUCT(P54:AA54, D61:D72)</f>
        <v/>
      </c>
      <c r="Q66" s="25">
        <f>SUMPRODUCT(P54:AA54, E61:E72)</f>
        <v/>
      </c>
      <c r="R66" s="25">
        <f>SUMPRODUCT(P54:AA54, F61:F72)</f>
        <v/>
      </c>
      <c r="S66" s="25">
        <f>SUMPRODUCT(P54:AA54, G61:G72)</f>
        <v/>
      </c>
      <c r="T66" s="25">
        <f>SUMPRODUCT(P54:AA54, H61:H72)</f>
        <v/>
      </c>
      <c r="U66" s="25">
        <f>SUMPRODUCT(P54:AA54, I61:I72)</f>
        <v/>
      </c>
      <c r="V66" s="25">
        <f>SUMPRODUCT(P54:AA54, J61:J72)</f>
        <v/>
      </c>
      <c r="W66" s="25">
        <f>SUMPRODUCT(P54:AA54, K61:K72)</f>
        <v/>
      </c>
      <c r="X66" s="25">
        <f>SUMPRODUCT(P54:AA54, L61:L72)</f>
        <v/>
      </c>
      <c r="Y66" s="25">
        <f>SUMPRODUCT(P54:AA54, M61:M72)</f>
        <v/>
      </c>
      <c r="Z66" s="25">
        <f>SUMPRODUCT(P54:AA54, N61:N72)</f>
        <v/>
      </c>
      <c r="AA66" s="25">
        <f>SUMPRODUCT(P54:AA54, O61:O72)</f>
        <v/>
      </c>
    </row>
    <row r="67">
      <c r="B67" s="24">
        <f>IF(C41,C45*F47*E45*Inputs!$K$11,0)</f>
        <v/>
      </c>
      <c r="C67" s="24">
        <f>SUMPRODUCT(P55:AA55, B61:B72)</f>
        <v/>
      </c>
      <c r="D67" s="25">
        <f>SUMPRODUCT(D55:O55, P49:P60)</f>
        <v/>
      </c>
      <c r="E67" s="25">
        <f>SUMPRODUCT(D55:O55, Q49:Q60)</f>
        <v/>
      </c>
      <c r="F67" s="25">
        <f>SUMPRODUCT(D55:O55, R49:R60)</f>
        <v/>
      </c>
      <c r="G67" s="25">
        <f>SUMPRODUCT(D55:O55, S49:S60)</f>
        <v/>
      </c>
      <c r="H67" s="25">
        <f>SUMPRODUCT(D55:O55, T49:T60)</f>
        <v/>
      </c>
      <c r="I67" s="25">
        <f>SUMPRODUCT(D55:O55, U49:U60)</f>
        <v/>
      </c>
      <c r="J67" s="25">
        <f>SUMPRODUCT(D55:O55, V49:V60)</f>
        <v/>
      </c>
      <c r="K67" s="25">
        <f>SUMPRODUCT(D55:O55, W49:W60)</f>
        <v/>
      </c>
      <c r="L67" s="25">
        <f>SUMPRODUCT(D55:O55, X49:X60)</f>
        <v/>
      </c>
      <c r="M67" s="25">
        <f>SUMPRODUCT(D55:O55, Y49:Y60)</f>
        <v/>
      </c>
      <c r="N67" s="25">
        <f>SUMPRODUCT(D55:O55, Z49:Z60)</f>
        <v/>
      </c>
      <c r="O67" s="25">
        <f>SUMPRODUCT(D55:O55, AA49:AA60)</f>
        <v/>
      </c>
      <c r="P67" s="25">
        <f>SUMPRODUCT(P55:AA55, D61:D72)</f>
        <v/>
      </c>
      <c r="Q67" s="25">
        <f>SUMPRODUCT(P55:AA55, E61:E72)</f>
        <v/>
      </c>
      <c r="R67" s="25">
        <f>SUMPRODUCT(P55:AA55, F61:F72)</f>
        <v/>
      </c>
      <c r="S67" s="25">
        <f>SUMPRODUCT(P55:AA55, G61:G72)</f>
        <v/>
      </c>
      <c r="T67" s="25">
        <f>SUMPRODUCT(P55:AA55, H61:H72)</f>
        <v/>
      </c>
      <c r="U67" s="25">
        <f>SUMPRODUCT(P55:AA55, I61:I72)</f>
        <v/>
      </c>
      <c r="V67" s="25">
        <f>SUMPRODUCT(P55:AA55, J61:J72)</f>
        <v/>
      </c>
      <c r="W67" s="25">
        <f>SUMPRODUCT(P55:AA55, K61:K72)</f>
        <v/>
      </c>
      <c r="X67" s="25">
        <f>SUMPRODUCT(P55:AA55, L61:L72)</f>
        <v/>
      </c>
      <c r="Y67" s="25">
        <f>SUMPRODUCT(P55:AA55, M61:M72)</f>
        <v/>
      </c>
      <c r="Z67" s="25">
        <f>SUMPRODUCT(P55:AA55, N61:N72)</f>
        <v/>
      </c>
      <c r="AA67" s="25">
        <f>SUMPRODUCT(P55:AA55, O61:O72)</f>
        <v/>
      </c>
    </row>
    <row r="68">
      <c r="B68" s="24" t="n">
        <v>0</v>
      </c>
      <c r="C68" s="24">
        <f>SUMPRODUCT(P56:AA56, B61:B72)</f>
        <v/>
      </c>
      <c r="D68" s="25">
        <f>SUMPRODUCT(D56:O56, P49:P60)</f>
        <v/>
      </c>
      <c r="E68" s="25">
        <f>SUMPRODUCT(D56:O56, Q49:Q60)</f>
        <v/>
      </c>
      <c r="F68" s="25">
        <f>SUMPRODUCT(D56:O56, R49:R60)</f>
        <v/>
      </c>
      <c r="G68" s="25">
        <f>SUMPRODUCT(D56:O56, S49:S60)</f>
        <v/>
      </c>
      <c r="H68" s="25">
        <f>SUMPRODUCT(D56:O56, T49:T60)</f>
        <v/>
      </c>
      <c r="I68" s="25">
        <f>SUMPRODUCT(D56:O56, U49:U60)</f>
        <v/>
      </c>
      <c r="J68" s="25">
        <f>SUMPRODUCT(D56:O56, V49:V60)</f>
        <v/>
      </c>
      <c r="K68" s="25">
        <f>SUMPRODUCT(D56:O56, W49:W60)</f>
        <v/>
      </c>
      <c r="L68" s="25">
        <f>SUMPRODUCT(D56:O56, X49:X60)</f>
        <v/>
      </c>
      <c r="M68" s="25">
        <f>SUMPRODUCT(D56:O56, Y49:Y60)</f>
        <v/>
      </c>
      <c r="N68" s="25">
        <f>SUMPRODUCT(D56:O56, Z49:Z60)</f>
        <v/>
      </c>
      <c r="O68" s="25">
        <f>SUMPRODUCT(D56:O56, AA49:AA60)</f>
        <v/>
      </c>
      <c r="P68" s="25">
        <f>SUMPRODUCT(P56:AA56, D61:D72)</f>
        <v/>
      </c>
      <c r="Q68" s="25">
        <f>SUMPRODUCT(P56:AA56, E61:E72)</f>
        <v/>
      </c>
      <c r="R68" s="25">
        <f>SUMPRODUCT(P56:AA56, F61:F72)</f>
        <v/>
      </c>
      <c r="S68" s="25">
        <f>SUMPRODUCT(P56:AA56, G61:G72)</f>
        <v/>
      </c>
      <c r="T68" s="25">
        <f>SUMPRODUCT(P56:AA56, H61:H72)</f>
        <v/>
      </c>
      <c r="U68" s="25">
        <f>SUMPRODUCT(P56:AA56, I61:I72)</f>
        <v/>
      </c>
      <c r="V68" s="25">
        <f>SUMPRODUCT(P56:AA56, J61:J72)</f>
        <v/>
      </c>
      <c r="W68" s="25">
        <f>SUMPRODUCT(P56:AA56, K61:K72)</f>
        <v/>
      </c>
      <c r="X68" s="25">
        <f>SUMPRODUCT(P56:AA56, L61:L72)</f>
        <v/>
      </c>
      <c r="Y68" s="25">
        <f>SUMPRODUCT(P56:AA56, M61:M72)</f>
        <v/>
      </c>
      <c r="Z68" s="25">
        <f>SUMPRODUCT(P56:AA56, N61:N72)</f>
        <v/>
      </c>
      <c r="AA68" s="25">
        <f>SUMPRODUCT(P56:AA56, O61:O72)</f>
        <v/>
      </c>
    </row>
    <row r="69">
      <c r="B69" s="24" t="n">
        <v>0</v>
      </c>
      <c r="C69" s="24">
        <f>SUMPRODUCT(P57:AA57, B61:B72)</f>
        <v/>
      </c>
      <c r="D69" s="25">
        <f>SUMPRODUCT(D57:O57, P49:P60)</f>
        <v/>
      </c>
      <c r="E69" s="25">
        <f>SUMPRODUCT(D57:O57, Q49:Q60)</f>
        <v/>
      </c>
      <c r="F69" s="25">
        <f>SUMPRODUCT(D57:O57, R49:R60)</f>
        <v/>
      </c>
      <c r="G69" s="25">
        <f>SUMPRODUCT(D57:O57, S49:S60)</f>
        <v/>
      </c>
      <c r="H69" s="25">
        <f>SUMPRODUCT(D57:O57, T49:T60)</f>
        <v/>
      </c>
      <c r="I69" s="25">
        <f>SUMPRODUCT(D57:O57, U49:U60)</f>
        <v/>
      </c>
      <c r="J69" s="25">
        <f>SUMPRODUCT(D57:O57, V49:V60)</f>
        <v/>
      </c>
      <c r="K69" s="25">
        <f>SUMPRODUCT(D57:O57, W49:W60)</f>
        <v/>
      </c>
      <c r="L69" s="25">
        <f>SUMPRODUCT(D57:O57, X49:X60)</f>
        <v/>
      </c>
      <c r="M69" s="25">
        <f>SUMPRODUCT(D57:O57, Y49:Y60)</f>
        <v/>
      </c>
      <c r="N69" s="25">
        <f>SUMPRODUCT(D57:O57, Z49:Z60)</f>
        <v/>
      </c>
      <c r="O69" s="25">
        <f>SUMPRODUCT(D57:O57, AA49:AA60)</f>
        <v/>
      </c>
      <c r="P69" s="25">
        <f>SUMPRODUCT(P57:AA57, D61:D72)</f>
        <v/>
      </c>
      <c r="Q69" s="25">
        <f>SUMPRODUCT(P57:AA57, E61:E72)</f>
        <v/>
      </c>
      <c r="R69" s="25">
        <f>SUMPRODUCT(P57:AA57, F61:F72)</f>
        <v/>
      </c>
      <c r="S69" s="25">
        <f>SUMPRODUCT(P57:AA57, G61:G72)</f>
        <v/>
      </c>
      <c r="T69" s="25">
        <f>SUMPRODUCT(P57:AA57, H61:H72)</f>
        <v/>
      </c>
      <c r="U69" s="25">
        <f>SUMPRODUCT(P57:AA57, I61:I72)</f>
        <v/>
      </c>
      <c r="V69" s="25">
        <f>SUMPRODUCT(P57:AA57, J61:J72)</f>
        <v/>
      </c>
      <c r="W69" s="25">
        <f>SUMPRODUCT(P57:AA57, K61:K72)</f>
        <v/>
      </c>
      <c r="X69" s="25">
        <f>SUMPRODUCT(P57:AA57, L61:L72)</f>
        <v/>
      </c>
      <c r="Y69" s="25">
        <f>SUMPRODUCT(P57:AA57, M61:M72)</f>
        <v/>
      </c>
      <c r="Z69" s="25">
        <f>SUMPRODUCT(P57:AA57, N61:N72)</f>
        <v/>
      </c>
      <c r="AA69" s="25">
        <f>SUMPRODUCT(P57:AA57, O61:O72)</f>
        <v/>
      </c>
    </row>
    <row r="70">
      <c r="B70" s="24" t="n">
        <v>0</v>
      </c>
      <c r="C70" s="24">
        <f>SUMPRODUCT(P58:AA58, B61:B72)</f>
        <v/>
      </c>
      <c r="D70" s="25">
        <f>SUMPRODUCT(D58:O58, P49:P60)</f>
        <v/>
      </c>
      <c r="E70" s="25">
        <f>SUMPRODUCT(D58:O58, Q49:Q60)</f>
        <v/>
      </c>
      <c r="F70" s="25">
        <f>SUMPRODUCT(D58:O58, R49:R60)</f>
        <v/>
      </c>
      <c r="G70" s="25">
        <f>SUMPRODUCT(D58:O58, S49:S60)</f>
        <v/>
      </c>
      <c r="H70" s="25">
        <f>SUMPRODUCT(D58:O58, T49:T60)</f>
        <v/>
      </c>
      <c r="I70" s="25">
        <f>SUMPRODUCT(D58:O58, U49:U60)</f>
        <v/>
      </c>
      <c r="J70" s="25">
        <f>SUMPRODUCT(D58:O58, V49:V60)</f>
        <v/>
      </c>
      <c r="K70" s="25">
        <f>SUMPRODUCT(D58:O58, W49:W60)</f>
        <v/>
      </c>
      <c r="L70" s="25">
        <f>SUMPRODUCT(D58:O58, X49:X60)</f>
        <v/>
      </c>
      <c r="M70" s="25">
        <f>SUMPRODUCT(D58:O58, Y49:Y60)</f>
        <v/>
      </c>
      <c r="N70" s="25">
        <f>SUMPRODUCT(D58:O58, Z49:Z60)</f>
        <v/>
      </c>
      <c r="O70" s="25">
        <f>SUMPRODUCT(D58:O58, AA49:AA60)</f>
        <v/>
      </c>
      <c r="P70" s="25">
        <f>SUMPRODUCT(P58:AA58, D61:D72)</f>
        <v/>
      </c>
      <c r="Q70" s="25">
        <f>SUMPRODUCT(P58:AA58, E61:E72)</f>
        <v/>
      </c>
      <c r="R70" s="25">
        <f>SUMPRODUCT(P58:AA58, F61:F72)</f>
        <v/>
      </c>
      <c r="S70" s="25">
        <f>SUMPRODUCT(P58:AA58, G61:G72)</f>
        <v/>
      </c>
      <c r="T70" s="25">
        <f>SUMPRODUCT(P58:AA58, H61:H72)</f>
        <v/>
      </c>
      <c r="U70" s="25">
        <f>SUMPRODUCT(P58:AA58, I61:I72)</f>
        <v/>
      </c>
      <c r="V70" s="25">
        <f>SUMPRODUCT(P58:AA58, J61:J72)</f>
        <v/>
      </c>
      <c r="W70" s="25">
        <f>SUMPRODUCT(P58:AA58, K61:K72)</f>
        <v/>
      </c>
      <c r="X70" s="25">
        <f>SUMPRODUCT(P58:AA58, L61:L72)</f>
        <v/>
      </c>
      <c r="Y70" s="25">
        <f>SUMPRODUCT(P58:AA58, M61:M72)</f>
        <v/>
      </c>
      <c r="Z70" s="25">
        <f>SUMPRODUCT(P58:AA58, N61:N72)</f>
        <v/>
      </c>
      <c r="AA70" s="25">
        <f>SUMPRODUCT(P58:AA58, O61:O72)</f>
        <v/>
      </c>
    </row>
    <row r="71">
      <c r="B71" s="24" t="n">
        <v>0</v>
      </c>
      <c r="C71" s="24">
        <f>SUMPRODUCT(P59:AA59, B61:B72)</f>
        <v/>
      </c>
      <c r="D71" s="25">
        <f>SUMPRODUCT(D59:O59, P49:P60)</f>
        <v/>
      </c>
      <c r="E71" s="25">
        <f>SUMPRODUCT(D59:O59, Q49:Q60)</f>
        <v/>
      </c>
      <c r="F71" s="25">
        <f>SUMPRODUCT(D59:O59, R49:R60)</f>
        <v/>
      </c>
      <c r="G71" s="25">
        <f>SUMPRODUCT(D59:O59, S49:S60)</f>
        <v/>
      </c>
      <c r="H71" s="25">
        <f>SUMPRODUCT(D59:O59, T49:T60)</f>
        <v/>
      </c>
      <c r="I71" s="25">
        <f>SUMPRODUCT(D59:O59, U49:U60)</f>
        <v/>
      </c>
      <c r="J71" s="25">
        <f>SUMPRODUCT(D59:O59, V49:V60)</f>
        <v/>
      </c>
      <c r="K71" s="25">
        <f>SUMPRODUCT(D59:O59, W49:W60)</f>
        <v/>
      </c>
      <c r="L71" s="25">
        <f>SUMPRODUCT(D59:O59, X49:X60)</f>
        <v/>
      </c>
      <c r="M71" s="25">
        <f>SUMPRODUCT(D59:O59, Y49:Y60)</f>
        <v/>
      </c>
      <c r="N71" s="25">
        <f>SUMPRODUCT(D59:O59, Z49:Z60)</f>
        <v/>
      </c>
      <c r="O71" s="25">
        <f>SUMPRODUCT(D59:O59, AA49:AA60)</f>
        <v/>
      </c>
      <c r="P71" s="25">
        <f>SUMPRODUCT(P59:AA59, D61:D72)</f>
        <v/>
      </c>
      <c r="Q71" s="25">
        <f>SUMPRODUCT(P59:AA59, E61:E72)</f>
        <v/>
      </c>
      <c r="R71" s="25">
        <f>SUMPRODUCT(P59:AA59, F61:F72)</f>
        <v/>
      </c>
      <c r="S71" s="25">
        <f>SUMPRODUCT(P59:AA59, G61:G72)</f>
        <v/>
      </c>
      <c r="T71" s="25">
        <f>SUMPRODUCT(P59:AA59, H61:H72)</f>
        <v/>
      </c>
      <c r="U71" s="25">
        <f>SUMPRODUCT(P59:AA59, I61:I72)</f>
        <v/>
      </c>
      <c r="V71" s="25">
        <f>SUMPRODUCT(P59:AA59, J61:J72)</f>
        <v/>
      </c>
      <c r="W71" s="25">
        <f>SUMPRODUCT(P59:AA59, K61:K72)</f>
        <v/>
      </c>
      <c r="X71" s="25">
        <f>SUMPRODUCT(P59:AA59, L61:L72)</f>
        <v/>
      </c>
      <c r="Y71" s="25">
        <f>SUMPRODUCT(P59:AA59, M61:M72)</f>
        <v/>
      </c>
      <c r="Z71" s="25">
        <f>SUMPRODUCT(P59:AA59, N61:N72)</f>
        <v/>
      </c>
      <c r="AA71" s="25">
        <f>SUMPRODUCT(P59:AA59, O61:O72)</f>
        <v/>
      </c>
    </row>
    <row r="72">
      <c r="B72" s="24" t="n">
        <v>0</v>
      </c>
      <c r="C72" s="24">
        <f>SUMPRODUCT(P60:AA60, B61:B72)</f>
        <v/>
      </c>
      <c r="D72" s="25">
        <f>SUMPRODUCT(D60:O60, P49:P60)</f>
        <v/>
      </c>
      <c r="E72" s="25">
        <f>SUMPRODUCT(D60:O60, Q49:Q60)</f>
        <v/>
      </c>
      <c r="F72" s="25">
        <f>SUMPRODUCT(D60:O60, R49:R60)</f>
        <v/>
      </c>
      <c r="G72" s="25">
        <f>SUMPRODUCT(D60:O60, S49:S60)</f>
        <v/>
      </c>
      <c r="H72" s="25">
        <f>SUMPRODUCT(D60:O60, T49:T60)</f>
        <v/>
      </c>
      <c r="I72" s="25">
        <f>SUMPRODUCT(D60:O60, U49:U60)</f>
        <v/>
      </c>
      <c r="J72" s="25">
        <f>SUMPRODUCT(D60:O60, V49:V60)</f>
        <v/>
      </c>
      <c r="K72" s="25">
        <f>SUMPRODUCT(D60:O60, W49:W60)</f>
        <v/>
      </c>
      <c r="L72" s="25">
        <f>SUMPRODUCT(D60:O60, X49:X60)</f>
        <v/>
      </c>
      <c r="M72" s="25">
        <f>SUMPRODUCT(D60:O60, Y49:Y60)</f>
        <v/>
      </c>
      <c r="N72" s="25">
        <f>SUMPRODUCT(D60:O60, Z49:Z60)</f>
        <v/>
      </c>
      <c r="O72" s="25">
        <f>SUMPRODUCT(D60:O60, AA49:AA60)</f>
        <v/>
      </c>
      <c r="P72" s="25">
        <f>SUMPRODUCT(P60:AA60, D61:D72)</f>
        <v/>
      </c>
      <c r="Q72" s="25">
        <f>SUMPRODUCT(P60:AA60, E61:E72)</f>
        <v/>
      </c>
      <c r="R72" s="25">
        <f>SUMPRODUCT(P60:AA60, F61:F72)</f>
        <v/>
      </c>
      <c r="S72" s="25">
        <f>SUMPRODUCT(P60:AA60, G61:G72)</f>
        <v/>
      </c>
      <c r="T72" s="25">
        <f>SUMPRODUCT(P60:AA60, H61:H72)</f>
        <v/>
      </c>
      <c r="U72" s="25">
        <f>SUMPRODUCT(P60:AA60, I61:I72)</f>
        <v/>
      </c>
      <c r="V72" s="25">
        <f>SUMPRODUCT(P60:AA60, J61:J72)</f>
        <v/>
      </c>
      <c r="W72" s="25">
        <f>SUMPRODUCT(P60:AA60, K61:K72)</f>
        <v/>
      </c>
      <c r="X72" s="25">
        <f>SUMPRODUCT(P60:AA60, L61:L72)</f>
        <v/>
      </c>
      <c r="Y72" s="25">
        <f>SUMPRODUCT(P60:AA60, M61:M72)</f>
        <v/>
      </c>
      <c r="Z72" s="25">
        <f>SUMPRODUCT(P60:AA60, N61:N72)</f>
        <v/>
      </c>
      <c r="AA72" s="25">
        <f>SUMPRODUCT(P60:AA60, O61:O72)</f>
        <v/>
      </c>
    </row>
    <row r="74">
      <c r="B74" s="3" t="inlineStr">
        <is>
          <t>ELEMENT 2 ANALYSIS BLOCK</t>
        </is>
      </c>
    </row>
    <row r="75">
      <c r="B75" s="16" t="inlineStr">
        <is>
          <t>Node A ID</t>
        </is>
      </c>
      <c r="C75" s="17">
        <f>Inputs!C31</f>
        <v/>
      </c>
      <c r="D75" s="16" t="inlineStr">
        <is>
          <t>Node B ID</t>
        </is>
      </c>
      <c r="E75" s="17">
        <f>Inputs!D31</f>
        <v/>
      </c>
    </row>
    <row r="76">
      <c r="B76" s="16" t="inlineStr">
        <is>
          <t>Is Active?</t>
        </is>
      </c>
      <c r="C76" s="16">
        <f>AND(C75&lt;&gt;"",E75&lt;&gt;"")</f>
        <v/>
      </c>
    </row>
    <row r="77">
      <c r="B77" s="16" t="inlineStr">
        <is>
          <t>Node A Coord</t>
        </is>
      </c>
      <c r="C77" s="18">
        <f>IF(C76,VLOOKUP(C75,Inputs!$B$17:$E$24,2,FALSE),0.0)</f>
        <v/>
      </c>
      <c r="D77" s="18">
        <f>IF(C76,VLOOKUP(C75,Inputs!$B$17:$E$24,3,FALSE),0.0)</f>
        <v/>
      </c>
      <c r="E77" s="18">
        <f>IF(C76,VLOOKUP(C75,Inputs!$B$17:$E$24,4,FALSE),0.0)</f>
        <v/>
      </c>
      <c r="F77" s="16" t="inlineStr">
        <is>
          <t>Node B Coord</t>
        </is>
      </c>
      <c r="G77" s="18">
        <f>IF(C76,VLOOKUP(E75,Inputs!$B$17:$E$24,2,FALSE),0.0)</f>
        <v/>
      </c>
      <c r="H77" s="18">
        <f>IF(C76,VLOOKUP(E75,Inputs!$B$17:$E$24,3,FALSE),0.0)</f>
        <v/>
      </c>
      <c r="I77" s="18">
        <f>IF(C76,VLOOKUP(E75,Inputs!$B$17:$E$24,4,FALSE),0.0)</f>
        <v/>
      </c>
    </row>
    <row r="78">
      <c r="B78" s="16" t="inlineStr">
        <is>
          <t>deltas dx,dy,dz</t>
        </is>
      </c>
      <c r="C78">
        <f>G77-C77</f>
        <v/>
      </c>
      <c r="D78">
        <f>H77-D77</f>
        <v/>
      </c>
      <c r="E78">
        <f>I77-E77</f>
        <v/>
      </c>
      <c r="F78" s="16" t="inlineStr">
        <is>
          <t>Length L</t>
        </is>
      </c>
      <c r="G78" s="19">
        <f>IF(C76,SQRT(C78^2+D78^2+E78^2),1.0)</f>
        <v/>
      </c>
    </row>
    <row r="79">
      <c r="B79" s="16" t="inlineStr">
        <is>
          <t>dir cosines lx,my,nz</t>
        </is>
      </c>
      <c r="C79">
        <f>C78/G78</f>
        <v/>
      </c>
      <c r="D79">
        <f>D78/G78</f>
        <v/>
      </c>
      <c r="E79">
        <f>E78/G78</f>
        <v/>
      </c>
      <c r="F79" s="16" t="inlineStr">
        <is>
          <t>D_is_zero</t>
        </is>
      </c>
      <c r="G79">
        <f>AND(ABS(C79)&lt;1E-5,ABS(D79)&lt;1E-5)</f>
        <v/>
      </c>
      <c r="H79" s="16" t="inlineStr">
        <is>
          <t>D</t>
        </is>
      </c>
      <c r="I79">
        <f>SQRT(C79^2+D79^2)</f>
        <v/>
      </c>
      <c r="L79" s="16" t="inlineStr">
        <is>
          <t>ROTATION MATRIX lambda</t>
        </is>
      </c>
    </row>
    <row r="80">
      <c r="B80" s="16" t="inlineStr">
        <is>
          <t>Material E, G, alpha</t>
        </is>
      </c>
      <c r="C80">
        <f>VLOOKUP(Inputs!G31,Inputs!$B$7:$H$8,2,FALSE)</f>
        <v/>
      </c>
      <c r="D80">
        <f>VLOOKUP(Inputs!G31,Inputs!$B$7:$H$8,3,FALSE)</f>
        <v/>
      </c>
      <c r="E80">
        <f>VLOOKUP(Inputs!G31,Inputs!$B$7:$H$8,4,FALSE)</f>
        <v/>
      </c>
      <c r="L80" s="20">
        <f>C79</f>
        <v/>
      </c>
      <c r="M80" s="20">
        <f>D79</f>
        <v/>
      </c>
      <c r="N80" s="20">
        <f>E79</f>
        <v/>
      </c>
    </row>
    <row r="81">
      <c r="B81" s="16" t="inlineStr">
        <is>
          <t>Section OD, t</t>
        </is>
      </c>
      <c r="C81">
        <f>VLOOKUP(Inputs!H31,Inputs!$B$12:$H$13,2,FALSE)</f>
        <v/>
      </c>
      <c r="D81">
        <f>VLOOKUP(Inputs!H31,Inputs!$B$12:$H$13,3,FALSE)</f>
        <v/>
      </c>
      <c r="L81" s="20">
        <f>IF(G79,0,-D79/I79)</f>
        <v/>
      </c>
      <c r="M81" s="20">
        <f>IF(G79,IF(E79&gt;0,1,-1),C79/I79)</f>
        <v/>
      </c>
      <c r="N81" s="20" t="n">
        <v>0</v>
      </c>
    </row>
    <row r="82">
      <c r="B82" s="16" t="inlineStr">
        <is>
          <t>ro, ri</t>
        </is>
      </c>
      <c r="C82">
        <f>C81/2</f>
        <v/>
      </c>
      <c r="D82">
        <f>C82-D81</f>
        <v/>
      </c>
      <c r="E82" s="16" t="inlineStr">
        <is>
          <t>Area A</t>
        </is>
      </c>
      <c r="F82">
        <f>PI()*(C82^2-D82^2)</f>
        <v/>
      </c>
      <c r="L82" s="20">
        <f>IF(G79,IF(E79&gt;0,-1,1),-C79*E79/I79)</f>
        <v/>
      </c>
      <c r="M82" s="20">
        <f>IF(G79,0,-D79*E79/I79)</f>
        <v/>
      </c>
      <c r="N82" s="20">
        <f>IF(G79,0,I79)</f>
        <v/>
      </c>
    </row>
    <row r="83">
      <c r="B83" s="16" t="inlineStr">
        <is>
          <t>Inertia I, J</t>
        </is>
      </c>
      <c r="C83">
        <f>(PI()/4)*(C82^4-D82^4)</f>
        <v/>
      </c>
      <c r="D83">
        <f>C83*2</f>
        <v/>
      </c>
      <c r="E83" s="16" t="inlineStr">
        <is>
          <t>Flex Factor k</t>
        </is>
      </c>
      <c r="F83">
        <f>IF(Inputs!E31="bend",IF(Inputs!F31&lt;&gt;"",MAX(1.0,1.65/((D81*Inputs!F31)/(((C81-D81)/2)^2))),1.0),1.0)</f>
        <v/>
      </c>
    </row>
    <row r="84">
      <c r="D84" s="21">
        <f>IF(C76,$C$80*$F$82/$G$78,0)</f>
        <v/>
      </c>
      <c r="E84" s="21" t="n">
        <v>0</v>
      </c>
      <c r="F84" s="21" t="n">
        <v>0</v>
      </c>
      <c r="G84" s="21" t="n">
        <v>0</v>
      </c>
      <c r="H84" s="21" t="n">
        <v>0</v>
      </c>
      <c r="I84" s="21" t="n">
        <v>0</v>
      </c>
      <c r="J84" s="21">
        <f>-D84</f>
        <v/>
      </c>
      <c r="K84" s="21" t="n">
        <v>0</v>
      </c>
      <c r="L84" s="21" t="n">
        <v>0</v>
      </c>
      <c r="M84" s="21" t="n">
        <v>0</v>
      </c>
      <c r="N84" s="21" t="n">
        <v>0</v>
      </c>
      <c r="O84" s="21" t="n">
        <v>0</v>
      </c>
      <c r="P84" s="22">
        <f>L80</f>
        <v/>
      </c>
      <c r="Q84" s="22">
        <f>M80</f>
        <v/>
      </c>
      <c r="R84" s="22">
        <f>N80</f>
        <v/>
      </c>
      <c r="S84" s="22" t="n">
        <v>0</v>
      </c>
      <c r="T84" s="22" t="n">
        <v>0</v>
      </c>
      <c r="U84" s="22" t="n">
        <v>0</v>
      </c>
      <c r="V84" s="22" t="n">
        <v>0</v>
      </c>
      <c r="W84" s="22" t="n">
        <v>0</v>
      </c>
      <c r="X84" s="22" t="n">
        <v>0</v>
      </c>
      <c r="Y84" s="22" t="n">
        <v>0</v>
      </c>
      <c r="Z84" s="22" t="n">
        <v>0</v>
      </c>
      <c r="AA84" s="22" t="n">
        <v>0</v>
      </c>
      <c r="AG84" s="23">
        <f>INDEX(Global_Solver!$BC$5:$BC$52, 6*C75+1, 1)</f>
        <v/>
      </c>
      <c r="AH84" s="23">
        <f>SUMPRODUCT(P84:AA84, AG84:AG95)</f>
        <v/>
      </c>
      <c r="AI84" s="24">
        <f>SUMPRODUCT(D84:O84, AH84:AH95)-B96</f>
        <v/>
      </c>
    </row>
    <row r="85">
      <c r="D85" s="21" t="n">
        <v>0</v>
      </c>
      <c r="E85" s="21">
        <f>IF(C76,=(12*$C$80*($C$83/$F$83))/($G$78^3),0)</f>
        <v/>
      </c>
      <c r="F85" s="21" t="n">
        <v>0</v>
      </c>
      <c r="G85" s="21" t="n">
        <v>0</v>
      </c>
      <c r="H85" s="21" t="n">
        <v>0</v>
      </c>
      <c r="I85" s="21">
        <f>IF(C76,=(6*$C$80*($C$83/$F$83))/($G$78^2),0)</f>
        <v/>
      </c>
      <c r="J85" s="21" t="n">
        <v>0</v>
      </c>
      <c r="K85" s="21">
        <f>-E85</f>
        <v/>
      </c>
      <c r="L85" s="21" t="n">
        <v>0</v>
      </c>
      <c r="M85" s="21" t="n">
        <v>0</v>
      </c>
      <c r="N85" s="21" t="n">
        <v>0</v>
      </c>
      <c r="O85" s="21">
        <f>I85</f>
        <v/>
      </c>
      <c r="P85" s="22">
        <f>L81</f>
        <v/>
      </c>
      <c r="Q85" s="22">
        <f>M81</f>
        <v/>
      </c>
      <c r="R85" s="22">
        <f>N81</f>
        <v/>
      </c>
      <c r="S85" s="22" t="n">
        <v>0</v>
      </c>
      <c r="T85" s="22" t="n">
        <v>0</v>
      </c>
      <c r="U85" s="22" t="n">
        <v>0</v>
      </c>
      <c r="V85" s="22" t="n">
        <v>0</v>
      </c>
      <c r="W85" s="22" t="n">
        <v>0</v>
      </c>
      <c r="X85" s="22" t="n">
        <v>0</v>
      </c>
      <c r="Y85" s="22" t="n">
        <v>0</v>
      </c>
      <c r="Z85" s="22" t="n">
        <v>0</v>
      </c>
      <c r="AA85" s="22" t="n">
        <v>0</v>
      </c>
      <c r="AG85" s="23">
        <f>INDEX(Global_Solver!$BC$5:$BC$52, 6*C75+2, 1)</f>
        <v/>
      </c>
      <c r="AH85" s="23">
        <f>SUMPRODUCT(P85:AA85, AG84:AG95)</f>
        <v/>
      </c>
      <c r="AI85" s="24">
        <f>SUMPRODUCT(D85:O85, AH84:AH95)-B97</f>
        <v/>
      </c>
    </row>
    <row r="86">
      <c r="D86" s="21" t="n">
        <v>0</v>
      </c>
      <c r="E86" s="21" t="n">
        <v>0</v>
      </c>
      <c r="F86" s="21">
        <f>IF(C76,=(12*$C$80*($C$83/$F$83))/($G$78^3),0)</f>
        <v/>
      </c>
      <c r="G86" s="21" t="n">
        <v>0</v>
      </c>
      <c r="H86" s="21">
        <f>IF(C76,-=(6*$C$80*($C$83/$F$83))/($G$78^2),0)</f>
        <v/>
      </c>
      <c r="I86" s="21" t="n">
        <v>0</v>
      </c>
      <c r="J86" s="21" t="n">
        <v>0</v>
      </c>
      <c r="K86" s="21" t="n">
        <v>0</v>
      </c>
      <c r="L86" s="21">
        <f>-F86</f>
        <v/>
      </c>
      <c r="M86" s="21" t="n">
        <v>0</v>
      </c>
      <c r="N86" s="21">
        <f>H86</f>
        <v/>
      </c>
      <c r="O86" s="21" t="n">
        <v>0</v>
      </c>
      <c r="P86" s="22">
        <f>L82</f>
        <v/>
      </c>
      <c r="Q86" s="22">
        <f>M82</f>
        <v/>
      </c>
      <c r="R86" s="22">
        <f>N82</f>
        <v/>
      </c>
      <c r="S86" s="22" t="n">
        <v>0</v>
      </c>
      <c r="T86" s="22" t="n">
        <v>0</v>
      </c>
      <c r="U86" s="22" t="n">
        <v>0</v>
      </c>
      <c r="V86" s="22" t="n">
        <v>0</v>
      </c>
      <c r="W86" s="22" t="n">
        <v>0</v>
      </c>
      <c r="X86" s="22" t="n">
        <v>0</v>
      </c>
      <c r="Y86" s="22" t="n">
        <v>0</v>
      </c>
      <c r="Z86" s="22" t="n">
        <v>0</v>
      </c>
      <c r="AA86" s="22" t="n">
        <v>0</v>
      </c>
      <c r="AG86" s="23">
        <f>INDEX(Global_Solver!$BC$5:$BC$52, 6*C75+3, 1)</f>
        <v/>
      </c>
      <c r="AH86" s="23">
        <f>SUMPRODUCT(P86:AA86, AG84:AG95)</f>
        <v/>
      </c>
      <c r="AI86" s="24">
        <f>SUMPRODUCT(D86:O86, AH84:AH95)-B98</f>
        <v/>
      </c>
    </row>
    <row r="87">
      <c r="D87" s="21" t="n">
        <v>0</v>
      </c>
      <c r="E87" s="21" t="n">
        <v>0</v>
      </c>
      <c r="F87" s="21" t="n">
        <v>0</v>
      </c>
      <c r="G87" s="21">
        <f>IF(C76,$D$80*$D$83/$G$78,0)</f>
        <v/>
      </c>
      <c r="H87" s="21" t="n">
        <v>0</v>
      </c>
      <c r="I87" s="21" t="n">
        <v>0</v>
      </c>
      <c r="J87" s="21" t="n">
        <v>0</v>
      </c>
      <c r="K87" s="21" t="n">
        <v>0</v>
      </c>
      <c r="L87" s="21" t="n">
        <v>0</v>
      </c>
      <c r="M87" s="21">
        <f>-G87</f>
        <v/>
      </c>
      <c r="N87" s="21" t="n">
        <v>0</v>
      </c>
      <c r="O87" s="21" t="n">
        <v>0</v>
      </c>
      <c r="P87" s="22" t="n">
        <v>0</v>
      </c>
      <c r="Q87" s="22" t="n">
        <v>0</v>
      </c>
      <c r="R87" s="22" t="n">
        <v>0</v>
      </c>
      <c r="S87" s="22">
        <f>L80</f>
        <v/>
      </c>
      <c r="T87" s="22">
        <f>M80</f>
        <v/>
      </c>
      <c r="U87" s="22">
        <f>N80</f>
        <v/>
      </c>
      <c r="V87" s="22" t="n">
        <v>0</v>
      </c>
      <c r="W87" s="22" t="n">
        <v>0</v>
      </c>
      <c r="X87" s="22" t="n">
        <v>0</v>
      </c>
      <c r="Y87" s="22" t="n">
        <v>0</v>
      </c>
      <c r="Z87" s="22" t="n">
        <v>0</v>
      </c>
      <c r="AA87" s="22" t="n">
        <v>0</v>
      </c>
      <c r="AG87" s="23">
        <f>INDEX(Global_Solver!$BC$5:$BC$52, 6*C75+4, 1)</f>
        <v/>
      </c>
      <c r="AH87" s="23">
        <f>SUMPRODUCT(P87:AA87, AG84:AG95)</f>
        <v/>
      </c>
      <c r="AI87" s="24">
        <f>SUMPRODUCT(D87:O87, AH84:AH95)-B99</f>
        <v/>
      </c>
    </row>
    <row r="88">
      <c r="D88" s="21" t="n">
        <v>0</v>
      </c>
      <c r="E88" s="21" t="n">
        <v>0</v>
      </c>
      <c r="F88" s="21">
        <f>H86</f>
        <v/>
      </c>
      <c r="G88" s="21" t="n">
        <v>0</v>
      </c>
      <c r="H88" s="21">
        <f>IF(C76,=(4*$C$80*($C$83/$F$83))/$G$78,0)</f>
        <v/>
      </c>
      <c r="I88" s="21" t="n">
        <v>0</v>
      </c>
      <c r="J88" s="21" t="n">
        <v>0</v>
      </c>
      <c r="K88" s="21" t="n">
        <v>0</v>
      </c>
      <c r="L88" s="21">
        <f>-H86</f>
        <v/>
      </c>
      <c r="M88" s="21" t="n">
        <v>0</v>
      </c>
      <c r="N88" s="21">
        <f>IF(C76,=(2*$C$80*($C$83/$F$83))/$G$78,0)</f>
        <v/>
      </c>
      <c r="O88" s="21" t="n">
        <v>0</v>
      </c>
      <c r="P88" s="22" t="n">
        <v>0</v>
      </c>
      <c r="Q88" s="22" t="n">
        <v>0</v>
      </c>
      <c r="R88" s="22" t="n">
        <v>0</v>
      </c>
      <c r="S88" s="22">
        <f>L81</f>
        <v/>
      </c>
      <c r="T88" s="22">
        <f>M81</f>
        <v/>
      </c>
      <c r="U88" s="22">
        <f>N81</f>
        <v/>
      </c>
      <c r="V88" s="22" t="n">
        <v>0</v>
      </c>
      <c r="W88" s="22" t="n">
        <v>0</v>
      </c>
      <c r="X88" s="22" t="n">
        <v>0</v>
      </c>
      <c r="Y88" s="22" t="n">
        <v>0</v>
      </c>
      <c r="Z88" s="22" t="n">
        <v>0</v>
      </c>
      <c r="AA88" s="22" t="n">
        <v>0</v>
      </c>
      <c r="AG88" s="23">
        <f>INDEX(Global_Solver!$BC$5:$BC$52, 6*C75+5, 1)</f>
        <v/>
      </c>
      <c r="AH88" s="23">
        <f>SUMPRODUCT(P88:AA88, AG84:AG95)</f>
        <v/>
      </c>
      <c r="AI88" s="24">
        <f>SUMPRODUCT(D88:O88, AH84:AH95)-B100</f>
        <v/>
      </c>
    </row>
    <row r="89">
      <c r="D89" s="21" t="n">
        <v>0</v>
      </c>
      <c r="E89" s="21">
        <f>I85</f>
        <v/>
      </c>
      <c r="F89" s="21" t="n">
        <v>0</v>
      </c>
      <c r="G89" s="21" t="n">
        <v>0</v>
      </c>
      <c r="H89" s="21" t="n">
        <v>0</v>
      </c>
      <c r="I89" s="21">
        <f>IF(C76,=(4*$C$80*($C$83/$F$83))/$G$78,0)</f>
        <v/>
      </c>
      <c r="J89" s="21" t="n">
        <v>0</v>
      </c>
      <c r="K89" s="21">
        <f>-I85</f>
        <v/>
      </c>
      <c r="L89" s="21" t="n">
        <v>0</v>
      </c>
      <c r="M89" s="21" t="n">
        <v>0</v>
      </c>
      <c r="N89" s="21" t="n">
        <v>0</v>
      </c>
      <c r="O89" s="21">
        <f>IF(C76,=(2*$C$80*($C$83/$F$83))/$G$78,0)</f>
        <v/>
      </c>
      <c r="P89" s="22" t="n">
        <v>0</v>
      </c>
      <c r="Q89" s="22" t="n">
        <v>0</v>
      </c>
      <c r="R89" s="22" t="n">
        <v>0</v>
      </c>
      <c r="S89" s="22">
        <f>L82</f>
        <v/>
      </c>
      <c r="T89" s="22">
        <f>M82</f>
        <v/>
      </c>
      <c r="U89" s="22">
        <f>N82</f>
        <v/>
      </c>
      <c r="V89" s="22" t="n">
        <v>0</v>
      </c>
      <c r="W89" s="22" t="n">
        <v>0</v>
      </c>
      <c r="X89" s="22" t="n">
        <v>0</v>
      </c>
      <c r="Y89" s="22" t="n">
        <v>0</v>
      </c>
      <c r="Z89" s="22" t="n">
        <v>0</v>
      </c>
      <c r="AA89" s="22" t="n">
        <v>0</v>
      </c>
      <c r="AG89" s="23">
        <f>INDEX(Global_Solver!$BC$5:$BC$52, 6*C75+6, 1)</f>
        <v/>
      </c>
      <c r="AH89" s="23">
        <f>SUMPRODUCT(P89:AA89, AG84:AG95)</f>
        <v/>
      </c>
      <c r="AI89" s="24">
        <f>SUMPRODUCT(D89:O89, AH84:AH95)-B101</f>
        <v/>
      </c>
    </row>
    <row r="90">
      <c r="D90" s="21">
        <f>J84</f>
        <v/>
      </c>
      <c r="E90" s="21" t="n">
        <v>0</v>
      </c>
      <c r="F90" s="21" t="n">
        <v>0</v>
      </c>
      <c r="G90" s="21" t="n">
        <v>0</v>
      </c>
      <c r="H90" s="21" t="n">
        <v>0</v>
      </c>
      <c r="I90" s="21" t="n">
        <v>0</v>
      </c>
      <c r="J90" s="21">
        <f>-J84</f>
        <v/>
      </c>
      <c r="K90" s="21" t="n">
        <v>0</v>
      </c>
      <c r="L90" s="21" t="n">
        <v>0</v>
      </c>
      <c r="M90" s="21" t="n">
        <v>0</v>
      </c>
      <c r="N90" s="21" t="n">
        <v>0</v>
      </c>
      <c r="O90" s="21" t="n">
        <v>0</v>
      </c>
      <c r="P90" s="22" t="n">
        <v>0</v>
      </c>
      <c r="Q90" s="22" t="n">
        <v>0</v>
      </c>
      <c r="R90" s="22" t="n">
        <v>0</v>
      </c>
      <c r="S90" s="22" t="n">
        <v>0</v>
      </c>
      <c r="T90" s="22" t="n">
        <v>0</v>
      </c>
      <c r="U90" s="22" t="n">
        <v>0</v>
      </c>
      <c r="V90" s="22">
        <f>L80</f>
        <v/>
      </c>
      <c r="W90" s="22">
        <f>M80</f>
        <v/>
      </c>
      <c r="X90" s="22">
        <f>N80</f>
        <v/>
      </c>
      <c r="Y90" s="22" t="n">
        <v>0</v>
      </c>
      <c r="Z90" s="22" t="n">
        <v>0</v>
      </c>
      <c r="AA90" s="22" t="n">
        <v>0</v>
      </c>
      <c r="AG90" s="23">
        <f>INDEX(Global_Solver!$BC$5:$BC$52, 6*E75+1, 1)</f>
        <v/>
      </c>
      <c r="AH90" s="23">
        <f>SUMPRODUCT(P90:AA90, AG84:AG95)</f>
        <v/>
      </c>
      <c r="AI90" s="24">
        <f>SUMPRODUCT(D90:O90, AH84:AH95)-B102</f>
        <v/>
      </c>
    </row>
    <row r="91">
      <c r="D91" s="21" t="n">
        <v>0</v>
      </c>
      <c r="E91" s="21">
        <f>K85</f>
        <v/>
      </c>
      <c r="F91" s="21" t="n">
        <v>0</v>
      </c>
      <c r="G91" s="21" t="n">
        <v>0</v>
      </c>
      <c r="H91" s="21" t="n">
        <v>0</v>
      </c>
      <c r="I91" s="21">
        <f>K89</f>
        <v/>
      </c>
      <c r="J91" s="21" t="n">
        <v>0</v>
      </c>
      <c r="K91" s="21">
        <f>E85</f>
        <v/>
      </c>
      <c r="L91" s="21" t="n">
        <v>0</v>
      </c>
      <c r="M91" s="21" t="n">
        <v>0</v>
      </c>
      <c r="N91" s="21" t="n">
        <v>0</v>
      </c>
      <c r="O91" s="21">
        <f>-I85</f>
        <v/>
      </c>
      <c r="P91" s="22" t="n">
        <v>0</v>
      </c>
      <c r="Q91" s="22" t="n">
        <v>0</v>
      </c>
      <c r="R91" s="22" t="n">
        <v>0</v>
      </c>
      <c r="S91" s="22" t="n">
        <v>0</v>
      </c>
      <c r="T91" s="22" t="n">
        <v>0</v>
      </c>
      <c r="U91" s="22" t="n">
        <v>0</v>
      </c>
      <c r="V91" s="22">
        <f>L81</f>
        <v/>
      </c>
      <c r="W91" s="22">
        <f>M81</f>
        <v/>
      </c>
      <c r="X91" s="22">
        <f>N81</f>
        <v/>
      </c>
      <c r="Y91" s="22" t="n">
        <v>0</v>
      </c>
      <c r="Z91" s="22" t="n">
        <v>0</v>
      </c>
      <c r="AA91" s="22" t="n">
        <v>0</v>
      </c>
      <c r="AG91" s="23">
        <f>INDEX(Global_Solver!$BC$5:$BC$52, 6*E75+2, 1)</f>
        <v/>
      </c>
      <c r="AH91" s="23">
        <f>SUMPRODUCT(P91:AA91, AG84:AG95)</f>
        <v/>
      </c>
      <c r="AI91" s="24">
        <f>SUMPRODUCT(D91:O91, AH84:AH95)-B103</f>
        <v/>
      </c>
    </row>
    <row r="92">
      <c r="D92" s="21" t="n">
        <v>0</v>
      </c>
      <c r="E92" s="21" t="n">
        <v>0</v>
      </c>
      <c r="F92" s="21">
        <f>L86</f>
        <v/>
      </c>
      <c r="G92" s="21" t="n">
        <v>0</v>
      </c>
      <c r="H92" s="21">
        <f>L88</f>
        <v/>
      </c>
      <c r="I92" s="21" t="n">
        <v>0</v>
      </c>
      <c r="J92" s="21" t="n">
        <v>0</v>
      </c>
      <c r="K92" s="21" t="n">
        <v>0</v>
      </c>
      <c r="L92" s="21">
        <f>F86</f>
        <v/>
      </c>
      <c r="M92" s="21" t="n">
        <v>0</v>
      </c>
      <c r="N92" s="21">
        <f>-H86</f>
        <v/>
      </c>
      <c r="O92" s="21" t="n">
        <v>0</v>
      </c>
      <c r="P92" s="22" t="n">
        <v>0</v>
      </c>
      <c r="Q92" s="22" t="n">
        <v>0</v>
      </c>
      <c r="R92" s="22" t="n">
        <v>0</v>
      </c>
      <c r="S92" s="22" t="n">
        <v>0</v>
      </c>
      <c r="T92" s="22" t="n">
        <v>0</v>
      </c>
      <c r="U92" s="22" t="n">
        <v>0</v>
      </c>
      <c r="V92" s="22">
        <f>L82</f>
        <v/>
      </c>
      <c r="W92" s="22">
        <f>M82</f>
        <v/>
      </c>
      <c r="X92" s="22">
        <f>N82</f>
        <v/>
      </c>
      <c r="Y92" s="22" t="n">
        <v>0</v>
      </c>
      <c r="Z92" s="22" t="n">
        <v>0</v>
      </c>
      <c r="AA92" s="22" t="n">
        <v>0</v>
      </c>
      <c r="AG92" s="23">
        <f>INDEX(Global_Solver!$BC$5:$BC$52, 6*E75+3, 1)</f>
        <v/>
      </c>
      <c r="AH92" s="23">
        <f>SUMPRODUCT(P92:AA92, AG84:AG95)</f>
        <v/>
      </c>
      <c r="AI92" s="24">
        <f>SUMPRODUCT(D92:O92, AH84:AH95)-B104</f>
        <v/>
      </c>
    </row>
    <row r="93">
      <c r="D93" s="21" t="n">
        <v>0</v>
      </c>
      <c r="E93" s="21" t="n">
        <v>0</v>
      </c>
      <c r="F93" s="21" t="n">
        <v>0</v>
      </c>
      <c r="G93" s="21">
        <f>M87</f>
        <v/>
      </c>
      <c r="H93" s="21" t="n">
        <v>0</v>
      </c>
      <c r="I93" s="21" t="n">
        <v>0</v>
      </c>
      <c r="J93" s="21" t="n">
        <v>0</v>
      </c>
      <c r="K93" s="21" t="n">
        <v>0</v>
      </c>
      <c r="L93" s="21" t="n">
        <v>0</v>
      </c>
      <c r="M93" s="21">
        <f>-M87</f>
        <v/>
      </c>
      <c r="N93" s="21" t="n">
        <v>0</v>
      </c>
      <c r="O93" s="21" t="n">
        <v>0</v>
      </c>
      <c r="P93" s="22" t="n">
        <v>0</v>
      </c>
      <c r="Q93" s="22" t="n">
        <v>0</v>
      </c>
      <c r="R93" s="22" t="n">
        <v>0</v>
      </c>
      <c r="S93" s="22" t="n">
        <v>0</v>
      </c>
      <c r="T93" s="22" t="n">
        <v>0</v>
      </c>
      <c r="U93" s="22" t="n">
        <v>0</v>
      </c>
      <c r="V93" s="22" t="n">
        <v>0</v>
      </c>
      <c r="W93" s="22" t="n">
        <v>0</v>
      </c>
      <c r="X93" s="22" t="n">
        <v>0</v>
      </c>
      <c r="Y93" s="22">
        <f>L80</f>
        <v/>
      </c>
      <c r="Z93" s="22">
        <f>M80</f>
        <v/>
      </c>
      <c r="AA93" s="22">
        <f>N80</f>
        <v/>
      </c>
      <c r="AG93" s="23">
        <f>INDEX(Global_Solver!$BC$5:$BC$52, 6*E75+4, 1)</f>
        <v/>
      </c>
      <c r="AH93" s="23">
        <f>SUMPRODUCT(P93:AA93, AG84:AG95)</f>
        <v/>
      </c>
      <c r="AI93" s="24">
        <f>SUMPRODUCT(D93:O93, AH84:AH95)-B105</f>
        <v/>
      </c>
    </row>
    <row r="94">
      <c r="D94" s="21" t="n">
        <v>0</v>
      </c>
      <c r="E94" s="21" t="n">
        <v>0</v>
      </c>
      <c r="F94" s="21">
        <f>N86</f>
        <v/>
      </c>
      <c r="G94" s="21" t="n">
        <v>0</v>
      </c>
      <c r="H94" s="21">
        <f>N88</f>
        <v/>
      </c>
      <c r="I94" s="21" t="n">
        <v>0</v>
      </c>
      <c r="J94" s="21" t="n">
        <v>0</v>
      </c>
      <c r="K94" s="21" t="n">
        <v>0</v>
      </c>
      <c r="L94" s="21">
        <f>L92</f>
        <v/>
      </c>
      <c r="M94" s="21" t="n">
        <v>0</v>
      </c>
      <c r="N94" s="21">
        <f>H88</f>
        <v/>
      </c>
      <c r="O94" s="21" t="n">
        <v>0</v>
      </c>
      <c r="P94" s="22" t="n">
        <v>0</v>
      </c>
      <c r="Q94" s="22" t="n">
        <v>0</v>
      </c>
      <c r="R94" s="22" t="n">
        <v>0</v>
      </c>
      <c r="S94" s="22" t="n">
        <v>0</v>
      </c>
      <c r="T94" s="22" t="n">
        <v>0</v>
      </c>
      <c r="U94" s="22" t="n">
        <v>0</v>
      </c>
      <c r="V94" s="22" t="n">
        <v>0</v>
      </c>
      <c r="W94" s="22" t="n">
        <v>0</v>
      </c>
      <c r="X94" s="22" t="n">
        <v>0</v>
      </c>
      <c r="Y94" s="22">
        <f>L81</f>
        <v/>
      </c>
      <c r="Z94" s="22">
        <f>M81</f>
        <v/>
      </c>
      <c r="AA94" s="22">
        <f>N81</f>
        <v/>
      </c>
      <c r="AG94" s="23">
        <f>INDEX(Global_Solver!$BC$5:$BC$52, 6*E75+5, 1)</f>
        <v/>
      </c>
      <c r="AH94" s="23">
        <f>SUMPRODUCT(P94:AA94, AG84:AG95)</f>
        <v/>
      </c>
      <c r="AI94" s="24">
        <f>SUMPRODUCT(D94:O94, AH84:AH95)-B106</f>
        <v/>
      </c>
    </row>
    <row r="95">
      <c r="D95" s="21" t="n">
        <v>0</v>
      </c>
      <c r="E95" s="21">
        <f>O85</f>
        <v/>
      </c>
      <c r="F95" s="21" t="n">
        <v>0</v>
      </c>
      <c r="G95" s="21" t="n">
        <v>0</v>
      </c>
      <c r="H95" s="21" t="n">
        <v>0</v>
      </c>
      <c r="I95" s="21">
        <f>O89</f>
        <v/>
      </c>
      <c r="J95" s="21" t="n">
        <v>0</v>
      </c>
      <c r="K95" s="21">
        <f>K91</f>
        <v/>
      </c>
      <c r="L95" s="21" t="n">
        <v>0</v>
      </c>
      <c r="M95" s="21" t="n">
        <v>0</v>
      </c>
      <c r="N95" s="21" t="n">
        <v>0</v>
      </c>
      <c r="O95" s="21">
        <f>I89</f>
        <v/>
      </c>
      <c r="P95" s="22" t="n">
        <v>0</v>
      </c>
      <c r="Q95" s="22" t="n">
        <v>0</v>
      </c>
      <c r="R95" s="22" t="n">
        <v>0</v>
      </c>
      <c r="S95" s="22" t="n">
        <v>0</v>
      </c>
      <c r="T95" s="22" t="n">
        <v>0</v>
      </c>
      <c r="U95" s="22" t="n">
        <v>0</v>
      </c>
      <c r="V95" s="22" t="n">
        <v>0</v>
      </c>
      <c r="W95" s="22" t="n">
        <v>0</v>
      </c>
      <c r="X95" s="22" t="n">
        <v>0</v>
      </c>
      <c r="Y95" s="22">
        <f>L82</f>
        <v/>
      </c>
      <c r="Z95" s="22">
        <f>M82</f>
        <v/>
      </c>
      <c r="AA95" s="22">
        <f>N82</f>
        <v/>
      </c>
      <c r="AG95" s="23">
        <f>INDEX(Global_Solver!$BC$5:$BC$52, 6*E75+6, 1)</f>
        <v/>
      </c>
      <c r="AH95" s="23">
        <f>SUMPRODUCT(P95:AA95, AG84:AG95)</f>
        <v/>
      </c>
      <c r="AI95" s="24">
        <f>SUMPRODUCT(D95:O95, AH84:AH95)-B107</f>
        <v/>
      </c>
    </row>
    <row r="96">
      <c r="B96" s="24">
        <f>IF(C76,-C80*F82*E80*Inputs!$K$11,0)</f>
        <v/>
      </c>
      <c r="C96" s="24">
        <f>SUMPRODUCT(P84:AA84, B96:B107)</f>
        <v/>
      </c>
      <c r="D96" s="25">
        <f>SUMPRODUCT(D84:O84, P84:P95)</f>
        <v/>
      </c>
      <c r="E96" s="25">
        <f>SUMPRODUCT(D84:O84, Q84:Q95)</f>
        <v/>
      </c>
      <c r="F96" s="25">
        <f>SUMPRODUCT(D84:O84, R84:R95)</f>
        <v/>
      </c>
      <c r="G96" s="25">
        <f>SUMPRODUCT(D84:O84, S84:S95)</f>
        <v/>
      </c>
      <c r="H96" s="25">
        <f>SUMPRODUCT(D84:O84, T84:T95)</f>
        <v/>
      </c>
      <c r="I96" s="25">
        <f>SUMPRODUCT(D84:O84, U84:U95)</f>
        <v/>
      </c>
      <c r="J96" s="25">
        <f>SUMPRODUCT(D84:O84, V84:V95)</f>
        <v/>
      </c>
      <c r="K96" s="25">
        <f>SUMPRODUCT(D84:O84, W84:W95)</f>
        <v/>
      </c>
      <c r="L96" s="25">
        <f>SUMPRODUCT(D84:O84, X84:X95)</f>
        <v/>
      </c>
      <c r="M96" s="25">
        <f>SUMPRODUCT(D84:O84, Y84:Y95)</f>
        <v/>
      </c>
      <c r="N96" s="25">
        <f>SUMPRODUCT(D84:O84, Z84:Z95)</f>
        <v/>
      </c>
      <c r="O96" s="25">
        <f>SUMPRODUCT(D84:O84, AA84:AA95)</f>
        <v/>
      </c>
      <c r="P96" s="25">
        <f>SUMPRODUCT(P84:AA84, D96:D107)</f>
        <v/>
      </c>
      <c r="Q96" s="25">
        <f>SUMPRODUCT(P84:AA84, E96:E107)</f>
        <v/>
      </c>
      <c r="R96" s="25">
        <f>SUMPRODUCT(P84:AA84, F96:F107)</f>
        <v/>
      </c>
      <c r="S96" s="25">
        <f>SUMPRODUCT(P84:AA84, G96:G107)</f>
        <v/>
      </c>
      <c r="T96" s="25">
        <f>SUMPRODUCT(P84:AA84, H96:H107)</f>
        <v/>
      </c>
      <c r="U96" s="25">
        <f>SUMPRODUCT(P84:AA84, I96:I107)</f>
        <v/>
      </c>
      <c r="V96" s="25">
        <f>SUMPRODUCT(P84:AA84, J96:J107)</f>
        <v/>
      </c>
      <c r="W96" s="25">
        <f>SUMPRODUCT(P84:AA84, K96:K107)</f>
        <v/>
      </c>
      <c r="X96" s="25">
        <f>SUMPRODUCT(P84:AA84, L96:L107)</f>
        <v/>
      </c>
      <c r="Y96" s="25">
        <f>SUMPRODUCT(P84:AA84, M96:M107)</f>
        <v/>
      </c>
      <c r="Z96" s="25">
        <f>SUMPRODUCT(P84:AA84, N96:N107)</f>
        <v/>
      </c>
      <c r="AA96" s="25">
        <f>SUMPRODUCT(P84:AA84, O96:O107)</f>
        <v/>
      </c>
    </row>
    <row r="97">
      <c r="B97" s="24" t="n">
        <v>0</v>
      </c>
      <c r="C97" s="24">
        <f>SUMPRODUCT(P85:AA85, B96:B107)</f>
        <v/>
      </c>
      <c r="D97" s="25">
        <f>SUMPRODUCT(D85:O85, P84:P95)</f>
        <v/>
      </c>
      <c r="E97" s="25">
        <f>SUMPRODUCT(D85:O85, Q84:Q95)</f>
        <v/>
      </c>
      <c r="F97" s="25">
        <f>SUMPRODUCT(D85:O85, R84:R95)</f>
        <v/>
      </c>
      <c r="G97" s="25">
        <f>SUMPRODUCT(D85:O85, S84:S95)</f>
        <v/>
      </c>
      <c r="H97" s="25">
        <f>SUMPRODUCT(D85:O85, T84:T95)</f>
        <v/>
      </c>
      <c r="I97" s="25">
        <f>SUMPRODUCT(D85:O85, U84:U95)</f>
        <v/>
      </c>
      <c r="J97" s="25">
        <f>SUMPRODUCT(D85:O85, V84:V95)</f>
        <v/>
      </c>
      <c r="K97" s="25">
        <f>SUMPRODUCT(D85:O85, W84:W95)</f>
        <v/>
      </c>
      <c r="L97" s="25">
        <f>SUMPRODUCT(D85:O85, X84:X95)</f>
        <v/>
      </c>
      <c r="M97" s="25">
        <f>SUMPRODUCT(D85:O85, Y84:Y95)</f>
        <v/>
      </c>
      <c r="N97" s="25">
        <f>SUMPRODUCT(D85:O85, Z84:Z95)</f>
        <v/>
      </c>
      <c r="O97" s="25">
        <f>SUMPRODUCT(D85:O85, AA84:AA95)</f>
        <v/>
      </c>
      <c r="P97" s="25">
        <f>SUMPRODUCT(P85:AA85, D96:D107)</f>
        <v/>
      </c>
      <c r="Q97" s="25">
        <f>SUMPRODUCT(P85:AA85, E96:E107)</f>
        <v/>
      </c>
      <c r="R97" s="25">
        <f>SUMPRODUCT(P85:AA85, F96:F107)</f>
        <v/>
      </c>
      <c r="S97" s="25">
        <f>SUMPRODUCT(P85:AA85, G96:G107)</f>
        <v/>
      </c>
      <c r="T97" s="25">
        <f>SUMPRODUCT(P85:AA85, H96:H107)</f>
        <v/>
      </c>
      <c r="U97" s="25">
        <f>SUMPRODUCT(P85:AA85, I96:I107)</f>
        <v/>
      </c>
      <c r="V97" s="25">
        <f>SUMPRODUCT(P85:AA85, J96:J107)</f>
        <v/>
      </c>
      <c r="W97" s="25">
        <f>SUMPRODUCT(P85:AA85, K96:K107)</f>
        <v/>
      </c>
      <c r="X97" s="25">
        <f>SUMPRODUCT(P85:AA85, L96:L107)</f>
        <v/>
      </c>
      <c r="Y97" s="25">
        <f>SUMPRODUCT(P85:AA85, M96:M107)</f>
        <v/>
      </c>
      <c r="Z97" s="25">
        <f>SUMPRODUCT(P85:AA85, N96:N107)</f>
        <v/>
      </c>
      <c r="AA97" s="25">
        <f>SUMPRODUCT(P85:AA85, O96:O107)</f>
        <v/>
      </c>
    </row>
    <row r="98">
      <c r="B98" s="24" t="n">
        <v>0</v>
      </c>
      <c r="C98" s="24">
        <f>SUMPRODUCT(P86:AA86, B96:B107)</f>
        <v/>
      </c>
      <c r="D98" s="25">
        <f>SUMPRODUCT(D86:O86, P84:P95)</f>
        <v/>
      </c>
      <c r="E98" s="25">
        <f>SUMPRODUCT(D86:O86, Q84:Q95)</f>
        <v/>
      </c>
      <c r="F98" s="25">
        <f>SUMPRODUCT(D86:O86, R84:R95)</f>
        <v/>
      </c>
      <c r="G98" s="25">
        <f>SUMPRODUCT(D86:O86, S84:S95)</f>
        <v/>
      </c>
      <c r="H98" s="25">
        <f>SUMPRODUCT(D86:O86, T84:T95)</f>
        <v/>
      </c>
      <c r="I98" s="25">
        <f>SUMPRODUCT(D86:O86, U84:U95)</f>
        <v/>
      </c>
      <c r="J98" s="25">
        <f>SUMPRODUCT(D86:O86, V84:V95)</f>
        <v/>
      </c>
      <c r="K98" s="25">
        <f>SUMPRODUCT(D86:O86, W84:W95)</f>
        <v/>
      </c>
      <c r="L98" s="25">
        <f>SUMPRODUCT(D86:O86, X84:X95)</f>
        <v/>
      </c>
      <c r="M98" s="25">
        <f>SUMPRODUCT(D86:O86, Y84:Y95)</f>
        <v/>
      </c>
      <c r="N98" s="25">
        <f>SUMPRODUCT(D86:O86, Z84:Z95)</f>
        <v/>
      </c>
      <c r="O98" s="25">
        <f>SUMPRODUCT(D86:O86, AA84:AA95)</f>
        <v/>
      </c>
      <c r="P98" s="25">
        <f>SUMPRODUCT(P86:AA86, D96:D107)</f>
        <v/>
      </c>
      <c r="Q98" s="25">
        <f>SUMPRODUCT(P86:AA86, E96:E107)</f>
        <v/>
      </c>
      <c r="R98" s="25">
        <f>SUMPRODUCT(P86:AA86, F96:F107)</f>
        <v/>
      </c>
      <c r="S98" s="25">
        <f>SUMPRODUCT(P86:AA86, G96:G107)</f>
        <v/>
      </c>
      <c r="T98" s="25">
        <f>SUMPRODUCT(P86:AA86, H96:H107)</f>
        <v/>
      </c>
      <c r="U98" s="25">
        <f>SUMPRODUCT(P86:AA86, I96:I107)</f>
        <v/>
      </c>
      <c r="V98" s="25">
        <f>SUMPRODUCT(P86:AA86, J96:J107)</f>
        <v/>
      </c>
      <c r="W98" s="25">
        <f>SUMPRODUCT(P86:AA86, K96:K107)</f>
        <v/>
      </c>
      <c r="X98" s="25">
        <f>SUMPRODUCT(P86:AA86, L96:L107)</f>
        <v/>
      </c>
      <c r="Y98" s="25">
        <f>SUMPRODUCT(P86:AA86, M96:M107)</f>
        <v/>
      </c>
      <c r="Z98" s="25">
        <f>SUMPRODUCT(P86:AA86, N96:N107)</f>
        <v/>
      </c>
      <c r="AA98" s="25">
        <f>SUMPRODUCT(P86:AA86, O96:O107)</f>
        <v/>
      </c>
    </row>
    <row r="99">
      <c r="B99" s="24" t="n">
        <v>0</v>
      </c>
      <c r="C99" s="24">
        <f>SUMPRODUCT(P87:AA87, B96:B107)</f>
        <v/>
      </c>
      <c r="D99" s="25">
        <f>SUMPRODUCT(D87:O87, P84:P95)</f>
        <v/>
      </c>
      <c r="E99" s="25">
        <f>SUMPRODUCT(D87:O87, Q84:Q95)</f>
        <v/>
      </c>
      <c r="F99" s="25">
        <f>SUMPRODUCT(D87:O87, R84:R95)</f>
        <v/>
      </c>
      <c r="G99" s="25">
        <f>SUMPRODUCT(D87:O87, S84:S95)</f>
        <v/>
      </c>
      <c r="H99" s="25">
        <f>SUMPRODUCT(D87:O87, T84:T95)</f>
        <v/>
      </c>
      <c r="I99" s="25">
        <f>SUMPRODUCT(D87:O87, U84:U95)</f>
        <v/>
      </c>
      <c r="J99" s="25">
        <f>SUMPRODUCT(D87:O87, V84:V95)</f>
        <v/>
      </c>
      <c r="K99" s="25">
        <f>SUMPRODUCT(D87:O87, W84:W95)</f>
        <v/>
      </c>
      <c r="L99" s="25">
        <f>SUMPRODUCT(D87:O87, X84:X95)</f>
        <v/>
      </c>
      <c r="M99" s="25">
        <f>SUMPRODUCT(D87:O87, Y84:Y95)</f>
        <v/>
      </c>
      <c r="N99" s="25">
        <f>SUMPRODUCT(D87:O87, Z84:Z95)</f>
        <v/>
      </c>
      <c r="O99" s="25">
        <f>SUMPRODUCT(D87:O87, AA84:AA95)</f>
        <v/>
      </c>
      <c r="P99" s="25">
        <f>SUMPRODUCT(P87:AA87, D96:D107)</f>
        <v/>
      </c>
      <c r="Q99" s="25">
        <f>SUMPRODUCT(P87:AA87, E96:E107)</f>
        <v/>
      </c>
      <c r="R99" s="25">
        <f>SUMPRODUCT(P87:AA87, F96:F107)</f>
        <v/>
      </c>
      <c r="S99" s="25">
        <f>SUMPRODUCT(P87:AA87, G96:G107)</f>
        <v/>
      </c>
      <c r="T99" s="25">
        <f>SUMPRODUCT(P87:AA87, H96:H107)</f>
        <v/>
      </c>
      <c r="U99" s="25">
        <f>SUMPRODUCT(P87:AA87, I96:I107)</f>
        <v/>
      </c>
      <c r="V99" s="25">
        <f>SUMPRODUCT(P87:AA87, J96:J107)</f>
        <v/>
      </c>
      <c r="W99" s="25">
        <f>SUMPRODUCT(P87:AA87, K96:K107)</f>
        <v/>
      </c>
      <c r="X99" s="25">
        <f>SUMPRODUCT(P87:AA87, L96:L107)</f>
        <v/>
      </c>
      <c r="Y99" s="25">
        <f>SUMPRODUCT(P87:AA87, M96:M107)</f>
        <v/>
      </c>
      <c r="Z99" s="25">
        <f>SUMPRODUCT(P87:AA87, N96:N107)</f>
        <v/>
      </c>
      <c r="AA99" s="25">
        <f>SUMPRODUCT(P87:AA87, O96:O107)</f>
        <v/>
      </c>
    </row>
    <row r="100">
      <c r="B100" s="24" t="n">
        <v>0</v>
      </c>
      <c r="C100" s="24">
        <f>SUMPRODUCT(P88:AA88, B96:B107)</f>
        <v/>
      </c>
      <c r="D100" s="25">
        <f>SUMPRODUCT(D88:O88, P84:P95)</f>
        <v/>
      </c>
      <c r="E100" s="25">
        <f>SUMPRODUCT(D88:O88, Q84:Q95)</f>
        <v/>
      </c>
      <c r="F100" s="25">
        <f>SUMPRODUCT(D88:O88, R84:R95)</f>
        <v/>
      </c>
      <c r="G100" s="25">
        <f>SUMPRODUCT(D88:O88, S84:S95)</f>
        <v/>
      </c>
      <c r="H100" s="25">
        <f>SUMPRODUCT(D88:O88, T84:T95)</f>
        <v/>
      </c>
      <c r="I100" s="25">
        <f>SUMPRODUCT(D88:O88, U84:U95)</f>
        <v/>
      </c>
      <c r="J100" s="25">
        <f>SUMPRODUCT(D88:O88, V84:V95)</f>
        <v/>
      </c>
      <c r="K100" s="25">
        <f>SUMPRODUCT(D88:O88, W84:W95)</f>
        <v/>
      </c>
      <c r="L100" s="25">
        <f>SUMPRODUCT(D88:O88, X84:X95)</f>
        <v/>
      </c>
      <c r="M100" s="25">
        <f>SUMPRODUCT(D88:O88, Y84:Y95)</f>
        <v/>
      </c>
      <c r="N100" s="25">
        <f>SUMPRODUCT(D88:O88, Z84:Z95)</f>
        <v/>
      </c>
      <c r="O100" s="25">
        <f>SUMPRODUCT(D88:O88, AA84:AA95)</f>
        <v/>
      </c>
      <c r="P100" s="25">
        <f>SUMPRODUCT(P88:AA88, D96:D107)</f>
        <v/>
      </c>
      <c r="Q100" s="25">
        <f>SUMPRODUCT(P88:AA88, E96:E107)</f>
        <v/>
      </c>
      <c r="R100" s="25">
        <f>SUMPRODUCT(P88:AA88, F96:F107)</f>
        <v/>
      </c>
      <c r="S100" s="25">
        <f>SUMPRODUCT(P88:AA88, G96:G107)</f>
        <v/>
      </c>
      <c r="T100" s="25">
        <f>SUMPRODUCT(P88:AA88, H96:H107)</f>
        <v/>
      </c>
      <c r="U100" s="25">
        <f>SUMPRODUCT(P88:AA88, I96:I107)</f>
        <v/>
      </c>
      <c r="V100" s="25">
        <f>SUMPRODUCT(P88:AA88, J96:J107)</f>
        <v/>
      </c>
      <c r="W100" s="25">
        <f>SUMPRODUCT(P88:AA88, K96:K107)</f>
        <v/>
      </c>
      <c r="X100" s="25">
        <f>SUMPRODUCT(P88:AA88, L96:L107)</f>
        <v/>
      </c>
      <c r="Y100" s="25">
        <f>SUMPRODUCT(P88:AA88, M96:M107)</f>
        <v/>
      </c>
      <c r="Z100" s="25">
        <f>SUMPRODUCT(P88:AA88, N96:N107)</f>
        <v/>
      </c>
      <c r="AA100" s="25">
        <f>SUMPRODUCT(P88:AA88, O96:O107)</f>
        <v/>
      </c>
    </row>
    <row r="101">
      <c r="B101" s="24" t="n">
        <v>0</v>
      </c>
      <c r="C101" s="24">
        <f>SUMPRODUCT(P89:AA89, B96:B107)</f>
        <v/>
      </c>
      <c r="D101" s="25">
        <f>SUMPRODUCT(D89:O89, P84:P95)</f>
        <v/>
      </c>
      <c r="E101" s="25">
        <f>SUMPRODUCT(D89:O89, Q84:Q95)</f>
        <v/>
      </c>
      <c r="F101" s="25">
        <f>SUMPRODUCT(D89:O89, R84:R95)</f>
        <v/>
      </c>
      <c r="G101" s="25">
        <f>SUMPRODUCT(D89:O89, S84:S95)</f>
        <v/>
      </c>
      <c r="H101" s="25">
        <f>SUMPRODUCT(D89:O89, T84:T95)</f>
        <v/>
      </c>
      <c r="I101" s="25">
        <f>SUMPRODUCT(D89:O89, U84:U95)</f>
        <v/>
      </c>
      <c r="J101" s="25">
        <f>SUMPRODUCT(D89:O89, V84:V95)</f>
        <v/>
      </c>
      <c r="K101" s="25">
        <f>SUMPRODUCT(D89:O89, W84:W95)</f>
        <v/>
      </c>
      <c r="L101" s="25">
        <f>SUMPRODUCT(D89:O89, X84:X95)</f>
        <v/>
      </c>
      <c r="M101" s="25">
        <f>SUMPRODUCT(D89:O89, Y84:Y95)</f>
        <v/>
      </c>
      <c r="N101" s="25">
        <f>SUMPRODUCT(D89:O89, Z84:Z95)</f>
        <v/>
      </c>
      <c r="O101" s="25">
        <f>SUMPRODUCT(D89:O89, AA84:AA95)</f>
        <v/>
      </c>
      <c r="P101" s="25">
        <f>SUMPRODUCT(P89:AA89, D96:D107)</f>
        <v/>
      </c>
      <c r="Q101" s="25">
        <f>SUMPRODUCT(P89:AA89, E96:E107)</f>
        <v/>
      </c>
      <c r="R101" s="25">
        <f>SUMPRODUCT(P89:AA89, F96:F107)</f>
        <v/>
      </c>
      <c r="S101" s="25">
        <f>SUMPRODUCT(P89:AA89, G96:G107)</f>
        <v/>
      </c>
      <c r="T101" s="25">
        <f>SUMPRODUCT(P89:AA89, H96:H107)</f>
        <v/>
      </c>
      <c r="U101" s="25">
        <f>SUMPRODUCT(P89:AA89, I96:I107)</f>
        <v/>
      </c>
      <c r="V101" s="25">
        <f>SUMPRODUCT(P89:AA89, J96:J107)</f>
        <v/>
      </c>
      <c r="W101" s="25">
        <f>SUMPRODUCT(P89:AA89, K96:K107)</f>
        <v/>
      </c>
      <c r="X101" s="25">
        <f>SUMPRODUCT(P89:AA89, L96:L107)</f>
        <v/>
      </c>
      <c r="Y101" s="25">
        <f>SUMPRODUCT(P89:AA89, M96:M107)</f>
        <v/>
      </c>
      <c r="Z101" s="25">
        <f>SUMPRODUCT(P89:AA89, N96:N107)</f>
        <v/>
      </c>
      <c r="AA101" s="25">
        <f>SUMPRODUCT(P89:AA89, O96:O107)</f>
        <v/>
      </c>
    </row>
    <row r="102">
      <c r="B102" s="24">
        <f>IF(C76,C80*F82*E80*Inputs!$K$11,0)</f>
        <v/>
      </c>
      <c r="C102" s="24">
        <f>SUMPRODUCT(P90:AA90, B96:B107)</f>
        <v/>
      </c>
      <c r="D102" s="25">
        <f>SUMPRODUCT(D90:O90, P84:P95)</f>
        <v/>
      </c>
      <c r="E102" s="25">
        <f>SUMPRODUCT(D90:O90, Q84:Q95)</f>
        <v/>
      </c>
      <c r="F102" s="25">
        <f>SUMPRODUCT(D90:O90, R84:R95)</f>
        <v/>
      </c>
      <c r="G102" s="25">
        <f>SUMPRODUCT(D90:O90, S84:S95)</f>
        <v/>
      </c>
      <c r="H102" s="25">
        <f>SUMPRODUCT(D90:O90, T84:T95)</f>
        <v/>
      </c>
      <c r="I102" s="25">
        <f>SUMPRODUCT(D90:O90, U84:U95)</f>
        <v/>
      </c>
      <c r="J102" s="25">
        <f>SUMPRODUCT(D90:O90, V84:V95)</f>
        <v/>
      </c>
      <c r="K102" s="25">
        <f>SUMPRODUCT(D90:O90, W84:W95)</f>
        <v/>
      </c>
      <c r="L102" s="25">
        <f>SUMPRODUCT(D90:O90, X84:X95)</f>
        <v/>
      </c>
      <c r="M102" s="25">
        <f>SUMPRODUCT(D90:O90, Y84:Y95)</f>
        <v/>
      </c>
      <c r="N102" s="25">
        <f>SUMPRODUCT(D90:O90, Z84:Z95)</f>
        <v/>
      </c>
      <c r="O102" s="25">
        <f>SUMPRODUCT(D90:O90, AA84:AA95)</f>
        <v/>
      </c>
      <c r="P102" s="25">
        <f>SUMPRODUCT(P90:AA90, D96:D107)</f>
        <v/>
      </c>
      <c r="Q102" s="25">
        <f>SUMPRODUCT(P90:AA90, E96:E107)</f>
        <v/>
      </c>
      <c r="R102" s="25">
        <f>SUMPRODUCT(P90:AA90, F96:F107)</f>
        <v/>
      </c>
      <c r="S102" s="25">
        <f>SUMPRODUCT(P90:AA90, G96:G107)</f>
        <v/>
      </c>
      <c r="T102" s="25">
        <f>SUMPRODUCT(P90:AA90, H96:H107)</f>
        <v/>
      </c>
      <c r="U102" s="25">
        <f>SUMPRODUCT(P90:AA90, I96:I107)</f>
        <v/>
      </c>
      <c r="V102" s="25">
        <f>SUMPRODUCT(P90:AA90, J96:J107)</f>
        <v/>
      </c>
      <c r="W102" s="25">
        <f>SUMPRODUCT(P90:AA90, K96:K107)</f>
        <v/>
      </c>
      <c r="X102" s="25">
        <f>SUMPRODUCT(P90:AA90, L96:L107)</f>
        <v/>
      </c>
      <c r="Y102" s="25">
        <f>SUMPRODUCT(P90:AA90, M96:M107)</f>
        <v/>
      </c>
      <c r="Z102" s="25">
        <f>SUMPRODUCT(P90:AA90, N96:N107)</f>
        <v/>
      </c>
      <c r="AA102" s="25">
        <f>SUMPRODUCT(P90:AA90, O96:O107)</f>
        <v/>
      </c>
    </row>
    <row r="103">
      <c r="B103" s="24" t="n">
        <v>0</v>
      </c>
      <c r="C103" s="24">
        <f>SUMPRODUCT(P91:AA91, B96:B107)</f>
        <v/>
      </c>
      <c r="D103" s="25">
        <f>SUMPRODUCT(D91:O91, P84:P95)</f>
        <v/>
      </c>
      <c r="E103" s="25">
        <f>SUMPRODUCT(D91:O91, Q84:Q95)</f>
        <v/>
      </c>
      <c r="F103" s="25">
        <f>SUMPRODUCT(D91:O91, R84:R95)</f>
        <v/>
      </c>
      <c r="G103" s="25">
        <f>SUMPRODUCT(D91:O91, S84:S95)</f>
        <v/>
      </c>
      <c r="H103" s="25">
        <f>SUMPRODUCT(D91:O91, T84:T95)</f>
        <v/>
      </c>
      <c r="I103" s="25">
        <f>SUMPRODUCT(D91:O91, U84:U95)</f>
        <v/>
      </c>
      <c r="J103" s="25">
        <f>SUMPRODUCT(D91:O91, V84:V95)</f>
        <v/>
      </c>
      <c r="K103" s="25">
        <f>SUMPRODUCT(D91:O91, W84:W95)</f>
        <v/>
      </c>
      <c r="L103" s="25">
        <f>SUMPRODUCT(D91:O91, X84:X95)</f>
        <v/>
      </c>
      <c r="M103" s="25">
        <f>SUMPRODUCT(D91:O91, Y84:Y95)</f>
        <v/>
      </c>
      <c r="N103" s="25">
        <f>SUMPRODUCT(D91:O91, Z84:Z95)</f>
        <v/>
      </c>
      <c r="O103" s="25">
        <f>SUMPRODUCT(D91:O91, AA84:AA95)</f>
        <v/>
      </c>
      <c r="P103" s="25">
        <f>SUMPRODUCT(P91:AA91, D96:D107)</f>
        <v/>
      </c>
      <c r="Q103" s="25">
        <f>SUMPRODUCT(P91:AA91, E96:E107)</f>
        <v/>
      </c>
      <c r="R103" s="25">
        <f>SUMPRODUCT(P91:AA91, F96:F107)</f>
        <v/>
      </c>
      <c r="S103" s="25">
        <f>SUMPRODUCT(P91:AA91, G96:G107)</f>
        <v/>
      </c>
      <c r="T103" s="25">
        <f>SUMPRODUCT(P91:AA91, H96:H107)</f>
        <v/>
      </c>
      <c r="U103" s="25">
        <f>SUMPRODUCT(P91:AA91, I96:I107)</f>
        <v/>
      </c>
      <c r="V103" s="25">
        <f>SUMPRODUCT(P91:AA91, J96:J107)</f>
        <v/>
      </c>
      <c r="W103" s="25">
        <f>SUMPRODUCT(P91:AA91, K96:K107)</f>
        <v/>
      </c>
      <c r="X103" s="25">
        <f>SUMPRODUCT(P91:AA91, L96:L107)</f>
        <v/>
      </c>
      <c r="Y103" s="25">
        <f>SUMPRODUCT(P91:AA91, M96:M107)</f>
        <v/>
      </c>
      <c r="Z103" s="25">
        <f>SUMPRODUCT(P91:AA91, N96:N107)</f>
        <v/>
      </c>
      <c r="AA103" s="25">
        <f>SUMPRODUCT(P91:AA91, O96:O107)</f>
        <v/>
      </c>
    </row>
    <row r="104">
      <c r="B104" s="24" t="n">
        <v>0</v>
      </c>
      <c r="C104" s="24">
        <f>SUMPRODUCT(P92:AA92, B96:B107)</f>
        <v/>
      </c>
      <c r="D104" s="25">
        <f>SUMPRODUCT(D92:O92, P84:P95)</f>
        <v/>
      </c>
      <c r="E104" s="25">
        <f>SUMPRODUCT(D92:O92, Q84:Q95)</f>
        <v/>
      </c>
      <c r="F104" s="25">
        <f>SUMPRODUCT(D92:O92, R84:R95)</f>
        <v/>
      </c>
      <c r="G104" s="25">
        <f>SUMPRODUCT(D92:O92, S84:S95)</f>
        <v/>
      </c>
      <c r="H104" s="25">
        <f>SUMPRODUCT(D92:O92, T84:T95)</f>
        <v/>
      </c>
      <c r="I104" s="25">
        <f>SUMPRODUCT(D92:O92, U84:U95)</f>
        <v/>
      </c>
      <c r="J104" s="25">
        <f>SUMPRODUCT(D92:O92, V84:V95)</f>
        <v/>
      </c>
      <c r="K104" s="25">
        <f>SUMPRODUCT(D92:O92, W84:W95)</f>
        <v/>
      </c>
      <c r="L104" s="25">
        <f>SUMPRODUCT(D92:O92, X84:X95)</f>
        <v/>
      </c>
      <c r="M104" s="25">
        <f>SUMPRODUCT(D92:O92, Y84:Y95)</f>
        <v/>
      </c>
      <c r="N104" s="25">
        <f>SUMPRODUCT(D92:O92, Z84:Z95)</f>
        <v/>
      </c>
      <c r="O104" s="25">
        <f>SUMPRODUCT(D92:O92, AA84:AA95)</f>
        <v/>
      </c>
      <c r="P104" s="25">
        <f>SUMPRODUCT(P92:AA92, D96:D107)</f>
        <v/>
      </c>
      <c r="Q104" s="25">
        <f>SUMPRODUCT(P92:AA92, E96:E107)</f>
        <v/>
      </c>
      <c r="R104" s="25">
        <f>SUMPRODUCT(P92:AA92, F96:F107)</f>
        <v/>
      </c>
      <c r="S104" s="25">
        <f>SUMPRODUCT(P92:AA92, G96:G107)</f>
        <v/>
      </c>
      <c r="T104" s="25">
        <f>SUMPRODUCT(P92:AA92, H96:H107)</f>
        <v/>
      </c>
      <c r="U104" s="25">
        <f>SUMPRODUCT(P92:AA92, I96:I107)</f>
        <v/>
      </c>
      <c r="V104" s="25">
        <f>SUMPRODUCT(P92:AA92, J96:J107)</f>
        <v/>
      </c>
      <c r="W104" s="25">
        <f>SUMPRODUCT(P92:AA92, K96:K107)</f>
        <v/>
      </c>
      <c r="X104" s="25">
        <f>SUMPRODUCT(P92:AA92, L96:L107)</f>
        <v/>
      </c>
      <c r="Y104" s="25">
        <f>SUMPRODUCT(P92:AA92, M96:M107)</f>
        <v/>
      </c>
      <c r="Z104" s="25">
        <f>SUMPRODUCT(P92:AA92, N96:N107)</f>
        <v/>
      </c>
      <c r="AA104" s="25">
        <f>SUMPRODUCT(P92:AA92, O96:O107)</f>
        <v/>
      </c>
    </row>
    <row r="105">
      <c r="B105" s="24" t="n">
        <v>0</v>
      </c>
      <c r="C105" s="24">
        <f>SUMPRODUCT(P93:AA93, B96:B107)</f>
        <v/>
      </c>
      <c r="D105" s="25">
        <f>SUMPRODUCT(D93:O93, P84:P95)</f>
        <v/>
      </c>
      <c r="E105" s="25">
        <f>SUMPRODUCT(D93:O93, Q84:Q95)</f>
        <v/>
      </c>
      <c r="F105" s="25">
        <f>SUMPRODUCT(D93:O93, R84:R95)</f>
        <v/>
      </c>
      <c r="G105" s="25">
        <f>SUMPRODUCT(D93:O93, S84:S95)</f>
        <v/>
      </c>
      <c r="H105" s="25">
        <f>SUMPRODUCT(D93:O93, T84:T95)</f>
        <v/>
      </c>
      <c r="I105" s="25">
        <f>SUMPRODUCT(D93:O93, U84:U95)</f>
        <v/>
      </c>
      <c r="J105" s="25">
        <f>SUMPRODUCT(D93:O93, V84:V95)</f>
        <v/>
      </c>
      <c r="K105" s="25">
        <f>SUMPRODUCT(D93:O93, W84:W95)</f>
        <v/>
      </c>
      <c r="L105" s="25">
        <f>SUMPRODUCT(D93:O93, X84:X95)</f>
        <v/>
      </c>
      <c r="M105" s="25">
        <f>SUMPRODUCT(D93:O93, Y84:Y95)</f>
        <v/>
      </c>
      <c r="N105" s="25">
        <f>SUMPRODUCT(D93:O93, Z84:Z95)</f>
        <v/>
      </c>
      <c r="O105" s="25">
        <f>SUMPRODUCT(D93:O93, AA84:AA95)</f>
        <v/>
      </c>
      <c r="P105" s="25">
        <f>SUMPRODUCT(P93:AA93, D96:D107)</f>
        <v/>
      </c>
      <c r="Q105" s="25">
        <f>SUMPRODUCT(P93:AA93, E96:E107)</f>
        <v/>
      </c>
      <c r="R105" s="25">
        <f>SUMPRODUCT(P93:AA93, F96:F107)</f>
        <v/>
      </c>
      <c r="S105" s="25">
        <f>SUMPRODUCT(P93:AA93, G96:G107)</f>
        <v/>
      </c>
      <c r="T105" s="25">
        <f>SUMPRODUCT(P93:AA93, H96:H107)</f>
        <v/>
      </c>
      <c r="U105" s="25">
        <f>SUMPRODUCT(P93:AA93, I96:I107)</f>
        <v/>
      </c>
      <c r="V105" s="25">
        <f>SUMPRODUCT(P93:AA93, J96:J107)</f>
        <v/>
      </c>
      <c r="W105" s="25">
        <f>SUMPRODUCT(P93:AA93, K96:K107)</f>
        <v/>
      </c>
      <c r="X105" s="25">
        <f>SUMPRODUCT(P93:AA93, L96:L107)</f>
        <v/>
      </c>
      <c r="Y105" s="25">
        <f>SUMPRODUCT(P93:AA93, M96:M107)</f>
        <v/>
      </c>
      <c r="Z105" s="25">
        <f>SUMPRODUCT(P93:AA93, N96:N107)</f>
        <v/>
      </c>
      <c r="AA105" s="25">
        <f>SUMPRODUCT(P93:AA93, O96:O107)</f>
        <v/>
      </c>
    </row>
    <row r="106">
      <c r="B106" s="24" t="n">
        <v>0</v>
      </c>
      <c r="C106" s="24">
        <f>SUMPRODUCT(P94:AA94, B96:B107)</f>
        <v/>
      </c>
      <c r="D106" s="25">
        <f>SUMPRODUCT(D94:O94, P84:P95)</f>
        <v/>
      </c>
      <c r="E106" s="25">
        <f>SUMPRODUCT(D94:O94, Q84:Q95)</f>
        <v/>
      </c>
      <c r="F106" s="25">
        <f>SUMPRODUCT(D94:O94, R84:R95)</f>
        <v/>
      </c>
      <c r="G106" s="25">
        <f>SUMPRODUCT(D94:O94, S84:S95)</f>
        <v/>
      </c>
      <c r="H106" s="25">
        <f>SUMPRODUCT(D94:O94, T84:T95)</f>
        <v/>
      </c>
      <c r="I106" s="25">
        <f>SUMPRODUCT(D94:O94, U84:U95)</f>
        <v/>
      </c>
      <c r="J106" s="25">
        <f>SUMPRODUCT(D94:O94, V84:V95)</f>
        <v/>
      </c>
      <c r="K106" s="25">
        <f>SUMPRODUCT(D94:O94, W84:W95)</f>
        <v/>
      </c>
      <c r="L106" s="25">
        <f>SUMPRODUCT(D94:O94, X84:X95)</f>
        <v/>
      </c>
      <c r="M106" s="25">
        <f>SUMPRODUCT(D94:O94, Y84:Y95)</f>
        <v/>
      </c>
      <c r="N106" s="25">
        <f>SUMPRODUCT(D94:O94, Z84:Z95)</f>
        <v/>
      </c>
      <c r="O106" s="25">
        <f>SUMPRODUCT(D94:O94, AA84:AA95)</f>
        <v/>
      </c>
      <c r="P106" s="25">
        <f>SUMPRODUCT(P94:AA94, D96:D107)</f>
        <v/>
      </c>
      <c r="Q106" s="25">
        <f>SUMPRODUCT(P94:AA94, E96:E107)</f>
        <v/>
      </c>
      <c r="R106" s="25">
        <f>SUMPRODUCT(P94:AA94, F96:F107)</f>
        <v/>
      </c>
      <c r="S106" s="25">
        <f>SUMPRODUCT(P94:AA94, G96:G107)</f>
        <v/>
      </c>
      <c r="T106" s="25">
        <f>SUMPRODUCT(P94:AA94, H96:H107)</f>
        <v/>
      </c>
      <c r="U106" s="25">
        <f>SUMPRODUCT(P94:AA94, I96:I107)</f>
        <v/>
      </c>
      <c r="V106" s="25">
        <f>SUMPRODUCT(P94:AA94, J96:J107)</f>
        <v/>
      </c>
      <c r="W106" s="25">
        <f>SUMPRODUCT(P94:AA94, K96:K107)</f>
        <v/>
      </c>
      <c r="X106" s="25">
        <f>SUMPRODUCT(P94:AA94, L96:L107)</f>
        <v/>
      </c>
      <c r="Y106" s="25">
        <f>SUMPRODUCT(P94:AA94, M96:M107)</f>
        <v/>
      </c>
      <c r="Z106" s="25">
        <f>SUMPRODUCT(P94:AA94, N96:N107)</f>
        <v/>
      </c>
      <c r="AA106" s="25">
        <f>SUMPRODUCT(P94:AA94, O96:O107)</f>
        <v/>
      </c>
    </row>
    <row r="107">
      <c r="B107" s="24" t="n">
        <v>0</v>
      </c>
      <c r="C107" s="24">
        <f>SUMPRODUCT(P95:AA95, B96:B107)</f>
        <v/>
      </c>
      <c r="D107" s="25">
        <f>SUMPRODUCT(D95:O95, P84:P95)</f>
        <v/>
      </c>
      <c r="E107" s="25">
        <f>SUMPRODUCT(D95:O95, Q84:Q95)</f>
        <v/>
      </c>
      <c r="F107" s="25">
        <f>SUMPRODUCT(D95:O95, R84:R95)</f>
        <v/>
      </c>
      <c r="G107" s="25">
        <f>SUMPRODUCT(D95:O95, S84:S95)</f>
        <v/>
      </c>
      <c r="H107" s="25">
        <f>SUMPRODUCT(D95:O95, T84:T95)</f>
        <v/>
      </c>
      <c r="I107" s="25">
        <f>SUMPRODUCT(D95:O95, U84:U95)</f>
        <v/>
      </c>
      <c r="J107" s="25">
        <f>SUMPRODUCT(D95:O95, V84:V95)</f>
        <v/>
      </c>
      <c r="K107" s="25">
        <f>SUMPRODUCT(D95:O95, W84:W95)</f>
        <v/>
      </c>
      <c r="L107" s="25">
        <f>SUMPRODUCT(D95:O95, X84:X95)</f>
        <v/>
      </c>
      <c r="M107" s="25">
        <f>SUMPRODUCT(D95:O95, Y84:Y95)</f>
        <v/>
      </c>
      <c r="N107" s="25">
        <f>SUMPRODUCT(D95:O95, Z84:Z95)</f>
        <v/>
      </c>
      <c r="O107" s="25">
        <f>SUMPRODUCT(D95:O95, AA84:AA95)</f>
        <v/>
      </c>
      <c r="P107" s="25">
        <f>SUMPRODUCT(P95:AA95, D96:D107)</f>
        <v/>
      </c>
      <c r="Q107" s="25">
        <f>SUMPRODUCT(P95:AA95, E96:E107)</f>
        <v/>
      </c>
      <c r="R107" s="25">
        <f>SUMPRODUCT(P95:AA95, F96:F107)</f>
        <v/>
      </c>
      <c r="S107" s="25">
        <f>SUMPRODUCT(P95:AA95, G96:G107)</f>
        <v/>
      </c>
      <c r="T107" s="25">
        <f>SUMPRODUCT(P95:AA95, H96:H107)</f>
        <v/>
      </c>
      <c r="U107" s="25">
        <f>SUMPRODUCT(P95:AA95, I96:I107)</f>
        <v/>
      </c>
      <c r="V107" s="25">
        <f>SUMPRODUCT(P95:AA95, J96:J107)</f>
        <v/>
      </c>
      <c r="W107" s="25">
        <f>SUMPRODUCT(P95:AA95, K96:K107)</f>
        <v/>
      </c>
      <c r="X107" s="25">
        <f>SUMPRODUCT(P95:AA95, L96:L107)</f>
        <v/>
      </c>
      <c r="Y107" s="25">
        <f>SUMPRODUCT(P95:AA95, M96:M107)</f>
        <v/>
      </c>
      <c r="Z107" s="25">
        <f>SUMPRODUCT(P95:AA95, N96:N107)</f>
        <v/>
      </c>
      <c r="AA107" s="25">
        <f>SUMPRODUCT(P95:AA95, O96:O107)</f>
        <v/>
      </c>
    </row>
    <row r="109">
      <c r="B109" s="3" t="inlineStr">
        <is>
          <t>ELEMENT 3 ANALYSIS BLOCK</t>
        </is>
      </c>
    </row>
    <row r="110">
      <c r="B110" s="16" t="inlineStr">
        <is>
          <t>Node A ID</t>
        </is>
      </c>
      <c r="C110" s="17">
        <f>Inputs!C32</f>
        <v/>
      </c>
      <c r="D110" s="16" t="inlineStr">
        <is>
          <t>Node B ID</t>
        </is>
      </c>
      <c r="E110" s="17">
        <f>Inputs!D32</f>
        <v/>
      </c>
    </row>
    <row r="111">
      <c r="B111" s="16" t="inlineStr">
        <is>
          <t>Is Active?</t>
        </is>
      </c>
      <c r="C111" s="16">
        <f>AND(C110&lt;&gt;"",E110&lt;&gt;"")</f>
        <v/>
      </c>
    </row>
    <row r="112">
      <c r="B112" s="16" t="inlineStr">
        <is>
          <t>Node A Coord</t>
        </is>
      </c>
      <c r="C112" s="18">
        <f>IF(C111,VLOOKUP(C110,Inputs!$B$17:$E$24,2,FALSE),0.0)</f>
        <v/>
      </c>
      <c r="D112" s="18">
        <f>IF(C111,VLOOKUP(C110,Inputs!$B$17:$E$24,3,FALSE),0.0)</f>
        <v/>
      </c>
      <c r="E112" s="18">
        <f>IF(C111,VLOOKUP(C110,Inputs!$B$17:$E$24,4,FALSE),0.0)</f>
        <v/>
      </c>
      <c r="F112" s="16" t="inlineStr">
        <is>
          <t>Node B Coord</t>
        </is>
      </c>
      <c r="G112" s="18">
        <f>IF(C111,VLOOKUP(E110,Inputs!$B$17:$E$24,2,FALSE),0.0)</f>
        <v/>
      </c>
      <c r="H112" s="18">
        <f>IF(C111,VLOOKUP(E110,Inputs!$B$17:$E$24,3,FALSE),0.0)</f>
        <v/>
      </c>
      <c r="I112" s="18">
        <f>IF(C111,VLOOKUP(E110,Inputs!$B$17:$E$24,4,FALSE),0.0)</f>
        <v/>
      </c>
    </row>
    <row r="113">
      <c r="B113" s="16" t="inlineStr">
        <is>
          <t>deltas dx,dy,dz</t>
        </is>
      </c>
      <c r="C113">
        <f>G112-C112</f>
        <v/>
      </c>
      <c r="D113">
        <f>H112-D112</f>
        <v/>
      </c>
      <c r="E113">
        <f>I112-E112</f>
        <v/>
      </c>
      <c r="F113" s="16" t="inlineStr">
        <is>
          <t>Length L</t>
        </is>
      </c>
      <c r="G113" s="19">
        <f>IF(C111,SQRT(C113^2+D113^2+E113^2),1.0)</f>
        <v/>
      </c>
    </row>
    <row r="114">
      <c r="B114" s="16" t="inlineStr">
        <is>
          <t>dir cosines lx,my,nz</t>
        </is>
      </c>
      <c r="C114">
        <f>C113/G113</f>
        <v/>
      </c>
      <c r="D114">
        <f>D113/G113</f>
        <v/>
      </c>
      <c r="E114">
        <f>E113/G113</f>
        <v/>
      </c>
      <c r="F114" s="16" t="inlineStr">
        <is>
          <t>D_is_zero</t>
        </is>
      </c>
      <c r="G114">
        <f>AND(ABS(C114)&lt;1E-5,ABS(D114)&lt;1E-5)</f>
        <v/>
      </c>
      <c r="H114" s="16" t="inlineStr">
        <is>
          <t>D</t>
        </is>
      </c>
      <c r="I114">
        <f>SQRT(C114^2+D114^2)</f>
        <v/>
      </c>
      <c r="L114" s="16" t="inlineStr">
        <is>
          <t>ROTATION MATRIX lambda</t>
        </is>
      </c>
    </row>
    <row r="115">
      <c r="B115" s="16" t="inlineStr">
        <is>
          <t>Material E, G, alpha</t>
        </is>
      </c>
      <c r="C115">
        <f>VLOOKUP(Inputs!G32,Inputs!$B$7:$H$8,2,FALSE)</f>
        <v/>
      </c>
      <c r="D115">
        <f>VLOOKUP(Inputs!G32,Inputs!$B$7:$H$8,3,FALSE)</f>
        <v/>
      </c>
      <c r="E115">
        <f>VLOOKUP(Inputs!G32,Inputs!$B$7:$H$8,4,FALSE)</f>
        <v/>
      </c>
      <c r="L115" s="20">
        <f>C114</f>
        <v/>
      </c>
      <c r="M115" s="20">
        <f>D114</f>
        <v/>
      </c>
      <c r="N115" s="20">
        <f>E114</f>
        <v/>
      </c>
    </row>
    <row r="116">
      <c r="B116" s="16" t="inlineStr">
        <is>
          <t>Section OD, t</t>
        </is>
      </c>
      <c r="C116">
        <f>VLOOKUP(Inputs!H32,Inputs!$B$12:$H$13,2,FALSE)</f>
        <v/>
      </c>
      <c r="D116">
        <f>VLOOKUP(Inputs!H32,Inputs!$B$12:$H$13,3,FALSE)</f>
        <v/>
      </c>
      <c r="L116" s="20">
        <f>IF(G114,0,-D114/I114)</f>
        <v/>
      </c>
      <c r="M116" s="20">
        <f>IF(G114,IF(E114&gt;0,1,-1),C114/I114)</f>
        <v/>
      </c>
      <c r="N116" s="20" t="n">
        <v>0</v>
      </c>
    </row>
    <row r="117">
      <c r="B117" s="16" t="inlineStr">
        <is>
          <t>ro, ri</t>
        </is>
      </c>
      <c r="C117">
        <f>C116/2</f>
        <v/>
      </c>
      <c r="D117">
        <f>C117-D116</f>
        <v/>
      </c>
      <c r="E117" s="16" t="inlineStr">
        <is>
          <t>Area A</t>
        </is>
      </c>
      <c r="F117">
        <f>PI()*(C117^2-D117^2)</f>
        <v/>
      </c>
      <c r="L117" s="20">
        <f>IF(G114,IF(E114&gt;0,-1,1),-C114*E114/I114)</f>
        <v/>
      </c>
      <c r="M117" s="20">
        <f>IF(G114,0,-D114*E114/I114)</f>
        <v/>
      </c>
      <c r="N117" s="20">
        <f>IF(G114,0,I114)</f>
        <v/>
      </c>
    </row>
    <row r="118">
      <c r="B118" s="16" t="inlineStr">
        <is>
          <t>Inertia I, J</t>
        </is>
      </c>
      <c r="C118">
        <f>(PI()/4)*(C117^4-D117^4)</f>
        <v/>
      </c>
      <c r="D118">
        <f>C118*2</f>
        <v/>
      </c>
      <c r="E118" s="16" t="inlineStr">
        <is>
          <t>Flex Factor k</t>
        </is>
      </c>
      <c r="F118">
        <f>IF(Inputs!E32="bend",IF(Inputs!F32&lt;&gt;"",MAX(1.0,1.65/((D116*Inputs!F32)/(((C116-D116)/2)^2))),1.0),1.0)</f>
        <v/>
      </c>
    </row>
    <row r="119">
      <c r="D119" s="21">
        <f>IF(C111,$C$115*$F$117/$G$113,0)</f>
        <v/>
      </c>
      <c r="E119" s="21" t="n">
        <v>0</v>
      </c>
      <c r="F119" s="21" t="n">
        <v>0</v>
      </c>
      <c r="G119" s="21" t="n">
        <v>0</v>
      </c>
      <c r="H119" s="21" t="n">
        <v>0</v>
      </c>
      <c r="I119" s="21" t="n">
        <v>0</v>
      </c>
      <c r="J119" s="21">
        <f>-D119</f>
        <v/>
      </c>
      <c r="K119" s="21" t="n">
        <v>0</v>
      </c>
      <c r="L119" s="21" t="n">
        <v>0</v>
      </c>
      <c r="M119" s="21" t="n">
        <v>0</v>
      </c>
      <c r="N119" s="21" t="n">
        <v>0</v>
      </c>
      <c r="O119" s="21" t="n">
        <v>0</v>
      </c>
      <c r="P119" s="22">
        <f>L115</f>
        <v/>
      </c>
      <c r="Q119" s="22">
        <f>M115</f>
        <v/>
      </c>
      <c r="R119" s="22">
        <f>N115</f>
        <v/>
      </c>
      <c r="S119" s="22" t="n">
        <v>0</v>
      </c>
      <c r="T119" s="22" t="n">
        <v>0</v>
      </c>
      <c r="U119" s="22" t="n">
        <v>0</v>
      </c>
      <c r="V119" s="22" t="n">
        <v>0</v>
      </c>
      <c r="W119" s="22" t="n">
        <v>0</v>
      </c>
      <c r="X119" s="22" t="n">
        <v>0</v>
      </c>
      <c r="Y119" s="22" t="n">
        <v>0</v>
      </c>
      <c r="Z119" s="22" t="n">
        <v>0</v>
      </c>
      <c r="AA119" s="22" t="n">
        <v>0</v>
      </c>
      <c r="AG119" s="23">
        <f>INDEX(Global_Solver!$BC$5:$BC$52, 6*C110+1, 1)</f>
        <v/>
      </c>
      <c r="AH119" s="23">
        <f>SUMPRODUCT(P119:AA119, AG119:AG130)</f>
        <v/>
      </c>
      <c r="AI119" s="24">
        <f>SUMPRODUCT(D119:O119, AH119:AH130)-B131</f>
        <v/>
      </c>
    </row>
    <row r="120">
      <c r="D120" s="21" t="n">
        <v>0</v>
      </c>
      <c r="E120" s="21">
        <f>IF(C111,=(12*$C$115*($C$118/$F$118))/($G$113^3),0)</f>
        <v/>
      </c>
      <c r="F120" s="21" t="n">
        <v>0</v>
      </c>
      <c r="G120" s="21" t="n">
        <v>0</v>
      </c>
      <c r="H120" s="21" t="n">
        <v>0</v>
      </c>
      <c r="I120" s="21">
        <f>IF(C111,=(6*$C$115*($C$118/$F$118))/($G$113^2),0)</f>
        <v/>
      </c>
      <c r="J120" s="21" t="n">
        <v>0</v>
      </c>
      <c r="K120" s="21">
        <f>-E120</f>
        <v/>
      </c>
      <c r="L120" s="21" t="n">
        <v>0</v>
      </c>
      <c r="M120" s="21" t="n">
        <v>0</v>
      </c>
      <c r="N120" s="21" t="n">
        <v>0</v>
      </c>
      <c r="O120" s="21">
        <f>I120</f>
        <v/>
      </c>
      <c r="P120" s="22">
        <f>L116</f>
        <v/>
      </c>
      <c r="Q120" s="22">
        <f>M116</f>
        <v/>
      </c>
      <c r="R120" s="22">
        <f>N116</f>
        <v/>
      </c>
      <c r="S120" s="22" t="n">
        <v>0</v>
      </c>
      <c r="T120" s="22" t="n">
        <v>0</v>
      </c>
      <c r="U120" s="22" t="n">
        <v>0</v>
      </c>
      <c r="V120" s="22" t="n">
        <v>0</v>
      </c>
      <c r="W120" s="22" t="n">
        <v>0</v>
      </c>
      <c r="X120" s="22" t="n">
        <v>0</v>
      </c>
      <c r="Y120" s="22" t="n">
        <v>0</v>
      </c>
      <c r="Z120" s="22" t="n">
        <v>0</v>
      </c>
      <c r="AA120" s="22" t="n">
        <v>0</v>
      </c>
      <c r="AG120" s="23">
        <f>INDEX(Global_Solver!$BC$5:$BC$52, 6*C110+2, 1)</f>
        <v/>
      </c>
      <c r="AH120" s="23">
        <f>SUMPRODUCT(P120:AA120, AG119:AG130)</f>
        <v/>
      </c>
      <c r="AI120" s="24">
        <f>SUMPRODUCT(D120:O120, AH119:AH130)-B132</f>
        <v/>
      </c>
    </row>
    <row r="121">
      <c r="D121" s="21" t="n">
        <v>0</v>
      </c>
      <c r="E121" s="21" t="n">
        <v>0</v>
      </c>
      <c r="F121" s="21">
        <f>IF(C111,=(12*$C$115*($C$118/$F$118))/($G$113^3),0)</f>
        <v/>
      </c>
      <c r="G121" s="21" t="n">
        <v>0</v>
      </c>
      <c r="H121" s="21">
        <f>IF(C111,-=(6*$C$115*($C$118/$F$118))/($G$113^2),0)</f>
        <v/>
      </c>
      <c r="I121" s="21" t="n">
        <v>0</v>
      </c>
      <c r="J121" s="21" t="n">
        <v>0</v>
      </c>
      <c r="K121" s="21" t="n">
        <v>0</v>
      </c>
      <c r="L121" s="21">
        <f>-F121</f>
        <v/>
      </c>
      <c r="M121" s="21" t="n">
        <v>0</v>
      </c>
      <c r="N121" s="21">
        <f>H121</f>
        <v/>
      </c>
      <c r="O121" s="21" t="n">
        <v>0</v>
      </c>
      <c r="P121" s="22">
        <f>L117</f>
        <v/>
      </c>
      <c r="Q121" s="22">
        <f>M117</f>
        <v/>
      </c>
      <c r="R121" s="22">
        <f>N117</f>
        <v/>
      </c>
      <c r="S121" s="22" t="n">
        <v>0</v>
      </c>
      <c r="T121" s="22" t="n">
        <v>0</v>
      </c>
      <c r="U121" s="22" t="n">
        <v>0</v>
      </c>
      <c r="V121" s="22" t="n">
        <v>0</v>
      </c>
      <c r="W121" s="22" t="n">
        <v>0</v>
      </c>
      <c r="X121" s="22" t="n">
        <v>0</v>
      </c>
      <c r="Y121" s="22" t="n">
        <v>0</v>
      </c>
      <c r="Z121" s="22" t="n">
        <v>0</v>
      </c>
      <c r="AA121" s="22" t="n">
        <v>0</v>
      </c>
      <c r="AG121" s="23">
        <f>INDEX(Global_Solver!$BC$5:$BC$52, 6*C110+3, 1)</f>
        <v/>
      </c>
      <c r="AH121" s="23">
        <f>SUMPRODUCT(P121:AA121, AG119:AG130)</f>
        <v/>
      </c>
      <c r="AI121" s="24">
        <f>SUMPRODUCT(D121:O121, AH119:AH130)-B133</f>
        <v/>
      </c>
    </row>
    <row r="122">
      <c r="D122" s="21" t="n">
        <v>0</v>
      </c>
      <c r="E122" s="21" t="n">
        <v>0</v>
      </c>
      <c r="F122" s="21" t="n">
        <v>0</v>
      </c>
      <c r="G122" s="21">
        <f>IF(C111,$D$115*$D$118/$G$113,0)</f>
        <v/>
      </c>
      <c r="H122" s="21" t="n">
        <v>0</v>
      </c>
      <c r="I122" s="21" t="n">
        <v>0</v>
      </c>
      <c r="J122" s="21" t="n">
        <v>0</v>
      </c>
      <c r="K122" s="21" t="n">
        <v>0</v>
      </c>
      <c r="L122" s="21" t="n">
        <v>0</v>
      </c>
      <c r="M122" s="21">
        <f>-G122</f>
        <v/>
      </c>
      <c r="N122" s="21" t="n">
        <v>0</v>
      </c>
      <c r="O122" s="21" t="n">
        <v>0</v>
      </c>
      <c r="P122" s="22" t="n">
        <v>0</v>
      </c>
      <c r="Q122" s="22" t="n">
        <v>0</v>
      </c>
      <c r="R122" s="22" t="n">
        <v>0</v>
      </c>
      <c r="S122" s="22">
        <f>L115</f>
        <v/>
      </c>
      <c r="T122" s="22">
        <f>M115</f>
        <v/>
      </c>
      <c r="U122" s="22">
        <f>N115</f>
        <v/>
      </c>
      <c r="V122" s="22" t="n">
        <v>0</v>
      </c>
      <c r="W122" s="22" t="n">
        <v>0</v>
      </c>
      <c r="X122" s="22" t="n">
        <v>0</v>
      </c>
      <c r="Y122" s="22" t="n">
        <v>0</v>
      </c>
      <c r="Z122" s="22" t="n">
        <v>0</v>
      </c>
      <c r="AA122" s="22" t="n">
        <v>0</v>
      </c>
      <c r="AG122" s="23">
        <f>INDEX(Global_Solver!$BC$5:$BC$52, 6*C110+4, 1)</f>
        <v/>
      </c>
      <c r="AH122" s="23">
        <f>SUMPRODUCT(P122:AA122, AG119:AG130)</f>
        <v/>
      </c>
      <c r="AI122" s="24">
        <f>SUMPRODUCT(D122:O122, AH119:AH130)-B134</f>
        <v/>
      </c>
    </row>
    <row r="123">
      <c r="D123" s="21" t="n">
        <v>0</v>
      </c>
      <c r="E123" s="21" t="n">
        <v>0</v>
      </c>
      <c r="F123" s="21">
        <f>H121</f>
        <v/>
      </c>
      <c r="G123" s="21" t="n">
        <v>0</v>
      </c>
      <c r="H123" s="21">
        <f>IF(C111,=(4*$C$115*($C$118/$F$118))/$G$113,0)</f>
        <v/>
      </c>
      <c r="I123" s="21" t="n">
        <v>0</v>
      </c>
      <c r="J123" s="21" t="n">
        <v>0</v>
      </c>
      <c r="K123" s="21" t="n">
        <v>0</v>
      </c>
      <c r="L123" s="21">
        <f>-H121</f>
        <v/>
      </c>
      <c r="M123" s="21" t="n">
        <v>0</v>
      </c>
      <c r="N123" s="21">
        <f>IF(C111,=(2*$C$115*($C$118/$F$118))/$G$113,0)</f>
        <v/>
      </c>
      <c r="O123" s="21" t="n">
        <v>0</v>
      </c>
      <c r="P123" s="22" t="n">
        <v>0</v>
      </c>
      <c r="Q123" s="22" t="n">
        <v>0</v>
      </c>
      <c r="R123" s="22" t="n">
        <v>0</v>
      </c>
      <c r="S123" s="22">
        <f>L116</f>
        <v/>
      </c>
      <c r="T123" s="22">
        <f>M116</f>
        <v/>
      </c>
      <c r="U123" s="22">
        <f>N116</f>
        <v/>
      </c>
      <c r="V123" s="22" t="n">
        <v>0</v>
      </c>
      <c r="W123" s="22" t="n">
        <v>0</v>
      </c>
      <c r="X123" s="22" t="n">
        <v>0</v>
      </c>
      <c r="Y123" s="22" t="n">
        <v>0</v>
      </c>
      <c r="Z123" s="22" t="n">
        <v>0</v>
      </c>
      <c r="AA123" s="22" t="n">
        <v>0</v>
      </c>
      <c r="AG123" s="23">
        <f>INDEX(Global_Solver!$BC$5:$BC$52, 6*C110+5, 1)</f>
        <v/>
      </c>
      <c r="AH123" s="23">
        <f>SUMPRODUCT(P123:AA123, AG119:AG130)</f>
        <v/>
      </c>
      <c r="AI123" s="24">
        <f>SUMPRODUCT(D123:O123, AH119:AH130)-B135</f>
        <v/>
      </c>
    </row>
    <row r="124">
      <c r="D124" s="21" t="n">
        <v>0</v>
      </c>
      <c r="E124" s="21">
        <f>I120</f>
        <v/>
      </c>
      <c r="F124" s="21" t="n">
        <v>0</v>
      </c>
      <c r="G124" s="21" t="n">
        <v>0</v>
      </c>
      <c r="H124" s="21" t="n">
        <v>0</v>
      </c>
      <c r="I124" s="21">
        <f>IF(C111,=(4*$C$115*($C$118/$F$118))/$G$113,0)</f>
        <v/>
      </c>
      <c r="J124" s="21" t="n">
        <v>0</v>
      </c>
      <c r="K124" s="21">
        <f>-I120</f>
        <v/>
      </c>
      <c r="L124" s="21" t="n">
        <v>0</v>
      </c>
      <c r="M124" s="21" t="n">
        <v>0</v>
      </c>
      <c r="N124" s="21" t="n">
        <v>0</v>
      </c>
      <c r="O124" s="21">
        <f>IF(C111,=(2*$C$115*($C$118/$F$118))/$G$113,0)</f>
        <v/>
      </c>
      <c r="P124" s="22" t="n">
        <v>0</v>
      </c>
      <c r="Q124" s="22" t="n">
        <v>0</v>
      </c>
      <c r="R124" s="22" t="n">
        <v>0</v>
      </c>
      <c r="S124" s="22">
        <f>L117</f>
        <v/>
      </c>
      <c r="T124" s="22">
        <f>M117</f>
        <v/>
      </c>
      <c r="U124" s="22">
        <f>N117</f>
        <v/>
      </c>
      <c r="V124" s="22" t="n">
        <v>0</v>
      </c>
      <c r="W124" s="22" t="n">
        <v>0</v>
      </c>
      <c r="X124" s="22" t="n">
        <v>0</v>
      </c>
      <c r="Y124" s="22" t="n">
        <v>0</v>
      </c>
      <c r="Z124" s="22" t="n">
        <v>0</v>
      </c>
      <c r="AA124" s="22" t="n">
        <v>0</v>
      </c>
      <c r="AG124" s="23">
        <f>INDEX(Global_Solver!$BC$5:$BC$52, 6*C110+6, 1)</f>
        <v/>
      </c>
      <c r="AH124" s="23">
        <f>SUMPRODUCT(P124:AA124, AG119:AG130)</f>
        <v/>
      </c>
      <c r="AI124" s="24">
        <f>SUMPRODUCT(D124:O124, AH119:AH130)-B136</f>
        <v/>
      </c>
    </row>
    <row r="125">
      <c r="D125" s="21">
        <f>J119</f>
        <v/>
      </c>
      <c r="E125" s="21" t="n">
        <v>0</v>
      </c>
      <c r="F125" s="21" t="n">
        <v>0</v>
      </c>
      <c r="G125" s="21" t="n">
        <v>0</v>
      </c>
      <c r="H125" s="21" t="n">
        <v>0</v>
      </c>
      <c r="I125" s="21" t="n">
        <v>0</v>
      </c>
      <c r="J125" s="21">
        <f>-J119</f>
        <v/>
      </c>
      <c r="K125" s="21" t="n">
        <v>0</v>
      </c>
      <c r="L125" s="21" t="n">
        <v>0</v>
      </c>
      <c r="M125" s="21" t="n">
        <v>0</v>
      </c>
      <c r="N125" s="21" t="n">
        <v>0</v>
      </c>
      <c r="O125" s="21" t="n">
        <v>0</v>
      </c>
      <c r="P125" s="22" t="n">
        <v>0</v>
      </c>
      <c r="Q125" s="22" t="n">
        <v>0</v>
      </c>
      <c r="R125" s="22" t="n">
        <v>0</v>
      </c>
      <c r="S125" s="22" t="n">
        <v>0</v>
      </c>
      <c r="T125" s="22" t="n">
        <v>0</v>
      </c>
      <c r="U125" s="22" t="n">
        <v>0</v>
      </c>
      <c r="V125" s="22">
        <f>L115</f>
        <v/>
      </c>
      <c r="W125" s="22">
        <f>M115</f>
        <v/>
      </c>
      <c r="X125" s="22">
        <f>N115</f>
        <v/>
      </c>
      <c r="Y125" s="22" t="n">
        <v>0</v>
      </c>
      <c r="Z125" s="22" t="n">
        <v>0</v>
      </c>
      <c r="AA125" s="22" t="n">
        <v>0</v>
      </c>
      <c r="AG125" s="23">
        <f>INDEX(Global_Solver!$BC$5:$BC$52, 6*E110+1, 1)</f>
        <v/>
      </c>
      <c r="AH125" s="23">
        <f>SUMPRODUCT(P125:AA125, AG119:AG130)</f>
        <v/>
      </c>
      <c r="AI125" s="24">
        <f>SUMPRODUCT(D125:O125, AH119:AH130)-B137</f>
        <v/>
      </c>
    </row>
    <row r="126">
      <c r="D126" s="21" t="n">
        <v>0</v>
      </c>
      <c r="E126" s="21">
        <f>K120</f>
        <v/>
      </c>
      <c r="F126" s="21" t="n">
        <v>0</v>
      </c>
      <c r="G126" s="21" t="n">
        <v>0</v>
      </c>
      <c r="H126" s="21" t="n">
        <v>0</v>
      </c>
      <c r="I126" s="21">
        <f>K124</f>
        <v/>
      </c>
      <c r="J126" s="21" t="n">
        <v>0</v>
      </c>
      <c r="K126" s="21">
        <f>E120</f>
        <v/>
      </c>
      <c r="L126" s="21" t="n">
        <v>0</v>
      </c>
      <c r="M126" s="21" t="n">
        <v>0</v>
      </c>
      <c r="N126" s="21" t="n">
        <v>0</v>
      </c>
      <c r="O126" s="21">
        <f>-I120</f>
        <v/>
      </c>
      <c r="P126" s="22" t="n">
        <v>0</v>
      </c>
      <c r="Q126" s="22" t="n">
        <v>0</v>
      </c>
      <c r="R126" s="22" t="n">
        <v>0</v>
      </c>
      <c r="S126" s="22" t="n">
        <v>0</v>
      </c>
      <c r="T126" s="22" t="n">
        <v>0</v>
      </c>
      <c r="U126" s="22" t="n">
        <v>0</v>
      </c>
      <c r="V126" s="22">
        <f>L116</f>
        <v/>
      </c>
      <c r="W126" s="22">
        <f>M116</f>
        <v/>
      </c>
      <c r="X126" s="22">
        <f>N116</f>
        <v/>
      </c>
      <c r="Y126" s="22" t="n">
        <v>0</v>
      </c>
      <c r="Z126" s="22" t="n">
        <v>0</v>
      </c>
      <c r="AA126" s="22" t="n">
        <v>0</v>
      </c>
      <c r="AG126" s="23">
        <f>INDEX(Global_Solver!$BC$5:$BC$52, 6*E110+2, 1)</f>
        <v/>
      </c>
      <c r="AH126" s="23">
        <f>SUMPRODUCT(P126:AA126, AG119:AG130)</f>
        <v/>
      </c>
      <c r="AI126" s="24">
        <f>SUMPRODUCT(D126:O126, AH119:AH130)-B138</f>
        <v/>
      </c>
    </row>
    <row r="127">
      <c r="D127" s="21" t="n">
        <v>0</v>
      </c>
      <c r="E127" s="21" t="n">
        <v>0</v>
      </c>
      <c r="F127" s="21">
        <f>L121</f>
        <v/>
      </c>
      <c r="G127" s="21" t="n">
        <v>0</v>
      </c>
      <c r="H127" s="21">
        <f>L123</f>
        <v/>
      </c>
      <c r="I127" s="21" t="n">
        <v>0</v>
      </c>
      <c r="J127" s="21" t="n">
        <v>0</v>
      </c>
      <c r="K127" s="21" t="n">
        <v>0</v>
      </c>
      <c r="L127" s="21">
        <f>F121</f>
        <v/>
      </c>
      <c r="M127" s="21" t="n">
        <v>0</v>
      </c>
      <c r="N127" s="21">
        <f>-H121</f>
        <v/>
      </c>
      <c r="O127" s="21" t="n">
        <v>0</v>
      </c>
      <c r="P127" s="22" t="n">
        <v>0</v>
      </c>
      <c r="Q127" s="22" t="n">
        <v>0</v>
      </c>
      <c r="R127" s="22" t="n">
        <v>0</v>
      </c>
      <c r="S127" s="22" t="n">
        <v>0</v>
      </c>
      <c r="T127" s="22" t="n">
        <v>0</v>
      </c>
      <c r="U127" s="22" t="n">
        <v>0</v>
      </c>
      <c r="V127" s="22">
        <f>L117</f>
        <v/>
      </c>
      <c r="W127" s="22">
        <f>M117</f>
        <v/>
      </c>
      <c r="X127" s="22">
        <f>N117</f>
        <v/>
      </c>
      <c r="Y127" s="22" t="n">
        <v>0</v>
      </c>
      <c r="Z127" s="22" t="n">
        <v>0</v>
      </c>
      <c r="AA127" s="22" t="n">
        <v>0</v>
      </c>
      <c r="AG127" s="23">
        <f>INDEX(Global_Solver!$BC$5:$BC$52, 6*E110+3, 1)</f>
        <v/>
      </c>
      <c r="AH127" s="23">
        <f>SUMPRODUCT(P127:AA127, AG119:AG130)</f>
        <v/>
      </c>
      <c r="AI127" s="24">
        <f>SUMPRODUCT(D127:O127, AH119:AH130)-B139</f>
        <v/>
      </c>
    </row>
    <row r="128">
      <c r="D128" s="21" t="n">
        <v>0</v>
      </c>
      <c r="E128" s="21" t="n">
        <v>0</v>
      </c>
      <c r="F128" s="21" t="n">
        <v>0</v>
      </c>
      <c r="G128" s="21">
        <f>M122</f>
        <v/>
      </c>
      <c r="H128" s="21" t="n">
        <v>0</v>
      </c>
      <c r="I128" s="21" t="n">
        <v>0</v>
      </c>
      <c r="J128" s="21" t="n">
        <v>0</v>
      </c>
      <c r="K128" s="21" t="n">
        <v>0</v>
      </c>
      <c r="L128" s="21" t="n">
        <v>0</v>
      </c>
      <c r="M128" s="21">
        <f>-M122</f>
        <v/>
      </c>
      <c r="N128" s="21" t="n">
        <v>0</v>
      </c>
      <c r="O128" s="21" t="n">
        <v>0</v>
      </c>
      <c r="P128" s="22" t="n">
        <v>0</v>
      </c>
      <c r="Q128" s="22" t="n">
        <v>0</v>
      </c>
      <c r="R128" s="22" t="n">
        <v>0</v>
      </c>
      <c r="S128" s="22" t="n">
        <v>0</v>
      </c>
      <c r="T128" s="22" t="n">
        <v>0</v>
      </c>
      <c r="U128" s="22" t="n">
        <v>0</v>
      </c>
      <c r="V128" s="22" t="n">
        <v>0</v>
      </c>
      <c r="W128" s="22" t="n">
        <v>0</v>
      </c>
      <c r="X128" s="22" t="n">
        <v>0</v>
      </c>
      <c r="Y128" s="22">
        <f>L115</f>
        <v/>
      </c>
      <c r="Z128" s="22">
        <f>M115</f>
        <v/>
      </c>
      <c r="AA128" s="22">
        <f>N115</f>
        <v/>
      </c>
      <c r="AG128" s="23">
        <f>INDEX(Global_Solver!$BC$5:$BC$52, 6*E110+4, 1)</f>
        <v/>
      </c>
      <c r="AH128" s="23">
        <f>SUMPRODUCT(P128:AA128, AG119:AG130)</f>
        <v/>
      </c>
      <c r="AI128" s="24">
        <f>SUMPRODUCT(D128:O128, AH119:AH130)-B140</f>
        <v/>
      </c>
    </row>
    <row r="129">
      <c r="D129" s="21" t="n">
        <v>0</v>
      </c>
      <c r="E129" s="21" t="n">
        <v>0</v>
      </c>
      <c r="F129" s="21">
        <f>N121</f>
        <v/>
      </c>
      <c r="G129" s="21" t="n">
        <v>0</v>
      </c>
      <c r="H129" s="21">
        <f>N123</f>
        <v/>
      </c>
      <c r="I129" s="21" t="n">
        <v>0</v>
      </c>
      <c r="J129" s="21" t="n">
        <v>0</v>
      </c>
      <c r="K129" s="21" t="n">
        <v>0</v>
      </c>
      <c r="L129" s="21">
        <f>L127</f>
        <v/>
      </c>
      <c r="M129" s="21" t="n">
        <v>0</v>
      </c>
      <c r="N129" s="21">
        <f>H123</f>
        <v/>
      </c>
      <c r="O129" s="21" t="n">
        <v>0</v>
      </c>
      <c r="P129" s="22" t="n">
        <v>0</v>
      </c>
      <c r="Q129" s="22" t="n">
        <v>0</v>
      </c>
      <c r="R129" s="22" t="n">
        <v>0</v>
      </c>
      <c r="S129" s="22" t="n">
        <v>0</v>
      </c>
      <c r="T129" s="22" t="n">
        <v>0</v>
      </c>
      <c r="U129" s="22" t="n">
        <v>0</v>
      </c>
      <c r="V129" s="22" t="n">
        <v>0</v>
      </c>
      <c r="W129" s="22" t="n">
        <v>0</v>
      </c>
      <c r="X129" s="22" t="n">
        <v>0</v>
      </c>
      <c r="Y129" s="22">
        <f>L116</f>
        <v/>
      </c>
      <c r="Z129" s="22">
        <f>M116</f>
        <v/>
      </c>
      <c r="AA129" s="22">
        <f>N116</f>
        <v/>
      </c>
      <c r="AG129" s="23">
        <f>INDEX(Global_Solver!$BC$5:$BC$52, 6*E110+5, 1)</f>
        <v/>
      </c>
      <c r="AH129" s="23">
        <f>SUMPRODUCT(P129:AA129, AG119:AG130)</f>
        <v/>
      </c>
      <c r="AI129" s="24">
        <f>SUMPRODUCT(D129:O129, AH119:AH130)-B141</f>
        <v/>
      </c>
    </row>
    <row r="130">
      <c r="D130" s="21" t="n">
        <v>0</v>
      </c>
      <c r="E130" s="21">
        <f>O120</f>
        <v/>
      </c>
      <c r="F130" s="21" t="n">
        <v>0</v>
      </c>
      <c r="G130" s="21" t="n">
        <v>0</v>
      </c>
      <c r="H130" s="21" t="n">
        <v>0</v>
      </c>
      <c r="I130" s="21">
        <f>O124</f>
        <v/>
      </c>
      <c r="J130" s="21" t="n">
        <v>0</v>
      </c>
      <c r="K130" s="21">
        <f>K126</f>
        <v/>
      </c>
      <c r="L130" s="21" t="n">
        <v>0</v>
      </c>
      <c r="M130" s="21" t="n">
        <v>0</v>
      </c>
      <c r="N130" s="21" t="n">
        <v>0</v>
      </c>
      <c r="O130" s="21">
        <f>I124</f>
        <v/>
      </c>
      <c r="P130" s="22" t="n">
        <v>0</v>
      </c>
      <c r="Q130" s="22" t="n">
        <v>0</v>
      </c>
      <c r="R130" s="22" t="n">
        <v>0</v>
      </c>
      <c r="S130" s="22" t="n">
        <v>0</v>
      </c>
      <c r="T130" s="22" t="n">
        <v>0</v>
      </c>
      <c r="U130" s="22" t="n">
        <v>0</v>
      </c>
      <c r="V130" s="22" t="n">
        <v>0</v>
      </c>
      <c r="W130" s="22" t="n">
        <v>0</v>
      </c>
      <c r="X130" s="22" t="n">
        <v>0</v>
      </c>
      <c r="Y130" s="22">
        <f>L117</f>
        <v/>
      </c>
      <c r="Z130" s="22">
        <f>M117</f>
        <v/>
      </c>
      <c r="AA130" s="22">
        <f>N117</f>
        <v/>
      </c>
      <c r="AG130" s="23">
        <f>INDEX(Global_Solver!$BC$5:$BC$52, 6*E110+6, 1)</f>
        <v/>
      </c>
      <c r="AH130" s="23">
        <f>SUMPRODUCT(P130:AA130, AG119:AG130)</f>
        <v/>
      </c>
      <c r="AI130" s="24">
        <f>SUMPRODUCT(D130:O130, AH119:AH130)-B142</f>
        <v/>
      </c>
    </row>
    <row r="131">
      <c r="B131" s="24">
        <f>IF(C111,-C115*F117*E115*Inputs!$K$11,0)</f>
        <v/>
      </c>
      <c r="C131" s="24">
        <f>SUMPRODUCT(P119:AA119, B131:B142)</f>
        <v/>
      </c>
      <c r="D131" s="25">
        <f>SUMPRODUCT(D119:O119, P119:P130)</f>
        <v/>
      </c>
      <c r="E131" s="25">
        <f>SUMPRODUCT(D119:O119, Q119:Q130)</f>
        <v/>
      </c>
      <c r="F131" s="25">
        <f>SUMPRODUCT(D119:O119, R119:R130)</f>
        <v/>
      </c>
      <c r="G131" s="25">
        <f>SUMPRODUCT(D119:O119, S119:S130)</f>
        <v/>
      </c>
      <c r="H131" s="25">
        <f>SUMPRODUCT(D119:O119, T119:T130)</f>
        <v/>
      </c>
      <c r="I131" s="25">
        <f>SUMPRODUCT(D119:O119, U119:U130)</f>
        <v/>
      </c>
      <c r="J131" s="25">
        <f>SUMPRODUCT(D119:O119, V119:V130)</f>
        <v/>
      </c>
      <c r="K131" s="25">
        <f>SUMPRODUCT(D119:O119, W119:W130)</f>
        <v/>
      </c>
      <c r="L131" s="25">
        <f>SUMPRODUCT(D119:O119, X119:X130)</f>
        <v/>
      </c>
      <c r="M131" s="25">
        <f>SUMPRODUCT(D119:O119, Y119:Y130)</f>
        <v/>
      </c>
      <c r="N131" s="25">
        <f>SUMPRODUCT(D119:O119, Z119:Z130)</f>
        <v/>
      </c>
      <c r="O131" s="25">
        <f>SUMPRODUCT(D119:O119, AA119:AA130)</f>
        <v/>
      </c>
      <c r="P131" s="25">
        <f>SUMPRODUCT(P119:AA119, D131:D142)</f>
        <v/>
      </c>
      <c r="Q131" s="25">
        <f>SUMPRODUCT(P119:AA119, E131:E142)</f>
        <v/>
      </c>
      <c r="R131" s="25">
        <f>SUMPRODUCT(P119:AA119, F131:F142)</f>
        <v/>
      </c>
      <c r="S131" s="25">
        <f>SUMPRODUCT(P119:AA119, G131:G142)</f>
        <v/>
      </c>
      <c r="T131" s="25">
        <f>SUMPRODUCT(P119:AA119, H131:H142)</f>
        <v/>
      </c>
      <c r="U131" s="25">
        <f>SUMPRODUCT(P119:AA119, I131:I142)</f>
        <v/>
      </c>
      <c r="V131" s="25">
        <f>SUMPRODUCT(P119:AA119, J131:J142)</f>
        <v/>
      </c>
      <c r="W131" s="25">
        <f>SUMPRODUCT(P119:AA119, K131:K142)</f>
        <v/>
      </c>
      <c r="X131" s="25">
        <f>SUMPRODUCT(P119:AA119, L131:L142)</f>
        <v/>
      </c>
      <c r="Y131" s="25">
        <f>SUMPRODUCT(P119:AA119, M131:M142)</f>
        <v/>
      </c>
      <c r="Z131" s="25">
        <f>SUMPRODUCT(P119:AA119, N131:N142)</f>
        <v/>
      </c>
      <c r="AA131" s="25">
        <f>SUMPRODUCT(P119:AA119, O131:O142)</f>
        <v/>
      </c>
    </row>
    <row r="132">
      <c r="B132" s="24" t="n">
        <v>0</v>
      </c>
      <c r="C132" s="24">
        <f>SUMPRODUCT(P120:AA120, B131:B142)</f>
        <v/>
      </c>
      <c r="D132" s="25">
        <f>SUMPRODUCT(D120:O120, P119:P130)</f>
        <v/>
      </c>
      <c r="E132" s="25">
        <f>SUMPRODUCT(D120:O120, Q119:Q130)</f>
        <v/>
      </c>
      <c r="F132" s="25">
        <f>SUMPRODUCT(D120:O120, R119:R130)</f>
        <v/>
      </c>
      <c r="G132" s="25">
        <f>SUMPRODUCT(D120:O120, S119:S130)</f>
        <v/>
      </c>
      <c r="H132" s="25">
        <f>SUMPRODUCT(D120:O120, T119:T130)</f>
        <v/>
      </c>
      <c r="I132" s="25">
        <f>SUMPRODUCT(D120:O120, U119:U130)</f>
        <v/>
      </c>
      <c r="J132" s="25">
        <f>SUMPRODUCT(D120:O120, V119:V130)</f>
        <v/>
      </c>
      <c r="K132" s="25">
        <f>SUMPRODUCT(D120:O120, W119:W130)</f>
        <v/>
      </c>
      <c r="L132" s="25">
        <f>SUMPRODUCT(D120:O120, X119:X130)</f>
        <v/>
      </c>
      <c r="M132" s="25">
        <f>SUMPRODUCT(D120:O120, Y119:Y130)</f>
        <v/>
      </c>
      <c r="N132" s="25">
        <f>SUMPRODUCT(D120:O120, Z119:Z130)</f>
        <v/>
      </c>
      <c r="O132" s="25">
        <f>SUMPRODUCT(D120:O120, AA119:AA130)</f>
        <v/>
      </c>
      <c r="P132" s="25">
        <f>SUMPRODUCT(P120:AA120, D131:D142)</f>
        <v/>
      </c>
      <c r="Q132" s="25">
        <f>SUMPRODUCT(P120:AA120, E131:E142)</f>
        <v/>
      </c>
      <c r="R132" s="25">
        <f>SUMPRODUCT(P120:AA120, F131:F142)</f>
        <v/>
      </c>
      <c r="S132" s="25">
        <f>SUMPRODUCT(P120:AA120, G131:G142)</f>
        <v/>
      </c>
      <c r="T132" s="25">
        <f>SUMPRODUCT(P120:AA120, H131:H142)</f>
        <v/>
      </c>
      <c r="U132" s="25">
        <f>SUMPRODUCT(P120:AA120, I131:I142)</f>
        <v/>
      </c>
      <c r="V132" s="25">
        <f>SUMPRODUCT(P120:AA120, J131:J142)</f>
        <v/>
      </c>
      <c r="W132" s="25">
        <f>SUMPRODUCT(P120:AA120, K131:K142)</f>
        <v/>
      </c>
      <c r="X132" s="25">
        <f>SUMPRODUCT(P120:AA120, L131:L142)</f>
        <v/>
      </c>
      <c r="Y132" s="25">
        <f>SUMPRODUCT(P120:AA120, M131:M142)</f>
        <v/>
      </c>
      <c r="Z132" s="25">
        <f>SUMPRODUCT(P120:AA120, N131:N142)</f>
        <v/>
      </c>
      <c r="AA132" s="25">
        <f>SUMPRODUCT(P120:AA120, O131:O142)</f>
        <v/>
      </c>
    </row>
    <row r="133">
      <c r="B133" s="24" t="n">
        <v>0</v>
      </c>
      <c r="C133" s="24">
        <f>SUMPRODUCT(P121:AA121, B131:B142)</f>
        <v/>
      </c>
      <c r="D133" s="25">
        <f>SUMPRODUCT(D121:O121, P119:P130)</f>
        <v/>
      </c>
      <c r="E133" s="25">
        <f>SUMPRODUCT(D121:O121, Q119:Q130)</f>
        <v/>
      </c>
      <c r="F133" s="25">
        <f>SUMPRODUCT(D121:O121, R119:R130)</f>
        <v/>
      </c>
      <c r="G133" s="25">
        <f>SUMPRODUCT(D121:O121, S119:S130)</f>
        <v/>
      </c>
      <c r="H133" s="25">
        <f>SUMPRODUCT(D121:O121, T119:T130)</f>
        <v/>
      </c>
      <c r="I133" s="25">
        <f>SUMPRODUCT(D121:O121, U119:U130)</f>
        <v/>
      </c>
      <c r="J133" s="25">
        <f>SUMPRODUCT(D121:O121, V119:V130)</f>
        <v/>
      </c>
      <c r="K133" s="25">
        <f>SUMPRODUCT(D121:O121, W119:W130)</f>
        <v/>
      </c>
      <c r="L133" s="25">
        <f>SUMPRODUCT(D121:O121, X119:X130)</f>
        <v/>
      </c>
      <c r="M133" s="25">
        <f>SUMPRODUCT(D121:O121, Y119:Y130)</f>
        <v/>
      </c>
      <c r="N133" s="25">
        <f>SUMPRODUCT(D121:O121, Z119:Z130)</f>
        <v/>
      </c>
      <c r="O133" s="25">
        <f>SUMPRODUCT(D121:O121, AA119:AA130)</f>
        <v/>
      </c>
      <c r="P133" s="25">
        <f>SUMPRODUCT(P121:AA121, D131:D142)</f>
        <v/>
      </c>
      <c r="Q133" s="25">
        <f>SUMPRODUCT(P121:AA121, E131:E142)</f>
        <v/>
      </c>
      <c r="R133" s="25">
        <f>SUMPRODUCT(P121:AA121, F131:F142)</f>
        <v/>
      </c>
      <c r="S133" s="25">
        <f>SUMPRODUCT(P121:AA121, G131:G142)</f>
        <v/>
      </c>
      <c r="T133" s="25">
        <f>SUMPRODUCT(P121:AA121, H131:H142)</f>
        <v/>
      </c>
      <c r="U133" s="25">
        <f>SUMPRODUCT(P121:AA121, I131:I142)</f>
        <v/>
      </c>
      <c r="V133" s="25">
        <f>SUMPRODUCT(P121:AA121, J131:J142)</f>
        <v/>
      </c>
      <c r="W133" s="25">
        <f>SUMPRODUCT(P121:AA121, K131:K142)</f>
        <v/>
      </c>
      <c r="X133" s="25">
        <f>SUMPRODUCT(P121:AA121, L131:L142)</f>
        <v/>
      </c>
      <c r="Y133" s="25">
        <f>SUMPRODUCT(P121:AA121, M131:M142)</f>
        <v/>
      </c>
      <c r="Z133" s="25">
        <f>SUMPRODUCT(P121:AA121, N131:N142)</f>
        <v/>
      </c>
      <c r="AA133" s="25">
        <f>SUMPRODUCT(P121:AA121, O131:O142)</f>
        <v/>
      </c>
    </row>
    <row r="134">
      <c r="B134" s="24" t="n">
        <v>0</v>
      </c>
      <c r="C134" s="24">
        <f>SUMPRODUCT(P122:AA122, B131:B142)</f>
        <v/>
      </c>
      <c r="D134" s="25">
        <f>SUMPRODUCT(D122:O122, P119:P130)</f>
        <v/>
      </c>
      <c r="E134" s="25">
        <f>SUMPRODUCT(D122:O122, Q119:Q130)</f>
        <v/>
      </c>
      <c r="F134" s="25">
        <f>SUMPRODUCT(D122:O122, R119:R130)</f>
        <v/>
      </c>
      <c r="G134" s="25">
        <f>SUMPRODUCT(D122:O122, S119:S130)</f>
        <v/>
      </c>
      <c r="H134" s="25">
        <f>SUMPRODUCT(D122:O122, T119:T130)</f>
        <v/>
      </c>
      <c r="I134" s="25">
        <f>SUMPRODUCT(D122:O122, U119:U130)</f>
        <v/>
      </c>
      <c r="J134" s="25">
        <f>SUMPRODUCT(D122:O122, V119:V130)</f>
        <v/>
      </c>
      <c r="K134" s="25">
        <f>SUMPRODUCT(D122:O122, W119:W130)</f>
        <v/>
      </c>
      <c r="L134" s="25">
        <f>SUMPRODUCT(D122:O122, X119:X130)</f>
        <v/>
      </c>
      <c r="M134" s="25">
        <f>SUMPRODUCT(D122:O122, Y119:Y130)</f>
        <v/>
      </c>
      <c r="N134" s="25">
        <f>SUMPRODUCT(D122:O122, Z119:Z130)</f>
        <v/>
      </c>
      <c r="O134" s="25">
        <f>SUMPRODUCT(D122:O122, AA119:AA130)</f>
        <v/>
      </c>
      <c r="P134" s="25">
        <f>SUMPRODUCT(P122:AA122, D131:D142)</f>
        <v/>
      </c>
      <c r="Q134" s="25">
        <f>SUMPRODUCT(P122:AA122, E131:E142)</f>
        <v/>
      </c>
      <c r="R134" s="25">
        <f>SUMPRODUCT(P122:AA122, F131:F142)</f>
        <v/>
      </c>
      <c r="S134" s="25">
        <f>SUMPRODUCT(P122:AA122, G131:G142)</f>
        <v/>
      </c>
      <c r="T134" s="25">
        <f>SUMPRODUCT(P122:AA122, H131:H142)</f>
        <v/>
      </c>
      <c r="U134" s="25">
        <f>SUMPRODUCT(P122:AA122, I131:I142)</f>
        <v/>
      </c>
      <c r="V134" s="25">
        <f>SUMPRODUCT(P122:AA122, J131:J142)</f>
        <v/>
      </c>
      <c r="W134" s="25">
        <f>SUMPRODUCT(P122:AA122, K131:K142)</f>
        <v/>
      </c>
      <c r="X134" s="25">
        <f>SUMPRODUCT(P122:AA122, L131:L142)</f>
        <v/>
      </c>
      <c r="Y134" s="25">
        <f>SUMPRODUCT(P122:AA122, M131:M142)</f>
        <v/>
      </c>
      <c r="Z134" s="25">
        <f>SUMPRODUCT(P122:AA122, N131:N142)</f>
        <v/>
      </c>
      <c r="AA134" s="25">
        <f>SUMPRODUCT(P122:AA122, O131:O142)</f>
        <v/>
      </c>
    </row>
    <row r="135">
      <c r="B135" s="24" t="n">
        <v>0</v>
      </c>
      <c r="C135" s="24">
        <f>SUMPRODUCT(P123:AA123, B131:B142)</f>
        <v/>
      </c>
      <c r="D135" s="25">
        <f>SUMPRODUCT(D123:O123, P119:P130)</f>
        <v/>
      </c>
      <c r="E135" s="25">
        <f>SUMPRODUCT(D123:O123, Q119:Q130)</f>
        <v/>
      </c>
      <c r="F135" s="25">
        <f>SUMPRODUCT(D123:O123, R119:R130)</f>
        <v/>
      </c>
      <c r="G135" s="25">
        <f>SUMPRODUCT(D123:O123, S119:S130)</f>
        <v/>
      </c>
      <c r="H135" s="25">
        <f>SUMPRODUCT(D123:O123, T119:T130)</f>
        <v/>
      </c>
      <c r="I135" s="25">
        <f>SUMPRODUCT(D123:O123, U119:U130)</f>
        <v/>
      </c>
      <c r="J135" s="25">
        <f>SUMPRODUCT(D123:O123, V119:V130)</f>
        <v/>
      </c>
      <c r="K135" s="25">
        <f>SUMPRODUCT(D123:O123, W119:W130)</f>
        <v/>
      </c>
      <c r="L135" s="25">
        <f>SUMPRODUCT(D123:O123, X119:X130)</f>
        <v/>
      </c>
      <c r="M135" s="25">
        <f>SUMPRODUCT(D123:O123, Y119:Y130)</f>
        <v/>
      </c>
      <c r="N135" s="25">
        <f>SUMPRODUCT(D123:O123, Z119:Z130)</f>
        <v/>
      </c>
      <c r="O135" s="25">
        <f>SUMPRODUCT(D123:O123, AA119:AA130)</f>
        <v/>
      </c>
      <c r="P135" s="25">
        <f>SUMPRODUCT(P123:AA123, D131:D142)</f>
        <v/>
      </c>
      <c r="Q135" s="25">
        <f>SUMPRODUCT(P123:AA123, E131:E142)</f>
        <v/>
      </c>
      <c r="R135" s="25">
        <f>SUMPRODUCT(P123:AA123, F131:F142)</f>
        <v/>
      </c>
      <c r="S135" s="25">
        <f>SUMPRODUCT(P123:AA123, G131:G142)</f>
        <v/>
      </c>
      <c r="T135" s="25">
        <f>SUMPRODUCT(P123:AA123, H131:H142)</f>
        <v/>
      </c>
      <c r="U135" s="25">
        <f>SUMPRODUCT(P123:AA123, I131:I142)</f>
        <v/>
      </c>
      <c r="V135" s="25">
        <f>SUMPRODUCT(P123:AA123, J131:J142)</f>
        <v/>
      </c>
      <c r="W135" s="25">
        <f>SUMPRODUCT(P123:AA123, K131:K142)</f>
        <v/>
      </c>
      <c r="X135" s="25">
        <f>SUMPRODUCT(P123:AA123, L131:L142)</f>
        <v/>
      </c>
      <c r="Y135" s="25">
        <f>SUMPRODUCT(P123:AA123, M131:M142)</f>
        <v/>
      </c>
      <c r="Z135" s="25">
        <f>SUMPRODUCT(P123:AA123, N131:N142)</f>
        <v/>
      </c>
      <c r="AA135" s="25">
        <f>SUMPRODUCT(P123:AA123, O131:O142)</f>
        <v/>
      </c>
    </row>
    <row r="136">
      <c r="B136" s="24" t="n">
        <v>0</v>
      </c>
      <c r="C136" s="24">
        <f>SUMPRODUCT(P124:AA124, B131:B142)</f>
        <v/>
      </c>
      <c r="D136" s="25">
        <f>SUMPRODUCT(D124:O124, P119:P130)</f>
        <v/>
      </c>
      <c r="E136" s="25">
        <f>SUMPRODUCT(D124:O124, Q119:Q130)</f>
        <v/>
      </c>
      <c r="F136" s="25">
        <f>SUMPRODUCT(D124:O124, R119:R130)</f>
        <v/>
      </c>
      <c r="G136" s="25">
        <f>SUMPRODUCT(D124:O124, S119:S130)</f>
        <v/>
      </c>
      <c r="H136" s="25">
        <f>SUMPRODUCT(D124:O124, T119:T130)</f>
        <v/>
      </c>
      <c r="I136" s="25">
        <f>SUMPRODUCT(D124:O124, U119:U130)</f>
        <v/>
      </c>
      <c r="J136" s="25">
        <f>SUMPRODUCT(D124:O124, V119:V130)</f>
        <v/>
      </c>
      <c r="K136" s="25">
        <f>SUMPRODUCT(D124:O124, W119:W130)</f>
        <v/>
      </c>
      <c r="L136" s="25">
        <f>SUMPRODUCT(D124:O124, X119:X130)</f>
        <v/>
      </c>
      <c r="M136" s="25">
        <f>SUMPRODUCT(D124:O124, Y119:Y130)</f>
        <v/>
      </c>
      <c r="N136" s="25">
        <f>SUMPRODUCT(D124:O124, Z119:Z130)</f>
        <v/>
      </c>
      <c r="O136" s="25">
        <f>SUMPRODUCT(D124:O124, AA119:AA130)</f>
        <v/>
      </c>
      <c r="P136" s="25">
        <f>SUMPRODUCT(P124:AA124, D131:D142)</f>
        <v/>
      </c>
      <c r="Q136" s="25">
        <f>SUMPRODUCT(P124:AA124, E131:E142)</f>
        <v/>
      </c>
      <c r="R136" s="25">
        <f>SUMPRODUCT(P124:AA124, F131:F142)</f>
        <v/>
      </c>
      <c r="S136" s="25">
        <f>SUMPRODUCT(P124:AA124, G131:G142)</f>
        <v/>
      </c>
      <c r="T136" s="25">
        <f>SUMPRODUCT(P124:AA124, H131:H142)</f>
        <v/>
      </c>
      <c r="U136" s="25">
        <f>SUMPRODUCT(P124:AA124, I131:I142)</f>
        <v/>
      </c>
      <c r="V136" s="25">
        <f>SUMPRODUCT(P124:AA124, J131:J142)</f>
        <v/>
      </c>
      <c r="W136" s="25">
        <f>SUMPRODUCT(P124:AA124, K131:K142)</f>
        <v/>
      </c>
      <c r="X136" s="25">
        <f>SUMPRODUCT(P124:AA124, L131:L142)</f>
        <v/>
      </c>
      <c r="Y136" s="25">
        <f>SUMPRODUCT(P124:AA124, M131:M142)</f>
        <v/>
      </c>
      <c r="Z136" s="25">
        <f>SUMPRODUCT(P124:AA124, N131:N142)</f>
        <v/>
      </c>
      <c r="AA136" s="25">
        <f>SUMPRODUCT(P124:AA124, O131:O142)</f>
        <v/>
      </c>
    </row>
    <row r="137">
      <c r="B137" s="24">
        <f>IF(C111,C115*F117*E115*Inputs!$K$11,0)</f>
        <v/>
      </c>
      <c r="C137" s="24">
        <f>SUMPRODUCT(P125:AA125, B131:B142)</f>
        <v/>
      </c>
      <c r="D137" s="25">
        <f>SUMPRODUCT(D125:O125, P119:P130)</f>
        <v/>
      </c>
      <c r="E137" s="25">
        <f>SUMPRODUCT(D125:O125, Q119:Q130)</f>
        <v/>
      </c>
      <c r="F137" s="25">
        <f>SUMPRODUCT(D125:O125, R119:R130)</f>
        <v/>
      </c>
      <c r="G137" s="25">
        <f>SUMPRODUCT(D125:O125, S119:S130)</f>
        <v/>
      </c>
      <c r="H137" s="25">
        <f>SUMPRODUCT(D125:O125, T119:T130)</f>
        <v/>
      </c>
      <c r="I137" s="25">
        <f>SUMPRODUCT(D125:O125, U119:U130)</f>
        <v/>
      </c>
      <c r="J137" s="25">
        <f>SUMPRODUCT(D125:O125, V119:V130)</f>
        <v/>
      </c>
      <c r="K137" s="25">
        <f>SUMPRODUCT(D125:O125, W119:W130)</f>
        <v/>
      </c>
      <c r="L137" s="25">
        <f>SUMPRODUCT(D125:O125, X119:X130)</f>
        <v/>
      </c>
      <c r="M137" s="25">
        <f>SUMPRODUCT(D125:O125, Y119:Y130)</f>
        <v/>
      </c>
      <c r="N137" s="25">
        <f>SUMPRODUCT(D125:O125, Z119:Z130)</f>
        <v/>
      </c>
      <c r="O137" s="25">
        <f>SUMPRODUCT(D125:O125, AA119:AA130)</f>
        <v/>
      </c>
      <c r="P137" s="25">
        <f>SUMPRODUCT(P125:AA125, D131:D142)</f>
        <v/>
      </c>
      <c r="Q137" s="25">
        <f>SUMPRODUCT(P125:AA125, E131:E142)</f>
        <v/>
      </c>
      <c r="R137" s="25">
        <f>SUMPRODUCT(P125:AA125, F131:F142)</f>
        <v/>
      </c>
      <c r="S137" s="25">
        <f>SUMPRODUCT(P125:AA125, G131:G142)</f>
        <v/>
      </c>
      <c r="T137" s="25">
        <f>SUMPRODUCT(P125:AA125, H131:H142)</f>
        <v/>
      </c>
      <c r="U137" s="25">
        <f>SUMPRODUCT(P125:AA125, I131:I142)</f>
        <v/>
      </c>
      <c r="V137" s="25">
        <f>SUMPRODUCT(P125:AA125, J131:J142)</f>
        <v/>
      </c>
      <c r="W137" s="25">
        <f>SUMPRODUCT(P125:AA125, K131:K142)</f>
        <v/>
      </c>
      <c r="X137" s="25">
        <f>SUMPRODUCT(P125:AA125, L131:L142)</f>
        <v/>
      </c>
      <c r="Y137" s="25">
        <f>SUMPRODUCT(P125:AA125, M131:M142)</f>
        <v/>
      </c>
      <c r="Z137" s="25">
        <f>SUMPRODUCT(P125:AA125, N131:N142)</f>
        <v/>
      </c>
      <c r="AA137" s="25">
        <f>SUMPRODUCT(P125:AA125, O131:O142)</f>
        <v/>
      </c>
    </row>
    <row r="138">
      <c r="B138" s="24" t="n">
        <v>0</v>
      </c>
      <c r="C138" s="24">
        <f>SUMPRODUCT(P126:AA126, B131:B142)</f>
        <v/>
      </c>
      <c r="D138" s="25">
        <f>SUMPRODUCT(D126:O126, P119:P130)</f>
        <v/>
      </c>
      <c r="E138" s="25">
        <f>SUMPRODUCT(D126:O126, Q119:Q130)</f>
        <v/>
      </c>
      <c r="F138" s="25">
        <f>SUMPRODUCT(D126:O126, R119:R130)</f>
        <v/>
      </c>
      <c r="G138" s="25">
        <f>SUMPRODUCT(D126:O126, S119:S130)</f>
        <v/>
      </c>
      <c r="H138" s="25">
        <f>SUMPRODUCT(D126:O126, T119:T130)</f>
        <v/>
      </c>
      <c r="I138" s="25">
        <f>SUMPRODUCT(D126:O126, U119:U130)</f>
        <v/>
      </c>
      <c r="J138" s="25">
        <f>SUMPRODUCT(D126:O126, V119:V130)</f>
        <v/>
      </c>
      <c r="K138" s="25">
        <f>SUMPRODUCT(D126:O126, W119:W130)</f>
        <v/>
      </c>
      <c r="L138" s="25">
        <f>SUMPRODUCT(D126:O126, X119:X130)</f>
        <v/>
      </c>
      <c r="M138" s="25">
        <f>SUMPRODUCT(D126:O126, Y119:Y130)</f>
        <v/>
      </c>
      <c r="N138" s="25">
        <f>SUMPRODUCT(D126:O126, Z119:Z130)</f>
        <v/>
      </c>
      <c r="O138" s="25">
        <f>SUMPRODUCT(D126:O126, AA119:AA130)</f>
        <v/>
      </c>
      <c r="P138" s="25">
        <f>SUMPRODUCT(P126:AA126, D131:D142)</f>
        <v/>
      </c>
      <c r="Q138" s="25">
        <f>SUMPRODUCT(P126:AA126, E131:E142)</f>
        <v/>
      </c>
      <c r="R138" s="25">
        <f>SUMPRODUCT(P126:AA126, F131:F142)</f>
        <v/>
      </c>
      <c r="S138" s="25">
        <f>SUMPRODUCT(P126:AA126, G131:G142)</f>
        <v/>
      </c>
      <c r="T138" s="25">
        <f>SUMPRODUCT(P126:AA126, H131:H142)</f>
        <v/>
      </c>
      <c r="U138" s="25">
        <f>SUMPRODUCT(P126:AA126, I131:I142)</f>
        <v/>
      </c>
      <c r="V138" s="25">
        <f>SUMPRODUCT(P126:AA126, J131:J142)</f>
        <v/>
      </c>
      <c r="W138" s="25">
        <f>SUMPRODUCT(P126:AA126, K131:K142)</f>
        <v/>
      </c>
      <c r="X138" s="25">
        <f>SUMPRODUCT(P126:AA126, L131:L142)</f>
        <v/>
      </c>
      <c r="Y138" s="25">
        <f>SUMPRODUCT(P126:AA126, M131:M142)</f>
        <v/>
      </c>
      <c r="Z138" s="25">
        <f>SUMPRODUCT(P126:AA126, N131:N142)</f>
        <v/>
      </c>
      <c r="AA138" s="25">
        <f>SUMPRODUCT(P126:AA126, O131:O142)</f>
        <v/>
      </c>
    </row>
    <row r="139">
      <c r="B139" s="24" t="n">
        <v>0</v>
      </c>
      <c r="C139" s="24">
        <f>SUMPRODUCT(P127:AA127, B131:B142)</f>
        <v/>
      </c>
      <c r="D139" s="25">
        <f>SUMPRODUCT(D127:O127, P119:P130)</f>
        <v/>
      </c>
      <c r="E139" s="25">
        <f>SUMPRODUCT(D127:O127, Q119:Q130)</f>
        <v/>
      </c>
      <c r="F139" s="25">
        <f>SUMPRODUCT(D127:O127, R119:R130)</f>
        <v/>
      </c>
      <c r="G139" s="25">
        <f>SUMPRODUCT(D127:O127, S119:S130)</f>
        <v/>
      </c>
      <c r="H139" s="25">
        <f>SUMPRODUCT(D127:O127, T119:T130)</f>
        <v/>
      </c>
      <c r="I139" s="25">
        <f>SUMPRODUCT(D127:O127, U119:U130)</f>
        <v/>
      </c>
      <c r="J139" s="25">
        <f>SUMPRODUCT(D127:O127, V119:V130)</f>
        <v/>
      </c>
      <c r="K139" s="25">
        <f>SUMPRODUCT(D127:O127, W119:W130)</f>
        <v/>
      </c>
      <c r="L139" s="25">
        <f>SUMPRODUCT(D127:O127, X119:X130)</f>
        <v/>
      </c>
      <c r="M139" s="25">
        <f>SUMPRODUCT(D127:O127, Y119:Y130)</f>
        <v/>
      </c>
      <c r="N139" s="25">
        <f>SUMPRODUCT(D127:O127, Z119:Z130)</f>
        <v/>
      </c>
      <c r="O139" s="25">
        <f>SUMPRODUCT(D127:O127, AA119:AA130)</f>
        <v/>
      </c>
      <c r="P139" s="25">
        <f>SUMPRODUCT(P127:AA127, D131:D142)</f>
        <v/>
      </c>
      <c r="Q139" s="25">
        <f>SUMPRODUCT(P127:AA127, E131:E142)</f>
        <v/>
      </c>
      <c r="R139" s="25">
        <f>SUMPRODUCT(P127:AA127, F131:F142)</f>
        <v/>
      </c>
      <c r="S139" s="25">
        <f>SUMPRODUCT(P127:AA127, G131:G142)</f>
        <v/>
      </c>
      <c r="T139" s="25">
        <f>SUMPRODUCT(P127:AA127, H131:H142)</f>
        <v/>
      </c>
      <c r="U139" s="25">
        <f>SUMPRODUCT(P127:AA127, I131:I142)</f>
        <v/>
      </c>
      <c r="V139" s="25">
        <f>SUMPRODUCT(P127:AA127, J131:J142)</f>
        <v/>
      </c>
      <c r="W139" s="25">
        <f>SUMPRODUCT(P127:AA127, K131:K142)</f>
        <v/>
      </c>
      <c r="X139" s="25">
        <f>SUMPRODUCT(P127:AA127, L131:L142)</f>
        <v/>
      </c>
      <c r="Y139" s="25">
        <f>SUMPRODUCT(P127:AA127, M131:M142)</f>
        <v/>
      </c>
      <c r="Z139" s="25">
        <f>SUMPRODUCT(P127:AA127, N131:N142)</f>
        <v/>
      </c>
      <c r="AA139" s="25">
        <f>SUMPRODUCT(P127:AA127, O131:O142)</f>
        <v/>
      </c>
    </row>
    <row r="140">
      <c r="B140" s="24" t="n">
        <v>0</v>
      </c>
      <c r="C140" s="24">
        <f>SUMPRODUCT(P128:AA128, B131:B142)</f>
        <v/>
      </c>
      <c r="D140" s="25">
        <f>SUMPRODUCT(D128:O128, P119:P130)</f>
        <v/>
      </c>
      <c r="E140" s="25">
        <f>SUMPRODUCT(D128:O128, Q119:Q130)</f>
        <v/>
      </c>
      <c r="F140" s="25">
        <f>SUMPRODUCT(D128:O128, R119:R130)</f>
        <v/>
      </c>
      <c r="G140" s="25">
        <f>SUMPRODUCT(D128:O128, S119:S130)</f>
        <v/>
      </c>
      <c r="H140" s="25">
        <f>SUMPRODUCT(D128:O128, T119:T130)</f>
        <v/>
      </c>
      <c r="I140" s="25">
        <f>SUMPRODUCT(D128:O128, U119:U130)</f>
        <v/>
      </c>
      <c r="J140" s="25">
        <f>SUMPRODUCT(D128:O128, V119:V130)</f>
        <v/>
      </c>
      <c r="K140" s="25">
        <f>SUMPRODUCT(D128:O128, W119:W130)</f>
        <v/>
      </c>
      <c r="L140" s="25">
        <f>SUMPRODUCT(D128:O128, X119:X130)</f>
        <v/>
      </c>
      <c r="M140" s="25">
        <f>SUMPRODUCT(D128:O128, Y119:Y130)</f>
        <v/>
      </c>
      <c r="N140" s="25">
        <f>SUMPRODUCT(D128:O128, Z119:Z130)</f>
        <v/>
      </c>
      <c r="O140" s="25">
        <f>SUMPRODUCT(D128:O128, AA119:AA130)</f>
        <v/>
      </c>
      <c r="P140" s="25">
        <f>SUMPRODUCT(P128:AA128, D131:D142)</f>
        <v/>
      </c>
      <c r="Q140" s="25">
        <f>SUMPRODUCT(P128:AA128, E131:E142)</f>
        <v/>
      </c>
      <c r="R140" s="25">
        <f>SUMPRODUCT(P128:AA128, F131:F142)</f>
        <v/>
      </c>
      <c r="S140" s="25">
        <f>SUMPRODUCT(P128:AA128, G131:G142)</f>
        <v/>
      </c>
      <c r="T140" s="25">
        <f>SUMPRODUCT(P128:AA128, H131:H142)</f>
        <v/>
      </c>
      <c r="U140" s="25">
        <f>SUMPRODUCT(P128:AA128, I131:I142)</f>
        <v/>
      </c>
      <c r="V140" s="25">
        <f>SUMPRODUCT(P128:AA128, J131:J142)</f>
        <v/>
      </c>
      <c r="W140" s="25">
        <f>SUMPRODUCT(P128:AA128, K131:K142)</f>
        <v/>
      </c>
      <c r="X140" s="25">
        <f>SUMPRODUCT(P128:AA128, L131:L142)</f>
        <v/>
      </c>
      <c r="Y140" s="25">
        <f>SUMPRODUCT(P128:AA128, M131:M142)</f>
        <v/>
      </c>
      <c r="Z140" s="25">
        <f>SUMPRODUCT(P128:AA128, N131:N142)</f>
        <v/>
      </c>
      <c r="AA140" s="25">
        <f>SUMPRODUCT(P128:AA128, O131:O142)</f>
        <v/>
      </c>
    </row>
    <row r="141">
      <c r="B141" s="24" t="n">
        <v>0</v>
      </c>
      <c r="C141" s="24">
        <f>SUMPRODUCT(P129:AA129, B131:B142)</f>
        <v/>
      </c>
      <c r="D141" s="25">
        <f>SUMPRODUCT(D129:O129, P119:P130)</f>
        <v/>
      </c>
      <c r="E141" s="25">
        <f>SUMPRODUCT(D129:O129, Q119:Q130)</f>
        <v/>
      </c>
      <c r="F141" s="25">
        <f>SUMPRODUCT(D129:O129, R119:R130)</f>
        <v/>
      </c>
      <c r="G141" s="25">
        <f>SUMPRODUCT(D129:O129, S119:S130)</f>
        <v/>
      </c>
      <c r="H141" s="25">
        <f>SUMPRODUCT(D129:O129, T119:T130)</f>
        <v/>
      </c>
      <c r="I141" s="25">
        <f>SUMPRODUCT(D129:O129, U119:U130)</f>
        <v/>
      </c>
      <c r="J141" s="25">
        <f>SUMPRODUCT(D129:O129, V119:V130)</f>
        <v/>
      </c>
      <c r="K141" s="25">
        <f>SUMPRODUCT(D129:O129, W119:W130)</f>
        <v/>
      </c>
      <c r="L141" s="25">
        <f>SUMPRODUCT(D129:O129, X119:X130)</f>
        <v/>
      </c>
      <c r="M141" s="25">
        <f>SUMPRODUCT(D129:O129, Y119:Y130)</f>
        <v/>
      </c>
      <c r="N141" s="25">
        <f>SUMPRODUCT(D129:O129, Z119:Z130)</f>
        <v/>
      </c>
      <c r="O141" s="25">
        <f>SUMPRODUCT(D129:O129, AA119:AA130)</f>
        <v/>
      </c>
      <c r="P141" s="25">
        <f>SUMPRODUCT(P129:AA129, D131:D142)</f>
        <v/>
      </c>
      <c r="Q141" s="25">
        <f>SUMPRODUCT(P129:AA129, E131:E142)</f>
        <v/>
      </c>
      <c r="R141" s="25">
        <f>SUMPRODUCT(P129:AA129, F131:F142)</f>
        <v/>
      </c>
      <c r="S141" s="25">
        <f>SUMPRODUCT(P129:AA129, G131:G142)</f>
        <v/>
      </c>
      <c r="T141" s="25">
        <f>SUMPRODUCT(P129:AA129, H131:H142)</f>
        <v/>
      </c>
      <c r="U141" s="25">
        <f>SUMPRODUCT(P129:AA129, I131:I142)</f>
        <v/>
      </c>
      <c r="V141" s="25">
        <f>SUMPRODUCT(P129:AA129, J131:J142)</f>
        <v/>
      </c>
      <c r="W141" s="25">
        <f>SUMPRODUCT(P129:AA129, K131:K142)</f>
        <v/>
      </c>
      <c r="X141" s="25">
        <f>SUMPRODUCT(P129:AA129, L131:L142)</f>
        <v/>
      </c>
      <c r="Y141" s="25">
        <f>SUMPRODUCT(P129:AA129, M131:M142)</f>
        <v/>
      </c>
      <c r="Z141" s="25">
        <f>SUMPRODUCT(P129:AA129, N131:N142)</f>
        <v/>
      </c>
      <c r="AA141" s="25">
        <f>SUMPRODUCT(P129:AA129, O131:O142)</f>
        <v/>
      </c>
    </row>
    <row r="142">
      <c r="B142" s="24" t="n">
        <v>0</v>
      </c>
      <c r="C142" s="24">
        <f>SUMPRODUCT(P130:AA130, B131:B142)</f>
        <v/>
      </c>
      <c r="D142" s="25">
        <f>SUMPRODUCT(D130:O130, P119:P130)</f>
        <v/>
      </c>
      <c r="E142" s="25">
        <f>SUMPRODUCT(D130:O130, Q119:Q130)</f>
        <v/>
      </c>
      <c r="F142" s="25">
        <f>SUMPRODUCT(D130:O130, R119:R130)</f>
        <v/>
      </c>
      <c r="G142" s="25">
        <f>SUMPRODUCT(D130:O130, S119:S130)</f>
        <v/>
      </c>
      <c r="H142" s="25">
        <f>SUMPRODUCT(D130:O130, T119:T130)</f>
        <v/>
      </c>
      <c r="I142" s="25">
        <f>SUMPRODUCT(D130:O130, U119:U130)</f>
        <v/>
      </c>
      <c r="J142" s="25">
        <f>SUMPRODUCT(D130:O130, V119:V130)</f>
        <v/>
      </c>
      <c r="K142" s="25">
        <f>SUMPRODUCT(D130:O130, W119:W130)</f>
        <v/>
      </c>
      <c r="L142" s="25">
        <f>SUMPRODUCT(D130:O130, X119:X130)</f>
        <v/>
      </c>
      <c r="M142" s="25">
        <f>SUMPRODUCT(D130:O130, Y119:Y130)</f>
        <v/>
      </c>
      <c r="N142" s="25">
        <f>SUMPRODUCT(D130:O130, Z119:Z130)</f>
        <v/>
      </c>
      <c r="O142" s="25">
        <f>SUMPRODUCT(D130:O130, AA119:AA130)</f>
        <v/>
      </c>
      <c r="P142" s="25">
        <f>SUMPRODUCT(P130:AA130, D131:D142)</f>
        <v/>
      </c>
      <c r="Q142" s="25">
        <f>SUMPRODUCT(P130:AA130, E131:E142)</f>
        <v/>
      </c>
      <c r="R142" s="25">
        <f>SUMPRODUCT(P130:AA130, F131:F142)</f>
        <v/>
      </c>
      <c r="S142" s="25">
        <f>SUMPRODUCT(P130:AA130, G131:G142)</f>
        <v/>
      </c>
      <c r="T142" s="25">
        <f>SUMPRODUCT(P130:AA130, H131:H142)</f>
        <v/>
      </c>
      <c r="U142" s="25">
        <f>SUMPRODUCT(P130:AA130, I131:I142)</f>
        <v/>
      </c>
      <c r="V142" s="25">
        <f>SUMPRODUCT(P130:AA130, J131:J142)</f>
        <v/>
      </c>
      <c r="W142" s="25">
        <f>SUMPRODUCT(P130:AA130, K131:K142)</f>
        <v/>
      </c>
      <c r="X142" s="25">
        <f>SUMPRODUCT(P130:AA130, L131:L142)</f>
        <v/>
      </c>
      <c r="Y142" s="25">
        <f>SUMPRODUCT(P130:AA130, M131:M142)</f>
        <v/>
      </c>
      <c r="Z142" s="25">
        <f>SUMPRODUCT(P130:AA130, N131:N142)</f>
        <v/>
      </c>
      <c r="AA142" s="25">
        <f>SUMPRODUCT(P130:AA130, O131:O142)</f>
        <v/>
      </c>
    </row>
    <row r="144">
      <c r="B144" s="3" t="inlineStr">
        <is>
          <t>ELEMENT 4 ANALYSIS BLOCK</t>
        </is>
      </c>
    </row>
    <row r="145">
      <c r="B145" s="16" t="inlineStr">
        <is>
          <t>Node A ID</t>
        </is>
      </c>
      <c r="C145" s="17">
        <f>Inputs!C33</f>
        <v/>
      </c>
      <c r="D145" s="16" t="inlineStr">
        <is>
          <t>Node B ID</t>
        </is>
      </c>
      <c r="E145" s="17">
        <f>Inputs!D33</f>
        <v/>
      </c>
    </row>
    <row r="146">
      <c r="B146" s="16" t="inlineStr">
        <is>
          <t>Is Active?</t>
        </is>
      </c>
      <c r="C146" s="16">
        <f>AND(C145&lt;&gt;"",E145&lt;&gt;"")</f>
        <v/>
      </c>
    </row>
    <row r="147">
      <c r="B147" s="16" t="inlineStr">
        <is>
          <t>Node A Coord</t>
        </is>
      </c>
      <c r="C147" s="18">
        <f>IF(C146,VLOOKUP(C145,Inputs!$B$17:$E$24,2,FALSE),0.0)</f>
        <v/>
      </c>
      <c r="D147" s="18">
        <f>IF(C146,VLOOKUP(C145,Inputs!$B$17:$E$24,3,FALSE),0.0)</f>
        <v/>
      </c>
      <c r="E147" s="18">
        <f>IF(C146,VLOOKUP(C145,Inputs!$B$17:$E$24,4,FALSE),0.0)</f>
        <v/>
      </c>
      <c r="F147" s="16" t="inlineStr">
        <is>
          <t>Node B Coord</t>
        </is>
      </c>
      <c r="G147" s="18">
        <f>IF(C146,VLOOKUP(E145,Inputs!$B$17:$E$24,2,FALSE),0.0)</f>
        <v/>
      </c>
      <c r="H147" s="18">
        <f>IF(C146,VLOOKUP(E145,Inputs!$B$17:$E$24,3,FALSE),0.0)</f>
        <v/>
      </c>
      <c r="I147" s="18">
        <f>IF(C146,VLOOKUP(E145,Inputs!$B$17:$E$24,4,FALSE),0.0)</f>
        <v/>
      </c>
    </row>
    <row r="148">
      <c r="B148" s="16" t="inlineStr">
        <is>
          <t>deltas dx,dy,dz</t>
        </is>
      </c>
      <c r="C148">
        <f>G147-C147</f>
        <v/>
      </c>
      <c r="D148">
        <f>H147-D147</f>
        <v/>
      </c>
      <c r="E148">
        <f>I147-E147</f>
        <v/>
      </c>
      <c r="F148" s="16" t="inlineStr">
        <is>
          <t>Length L</t>
        </is>
      </c>
      <c r="G148" s="19">
        <f>IF(C146,SQRT(C148^2+D148^2+E148^2),1.0)</f>
        <v/>
      </c>
    </row>
    <row r="149">
      <c r="B149" s="16" t="inlineStr">
        <is>
          <t>dir cosines lx,my,nz</t>
        </is>
      </c>
      <c r="C149">
        <f>C148/G148</f>
        <v/>
      </c>
      <c r="D149">
        <f>D148/G148</f>
        <v/>
      </c>
      <c r="E149">
        <f>E148/G148</f>
        <v/>
      </c>
      <c r="F149" s="16" t="inlineStr">
        <is>
          <t>D_is_zero</t>
        </is>
      </c>
      <c r="G149">
        <f>AND(ABS(C149)&lt;1E-5,ABS(D149)&lt;1E-5)</f>
        <v/>
      </c>
      <c r="H149" s="16" t="inlineStr">
        <is>
          <t>D</t>
        </is>
      </c>
      <c r="I149">
        <f>SQRT(C149^2+D149^2)</f>
        <v/>
      </c>
      <c r="L149" s="16" t="inlineStr">
        <is>
          <t>ROTATION MATRIX lambda</t>
        </is>
      </c>
    </row>
    <row r="150">
      <c r="B150" s="16" t="inlineStr">
        <is>
          <t>Material E, G, alpha</t>
        </is>
      </c>
      <c r="C150">
        <f>VLOOKUP(Inputs!G33,Inputs!$B$7:$H$8,2,FALSE)</f>
        <v/>
      </c>
      <c r="D150">
        <f>VLOOKUP(Inputs!G33,Inputs!$B$7:$H$8,3,FALSE)</f>
        <v/>
      </c>
      <c r="E150">
        <f>VLOOKUP(Inputs!G33,Inputs!$B$7:$H$8,4,FALSE)</f>
        <v/>
      </c>
      <c r="L150" s="20">
        <f>C149</f>
        <v/>
      </c>
      <c r="M150" s="20">
        <f>D149</f>
        <v/>
      </c>
      <c r="N150" s="20">
        <f>E149</f>
        <v/>
      </c>
    </row>
    <row r="151">
      <c r="B151" s="16" t="inlineStr">
        <is>
          <t>Section OD, t</t>
        </is>
      </c>
      <c r="C151">
        <f>VLOOKUP(Inputs!H33,Inputs!$B$12:$H$13,2,FALSE)</f>
        <v/>
      </c>
      <c r="D151">
        <f>VLOOKUP(Inputs!H33,Inputs!$B$12:$H$13,3,FALSE)</f>
        <v/>
      </c>
      <c r="L151" s="20">
        <f>IF(G149,0,-D149/I149)</f>
        <v/>
      </c>
      <c r="M151" s="20">
        <f>IF(G149,IF(E149&gt;0,1,-1),C149/I149)</f>
        <v/>
      </c>
      <c r="N151" s="20" t="n">
        <v>0</v>
      </c>
    </row>
    <row r="152">
      <c r="B152" s="16" t="inlineStr">
        <is>
          <t>ro, ri</t>
        </is>
      </c>
      <c r="C152">
        <f>C151/2</f>
        <v/>
      </c>
      <c r="D152">
        <f>C152-D151</f>
        <v/>
      </c>
      <c r="E152" s="16" t="inlineStr">
        <is>
          <t>Area A</t>
        </is>
      </c>
      <c r="F152">
        <f>PI()*(C152^2-D152^2)</f>
        <v/>
      </c>
      <c r="L152" s="20">
        <f>IF(G149,IF(E149&gt;0,-1,1),-C149*E149/I149)</f>
        <v/>
      </c>
      <c r="M152" s="20">
        <f>IF(G149,0,-D149*E149/I149)</f>
        <v/>
      </c>
      <c r="N152" s="20">
        <f>IF(G149,0,I149)</f>
        <v/>
      </c>
    </row>
    <row r="153">
      <c r="B153" s="16" t="inlineStr">
        <is>
          <t>Inertia I, J</t>
        </is>
      </c>
      <c r="C153">
        <f>(PI()/4)*(C152^4-D152^4)</f>
        <v/>
      </c>
      <c r="D153">
        <f>C153*2</f>
        <v/>
      </c>
      <c r="E153" s="16" t="inlineStr">
        <is>
          <t>Flex Factor k</t>
        </is>
      </c>
      <c r="F153">
        <f>IF(Inputs!E33="bend",IF(Inputs!F33&lt;&gt;"",MAX(1.0,1.65/((D151*Inputs!F33)/(((C151-D151)/2)^2))),1.0),1.0)</f>
        <v/>
      </c>
    </row>
    <row r="154">
      <c r="D154" s="21">
        <f>IF(C146,$C$150*$F$152/$G$148,0)</f>
        <v/>
      </c>
      <c r="E154" s="21" t="n">
        <v>0</v>
      </c>
      <c r="F154" s="21" t="n">
        <v>0</v>
      </c>
      <c r="G154" s="21" t="n">
        <v>0</v>
      </c>
      <c r="H154" s="21" t="n">
        <v>0</v>
      </c>
      <c r="I154" s="21" t="n">
        <v>0</v>
      </c>
      <c r="J154" s="21">
        <f>-D154</f>
        <v/>
      </c>
      <c r="K154" s="21" t="n">
        <v>0</v>
      </c>
      <c r="L154" s="21" t="n">
        <v>0</v>
      </c>
      <c r="M154" s="21" t="n">
        <v>0</v>
      </c>
      <c r="N154" s="21" t="n">
        <v>0</v>
      </c>
      <c r="O154" s="21" t="n">
        <v>0</v>
      </c>
      <c r="P154" s="22">
        <f>L150</f>
        <v/>
      </c>
      <c r="Q154" s="22">
        <f>M150</f>
        <v/>
      </c>
      <c r="R154" s="22">
        <f>N150</f>
        <v/>
      </c>
      <c r="S154" s="22" t="n">
        <v>0</v>
      </c>
      <c r="T154" s="22" t="n">
        <v>0</v>
      </c>
      <c r="U154" s="22" t="n">
        <v>0</v>
      </c>
      <c r="V154" s="22" t="n">
        <v>0</v>
      </c>
      <c r="W154" s="22" t="n">
        <v>0</v>
      </c>
      <c r="X154" s="22" t="n">
        <v>0</v>
      </c>
      <c r="Y154" s="22" t="n">
        <v>0</v>
      </c>
      <c r="Z154" s="22" t="n">
        <v>0</v>
      </c>
      <c r="AA154" s="22" t="n">
        <v>0</v>
      </c>
      <c r="AG154" s="23">
        <f>INDEX(Global_Solver!$BC$5:$BC$52, 6*C145+1, 1)</f>
        <v/>
      </c>
      <c r="AH154" s="23">
        <f>SUMPRODUCT(P154:AA154, AG154:AG165)</f>
        <v/>
      </c>
      <c r="AI154" s="24">
        <f>SUMPRODUCT(D154:O154, AH154:AH165)-B166</f>
        <v/>
      </c>
    </row>
    <row r="155">
      <c r="D155" s="21" t="n">
        <v>0</v>
      </c>
      <c r="E155" s="21">
        <f>IF(C146,=(12*$C$150*($C$153/$F$153))/($G$148^3),0)</f>
        <v/>
      </c>
      <c r="F155" s="21" t="n">
        <v>0</v>
      </c>
      <c r="G155" s="21" t="n">
        <v>0</v>
      </c>
      <c r="H155" s="21" t="n">
        <v>0</v>
      </c>
      <c r="I155" s="21">
        <f>IF(C146,=(6*$C$150*($C$153/$F$153))/($G$148^2),0)</f>
        <v/>
      </c>
      <c r="J155" s="21" t="n">
        <v>0</v>
      </c>
      <c r="K155" s="21">
        <f>-E155</f>
        <v/>
      </c>
      <c r="L155" s="21" t="n">
        <v>0</v>
      </c>
      <c r="M155" s="21" t="n">
        <v>0</v>
      </c>
      <c r="N155" s="21" t="n">
        <v>0</v>
      </c>
      <c r="O155" s="21">
        <f>I155</f>
        <v/>
      </c>
      <c r="P155" s="22">
        <f>L151</f>
        <v/>
      </c>
      <c r="Q155" s="22">
        <f>M151</f>
        <v/>
      </c>
      <c r="R155" s="22">
        <f>N151</f>
        <v/>
      </c>
      <c r="S155" s="22" t="n">
        <v>0</v>
      </c>
      <c r="T155" s="22" t="n">
        <v>0</v>
      </c>
      <c r="U155" s="22" t="n">
        <v>0</v>
      </c>
      <c r="V155" s="22" t="n">
        <v>0</v>
      </c>
      <c r="W155" s="22" t="n">
        <v>0</v>
      </c>
      <c r="X155" s="22" t="n">
        <v>0</v>
      </c>
      <c r="Y155" s="22" t="n">
        <v>0</v>
      </c>
      <c r="Z155" s="22" t="n">
        <v>0</v>
      </c>
      <c r="AA155" s="22" t="n">
        <v>0</v>
      </c>
      <c r="AG155" s="23">
        <f>INDEX(Global_Solver!$BC$5:$BC$52, 6*C145+2, 1)</f>
        <v/>
      </c>
      <c r="AH155" s="23">
        <f>SUMPRODUCT(P155:AA155, AG154:AG165)</f>
        <v/>
      </c>
      <c r="AI155" s="24">
        <f>SUMPRODUCT(D155:O155, AH154:AH165)-B167</f>
        <v/>
      </c>
    </row>
    <row r="156">
      <c r="D156" s="21" t="n">
        <v>0</v>
      </c>
      <c r="E156" s="21" t="n">
        <v>0</v>
      </c>
      <c r="F156" s="21">
        <f>IF(C146,=(12*$C$150*($C$153/$F$153))/($G$148^3),0)</f>
        <v/>
      </c>
      <c r="G156" s="21" t="n">
        <v>0</v>
      </c>
      <c r="H156" s="21">
        <f>IF(C146,-=(6*$C$150*($C$153/$F$153))/($G$148^2),0)</f>
        <v/>
      </c>
      <c r="I156" s="21" t="n">
        <v>0</v>
      </c>
      <c r="J156" s="21" t="n">
        <v>0</v>
      </c>
      <c r="K156" s="21" t="n">
        <v>0</v>
      </c>
      <c r="L156" s="21">
        <f>-F156</f>
        <v/>
      </c>
      <c r="M156" s="21" t="n">
        <v>0</v>
      </c>
      <c r="N156" s="21">
        <f>H156</f>
        <v/>
      </c>
      <c r="O156" s="21" t="n">
        <v>0</v>
      </c>
      <c r="P156" s="22">
        <f>L152</f>
        <v/>
      </c>
      <c r="Q156" s="22">
        <f>M152</f>
        <v/>
      </c>
      <c r="R156" s="22">
        <f>N152</f>
        <v/>
      </c>
      <c r="S156" s="22" t="n">
        <v>0</v>
      </c>
      <c r="T156" s="22" t="n">
        <v>0</v>
      </c>
      <c r="U156" s="22" t="n">
        <v>0</v>
      </c>
      <c r="V156" s="22" t="n">
        <v>0</v>
      </c>
      <c r="W156" s="22" t="n">
        <v>0</v>
      </c>
      <c r="X156" s="22" t="n">
        <v>0</v>
      </c>
      <c r="Y156" s="22" t="n">
        <v>0</v>
      </c>
      <c r="Z156" s="22" t="n">
        <v>0</v>
      </c>
      <c r="AA156" s="22" t="n">
        <v>0</v>
      </c>
      <c r="AG156" s="23">
        <f>INDEX(Global_Solver!$BC$5:$BC$52, 6*C145+3, 1)</f>
        <v/>
      </c>
      <c r="AH156" s="23">
        <f>SUMPRODUCT(P156:AA156, AG154:AG165)</f>
        <v/>
      </c>
      <c r="AI156" s="24">
        <f>SUMPRODUCT(D156:O156, AH154:AH165)-B168</f>
        <v/>
      </c>
    </row>
    <row r="157">
      <c r="D157" s="21" t="n">
        <v>0</v>
      </c>
      <c r="E157" s="21" t="n">
        <v>0</v>
      </c>
      <c r="F157" s="21" t="n">
        <v>0</v>
      </c>
      <c r="G157" s="21">
        <f>IF(C146,$D$150*$D$153/$G$148,0)</f>
        <v/>
      </c>
      <c r="H157" s="21" t="n">
        <v>0</v>
      </c>
      <c r="I157" s="21" t="n">
        <v>0</v>
      </c>
      <c r="J157" s="21" t="n">
        <v>0</v>
      </c>
      <c r="K157" s="21" t="n">
        <v>0</v>
      </c>
      <c r="L157" s="21" t="n">
        <v>0</v>
      </c>
      <c r="M157" s="21">
        <f>-G157</f>
        <v/>
      </c>
      <c r="N157" s="21" t="n">
        <v>0</v>
      </c>
      <c r="O157" s="21" t="n">
        <v>0</v>
      </c>
      <c r="P157" s="22" t="n">
        <v>0</v>
      </c>
      <c r="Q157" s="22" t="n">
        <v>0</v>
      </c>
      <c r="R157" s="22" t="n">
        <v>0</v>
      </c>
      <c r="S157" s="22">
        <f>L150</f>
        <v/>
      </c>
      <c r="T157" s="22">
        <f>M150</f>
        <v/>
      </c>
      <c r="U157" s="22">
        <f>N150</f>
        <v/>
      </c>
      <c r="V157" s="22" t="n">
        <v>0</v>
      </c>
      <c r="W157" s="22" t="n">
        <v>0</v>
      </c>
      <c r="X157" s="22" t="n">
        <v>0</v>
      </c>
      <c r="Y157" s="22" t="n">
        <v>0</v>
      </c>
      <c r="Z157" s="22" t="n">
        <v>0</v>
      </c>
      <c r="AA157" s="22" t="n">
        <v>0</v>
      </c>
      <c r="AG157" s="23">
        <f>INDEX(Global_Solver!$BC$5:$BC$52, 6*C145+4, 1)</f>
        <v/>
      </c>
      <c r="AH157" s="23">
        <f>SUMPRODUCT(P157:AA157, AG154:AG165)</f>
        <v/>
      </c>
      <c r="AI157" s="24">
        <f>SUMPRODUCT(D157:O157, AH154:AH165)-B169</f>
        <v/>
      </c>
    </row>
    <row r="158">
      <c r="D158" s="21" t="n">
        <v>0</v>
      </c>
      <c r="E158" s="21" t="n">
        <v>0</v>
      </c>
      <c r="F158" s="21">
        <f>H156</f>
        <v/>
      </c>
      <c r="G158" s="21" t="n">
        <v>0</v>
      </c>
      <c r="H158" s="21">
        <f>IF(C146,=(4*$C$150*($C$153/$F$153))/$G$148,0)</f>
        <v/>
      </c>
      <c r="I158" s="21" t="n">
        <v>0</v>
      </c>
      <c r="J158" s="21" t="n">
        <v>0</v>
      </c>
      <c r="K158" s="21" t="n">
        <v>0</v>
      </c>
      <c r="L158" s="21">
        <f>-H156</f>
        <v/>
      </c>
      <c r="M158" s="21" t="n">
        <v>0</v>
      </c>
      <c r="N158" s="21">
        <f>IF(C146,=(2*$C$150*($C$153/$F$153))/$G$148,0)</f>
        <v/>
      </c>
      <c r="O158" s="21" t="n">
        <v>0</v>
      </c>
      <c r="P158" s="22" t="n">
        <v>0</v>
      </c>
      <c r="Q158" s="22" t="n">
        <v>0</v>
      </c>
      <c r="R158" s="22" t="n">
        <v>0</v>
      </c>
      <c r="S158" s="22">
        <f>L151</f>
        <v/>
      </c>
      <c r="T158" s="22">
        <f>M151</f>
        <v/>
      </c>
      <c r="U158" s="22">
        <f>N151</f>
        <v/>
      </c>
      <c r="V158" s="22" t="n">
        <v>0</v>
      </c>
      <c r="W158" s="22" t="n">
        <v>0</v>
      </c>
      <c r="X158" s="22" t="n">
        <v>0</v>
      </c>
      <c r="Y158" s="22" t="n">
        <v>0</v>
      </c>
      <c r="Z158" s="22" t="n">
        <v>0</v>
      </c>
      <c r="AA158" s="22" t="n">
        <v>0</v>
      </c>
      <c r="AG158" s="23">
        <f>INDEX(Global_Solver!$BC$5:$BC$52, 6*C145+5, 1)</f>
        <v/>
      </c>
      <c r="AH158" s="23">
        <f>SUMPRODUCT(P158:AA158, AG154:AG165)</f>
        <v/>
      </c>
      <c r="AI158" s="24">
        <f>SUMPRODUCT(D158:O158, AH154:AH165)-B170</f>
        <v/>
      </c>
    </row>
    <row r="159">
      <c r="D159" s="21" t="n">
        <v>0</v>
      </c>
      <c r="E159" s="21">
        <f>I155</f>
        <v/>
      </c>
      <c r="F159" s="21" t="n">
        <v>0</v>
      </c>
      <c r="G159" s="21" t="n">
        <v>0</v>
      </c>
      <c r="H159" s="21" t="n">
        <v>0</v>
      </c>
      <c r="I159" s="21">
        <f>IF(C146,=(4*$C$150*($C$153/$F$153))/$G$148,0)</f>
        <v/>
      </c>
      <c r="J159" s="21" t="n">
        <v>0</v>
      </c>
      <c r="K159" s="21">
        <f>-I155</f>
        <v/>
      </c>
      <c r="L159" s="21" t="n">
        <v>0</v>
      </c>
      <c r="M159" s="21" t="n">
        <v>0</v>
      </c>
      <c r="N159" s="21" t="n">
        <v>0</v>
      </c>
      <c r="O159" s="21">
        <f>IF(C146,=(2*$C$150*($C$153/$F$153))/$G$148,0)</f>
        <v/>
      </c>
      <c r="P159" s="22" t="n">
        <v>0</v>
      </c>
      <c r="Q159" s="22" t="n">
        <v>0</v>
      </c>
      <c r="R159" s="22" t="n">
        <v>0</v>
      </c>
      <c r="S159" s="22">
        <f>L152</f>
        <v/>
      </c>
      <c r="T159" s="22">
        <f>M152</f>
        <v/>
      </c>
      <c r="U159" s="22">
        <f>N152</f>
        <v/>
      </c>
      <c r="V159" s="22" t="n">
        <v>0</v>
      </c>
      <c r="W159" s="22" t="n">
        <v>0</v>
      </c>
      <c r="X159" s="22" t="n">
        <v>0</v>
      </c>
      <c r="Y159" s="22" t="n">
        <v>0</v>
      </c>
      <c r="Z159" s="22" t="n">
        <v>0</v>
      </c>
      <c r="AA159" s="22" t="n">
        <v>0</v>
      </c>
      <c r="AG159" s="23">
        <f>INDEX(Global_Solver!$BC$5:$BC$52, 6*C145+6, 1)</f>
        <v/>
      </c>
      <c r="AH159" s="23">
        <f>SUMPRODUCT(P159:AA159, AG154:AG165)</f>
        <v/>
      </c>
      <c r="AI159" s="24">
        <f>SUMPRODUCT(D159:O159, AH154:AH165)-B171</f>
        <v/>
      </c>
    </row>
    <row r="160">
      <c r="D160" s="21">
        <f>J154</f>
        <v/>
      </c>
      <c r="E160" s="21" t="n">
        <v>0</v>
      </c>
      <c r="F160" s="21" t="n">
        <v>0</v>
      </c>
      <c r="G160" s="21" t="n">
        <v>0</v>
      </c>
      <c r="H160" s="21" t="n">
        <v>0</v>
      </c>
      <c r="I160" s="21" t="n">
        <v>0</v>
      </c>
      <c r="J160" s="21">
        <f>-J154</f>
        <v/>
      </c>
      <c r="K160" s="21" t="n">
        <v>0</v>
      </c>
      <c r="L160" s="21" t="n">
        <v>0</v>
      </c>
      <c r="M160" s="21" t="n">
        <v>0</v>
      </c>
      <c r="N160" s="21" t="n">
        <v>0</v>
      </c>
      <c r="O160" s="21" t="n">
        <v>0</v>
      </c>
      <c r="P160" s="22" t="n">
        <v>0</v>
      </c>
      <c r="Q160" s="22" t="n">
        <v>0</v>
      </c>
      <c r="R160" s="22" t="n">
        <v>0</v>
      </c>
      <c r="S160" s="22" t="n">
        <v>0</v>
      </c>
      <c r="T160" s="22" t="n">
        <v>0</v>
      </c>
      <c r="U160" s="22" t="n">
        <v>0</v>
      </c>
      <c r="V160" s="22">
        <f>L150</f>
        <v/>
      </c>
      <c r="W160" s="22">
        <f>M150</f>
        <v/>
      </c>
      <c r="X160" s="22">
        <f>N150</f>
        <v/>
      </c>
      <c r="Y160" s="22" t="n">
        <v>0</v>
      </c>
      <c r="Z160" s="22" t="n">
        <v>0</v>
      </c>
      <c r="AA160" s="22" t="n">
        <v>0</v>
      </c>
      <c r="AG160" s="23">
        <f>INDEX(Global_Solver!$BC$5:$BC$52, 6*E145+1, 1)</f>
        <v/>
      </c>
      <c r="AH160" s="23">
        <f>SUMPRODUCT(P160:AA160, AG154:AG165)</f>
        <v/>
      </c>
      <c r="AI160" s="24">
        <f>SUMPRODUCT(D160:O160, AH154:AH165)-B172</f>
        <v/>
      </c>
    </row>
    <row r="161">
      <c r="D161" s="21" t="n">
        <v>0</v>
      </c>
      <c r="E161" s="21">
        <f>K155</f>
        <v/>
      </c>
      <c r="F161" s="21" t="n">
        <v>0</v>
      </c>
      <c r="G161" s="21" t="n">
        <v>0</v>
      </c>
      <c r="H161" s="21" t="n">
        <v>0</v>
      </c>
      <c r="I161" s="21">
        <f>K159</f>
        <v/>
      </c>
      <c r="J161" s="21" t="n">
        <v>0</v>
      </c>
      <c r="K161" s="21">
        <f>E155</f>
        <v/>
      </c>
      <c r="L161" s="21" t="n">
        <v>0</v>
      </c>
      <c r="M161" s="21" t="n">
        <v>0</v>
      </c>
      <c r="N161" s="21" t="n">
        <v>0</v>
      </c>
      <c r="O161" s="21">
        <f>-I155</f>
        <v/>
      </c>
      <c r="P161" s="22" t="n">
        <v>0</v>
      </c>
      <c r="Q161" s="22" t="n">
        <v>0</v>
      </c>
      <c r="R161" s="22" t="n">
        <v>0</v>
      </c>
      <c r="S161" s="22" t="n">
        <v>0</v>
      </c>
      <c r="T161" s="22" t="n">
        <v>0</v>
      </c>
      <c r="U161" s="22" t="n">
        <v>0</v>
      </c>
      <c r="V161" s="22">
        <f>L151</f>
        <v/>
      </c>
      <c r="W161" s="22">
        <f>M151</f>
        <v/>
      </c>
      <c r="X161" s="22">
        <f>N151</f>
        <v/>
      </c>
      <c r="Y161" s="22" t="n">
        <v>0</v>
      </c>
      <c r="Z161" s="22" t="n">
        <v>0</v>
      </c>
      <c r="AA161" s="22" t="n">
        <v>0</v>
      </c>
      <c r="AG161" s="23">
        <f>INDEX(Global_Solver!$BC$5:$BC$52, 6*E145+2, 1)</f>
        <v/>
      </c>
      <c r="AH161" s="23">
        <f>SUMPRODUCT(P161:AA161, AG154:AG165)</f>
        <v/>
      </c>
      <c r="AI161" s="24">
        <f>SUMPRODUCT(D161:O161, AH154:AH165)-B173</f>
        <v/>
      </c>
    </row>
    <row r="162">
      <c r="D162" s="21" t="n">
        <v>0</v>
      </c>
      <c r="E162" s="21" t="n">
        <v>0</v>
      </c>
      <c r="F162" s="21">
        <f>L156</f>
        <v/>
      </c>
      <c r="G162" s="21" t="n">
        <v>0</v>
      </c>
      <c r="H162" s="21">
        <f>L158</f>
        <v/>
      </c>
      <c r="I162" s="21" t="n">
        <v>0</v>
      </c>
      <c r="J162" s="21" t="n">
        <v>0</v>
      </c>
      <c r="K162" s="21" t="n">
        <v>0</v>
      </c>
      <c r="L162" s="21">
        <f>F156</f>
        <v/>
      </c>
      <c r="M162" s="21" t="n">
        <v>0</v>
      </c>
      <c r="N162" s="21">
        <f>-H156</f>
        <v/>
      </c>
      <c r="O162" s="21" t="n">
        <v>0</v>
      </c>
      <c r="P162" s="22" t="n">
        <v>0</v>
      </c>
      <c r="Q162" s="22" t="n">
        <v>0</v>
      </c>
      <c r="R162" s="22" t="n">
        <v>0</v>
      </c>
      <c r="S162" s="22" t="n">
        <v>0</v>
      </c>
      <c r="T162" s="22" t="n">
        <v>0</v>
      </c>
      <c r="U162" s="22" t="n">
        <v>0</v>
      </c>
      <c r="V162" s="22">
        <f>L152</f>
        <v/>
      </c>
      <c r="W162" s="22">
        <f>M152</f>
        <v/>
      </c>
      <c r="X162" s="22">
        <f>N152</f>
        <v/>
      </c>
      <c r="Y162" s="22" t="n">
        <v>0</v>
      </c>
      <c r="Z162" s="22" t="n">
        <v>0</v>
      </c>
      <c r="AA162" s="22" t="n">
        <v>0</v>
      </c>
      <c r="AG162" s="23">
        <f>INDEX(Global_Solver!$BC$5:$BC$52, 6*E145+3, 1)</f>
        <v/>
      </c>
      <c r="AH162" s="23">
        <f>SUMPRODUCT(P162:AA162, AG154:AG165)</f>
        <v/>
      </c>
      <c r="AI162" s="24">
        <f>SUMPRODUCT(D162:O162, AH154:AH165)-B174</f>
        <v/>
      </c>
    </row>
    <row r="163">
      <c r="D163" s="21" t="n">
        <v>0</v>
      </c>
      <c r="E163" s="21" t="n">
        <v>0</v>
      </c>
      <c r="F163" s="21" t="n">
        <v>0</v>
      </c>
      <c r="G163" s="21">
        <f>M157</f>
        <v/>
      </c>
      <c r="H163" s="21" t="n">
        <v>0</v>
      </c>
      <c r="I163" s="21" t="n">
        <v>0</v>
      </c>
      <c r="J163" s="21" t="n">
        <v>0</v>
      </c>
      <c r="K163" s="21" t="n">
        <v>0</v>
      </c>
      <c r="L163" s="21" t="n">
        <v>0</v>
      </c>
      <c r="M163" s="21">
        <f>-M157</f>
        <v/>
      </c>
      <c r="N163" s="21" t="n">
        <v>0</v>
      </c>
      <c r="O163" s="21" t="n">
        <v>0</v>
      </c>
      <c r="P163" s="22" t="n">
        <v>0</v>
      </c>
      <c r="Q163" s="22" t="n">
        <v>0</v>
      </c>
      <c r="R163" s="22" t="n">
        <v>0</v>
      </c>
      <c r="S163" s="22" t="n">
        <v>0</v>
      </c>
      <c r="T163" s="22" t="n">
        <v>0</v>
      </c>
      <c r="U163" s="22" t="n">
        <v>0</v>
      </c>
      <c r="V163" s="22" t="n">
        <v>0</v>
      </c>
      <c r="W163" s="22" t="n">
        <v>0</v>
      </c>
      <c r="X163" s="22" t="n">
        <v>0</v>
      </c>
      <c r="Y163" s="22">
        <f>L150</f>
        <v/>
      </c>
      <c r="Z163" s="22">
        <f>M150</f>
        <v/>
      </c>
      <c r="AA163" s="22">
        <f>N150</f>
        <v/>
      </c>
      <c r="AG163" s="23">
        <f>INDEX(Global_Solver!$BC$5:$BC$52, 6*E145+4, 1)</f>
        <v/>
      </c>
      <c r="AH163" s="23">
        <f>SUMPRODUCT(P163:AA163, AG154:AG165)</f>
        <v/>
      </c>
      <c r="AI163" s="24">
        <f>SUMPRODUCT(D163:O163, AH154:AH165)-B175</f>
        <v/>
      </c>
    </row>
    <row r="164">
      <c r="D164" s="21" t="n">
        <v>0</v>
      </c>
      <c r="E164" s="21" t="n">
        <v>0</v>
      </c>
      <c r="F164" s="21">
        <f>N156</f>
        <v/>
      </c>
      <c r="G164" s="21" t="n">
        <v>0</v>
      </c>
      <c r="H164" s="21">
        <f>N158</f>
        <v/>
      </c>
      <c r="I164" s="21" t="n">
        <v>0</v>
      </c>
      <c r="J164" s="21" t="n">
        <v>0</v>
      </c>
      <c r="K164" s="21" t="n">
        <v>0</v>
      </c>
      <c r="L164" s="21">
        <f>L162</f>
        <v/>
      </c>
      <c r="M164" s="21" t="n">
        <v>0</v>
      </c>
      <c r="N164" s="21">
        <f>H158</f>
        <v/>
      </c>
      <c r="O164" s="21" t="n">
        <v>0</v>
      </c>
      <c r="P164" s="22" t="n">
        <v>0</v>
      </c>
      <c r="Q164" s="22" t="n">
        <v>0</v>
      </c>
      <c r="R164" s="22" t="n">
        <v>0</v>
      </c>
      <c r="S164" s="22" t="n">
        <v>0</v>
      </c>
      <c r="T164" s="22" t="n">
        <v>0</v>
      </c>
      <c r="U164" s="22" t="n">
        <v>0</v>
      </c>
      <c r="V164" s="22" t="n">
        <v>0</v>
      </c>
      <c r="W164" s="22" t="n">
        <v>0</v>
      </c>
      <c r="X164" s="22" t="n">
        <v>0</v>
      </c>
      <c r="Y164" s="22">
        <f>L151</f>
        <v/>
      </c>
      <c r="Z164" s="22">
        <f>M151</f>
        <v/>
      </c>
      <c r="AA164" s="22">
        <f>N151</f>
        <v/>
      </c>
      <c r="AG164" s="23">
        <f>INDEX(Global_Solver!$BC$5:$BC$52, 6*E145+5, 1)</f>
        <v/>
      </c>
      <c r="AH164" s="23">
        <f>SUMPRODUCT(P164:AA164, AG154:AG165)</f>
        <v/>
      </c>
      <c r="AI164" s="24">
        <f>SUMPRODUCT(D164:O164, AH154:AH165)-B176</f>
        <v/>
      </c>
    </row>
    <row r="165">
      <c r="D165" s="21" t="n">
        <v>0</v>
      </c>
      <c r="E165" s="21">
        <f>O155</f>
        <v/>
      </c>
      <c r="F165" s="21" t="n">
        <v>0</v>
      </c>
      <c r="G165" s="21" t="n">
        <v>0</v>
      </c>
      <c r="H165" s="21" t="n">
        <v>0</v>
      </c>
      <c r="I165" s="21">
        <f>O159</f>
        <v/>
      </c>
      <c r="J165" s="21" t="n">
        <v>0</v>
      </c>
      <c r="K165" s="21">
        <f>K161</f>
        <v/>
      </c>
      <c r="L165" s="21" t="n">
        <v>0</v>
      </c>
      <c r="M165" s="21" t="n">
        <v>0</v>
      </c>
      <c r="N165" s="21" t="n">
        <v>0</v>
      </c>
      <c r="O165" s="21">
        <f>I159</f>
        <v/>
      </c>
      <c r="P165" s="22" t="n">
        <v>0</v>
      </c>
      <c r="Q165" s="22" t="n">
        <v>0</v>
      </c>
      <c r="R165" s="22" t="n">
        <v>0</v>
      </c>
      <c r="S165" s="22" t="n">
        <v>0</v>
      </c>
      <c r="T165" s="22" t="n">
        <v>0</v>
      </c>
      <c r="U165" s="22" t="n">
        <v>0</v>
      </c>
      <c r="V165" s="22" t="n">
        <v>0</v>
      </c>
      <c r="W165" s="22" t="n">
        <v>0</v>
      </c>
      <c r="X165" s="22" t="n">
        <v>0</v>
      </c>
      <c r="Y165" s="22">
        <f>L152</f>
        <v/>
      </c>
      <c r="Z165" s="22">
        <f>M152</f>
        <v/>
      </c>
      <c r="AA165" s="22">
        <f>N152</f>
        <v/>
      </c>
      <c r="AG165" s="23">
        <f>INDEX(Global_Solver!$BC$5:$BC$52, 6*E145+6, 1)</f>
        <v/>
      </c>
      <c r="AH165" s="23">
        <f>SUMPRODUCT(P165:AA165, AG154:AG165)</f>
        <v/>
      </c>
      <c r="AI165" s="24">
        <f>SUMPRODUCT(D165:O165, AH154:AH165)-B177</f>
        <v/>
      </c>
    </row>
    <row r="166">
      <c r="B166" s="24">
        <f>IF(C146,-C150*F152*E150*Inputs!$K$11,0)</f>
        <v/>
      </c>
      <c r="C166" s="24">
        <f>SUMPRODUCT(P154:AA154, B166:B177)</f>
        <v/>
      </c>
      <c r="D166" s="25">
        <f>SUMPRODUCT(D154:O154, P154:P165)</f>
        <v/>
      </c>
      <c r="E166" s="25">
        <f>SUMPRODUCT(D154:O154, Q154:Q165)</f>
        <v/>
      </c>
      <c r="F166" s="25">
        <f>SUMPRODUCT(D154:O154, R154:R165)</f>
        <v/>
      </c>
      <c r="G166" s="25">
        <f>SUMPRODUCT(D154:O154, S154:S165)</f>
        <v/>
      </c>
      <c r="H166" s="25">
        <f>SUMPRODUCT(D154:O154, T154:T165)</f>
        <v/>
      </c>
      <c r="I166" s="25">
        <f>SUMPRODUCT(D154:O154, U154:U165)</f>
        <v/>
      </c>
      <c r="J166" s="25">
        <f>SUMPRODUCT(D154:O154, V154:V165)</f>
        <v/>
      </c>
      <c r="K166" s="25">
        <f>SUMPRODUCT(D154:O154, W154:W165)</f>
        <v/>
      </c>
      <c r="L166" s="25">
        <f>SUMPRODUCT(D154:O154, X154:X165)</f>
        <v/>
      </c>
      <c r="M166" s="25">
        <f>SUMPRODUCT(D154:O154, Y154:Y165)</f>
        <v/>
      </c>
      <c r="N166" s="25">
        <f>SUMPRODUCT(D154:O154, Z154:Z165)</f>
        <v/>
      </c>
      <c r="O166" s="25">
        <f>SUMPRODUCT(D154:O154, AA154:AA165)</f>
        <v/>
      </c>
      <c r="P166" s="25">
        <f>SUMPRODUCT(P154:AA154, D166:D177)</f>
        <v/>
      </c>
      <c r="Q166" s="25">
        <f>SUMPRODUCT(P154:AA154, E166:E177)</f>
        <v/>
      </c>
      <c r="R166" s="25">
        <f>SUMPRODUCT(P154:AA154, F166:F177)</f>
        <v/>
      </c>
      <c r="S166" s="25">
        <f>SUMPRODUCT(P154:AA154, G166:G177)</f>
        <v/>
      </c>
      <c r="T166" s="25">
        <f>SUMPRODUCT(P154:AA154, H166:H177)</f>
        <v/>
      </c>
      <c r="U166" s="25">
        <f>SUMPRODUCT(P154:AA154, I166:I177)</f>
        <v/>
      </c>
      <c r="V166" s="25">
        <f>SUMPRODUCT(P154:AA154, J166:J177)</f>
        <v/>
      </c>
      <c r="W166" s="25">
        <f>SUMPRODUCT(P154:AA154, K166:K177)</f>
        <v/>
      </c>
      <c r="X166" s="25">
        <f>SUMPRODUCT(P154:AA154, L166:L177)</f>
        <v/>
      </c>
      <c r="Y166" s="25">
        <f>SUMPRODUCT(P154:AA154, M166:M177)</f>
        <v/>
      </c>
      <c r="Z166" s="25">
        <f>SUMPRODUCT(P154:AA154, N166:N177)</f>
        <v/>
      </c>
      <c r="AA166" s="25">
        <f>SUMPRODUCT(P154:AA154, O166:O177)</f>
        <v/>
      </c>
    </row>
    <row r="167">
      <c r="B167" s="24" t="n">
        <v>0</v>
      </c>
      <c r="C167" s="24">
        <f>SUMPRODUCT(P155:AA155, B166:B177)</f>
        <v/>
      </c>
      <c r="D167" s="25">
        <f>SUMPRODUCT(D155:O155, P154:P165)</f>
        <v/>
      </c>
      <c r="E167" s="25">
        <f>SUMPRODUCT(D155:O155, Q154:Q165)</f>
        <v/>
      </c>
      <c r="F167" s="25">
        <f>SUMPRODUCT(D155:O155, R154:R165)</f>
        <v/>
      </c>
      <c r="G167" s="25">
        <f>SUMPRODUCT(D155:O155, S154:S165)</f>
        <v/>
      </c>
      <c r="H167" s="25">
        <f>SUMPRODUCT(D155:O155, T154:T165)</f>
        <v/>
      </c>
      <c r="I167" s="25">
        <f>SUMPRODUCT(D155:O155, U154:U165)</f>
        <v/>
      </c>
      <c r="J167" s="25">
        <f>SUMPRODUCT(D155:O155, V154:V165)</f>
        <v/>
      </c>
      <c r="K167" s="25">
        <f>SUMPRODUCT(D155:O155, W154:W165)</f>
        <v/>
      </c>
      <c r="L167" s="25">
        <f>SUMPRODUCT(D155:O155, X154:X165)</f>
        <v/>
      </c>
      <c r="M167" s="25">
        <f>SUMPRODUCT(D155:O155, Y154:Y165)</f>
        <v/>
      </c>
      <c r="N167" s="25">
        <f>SUMPRODUCT(D155:O155, Z154:Z165)</f>
        <v/>
      </c>
      <c r="O167" s="25">
        <f>SUMPRODUCT(D155:O155, AA154:AA165)</f>
        <v/>
      </c>
      <c r="P167" s="25">
        <f>SUMPRODUCT(P155:AA155, D166:D177)</f>
        <v/>
      </c>
      <c r="Q167" s="25">
        <f>SUMPRODUCT(P155:AA155, E166:E177)</f>
        <v/>
      </c>
      <c r="R167" s="25">
        <f>SUMPRODUCT(P155:AA155, F166:F177)</f>
        <v/>
      </c>
      <c r="S167" s="25">
        <f>SUMPRODUCT(P155:AA155, G166:G177)</f>
        <v/>
      </c>
      <c r="T167" s="25">
        <f>SUMPRODUCT(P155:AA155, H166:H177)</f>
        <v/>
      </c>
      <c r="U167" s="25">
        <f>SUMPRODUCT(P155:AA155, I166:I177)</f>
        <v/>
      </c>
      <c r="V167" s="25">
        <f>SUMPRODUCT(P155:AA155, J166:J177)</f>
        <v/>
      </c>
      <c r="W167" s="25">
        <f>SUMPRODUCT(P155:AA155, K166:K177)</f>
        <v/>
      </c>
      <c r="X167" s="25">
        <f>SUMPRODUCT(P155:AA155, L166:L177)</f>
        <v/>
      </c>
      <c r="Y167" s="25">
        <f>SUMPRODUCT(P155:AA155, M166:M177)</f>
        <v/>
      </c>
      <c r="Z167" s="25">
        <f>SUMPRODUCT(P155:AA155, N166:N177)</f>
        <v/>
      </c>
      <c r="AA167" s="25">
        <f>SUMPRODUCT(P155:AA155, O166:O177)</f>
        <v/>
      </c>
    </row>
    <row r="168">
      <c r="B168" s="24" t="n">
        <v>0</v>
      </c>
      <c r="C168" s="24">
        <f>SUMPRODUCT(P156:AA156, B166:B177)</f>
        <v/>
      </c>
      <c r="D168" s="25">
        <f>SUMPRODUCT(D156:O156, P154:P165)</f>
        <v/>
      </c>
      <c r="E168" s="25">
        <f>SUMPRODUCT(D156:O156, Q154:Q165)</f>
        <v/>
      </c>
      <c r="F168" s="25">
        <f>SUMPRODUCT(D156:O156, R154:R165)</f>
        <v/>
      </c>
      <c r="G168" s="25">
        <f>SUMPRODUCT(D156:O156, S154:S165)</f>
        <v/>
      </c>
      <c r="H168" s="25">
        <f>SUMPRODUCT(D156:O156, T154:T165)</f>
        <v/>
      </c>
      <c r="I168" s="25">
        <f>SUMPRODUCT(D156:O156, U154:U165)</f>
        <v/>
      </c>
      <c r="J168" s="25">
        <f>SUMPRODUCT(D156:O156, V154:V165)</f>
        <v/>
      </c>
      <c r="K168" s="25">
        <f>SUMPRODUCT(D156:O156, W154:W165)</f>
        <v/>
      </c>
      <c r="L168" s="25">
        <f>SUMPRODUCT(D156:O156, X154:X165)</f>
        <v/>
      </c>
      <c r="M168" s="25">
        <f>SUMPRODUCT(D156:O156, Y154:Y165)</f>
        <v/>
      </c>
      <c r="N168" s="25">
        <f>SUMPRODUCT(D156:O156, Z154:Z165)</f>
        <v/>
      </c>
      <c r="O168" s="25">
        <f>SUMPRODUCT(D156:O156, AA154:AA165)</f>
        <v/>
      </c>
      <c r="P168" s="25">
        <f>SUMPRODUCT(P156:AA156, D166:D177)</f>
        <v/>
      </c>
      <c r="Q168" s="25">
        <f>SUMPRODUCT(P156:AA156, E166:E177)</f>
        <v/>
      </c>
      <c r="R168" s="25">
        <f>SUMPRODUCT(P156:AA156, F166:F177)</f>
        <v/>
      </c>
      <c r="S168" s="25">
        <f>SUMPRODUCT(P156:AA156, G166:G177)</f>
        <v/>
      </c>
      <c r="T168" s="25">
        <f>SUMPRODUCT(P156:AA156, H166:H177)</f>
        <v/>
      </c>
      <c r="U168" s="25">
        <f>SUMPRODUCT(P156:AA156, I166:I177)</f>
        <v/>
      </c>
      <c r="V168" s="25">
        <f>SUMPRODUCT(P156:AA156, J166:J177)</f>
        <v/>
      </c>
      <c r="W168" s="25">
        <f>SUMPRODUCT(P156:AA156, K166:K177)</f>
        <v/>
      </c>
      <c r="X168" s="25">
        <f>SUMPRODUCT(P156:AA156, L166:L177)</f>
        <v/>
      </c>
      <c r="Y168" s="25">
        <f>SUMPRODUCT(P156:AA156, M166:M177)</f>
        <v/>
      </c>
      <c r="Z168" s="25">
        <f>SUMPRODUCT(P156:AA156, N166:N177)</f>
        <v/>
      </c>
      <c r="AA168" s="25">
        <f>SUMPRODUCT(P156:AA156, O166:O177)</f>
        <v/>
      </c>
    </row>
    <row r="169">
      <c r="B169" s="24" t="n">
        <v>0</v>
      </c>
      <c r="C169" s="24">
        <f>SUMPRODUCT(P157:AA157, B166:B177)</f>
        <v/>
      </c>
      <c r="D169" s="25">
        <f>SUMPRODUCT(D157:O157, P154:P165)</f>
        <v/>
      </c>
      <c r="E169" s="25">
        <f>SUMPRODUCT(D157:O157, Q154:Q165)</f>
        <v/>
      </c>
      <c r="F169" s="25">
        <f>SUMPRODUCT(D157:O157, R154:R165)</f>
        <v/>
      </c>
      <c r="G169" s="25">
        <f>SUMPRODUCT(D157:O157, S154:S165)</f>
        <v/>
      </c>
      <c r="H169" s="25">
        <f>SUMPRODUCT(D157:O157, T154:T165)</f>
        <v/>
      </c>
      <c r="I169" s="25">
        <f>SUMPRODUCT(D157:O157, U154:U165)</f>
        <v/>
      </c>
      <c r="J169" s="25">
        <f>SUMPRODUCT(D157:O157, V154:V165)</f>
        <v/>
      </c>
      <c r="K169" s="25">
        <f>SUMPRODUCT(D157:O157, W154:W165)</f>
        <v/>
      </c>
      <c r="L169" s="25">
        <f>SUMPRODUCT(D157:O157, X154:X165)</f>
        <v/>
      </c>
      <c r="M169" s="25">
        <f>SUMPRODUCT(D157:O157, Y154:Y165)</f>
        <v/>
      </c>
      <c r="N169" s="25">
        <f>SUMPRODUCT(D157:O157, Z154:Z165)</f>
        <v/>
      </c>
      <c r="O169" s="25">
        <f>SUMPRODUCT(D157:O157, AA154:AA165)</f>
        <v/>
      </c>
      <c r="P169" s="25">
        <f>SUMPRODUCT(P157:AA157, D166:D177)</f>
        <v/>
      </c>
      <c r="Q169" s="25">
        <f>SUMPRODUCT(P157:AA157, E166:E177)</f>
        <v/>
      </c>
      <c r="R169" s="25">
        <f>SUMPRODUCT(P157:AA157, F166:F177)</f>
        <v/>
      </c>
      <c r="S169" s="25">
        <f>SUMPRODUCT(P157:AA157, G166:G177)</f>
        <v/>
      </c>
      <c r="T169" s="25">
        <f>SUMPRODUCT(P157:AA157, H166:H177)</f>
        <v/>
      </c>
      <c r="U169" s="25">
        <f>SUMPRODUCT(P157:AA157, I166:I177)</f>
        <v/>
      </c>
      <c r="V169" s="25">
        <f>SUMPRODUCT(P157:AA157, J166:J177)</f>
        <v/>
      </c>
      <c r="W169" s="25">
        <f>SUMPRODUCT(P157:AA157, K166:K177)</f>
        <v/>
      </c>
      <c r="X169" s="25">
        <f>SUMPRODUCT(P157:AA157, L166:L177)</f>
        <v/>
      </c>
      <c r="Y169" s="25">
        <f>SUMPRODUCT(P157:AA157, M166:M177)</f>
        <v/>
      </c>
      <c r="Z169" s="25">
        <f>SUMPRODUCT(P157:AA157, N166:N177)</f>
        <v/>
      </c>
      <c r="AA169" s="25">
        <f>SUMPRODUCT(P157:AA157, O166:O177)</f>
        <v/>
      </c>
    </row>
    <row r="170">
      <c r="B170" s="24" t="n">
        <v>0</v>
      </c>
      <c r="C170" s="24">
        <f>SUMPRODUCT(P158:AA158, B166:B177)</f>
        <v/>
      </c>
      <c r="D170" s="25">
        <f>SUMPRODUCT(D158:O158, P154:P165)</f>
        <v/>
      </c>
      <c r="E170" s="25">
        <f>SUMPRODUCT(D158:O158, Q154:Q165)</f>
        <v/>
      </c>
      <c r="F170" s="25">
        <f>SUMPRODUCT(D158:O158, R154:R165)</f>
        <v/>
      </c>
      <c r="G170" s="25">
        <f>SUMPRODUCT(D158:O158, S154:S165)</f>
        <v/>
      </c>
      <c r="H170" s="25">
        <f>SUMPRODUCT(D158:O158, T154:T165)</f>
        <v/>
      </c>
      <c r="I170" s="25">
        <f>SUMPRODUCT(D158:O158, U154:U165)</f>
        <v/>
      </c>
      <c r="J170" s="25">
        <f>SUMPRODUCT(D158:O158, V154:V165)</f>
        <v/>
      </c>
      <c r="K170" s="25">
        <f>SUMPRODUCT(D158:O158, W154:W165)</f>
        <v/>
      </c>
      <c r="L170" s="25">
        <f>SUMPRODUCT(D158:O158, X154:X165)</f>
        <v/>
      </c>
      <c r="M170" s="25">
        <f>SUMPRODUCT(D158:O158, Y154:Y165)</f>
        <v/>
      </c>
      <c r="N170" s="25">
        <f>SUMPRODUCT(D158:O158, Z154:Z165)</f>
        <v/>
      </c>
      <c r="O170" s="25">
        <f>SUMPRODUCT(D158:O158, AA154:AA165)</f>
        <v/>
      </c>
      <c r="P170" s="25">
        <f>SUMPRODUCT(P158:AA158, D166:D177)</f>
        <v/>
      </c>
      <c r="Q170" s="25">
        <f>SUMPRODUCT(P158:AA158, E166:E177)</f>
        <v/>
      </c>
      <c r="R170" s="25">
        <f>SUMPRODUCT(P158:AA158, F166:F177)</f>
        <v/>
      </c>
      <c r="S170" s="25">
        <f>SUMPRODUCT(P158:AA158, G166:G177)</f>
        <v/>
      </c>
      <c r="T170" s="25">
        <f>SUMPRODUCT(P158:AA158, H166:H177)</f>
        <v/>
      </c>
      <c r="U170" s="25">
        <f>SUMPRODUCT(P158:AA158, I166:I177)</f>
        <v/>
      </c>
      <c r="V170" s="25">
        <f>SUMPRODUCT(P158:AA158, J166:J177)</f>
        <v/>
      </c>
      <c r="W170" s="25">
        <f>SUMPRODUCT(P158:AA158, K166:K177)</f>
        <v/>
      </c>
      <c r="X170" s="25">
        <f>SUMPRODUCT(P158:AA158, L166:L177)</f>
        <v/>
      </c>
      <c r="Y170" s="25">
        <f>SUMPRODUCT(P158:AA158, M166:M177)</f>
        <v/>
      </c>
      <c r="Z170" s="25">
        <f>SUMPRODUCT(P158:AA158, N166:N177)</f>
        <v/>
      </c>
      <c r="AA170" s="25">
        <f>SUMPRODUCT(P158:AA158, O166:O177)</f>
        <v/>
      </c>
    </row>
    <row r="171">
      <c r="B171" s="24" t="n">
        <v>0</v>
      </c>
      <c r="C171" s="24">
        <f>SUMPRODUCT(P159:AA159, B166:B177)</f>
        <v/>
      </c>
      <c r="D171" s="25">
        <f>SUMPRODUCT(D159:O159, P154:P165)</f>
        <v/>
      </c>
      <c r="E171" s="25">
        <f>SUMPRODUCT(D159:O159, Q154:Q165)</f>
        <v/>
      </c>
      <c r="F171" s="25">
        <f>SUMPRODUCT(D159:O159, R154:R165)</f>
        <v/>
      </c>
      <c r="G171" s="25">
        <f>SUMPRODUCT(D159:O159, S154:S165)</f>
        <v/>
      </c>
      <c r="H171" s="25">
        <f>SUMPRODUCT(D159:O159, T154:T165)</f>
        <v/>
      </c>
      <c r="I171" s="25">
        <f>SUMPRODUCT(D159:O159, U154:U165)</f>
        <v/>
      </c>
      <c r="J171" s="25">
        <f>SUMPRODUCT(D159:O159, V154:V165)</f>
        <v/>
      </c>
      <c r="K171" s="25">
        <f>SUMPRODUCT(D159:O159, W154:W165)</f>
        <v/>
      </c>
      <c r="L171" s="25">
        <f>SUMPRODUCT(D159:O159, X154:X165)</f>
        <v/>
      </c>
      <c r="M171" s="25">
        <f>SUMPRODUCT(D159:O159, Y154:Y165)</f>
        <v/>
      </c>
      <c r="N171" s="25">
        <f>SUMPRODUCT(D159:O159, Z154:Z165)</f>
        <v/>
      </c>
      <c r="O171" s="25">
        <f>SUMPRODUCT(D159:O159, AA154:AA165)</f>
        <v/>
      </c>
      <c r="P171" s="25">
        <f>SUMPRODUCT(P159:AA159, D166:D177)</f>
        <v/>
      </c>
      <c r="Q171" s="25">
        <f>SUMPRODUCT(P159:AA159, E166:E177)</f>
        <v/>
      </c>
      <c r="R171" s="25">
        <f>SUMPRODUCT(P159:AA159, F166:F177)</f>
        <v/>
      </c>
      <c r="S171" s="25">
        <f>SUMPRODUCT(P159:AA159, G166:G177)</f>
        <v/>
      </c>
      <c r="T171" s="25">
        <f>SUMPRODUCT(P159:AA159, H166:H177)</f>
        <v/>
      </c>
      <c r="U171" s="25">
        <f>SUMPRODUCT(P159:AA159, I166:I177)</f>
        <v/>
      </c>
      <c r="V171" s="25">
        <f>SUMPRODUCT(P159:AA159, J166:J177)</f>
        <v/>
      </c>
      <c r="W171" s="25">
        <f>SUMPRODUCT(P159:AA159, K166:K177)</f>
        <v/>
      </c>
      <c r="X171" s="25">
        <f>SUMPRODUCT(P159:AA159, L166:L177)</f>
        <v/>
      </c>
      <c r="Y171" s="25">
        <f>SUMPRODUCT(P159:AA159, M166:M177)</f>
        <v/>
      </c>
      <c r="Z171" s="25">
        <f>SUMPRODUCT(P159:AA159, N166:N177)</f>
        <v/>
      </c>
      <c r="AA171" s="25">
        <f>SUMPRODUCT(P159:AA159, O166:O177)</f>
        <v/>
      </c>
    </row>
    <row r="172">
      <c r="B172" s="24">
        <f>IF(C146,C150*F152*E150*Inputs!$K$11,0)</f>
        <v/>
      </c>
      <c r="C172" s="24">
        <f>SUMPRODUCT(P160:AA160, B166:B177)</f>
        <v/>
      </c>
      <c r="D172" s="25">
        <f>SUMPRODUCT(D160:O160, P154:P165)</f>
        <v/>
      </c>
      <c r="E172" s="25">
        <f>SUMPRODUCT(D160:O160, Q154:Q165)</f>
        <v/>
      </c>
      <c r="F172" s="25">
        <f>SUMPRODUCT(D160:O160, R154:R165)</f>
        <v/>
      </c>
      <c r="G172" s="25">
        <f>SUMPRODUCT(D160:O160, S154:S165)</f>
        <v/>
      </c>
      <c r="H172" s="25">
        <f>SUMPRODUCT(D160:O160, T154:T165)</f>
        <v/>
      </c>
      <c r="I172" s="25">
        <f>SUMPRODUCT(D160:O160, U154:U165)</f>
        <v/>
      </c>
      <c r="J172" s="25">
        <f>SUMPRODUCT(D160:O160, V154:V165)</f>
        <v/>
      </c>
      <c r="K172" s="25">
        <f>SUMPRODUCT(D160:O160, W154:W165)</f>
        <v/>
      </c>
      <c r="L172" s="25">
        <f>SUMPRODUCT(D160:O160, X154:X165)</f>
        <v/>
      </c>
      <c r="M172" s="25">
        <f>SUMPRODUCT(D160:O160, Y154:Y165)</f>
        <v/>
      </c>
      <c r="N172" s="25">
        <f>SUMPRODUCT(D160:O160, Z154:Z165)</f>
        <v/>
      </c>
      <c r="O172" s="25">
        <f>SUMPRODUCT(D160:O160, AA154:AA165)</f>
        <v/>
      </c>
      <c r="P172" s="25">
        <f>SUMPRODUCT(P160:AA160, D166:D177)</f>
        <v/>
      </c>
      <c r="Q172" s="25">
        <f>SUMPRODUCT(P160:AA160, E166:E177)</f>
        <v/>
      </c>
      <c r="R172" s="25">
        <f>SUMPRODUCT(P160:AA160, F166:F177)</f>
        <v/>
      </c>
      <c r="S172" s="25">
        <f>SUMPRODUCT(P160:AA160, G166:G177)</f>
        <v/>
      </c>
      <c r="T172" s="25">
        <f>SUMPRODUCT(P160:AA160, H166:H177)</f>
        <v/>
      </c>
      <c r="U172" s="25">
        <f>SUMPRODUCT(P160:AA160, I166:I177)</f>
        <v/>
      </c>
      <c r="V172" s="25">
        <f>SUMPRODUCT(P160:AA160, J166:J177)</f>
        <v/>
      </c>
      <c r="W172" s="25">
        <f>SUMPRODUCT(P160:AA160, K166:K177)</f>
        <v/>
      </c>
      <c r="X172" s="25">
        <f>SUMPRODUCT(P160:AA160, L166:L177)</f>
        <v/>
      </c>
      <c r="Y172" s="25">
        <f>SUMPRODUCT(P160:AA160, M166:M177)</f>
        <v/>
      </c>
      <c r="Z172" s="25">
        <f>SUMPRODUCT(P160:AA160, N166:N177)</f>
        <v/>
      </c>
      <c r="AA172" s="25">
        <f>SUMPRODUCT(P160:AA160, O166:O177)</f>
        <v/>
      </c>
    </row>
    <row r="173">
      <c r="B173" s="24" t="n">
        <v>0</v>
      </c>
      <c r="C173" s="24">
        <f>SUMPRODUCT(P161:AA161, B166:B177)</f>
        <v/>
      </c>
      <c r="D173" s="25">
        <f>SUMPRODUCT(D161:O161, P154:P165)</f>
        <v/>
      </c>
      <c r="E173" s="25">
        <f>SUMPRODUCT(D161:O161, Q154:Q165)</f>
        <v/>
      </c>
      <c r="F173" s="25">
        <f>SUMPRODUCT(D161:O161, R154:R165)</f>
        <v/>
      </c>
      <c r="G173" s="25">
        <f>SUMPRODUCT(D161:O161, S154:S165)</f>
        <v/>
      </c>
      <c r="H173" s="25">
        <f>SUMPRODUCT(D161:O161, T154:T165)</f>
        <v/>
      </c>
      <c r="I173" s="25">
        <f>SUMPRODUCT(D161:O161, U154:U165)</f>
        <v/>
      </c>
      <c r="J173" s="25">
        <f>SUMPRODUCT(D161:O161, V154:V165)</f>
        <v/>
      </c>
      <c r="K173" s="25">
        <f>SUMPRODUCT(D161:O161, W154:W165)</f>
        <v/>
      </c>
      <c r="L173" s="25">
        <f>SUMPRODUCT(D161:O161, X154:X165)</f>
        <v/>
      </c>
      <c r="M173" s="25">
        <f>SUMPRODUCT(D161:O161, Y154:Y165)</f>
        <v/>
      </c>
      <c r="N173" s="25">
        <f>SUMPRODUCT(D161:O161, Z154:Z165)</f>
        <v/>
      </c>
      <c r="O173" s="25">
        <f>SUMPRODUCT(D161:O161, AA154:AA165)</f>
        <v/>
      </c>
      <c r="P173" s="25">
        <f>SUMPRODUCT(P161:AA161, D166:D177)</f>
        <v/>
      </c>
      <c r="Q173" s="25">
        <f>SUMPRODUCT(P161:AA161, E166:E177)</f>
        <v/>
      </c>
      <c r="R173" s="25">
        <f>SUMPRODUCT(P161:AA161, F166:F177)</f>
        <v/>
      </c>
      <c r="S173" s="25">
        <f>SUMPRODUCT(P161:AA161, G166:G177)</f>
        <v/>
      </c>
      <c r="T173" s="25">
        <f>SUMPRODUCT(P161:AA161, H166:H177)</f>
        <v/>
      </c>
      <c r="U173" s="25">
        <f>SUMPRODUCT(P161:AA161, I166:I177)</f>
        <v/>
      </c>
      <c r="V173" s="25">
        <f>SUMPRODUCT(P161:AA161, J166:J177)</f>
        <v/>
      </c>
      <c r="W173" s="25">
        <f>SUMPRODUCT(P161:AA161, K166:K177)</f>
        <v/>
      </c>
      <c r="X173" s="25">
        <f>SUMPRODUCT(P161:AA161, L166:L177)</f>
        <v/>
      </c>
      <c r="Y173" s="25">
        <f>SUMPRODUCT(P161:AA161, M166:M177)</f>
        <v/>
      </c>
      <c r="Z173" s="25">
        <f>SUMPRODUCT(P161:AA161, N166:N177)</f>
        <v/>
      </c>
      <c r="AA173" s="25">
        <f>SUMPRODUCT(P161:AA161, O166:O177)</f>
        <v/>
      </c>
    </row>
    <row r="174">
      <c r="B174" s="24" t="n">
        <v>0</v>
      </c>
      <c r="C174" s="24">
        <f>SUMPRODUCT(P162:AA162, B166:B177)</f>
        <v/>
      </c>
      <c r="D174" s="25">
        <f>SUMPRODUCT(D162:O162, P154:P165)</f>
        <v/>
      </c>
      <c r="E174" s="25">
        <f>SUMPRODUCT(D162:O162, Q154:Q165)</f>
        <v/>
      </c>
      <c r="F174" s="25">
        <f>SUMPRODUCT(D162:O162, R154:R165)</f>
        <v/>
      </c>
      <c r="G174" s="25">
        <f>SUMPRODUCT(D162:O162, S154:S165)</f>
        <v/>
      </c>
      <c r="H174" s="25">
        <f>SUMPRODUCT(D162:O162, T154:T165)</f>
        <v/>
      </c>
      <c r="I174" s="25">
        <f>SUMPRODUCT(D162:O162, U154:U165)</f>
        <v/>
      </c>
      <c r="J174" s="25">
        <f>SUMPRODUCT(D162:O162, V154:V165)</f>
        <v/>
      </c>
      <c r="K174" s="25">
        <f>SUMPRODUCT(D162:O162, W154:W165)</f>
        <v/>
      </c>
      <c r="L174" s="25">
        <f>SUMPRODUCT(D162:O162, X154:X165)</f>
        <v/>
      </c>
      <c r="M174" s="25">
        <f>SUMPRODUCT(D162:O162, Y154:Y165)</f>
        <v/>
      </c>
      <c r="N174" s="25">
        <f>SUMPRODUCT(D162:O162, Z154:Z165)</f>
        <v/>
      </c>
      <c r="O174" s="25">
        <f>SUMPRODUCT(D162:O162, AA154:AA165)</f>
        <v/>
      </c>
      <c r="P174" s="25">
        <f>SUMPRODUCT(P162:AA162, D166:D177)</f>
        <v/>
      </c>
      <c r="Q174" s="25">
        <f>SUMPRODUCT(P162:AA162, E166:E177)</f>
        <v/>
      </c>
      <c r="R174" s="25">
        <f>SUMPRODUCT(P162:AA162, F166:F177)</f>
        <v/>
      </c>
      <c r="S174" s="25">
        <f>SUMPRODUCT(P162:AA162, G166:G177)</f>
        <v/>
      </c>
      <c r="T174" s="25">
        <f>SUMPRODUCT(P162:AA162, H166:H177)</f>
        <v/>
      </c>
      <c r="U174" s="25">
        <f>SUMPRODUCT(P162:AA162, I166:I177)</f>
        <v/>
      </c>
      <c r="V174" s="25">
        <f>SUMPRODUCT(P162:AA162, J166:J177)</f>
        <v/>
      </c>
      <c r="W174" s="25">
        <f>SUMPRODUCT(P162:AA162, K166:K177)</f>
        <v/>
      </c>
      <c r="X174" s="25">
        <f>SUMPRODUCT(P162:AA162, L166:L177)</f>
        <v/>
      </c>
      <c r="Y174" s="25">
        <f>SUMPRODUCT(P162:AA162, M166:M177)</f>
        <v/>
      </c>
      <c r="Z174" s="25">
        <f>SUMPRODUCT(P162:AA162, N166:N177)</f>
        <v/>
      </c>
      <c r="AA174" s="25">
        <f>SUMPRODUCT(P162:AA162, O166:O177)</f>
        <v/>
      </c>
    </row>
    <row r="175">
      <c r="B175" s="24" t="n">
        <v>0</v>
      </c>
      <c r="C175" s="24">
        <f>SUMPRODUCT(P163:AA163, B166:B177)</f>
        <v/>
      </c>
      <c r="D175" s="25">
        <f>SUMPRODUCT(D163:O163, P154:P165)</f>
        <v/>
      </c>
      <c r="E175" s="25">
        <f>SUMPRODUCT(D163:O163, Q154:Q165)</f>
        <v/>
      </c>
      <c r="F175" s="25">
        <f>SUMPRODUCT(D163:O163, R154:R165)</f>
        <v/>
      </c>
      <c r="G175" s="25">
        <f>SUMPRODUCT(D163:O163, S154:S165)</f>
        <v/>
      </c>
      <c r="H175" s="25">
        <f>SUMPRODUCT(D163:O163, T154:T165)</f>
        <v/>
      </c>
      <c r="I175" s="25">
        <f>SUMPRODUCT(D163:O163, U154:U165)</f>
        <v/>
      </c>
      <c r="J175" s="25">
        <f>SUMPRODUCT(D163:O163, V154:V165)</f>
        <v/>
      </c>
      <c r="K175" s="25">
        <f>SUMPRODUCT(D163:O163, W154:W165)</f>
        <v/>
      </c>
      <c r="L175" s="25">
        <f>SUMPRODUCT(D163:O163, X154:X165)</f>
        <v/>
      </c>
      <c r="M175" s="25">
        <f>SUMPRODUCT(D163:O163, Y154:Y165)</f>
        <v/>
      </c>
      <c r="N175" s="25">
        <f>SUMPRODUCT(D163:O163, Z154:Z165)</f>
        <v/>
      </c>
      <c r="O175" s="25">
        <f>SUMPRODUCT(D163:O163, AA154:AA165)</f>
        <v/>
      </c>
      <c r="P175" s="25">
        <f>SUMPRODUCT(P163:AA163, D166:D177)</f>
        <v/>
      </c>
      <c r="Q175" s="25">
        <f>SUMPRODUCT(P163:AA163, E166:E177)</f>
        <v/>
      </c>
      <c r="R175" s="25">
        <f>SUMPRODUCT(P163:AA163, F166:F177)</f>
        <v/>
      </c>
      <c r="S175" s="25">
        <f>SUMPRODUCT(P163:AA163, G166:G177)</f>
        <v/>
      </c>
      <c r="T175" s="25">
        <f>SUMPRODUCT(P163:AA163, H166:H177)</f>
        <v/>
      </c>
      <c r="U175" s="25">
        <f>SUMPRODUCT(P163:AA163, I166:I177)</f>
        <v/>
      </c>
      <c r="V175" s="25">
        <f>SUMPRODUCT(P163:AA163, J166:J177)</f>
        <v/>
      </c>
      <c r="W175" s="25">
        <f>SUMPRODUCT(P163:AA163, K166:K177)</f>
        <v/>
      </c>
      <c r="X175" s="25">
        <f>SUMPRODUCT(P163:AA163, L166:L177)</f>
        <v/>
      </c>
      <c r="Y175" s="25">
        <f>SUMPRODUCT(P163:AA163, M166:M177)</f>
        <v/>
      </c>
      <c r="Z175" s="25">
        <f>SUMPRODUCT(P163:AA163, N166:N177)</f>
        <v/>
      </c>
      <c r="AA175" s="25">
        <f>SUMPRODUCT(P163:AA163, O166:O177)</f>
        <v/>
      </c>
    </row>
    <row r="176">
      <c r="B176" s="24" t="n">
        <v>0</v>
      </c>
      <c r="C176" s="24">
        <f>SUMPRODUCT(P164:AA164, B166:B177)</f>
        <v/>
      </c>
      <c r="D176" s="25">
        <f>SUMPRODUCT(D164:O164, P154:P165)</f>
        <v/>
      </c>
      <c r="E176" s="25">
        <f>SUMPRODUCT(D164:O164, Q154:Q165)</f>
        <v/>
      </c>
      <c r="F176" s="25">
        <f>SUMPRODUCT(D164:O164, R154:R165)</f>
        <v/>
      </c>
      <c r="G176" s="25">
        <f>SUMPRODUCT(D164:O164, S154:S165)</f>
        <v/>
      </c>
      <c r="H176" s="25">
        <f>SUMPRODUCT(D164:O164, T154:T165)</f>
        <v/>
      </c>
      <c r="I176" s="25">
        <f>SUMPRODUCT(D164:O164, U154:U165)</f>
        <v/>
      </c>
      <c r="J176" s="25">
        <f>SUMPRODUCT(D164:O164, V154:V165)</f>
        <v/>
      </c>
      <c r="K176" s="25">
        <f>SUMPRODUCT(D164:O164, W154:W165)</f>
        <v/>
      </c>
      <c r="L176" s="25">
        <f>SUMPRODUCT(D164:O164, X154:X165)</f>
        <v/>
      </c>
      <c r="M176" s="25">
        <f>SUMPRODUCT(D164:O164, Y154:Y165)</f>
        <v/>
      </c>
      <c r="N176" s="25">
        <f>SUMPRODUCT(D164:O164, Z154:Z165)</f>
        <v/>
      </c>
      <c r="O176" s="25">
        <f>SUMPRODUCT(D164:O164, AA154:AA165)</f>
        <v/>
      </c>
      <c r="P176" s="25">
        <f>SUMPRODUCT(P164:AA164, D166:D177)</f>
        <v/>
      </c>
      <c r="Q176" s="25">
        <f>SUMPRODUCT(P164:AA164, E166:E177)</f>
        <v/>
      </c>
      <c r="R176" s="25">
        <f>SUMPRODUCT(P164:AA164, F166:F177)</f>
        <v/>
      </c>
      <c r="S176" s="25">
        <f>SUMPRODUCT(P164:AA164, G166:G177)</f>
        <v/>
      </c>
      <c r="T176" s="25">
        <f>SUMPRODUCT(P164:AA164, H166:H177)</f>
        <v/>
      </c>
      <c r="U176" s="25">
        <f>SUMPRODUCT(P164:AA164, I166:I177)</f>
        <v/>
      </c>
      <c r="V176" s="25">
        <f>SUMPRODUCT(P164:AA164, J166:J177)</f>
        <v/>
      </c>
      <c r="W176" s="25">
        <f>SUMPRODUCT(P164:AA164, K166:K177)</f>
        <v/>
      </c>
      <c r="X176" s="25">
        <f>SUMPRODUCT(P164:AA164, L166:L177)</f>
        <v/>
      </c>
      <c r="Y176" s="25">
        <f>SUMPRODUCT(P164:AA164, M166:M177)</f>
        <v/>
      </c>
      <c r="Z176" s="25">
        <f>SUMPRODUCT(P164:AA164, N166:N177)</f>
        <v/>
      </c>
      <c r="AA176" s="25">
        <f>SUMPRODUCT(P164:AA164, O166:O177)</f>
        <v/>
      </c>
    </row>
    <row r="177">
      <c r="B177" s="24" t="n">
        <v>0</v>
      </c>
      <c r="C177" s="24">
        <f>SUMPRODUCT(P165:AA165, B166:B177)</f>
        <v/>
      </c>
      <c r="D177" s="25">
        <f>SUMPRODUCT(D165:O165, P154:P165)</f>
        <v/>
      </c>
      <c r="E177" s="25">
        <f>SUMPRODUCT(D165:O165, Q154:Q165)</f>
        <v/>
      </c>
      <c r="F177" s="25">
        <f>SUMPRODUCT(D165:O165, R154:R165)</f>
        <v/>
      </c>
      <c r="G177" s="25">
        <f>SUMPRODUCT(D165:O165, S154:S165)</f>
        <v/>
      </c>
      <c r="H177" s="25">
        <f>SUMPRODUCT(D165:O165, T154:T165)</f>
        <v/>
      </c>
      <c r="I177" s="25">
        <f>SUMPRODUCT(D165:O165, U154:U165)</f>
        <v/>
      </c>
      <c r="J177" s="25">
        <f>SUMPRODUCT(D165:O165, V154:V165)</f>
        <v/>
      </c>
      <c r="K177" s="25">
        <f>SUMPRODUCT(D165:O165, W154:W165)</f>
        <v/>
      </c>
      <c r="L177" s="25">
        <f>SUMPRODUCT(D165:O165, X154:X165)</f>
        <v/>
      </c>
      <c r="M177" s="25">
        <f>SUMPRODUCT(D165:O165, Y154:Y165)</f>
        <v/>
      </c>
      <c r="N177" s="25">
        <f>SUMPRODUCT(D165:O165, Z154:Z165)</f>
        <v/>
      </c>
      <c r="O177" s="25">
        <f>SUMPRODUCT(D165:O165, AA154:AA165)</f>
        <v/>
      </c>
      <c r="P177" s="25">
        <f>SUMPRODUCT(P165:AA165, D166:D177)</f>
        <v/>
      </c>
      <c r="Q177" s="25">
        <f>SUMPRODUCT(P165:AA165, E166:E177)</f>
        <v/>
      </c>
      <c r="R177" s="25">
        <f>SUMPRODUCT(P165:AA165, F166:F177)</f>
        <v/>
      </c>
      <c r="S177" s="25">
        <f>SUMPRODUCT(P165:AA165, G166:G177)</f>
        <v/>
      </c>
      <c r="T177" s="25">
        <f>SUMPRODUCT(P165:AA165, H166:H177)</f>
        <v/>
      </c>
      <c r="U177" s="25">
        <f>SUMPRODUCT(P165:AA165, I166:I177)</f>
        <v/>
      </c>
      <c r="V177" s="25">
        <f>SUMPRODUCT(P165:AA165, J166:J177)</f>
        <v/>
      </c>
      <c r="W177" s="25">
        <f>SUMPRODUCT(P165:AA165, K166:K177)</f>
        <v/>
      </c>
      <c r="X177" s="25">
        <f>SUMPRODUCT(P165:AA165, L166:L177)</f>
        <v/>
      </c>
      <c r="Y177" s="25">
        <f>SUMPRODUCT(P165:AA165, M166:M177)</f>
        <v/>
      </c>
      <c r="Z177" s="25">
        <f>SUMPRODUCT(P165:AA165, N166:N177)</f>
        <v/>
      </c>
      <c r="AA177" s="25">
        <f>SUMPRODUCT(P165:AA165, O166:O177)</f>
        <v/>
      </c>
    </row>
    <row r="179">
      <c r="B179" s="3" t="inlineStr">
        <is>
          <t>ELEMENT 5 ANALYSIS BLOCK</t>
        </is>
      </c>
    </row>
    <row r="180">
      <c r="B180" s="16" t="inlineStr">
        <is>
          <t>Node A ID</t>
        </is>
      </c>
      <c r="C180" s="17">
        <f>Inputs!C34</f>
        <v/>
      </c>
      <c r="D180" s="16" t="inlineStr">
        <is>
          <t>Node B ID</t>
        </is>
      </c>
      <c r="E180" s="17">
        <f>Inputs!D34</f>
        <v/>
      </c>
    </row>
    <row r="181">
      <c r="B181" s="16" t="inlineStr">
        <is>
          <t>Is Active?</t>
        </is>
      </c>
      <c r="C181" s="16">
        <f>AND(C180&lt;&gt;"",E180&lt;&gt;"")</f>
        <v/>
      </c>
    </row>
    <row r="182">
      <c r="B182" s="16" t="inlineStr">
        <is>
          <t>Node A Coord</t>
        </is>
      </c>
      <c r="C182" s="18">
        <f>IF(C181,VLOOKUP(C180,Inputs!$B$17:$E$24,2,FALSE),0.0)</f>
        <v/>
      </c>
      <c r="D182" s="18">
        <f>IF(C181,VLOOKUP(C180,Inputs!$B$17:$E$24,3,FALSE),0.0)</f>
        <v/>
      </c>
      <c r="E182" s="18">
        <f>IF(C181,VLOOKUP(C180,Inputs!$B$17:$E$24,4,FALSE),0.0)</f>
        <v/>
      </c>
      <c r="F182" s="16" t="inlineStr">
        <is>
          <t>Node B Coord</t>
        </is>
      </c>
      <c r="G182" s="18">
        <f>IF(C181,VLOOKUP(E180,Inputs!$B$17:$E$24,2,FALSE),0.0)</f>
        <v/>
      </c>
      <c r="H182" s="18">
        <f>IF(C181,VLOOKUP(E180,Inputs!$B$17:$E$24,3,FALSE),0.0)</f>
        <v/>
      </c>
      <c r="I182" s="18">
        <f>IF(C181,VLOOKUP(E180,Inputs!$B$17:$E$24,4,FALSE),0.0)</f>
        <v/>
      </c>
    </row>
    <row r="183">
      <c r="B183" s="16" t="inlineStr">
        <is>
          <t>deltas dx,dy,dz</t>
        </is>
      </c>
      <c r="C183">
        <f>G182-C182</f>
        <v/>
      </c>
      <c r="D183">
        <f>H182-D182</f>
        <v/>
      </c>
      <c r="E183">
        <f>I182-E182</f>
        <v/>
      </c>
      <c r="F183" s="16" t="inlineStr">
        <is>
          <t>Length L</t>
        </is>
      </c>
      <c r="G183" s="19">
        <f>IF(C181,SQRT(C183^2+D183^2+E183^2),1.0)</f>
        <v/>
      </c>
    </row>
    <row r="184">
      <c r="B184" s="16" t="inlineStr">
        <is>
          <t>dir cosines lx,my,nz</t>
        </is>
      </c>
      <c r="C184">
        <f>C183/G183</f>
        <v/>
      </c>
      <c r="D184">
        <f>D183/G183</f>
        <v/>
      </c>
      <c r="E184">
        <f>E183/G183</f>
        <v/>
      </c>
      <c r="F184" s="16" t="inlineStr">
        <is>
          <t>D_is_zero</t>
        </is>
      </c>
      <c r="G184">
        <f>AND(ABS(C184)&lt;1E-5,ABS(D184)&lt;1E-5)</f>
        <v/>
      </c>
      <c r="H184" s="16" t="inlineStr">
        <is>
          <t>D</t>
        </is>
      </c>
      <c r="I184">
        <f>SQRT(C184^2+D184^2)</f>
        <v/>
      </c>
      <c r="L184" s="16" t="inlineStr">
        <is>
          <t>ROTATION MATRIX lambda</t>
        </is>
      </c>
    </row>
    <row r="185">
      <c r="B185" s="16" t="inlineStr">
        <is>
          <t>Material E, G, alpha</t>
        </is>
      </c>
      <c r="C185">
        <f>VLOOKUP(Inputs!G34,Inputs!$B$7:$H$8,2,FALSE)</f>
        <v/>
      </c>
      <c r="D185">
        <f>VLOOKUP(Inputs!G34,Inputs!$B$7:$H$8,3,FALSE)</f>
        <v/>
      </c>
      <c r="E185">
        <f>VLOOKUP(Inputs!G34,Inputs!$B$7:$H$8,4,FALSE)</f>
        <v/>
      </c>
      <c r="L185" s="20">
        <f>C184</f>
        <v/>
      </c>
      <c r="M185" s="20">
        <f>D184</f>
        <v/>
      </c>
      <c r="N185" s="20">
        <f>E184</f>
        <v/>
      </c>
    </row>
    <row r="186">
      <c r="B186" s="16" t="inlineStr">
        <is>
          <t>Section OD, t</t>
        </is>
      </c>
      <c r="C186">
        <f>VLOOKUP(Inputs!H34,Inputs!$B$12:$H$13,2,FALSE)</f>
        <v/>
      </c>
      <c r="D186">
        <f>VLOOKUP(Inputs!H34,Inputs!$B$12:$H$13,3,FALSE)</f>
        <v/>
      </c>
      <c r="L186" s="20">
        <f>IF(G184,0,-D184/I184)</f>
        <v/>
      </c>
      <c r="M186" s="20">
        <f>IF(G184,IF(E184&gt;0,1,-1),C184/I184)</f>
        <v/>
      </c>
      <c r="N186" s="20" t="n">
        <v>0</v>
      </c>
    </row>
    <row r="187">
      <c r="B187" s="16" t="inlineStr">
        <is>
          <t>ro, ri</t>
        </is>
      </c>
      <c r="C187">
        <f>C186/2</f>
        <v/>
      </c>
      <c r="D187">
        <f>C187-D186</f>
        <v/>
      </c>
      <c r="E187" s="16" t="inlineStr">
        <is>
          <t>Area A</t>
        </is>
      </c>
      <c r="F187">
        <f>PI()*(C187^2-D187^2)</f>
        <v/>
      </c>
      <c r="L187" s="20">
        <f>IF(G184,IF(E184&gt;0,-1,1),-C184*E184/I184)</f>
        <v/>
      </c>
      <c r="M187" s="20">
        <f>IF(G184,0,-D184*E184/I184)</f>
        <v/>
      </c>
      <c r="N187" s="20">
        <f>IF(G184,0,I184)</f>
        <v/>
      </c>
    </row>
    <row r="188">
      <c r="B188" s="16" t="inlineStr">
        <is>
          <t>Inertia I, J</t>
        </is>
      </c>
      <c r="C188">
        <f>(PI()/4)*(C187^4-D187^4)</f>
        <v/>
      </c>
      <c r="D188">
        <f>C188*2</f>
        <v/>
      </c>
      <c r="E188" s="16" t="inlineStr">
        <is>
          <t>Flex Factor k</t>
        </is>
      </c>
      <c r="F188">
        <f>IF(Inputs!E34="bend",IF(Inputs!F34&lt;&gt;"",MAX(1.0,1.65/((D186*Inputs!F34)/(((C186-D186)/2)^2))),1.0),1.0)</f>
        <v/>
      </c>
    </row>
    <row r="189">
      <c r="D189" s="21">
        <f>IF(C181,$C$185*$F$187/$G$183,0)</f>
        <v/>
      </c>
      <c r="E189" s="21" t="n">
        <v>0</v>
      </c>
      <c r="F189" s="21" t="n">
        <v>0</v>
      </c>
      <c r="G189" s="21" t="n">
        <v>0</v>
      </c>
      <c r="H189" s="21" t="n">
        <v>0</v>
      </c>
      <c r="I189" s="21" t="n">
        <v>0</v>
      </c>
      <c r="J189" s="21">
        <f>-D189</f>
        <v/>
      </c>
      <c r="K189" s="21" t="n">
        <v>0</v>
      </c>
      <c r="L189" s="21" t="n">
        <v>0</v>
      </c>
      <c r="M189" s="21" t="n">
        <v>0</v>
      </c>
      <c r="N189" s="21" t="n">
        <v>0</v>
      </c>
      <c r="O189" s="21" t="n">
        <v>0</v>
      </c>
      <c r="P189" s="22">
        <f>L185</f>
        <v/>
      </c>
      <c r="Q189" s="22">
        <f>M185</f>
        <v/>
      </c>
      <c r="R189" s="22">
        <f>N185</f>
        <v/>
      </c>
      <c r="S189" s="22" t="n">
        <v>0</v>
      </c>
      <c r="T189" s="22" t="n">
        <v>0</v>
      </c>
      <c r="U189" s="22" t="n">
        <v>0</v>
      </c>
      <c r="V189" s="22" t="n">
        <v>0</v>
      </c>
      <c r="W189" s="22" t="n">
        <v>0</v>
      </c>
      <c r="X189" s="22" t="n">
        <v>0</v>
      </c>
      <c r="Y189" s="22" t="n">
        <v>0</v>
      </c>
      <c r="Z189" s="22" t="n">
        <v>0</v>
      </c>
      <c r="AA189" s="22" t="n">
        <v>0</v>
      </c>
      <c r="AG189" s="23">
        <f>INDEX(Global_Solver!$BC$5:$BC$52, 6*C180+1, 1)</f>
        <v/>
      </c>
      <c r="AH189" s="23">
        <f>SUMPRODUCT(P189:AA189, AG189:AG200)</f>
        <v/>
      </c>
      <c r="AI189" s="24">
        <f>SUMPRODUCT(D189:O189, AH189:AH200)-B201</f>
        <v/>
      </c>
    </row>
    <row r="190">
      <c r="D190" s="21" t="n">
        <v>0</v>
      </c>
      <c r="E190" s="21">
        <f>IF(C181,=(12*$C$185*($C$188/$F$188))/($G$183^3),0)</f>
        <v/>
      </c>
      <c r="F190" s="21" t="n">
        <v>0</v>
      </c>
      <c r="G190" s="21" t="n">
        <v>0</v>
      </c>
      <c r="H190" s="21" t="n">
        <v>0</v>
      </c>
      <c r="I190" s="21">
        <f>IF(C181,=(6*$C$185*($C$188/$F$188))/($G$183^2),0)</f>
        <v/>
      </c>
      <c r="J190" s="21" t="n">
        <v>0</v>
      </c>
      <c r="K190" s="21">
        <f>-E190</f>
        <v/>
      </c>
      <c r="L190" s="21" t="n">
        <v>0</v>
      </c>
      <c r="M190" s="21" t="n">
        <v>0</v>
      </c>
      <c r="N190" s="21" t="n">
        <v>0</v>
      </c>
      <c r="O190" s="21">
        <f>I190</f>
        <v/>
      </c>
      <c r="P190" s="22">
        <f>L186</f>
        <v/>
      </c>
      <c r="Q190" s="22">
        <f>M186</f>
        <v/>
      </c>
      <c r="R190" s="22">
        <f>N186</f>
        <v/>
      </c>
      <c r="S190" s="22" t="n">
        <v>0</v>
      </c>
      <c r="T190" s="22" t="n">
        <v>0</v>
      </c>
      <c r="U190" s="22" t="n">
        <v>0</v>
      </c>
      <c r="V190" s="22" t="n">
        <v>0</v>
      </c>
      <c r="W190" s="22" t="n">
        <v>0</v>
      </c>
      <c r="X190" s="22" t="n">
        <v>0</v>
      </c>
      <c r="Y190" s="22" t="n">
        <v>0</v>
      </c>
      <c r="Z190" s="22" t="n">
        <v>0</v>
      </c>
      <c r="AA190" s="22" t="n">
        <v>0</v>
      </c>
      <c r="AG190" s="23">
        <f>INDEX(Global_Solver!$BC$5:$BC$52, 6*C180+2, 1)</f>
        <v/>
      </c>
      <c r="AH190" s="23">
        <f>SUMPRODUCT(P190:AA190, AG189:AG200)</f>
        <v/>
      </c>
      <c r="AI190" s="24">
        <f>SUMPRODUCT(D190:O190, AH189:AH200)-B202</f>
        <v/>
      </c>
    </row>
    <row r="191">
      <c r="D191" s="21" t="n">
        <v>0</v>
      </c>
      <c r="E191" s="21" t="n">
        <v>0</v>
      </c>
      <c r="F191" s="21">
        <f>IF(C181,=(12*$C$185*($C$188/$F$188))/($G$183^3),0)</f>
        <v/>
      </c>
      <c r="G191" s="21" t="n">
        <v>0</v>
      </c>
      <c r="H191" s="21">
        <f>IF(C181,-=(6*$C$185*($C$188/$F$188))/($G$183^2),0)</f>
        <v/>
      </c>
      <c r="I191" s="21" t="n">
        <v>0</v>
      </c>
      <c r="J191" s="21" t="n">
        <v>0</v>
      </c>
      <c r="K191" s="21" t="n">
        <v>0</v>
      </c>
      <c r="L191" s="21">
        <f>-F191</f>
        <v/>
      </c>
      <c r="M191" s="21" t="n">
        <v>0</v>
      </c>
      <c r="N191" s="21">
        <f>H191</f>
        <v/>
      </c>
      <c r="O191" s="21" t="n">
        <v>0</v>
      </c>
      <c r="P191" s="22">
        <f>L187</f>
        <v/>
      </c>
      <c r="Q191" s="22">
        <f>M187</f>
        <v/>
      </c>
      <c r="R191" s="22">
        <f>N187</f>
        <v/>
      </c>
      <c r="S191" s="22" t="n">
        <v>0</v>
      </c>
      <c r="T191" s="22" t="n">
        <v>0</v>
      </c>
      <c r="U191" s="22" t="n">
        <v>0</v>
      </c>
      <c r="V191" s="22" t="n">
        <v>0</v>
      </c>
      <c r="W191" s="22" t="n">
        <v>0</v>
      </c>
      <c r="X191" s="22" t="n">
        <v>0</v>
      </c>
      <c r="Y191" s="22" t="n">
        <v>0</v>
      </c>
      <c r="Z191" s="22" t="n">
        <v>0</v>
      </c>
      <c r="AA191" s="22" t="n">
        <v>0</v>
      </c>
      <c r="AG191" s="23">
        <f>INDEX(Global_Solver!$BC$5:$BC$52, 6*C180+3, 1)</f>
        <v/>
      </c>
      <c r="AH191" s="23">
        <f>SUMPRODUCT(P191:AA191, AG189:AG200)</f>
        <v/>
      </c>
      <c r="AI191" s="24">
        <f>SUMPRODUCT(D191:O191, AH189:AH200)-B203</f>
        <v/>
      </c>
    </row>
    <row r="192">
      <c r="D192" s="21" t="n">
        <v>0</v>
      </c>
      <c r="E192" s="21" t="n">
        <v>0</v>
      </c>
      <c r="F192" s="21" t="n">
        <v>0</v>
      </c>
      <c r="G192" s="21">
        <f>IF(C181,$D$185*$D$188/$G$183,0)</f>
        <v/>
      </c>
      <c r="H192" s="21" t="n">
        <v>0</v>
      </c>
      <c r="I192" s="21" t="n">
        <v>0</v>
      </c>
      <c r="J192" s="21" t="n">
        <v>0</v>
      </c>
      <c r="K192" s="21" t="n">
        <v>0</v>
      </c>
      <c r="L192" s="21" t="n">
        <v>0</v>
      </c>
      <c r="M192" s="21">
        <f>-G192</f>
        <v/>
      </c>
      <c r="N192" s="21" t="n">
        <v>0</v>
      </c>
      <c r="O192" s="21" t="n">
        <v>0</v>
      </c>
      <c r="P192" s="22" t="n">
        <v>0</v>
      </c>
      <c r="Q192" s="22" t="n">
        <v>0</v>
      </c>
      <c r="R192" s="22" t="n">
        <v>0</v>
      </c>
      <c r="S192" s="22">
        <f>L185</f>
        <v/>
      </c>
      <c r="T192" s="22">
        <f>M185</f>
        <v/>
      </c>
      <c r="U192" s="22">
        <f>N185</f>
        <v/>
      </c>
      <c r="V192" s="22" t="n">
        <v>0</v>
      </c>
      <c r="W192" s="22" t="n">
        <v>0</v>
      </c>
      <c r="X192" s="22" t="n">
        <v>0</v>
      </c>
      <c r="Y192" s="22" t="n">
        <v>0</v>
      </c>
      <c r="Z192" s="22" t="n">
        <v>0</v>
      </c>
      <c r="AA192" s="22" t="n">
        <v>0</v>
      </c>
      <c r="AG192" s="23">
        <f>INDEX(Global_Solver!$BC$5:$BC$52, 6*C180+4, 1)</f>
        <v/>
      </c>
      <c r="AH192" s="23">
        <f>SUMPRODUCT(P192:AA192, AG189:AG200)</f>
        <v/>
      </c>
      <c r="AI192" s="24">
        <f>SUMPRODUCT(D192:O192, AH189:AH200)-B204</f>
        <v/>
      </c>
    </row>
    <row r="193">
      <c r="D193" s="21" t="n">
        <v>0</v>
      </c>
      <c r="E193" s="21" t="n">
        <v>0</v>
      </c>
      <c r="F193" s="21">
        <f>H191</f>
        <v/>
      </c>
      <c r="G193" s="21" t="n">
        <v>0</v>
      </c>
      <c r="H193" s="21">
        <f>IF(C181,=(4*$C$185*($C$188/$F$188))/$G$183,0)</f>
        <v/>
      </c>
      <c r="I193" s="21" t="n">
        <v>0</v>
      </c>
      <c r="J193" s="21" t="n">
        <v>0</v>
      </c>
      <c r="K193" s="21" t="n">
        <v>0</v>
      </c>
      <c r="L193" s="21">
        <f>-H191</f>
        <v/>
      </c>
      <c r="M193" s="21" t="n">
        <v>0</v>
      </c>
      <c r="N193" s="21">
        <f>IF(C181,=(2*$C$185*($C$188/$F$188))/$G$183,0)</f>
        <v/>
      </c>
      <c r="O193" s="21" t="n">
        <v>0</v>
      </c>
      <c r="P193" s="22" t="n">
        <v>0</v>
      </c>
      <c r="Q193" s="22" t="n">
        <v>0</v>
      </c>
      <c r="R193" s="22" t="n">
        <v>0</v>
      </c>
      <c r="S193" s="22">
        <f>L186</f>
        <v/>
      </c>
      <c r="T193" s="22">
        <f>M186</f>
        <v/>
      </c>
      <c r="U193" s="22">
        <f>N186</f>
        <v/>
      </c>
      <c r="V193" s="22" t="n">
        <v>0</v>
      </c>
      <c r="W193" s="22" t="n">
        <v>0</v>
      </c>
      <c r="X193" s="22" t="n">
        <v>0</v>
      </c>
      <c r="Y193" s="22" t="n">
        <v>0</v>
      </c>
      <c r="Z193" s="22" t="n">
        <v>0</v>
      </c>
      <c r="AA193" s="22" t="n">
        <v>0</v>
      </c>
      <c r="AG193" s="23">
        <f>INDEX(Global_Solver!$BC$5:$BC$52, 6*C180+5, 1)</f>
        <v/>
      </c>
      <c r="AH193" s="23">
        <f>SUMPRODUCT(P193:AA193, AG189:AG200)</f>
        <v/>
      </c>
      <c r="AI193" s="24">
        <f>SUMPRODUCT(D193:O193, AH189:AH200)-B205</f>
        <v/>
      </c>
    </row>
    <row r="194">
      <c r="D194" s="21" t="n">
        <v>0</v>
      </c>
      <c r="E194" s="21">
        <f>I190</f>
        <v/>
      </c>
      <c r="F194" s="21" t="n">
        <v>0</v>
      </c>
      <c r="G194" s="21" t="n">
        <v>0</v>
      </c>
      <c r="H194" s="21" t="n">
        <v>0</v>
      </c>
      <c r="I194" s="21">
        <f>IF(C181,=(4*$C$185*($C$188/$F$188))/$G$183,0)</f>
        <v/>
      </c>
      <c r="J194" s="21" t="n">
        <v>0</v>
      </c>
      <c r="K194" s="21">
        <f>-I190</f>
        <v/>
      </c>
      <c r="L194" s="21" t="n">
        <v>0</v>
      </c>
      <c r="M194" s="21" t="n">
        <v>0</v>
      </c>
      <c r="N194" s="21" t="n">
        <v>0</v>
      </c>
      <c r="O194" s="21">
        <f>IF(C181,=(2*$C$185*($C$188/$F$188))/$G$183,0)</f>
        <v/>
      </c>
      <c r="P194" s="22" t="n">
        <v>0</v>
      </c>
      <c r="Q194" s="22" t="n">
        <v>0</v>
      </c>
      <c r="R194" s="22" t="n">
        <v>0</v>
      </c>
      <c r="S194" s="22">
        <f>L187</f>
        <v/>
      </c>
      <c r="T194" s="22">
        <f>M187</f>
        <v/>
      </c>
      <c r="U194" s="22">
        <f>N187</f>
        <v/>
      </c>
      <c r="V194" s="22" t="n">
        <v>0</v>
      </c>
      <c r="W194" s="22" t="n">
        <v>0</v>
      </c>
      <c r="X194" s="22" t="n">
        <v>0</v>
      </c>
      <c r="Y194" s="22" t="n">
        <v>0</v>
      </c>
      <c r="Z194" s="22" t="n">
        <v>0</v>
      </c>
      <c r="AA194" s="22" t="n">
        <v>0</v>
      </c>
      <c r="AG194" s="23">
        <f>INDEX(Global_Solver!$BC$5:$BC$52, 6*C180+6, 1)</f>
        <v/>
      </c>
      <c r="AH194" s="23">
        <f>SUMPRODUCT(P194:AA194, AG189:AG200)</f>
        <v/>
      </c>
      <c r="AI194" s="24">
        <f>SUMPRODUCT(D194:O194, AH189:AH200)-B206</f>
        <v/>
      </c>
    </row>
    <row r="195">
      <c r="D195" s="21">
        <f>J189</f>
        <v/>
      </c>
      <c r="E195" s="21" t="n">
        <v>0</v>
      </c>
      <c r="F195" s="21" t="n">
        <v>0</v>
      </c>
      <c r="G195" s="21" t="n">
        <v>0</v>
      </c>
      <c r="H195" s="21" t="n">
        <v>0</v>
      </c>
      <c r="I195" s="21" t="n">
        <v>0</v>
      </c>
      <c r="J195" s="21">
        <f>-J189</f>
        <v/>
      </c>
      <c r="K195" s="21" t="n">
        <v>0</v>
      </c>
      <c r="L195" s="21" t="n">
        <v>0</v>
      </c>
      <c r="M195" s="21" t="n">
        <v>0</v>
      </c>
      <c r="N195" s="21" t="n">
        <v>0</v>
      </c>
      <c r="O195" s="21" t="n">
        <v>0</v>
      </c>
      <c r="P195" s="22" t="n">
        <v>0</v>
      </c>
      <c r="Q195" s="22" t="n">
        <v>0</v>
      </c>
      <c r="R195" s="22" t="n">
        <v>0</v>
      </c>
      <c r="S195" s="22" t="n">
        <v>0</v>
      </c>
      <c r="T195" s="22" t="n">
        <v>0</v>
      </c>
      <c r="U195" s="22" t="n">
        <v>0</v>
      </c>
      <c r="V195" s="22">
        <f>L185</f>
        <v/>
      </c>
      <c r="W195" s="22">
        <f>M185</f>
        <v/>
      </c>
      <c r="X195" s="22">
        <f>N185</f>
        <v/>
      </c>
      <c r="Y195" s="22" t="n">
        <v>0</v>
      </c>
      <c r="Z195" s="22" t="n">
        <v>0</v>
      </c>
      <c r="AA195" s="22" t="n">
        <v>0</v>
      </c>
      <c r="AG195" s="23">
        <f>INDEX(Global_Solver!$BC$5:$BC$52, 6*E180+1, 1)</f>
        <v/>
      </c>
      <c r="AH195" s="23">
        <f>SUMPRODUCT(P195:AA195, AG189:AG200)</f>
        <v/>
      </c>
      <c r="AI195" s="24">
        <f>SUMPRODUCT(D195:O195, AH189:AH200)-B207</f>
        <v/>
      </c>
    </row>
    <row r="196">
      <c r="D196" s="21" t="n">
        <v>0</v>
      </c>
      <c r="E196" s="21">
        <f>K190</f>
        <v/>
      </c>
      <c r="F196" s="21" t="n">
        <v>0</v>
      </c>
      <c r="G196" s="21" t="n">
        <v>0</v>
      </c>
      <c r="H196" s="21" t="n">
        <v>0</v>
      </c>
      <c r="I196" s="21">
        <f>K194</f>
        <v/>
      </c>
      <c r="J196" s="21" t="n">
        <v>0</v>
      </c>
      <c r="K196" s="21">
        <f>E190</f>
        <v/>
      </c>
      <c r="L196" s="21" t="n">
        <v>0</v>
      </c>
      <c r="M196" s="21" t="n">
        <v>0</v>
      </c>
      <c r="N196" s="21" t="n">
        <v>0</v>
      </c>
      <c r="O196" s="21">
        <f>-I190</f>
        <v/>
      </c>
      <c r="P196" s="22" t="n">
        <v>0</v>
      </c>
      <c r="Q196" s="22" t="n">
        <v>0</v>
      </c>
      <c r="R196" s="22" t="n">
        <v>0</v>
      </c>
      <c r="S196" s="22" t="n">
        <v>0</v>
      </c>
      <c r="T196" s="22" t="n">
        <v>0</v>
      </c>
      <c r="U196" s="22" t="n">
        <v>0</v>
      </c>
      <c r="V196" s="22">
        <f>L186</f>
        <v/>
      </c>
      <c r="W196" s="22">
        <f>M186</f>
        <v/>
      </c>
      <c r="X196" s="22">
        <f>N186</f>
        <v/>
      </c>
      <c r="Y196" s="22" t="n">
        <v>0</v>
      </c>
      <c r="Z196" s="22" t="n">
        <v>0</v>
      </c>
      <c r="AA196" s="22" t="n">
        <v>0</v>
      </c>
      <c r="AG196" s="23">
        <f>INDEX(Global_Solver!$BC$5:$BC$52, 6*E180+2, 1)</f>
        <v/>
      </c>
      <c r="AH196" s="23">
        <f>SUMPRODUCT(P196:AA196, AG189:AG200)</f>
        <v/>
      </c>
      <c r="AI196" s="24">
        <f>SUMPRODUCT(D196:O196, AH189:AH200)-B208</f>
        <v/>
      </c>
    </row>
    <row r="197">
      <c r="D197" s="21" t="n">
        <v>0</v>
      </c>
      <c r="E197" s="21" t="n">
        <v>0</v>
      </c>
      <c r="F197" s="21">
        <f>L191</f>
        <v/>
      </c>
      <c r="G197" s="21" t="n">
        <v>0</v>
      </c>
      <c r="H197" s="21">
        <f>L193</f>
        <v/>
      </c>
      <c r="I197" s="21" t="n">
        <v>0</v>
      </c>
      <c r="J197" s="21" t="n">
        <v>0</v>
      </c>
      <c r="K197" s="21" t="n">
        <v>0</v>
      </c>
      <c r="L197" s="21">
        <f>F191</f>
        <v/>
      </c>
      <c r="M197" s="21" t="n">
        <v>0</v>
      </c>
      <c r="N197" s="21">
        <f>-H191</f>
        <v/>
      </c>
      <c r="O197" s="21" t="n">
        <v>0</v>
      </c>
      <c r="P197" s="22" t="n">
        <v>0</v>
      </c>
      <c r="Q197" s="22" t="n">
        <v>0</v>
      </c>
      <c r="R197" s="22" t="n">
        <v>0</v>
      </c>
      <c r="S197" s="22" t="n">
        <v>0</v>
      </c>
      <c r="T197" s="22" t="n">
        <v>0</v>
      </c>
      <c r="U197" s="22" t="n">
        <v>0</v>
      </c>
      <c r="V197" s="22">
        <f>L187</f>
        <v/>
      </c>
      <c r="W197" s="22">
        <f>M187</f>
        <v/>
      </c>
      <c r="X197" s="22">
        <f>N187</f>
        <v/>
      </c>
      <c r="Y197" s="22" t="n">
        <v>0</v>
      </c>
      <c r="Z197" s="22" t="n">
        <v>0</v>
      </c>
      <c r="AA197" s="22" t="n">
        <v>0</v>
      </c>
      <c r="AG197" s="23">
        <f>INDEX(Global_Solver!$BC$5:$BC$52, 6*E180+3, 1)</f>
        <v/>
      </c>
      <c r="AH197" s="23">
        <f>SUMPRODUCT(P197:AA197, AG189:AG200)</f>
        <v/>
      </c>
      <c r="AI197" s="24">
        <f>SUMPRODUCT(D197:O197, AH189:AH200)-B209</f>
        <v/>
      </c>
    </row>
    <row r="198">
      <c r="D198" s="21" t="n">
        <v>0</v>
      </c>
      <c r="E198" s="21" t="n">
        <v>0</v>
      </c>
      <c r="F198" s="21" t="n">
        <v>0</v>
      </c>
      <c r="G198" s="21">
        <f>M192</f>
        <v/>
      </c>
      <c r="H198" s="21" t="n">
        <v>0</v>
      </c>
      <c r="I198" s="21" t="n">
        <v>0</v>
      </c>
      <c r="J198" s="21" t="n">
        <v>0</v>
      </c>
      <c r="K198" s="21" t="n">
        <v>0</v>
      </c>
      <c r="L198" s="21" t="n">
        <v>0</v>
      </c>
      <c r="M198" s="21">
        <f>-M192</f>
        <v/>
      </c>
      <c r="N198" s="21" t="n">
        <v>0</v>
      </c>
      <c r="O198" s="21" t="n">
        <v>0</v>
      </c>
      <c r="P198" s="22" t="n">
        <v>0</v>
      </c>
      <c r="Q198" s="22" t="n">
        <v>0</v>
      </c>
      <c r="R198" s="22" t="n">
        <v>0</v>
      </c>
      <c r="S198" s="22" t="n">
        <v>0</v>
      </c>
      <c r="T198" s="22" t="n">
        <v>0</v>
      </c>
      <c r="U198" s="22" t="n">
        <v>0</v>
      </c>
      <c r="V198" s="22" t="n">
        <v>0</v>
      </c>
      <c r="W198" s="22" t="n">
        <v>0</v>
      </c>
      <c r="X198" s="22" t="n">
        <v>0</v>
      </c>
      <c r="Y198" s="22">
        <f>L185</f>
        <v/>
      </c>
      <c r="Z198" s="22">
        <f>M185</f>
        <v/>
      </c>
      <c r="AA198" s="22">
        <f>N185</f>
        <v/>
      </c>
      <c r="AG198" s="23">
        <f>INDEX(Global_Solver!$BC$5:$BC$52, 6*E180+4, 1)</f>
        <v/>
      </c>
      <c r="AH198" s="23">
        <f>SUMPRODUCT(P198:AA198, AG189:AG200)</f>
        <v/>
      </c>
      <c r="AI198" s="24">
        <f>SUMPRODUCT(D198:O198, AH189:AH200)-B210</f>
        <v/>
      </c>
    </row>
    <row r="199">
      <c r="D199" s="21" t="n">
        <v>0</v>
      </c>
      <c r="E199" s="21" t="n">
        <v>0</v>
      </c>
      <c r="F199" s="21">
        <f>N191</f>
        <v/>
      </c>
      <c r="G199" s="21" t="n">
        <v>0</v>
      </c>
      <c r="H199" s="21">
        <f>N193</f>
        <v/>
      </c>
      <c r="I199" s="21" t="n">
        <v>0</v>
      </c>
      <c r="J199" s="21" t="n">
        <v>0</v>
      </c>
      <c r="K199" s="21" t="n">
        <v>0</v>
      </c>
      <c r="L199" s="21">
        <f>L197</f>
        <v/>
      </c>
      <c r="M199" s="21" t="n">
        <v>0</v>
      </c>
      <c r="N199" s="21">
        <f>H193</f>
        <v/>
      </c>
      <c r="O199" s="21" t="n">
        <v>0</v>
      </c>
      <c r="P199" s="22" t="n">
        <v>0</v>
      </c>
      <c r="Q199" s="22" t="n">
        <v>0</v>
      </c>
      <c r="R199" s="22" t="n">
        <v>0</v>
      </c>
      <c r="S199" s="22" t="n">
        <v>0</v>
      </c>
      <c r="T199" s="22" t="n">
        <v>0</v>
      </c>
      <c r="U199" s="22" t="n">
        <v>0</v>
      </c>
      <c r="V199" s="22" t="n">
        <v>0</v>
      </c>
      <c r="W199" s="22" t="n">
        <v>0</v>
      </c>
      <c r="X199" s="22" t="n">
        <v>0</v>
      </c>
      <c r="Y199" s="22">
        <f>L186</f>
        <v/>
      </c>
      <c r="Z199" s="22">
        <f>M186</f>
        <v/>
      </c>
      <c r="AA199" s="22">
        <f>N186</f>
        <v/>
      </c>
      <c r="AG199" s="23">
        <f>INDEX(Global_Solver!$BC$5:$BC$52, 6*E180+5, 1)</f>
        <v/>
      </c>
      <c r="AH199" s="23">
        <f>SUMPRODUCT(P199:AA199, AG189:AG200)</f>
        <v/>
      </c>
      <c r="AI199" s="24">
        <f>SUMPRODUCT(D199:O199, AH189:AH200)-B211</f>
        <v/>
      </c>
    </row>
    <row r="200">
      <c r="D200" s="21" t="n">
        <v>0</v>
      </c>
      <c r="E200" s="21">
        <f>O190</f>
        <v/>
      </c>
      <c r="F200" s="21" t="n">
        <v>0</v>
      </c>
      <c r="G200" s="21" t="n">
        <v>0</v>
      </c>
      <c r="H200" s="21" t="n">
        <v>0</v>
      </c>
      <c r="I200" s="21">
        <f>O194</f>
        <v/>
      </c>
      <c r="J200" s="21" t="n">
        <v>0</v>
      </c>
      <c r="K200" s="21">
        <f>K196</f>
        <v/>
      </c>
      <c r="L200" s="21" t="n">
        <v>0</v>
      </c>
      <c r="M200" s="21" t="n">
        <v>0</v>
      </c>
      <c r="N200" s="21" t="n">
        <v>0</v>
      </c>
      <c r="O200" s="21">
        <f>I194</f>
        <v/>
      </c>
      <c r="P200" s="22" t="n">
        <v>0</v>
      </c>
      <c r="Q200" s="22" t="n">
        <v>0</v>
      </c>
      <c r="R200" s="22" t="n">
        <v>0</v>
      </c>
      <c r="S200" s="22" t="n">
        <v>0</v>
      </c>
      <c r="T200" s="22" t="n">
        <v>0</v>
      </c>
      <c r="U200" s="22" t="n">
        <v>0</v>
      </c>
      <c r="V200" s="22" t="n">
        <v>0</v>
      </c>
      <c r="W200" s="22" t="n">
        <v>0</v>
      </c>
      <c r="X200" s="22" t="n">
        <v>0</v>
      </c>
      <c r="Y200" s="22">
        <f>L187</f>
        <v/>
      </c>
      <c r="Z200" s="22">
        <f>M187</f>
        <v/>
      </c>
      <c r="AA200" s="22">
        <f>N187</f>
        <v/>
      </c>
      <c r="AG200" s="23">
        <f>INDEX(Global_Solver!$BC$5:$BC$52, 6*E180+6, 1)</f>
        <v/>
      </c>
      <c r="AH200" s="23">
        <f>SUMPRODUCT(P200:AA200, AG189:AG200)</f>
        <v/>
      </c>
      <c r="AI200" s="24">
        <f>SUMPRODUCT(D200:O200, AH189:AH200)-B212</f>
        <v/>
      </c>
    </row>
    <row r="201">
      <c r="B201" s="24">
        <f>IF(C181,-C185*F187*E185*Inputs!$K$11,0)</f>
        <v/>
      </c>
      <c r="C201" s="24">
        <f>SUMPRODUCT(P189:AA189, B201:B212)</f>
        <v/>
      </c>
      <c r="D201" s="25">
        <f>SUMPRODUCT(D189:O189, P189:P200)</f>
        <v/>
      </c>
      <c r="E201" s="25">
        <f>SUMPRODUCT(D189:O189, Q189:Q200)</f>
        <v/>
      </c>
      <c r="F201" s="25">
        <f>SUMPRODUCT(D189:O189, R189:R200)</f>
        <v/>
      </c>
      <c r="G201" s="25">
        <f>SUMPRODUCT(D189:O189, S189:S200)</f>
        <v/>
      </c>
      <c r="H201" s="25">
        <f>SUMPRODUCT(D189:O189, T189:T200)</f>
        <v/>
      </c>
      <c r="I201" s="25">
        <f>SUMPRODUCT(D189:O189, U189:U200)</f>
        <v/>
      </c>
      <c r="J201" s="25">
        <f>SUMPRODUCT(D189:O189, V189:V200)</f>
        <v/>
      </c>
      <c r="K201" s="25">
        <f>SUMPRODUCT(D189:O189, W189:W200)</f>
        <v/>
      </c>
      <c r="L201" s="25">
        <f>SUMPRODUCT(D189:O189, X189:X200)</f>
        <v/>
      </c>
      <c r="M201" s="25">
        <f>SUMPRODUCT(D189:O189, Y189:Y200)</f>
        <v/>
      </c>
      <c r="N201" s="25">
        <f>SUMPRODUCT(D189:O189, Z189:Z200)</f>
        <v/>
      </c>
      <c r="O201" s="25">
        <f>SUMPRODUCT(D189:O189, AA189:AA200)</f>
        <v/>
      </c>
      <c r="P201" s="25">
        <f>SUMPRODUCT(P189:AA189, D201:D212)</f>
        <v/>
      </c>
      <c r="Q201" s="25">
        <f>SUMPRODUCT(P189:AA189, E201:E212)</f>
        <v/>
      </c>
      <c r="R201" s="25">
        <f>SUMPRODUCT(P189:AA189, F201:F212)</f>
        <v/>
      </c>
      <c r="S201" s="25">
        <f>SUMPRODUCT(P189:AA189, G201:G212)</f>
        <v/>
      </c>
      <c r="T201" s="25">
        <f>SUMPRODUCT(P189:AA189, H201:H212)</f>
        <v/>
      </c>
      <c r="U201" s="25">
        <f>SUMPRODUCT(P189:AA189, I201:I212)</f>
        <v/>
      </c>
      <c r="V201" s="25">
        <f>SUMPRODUCT(P189:AA189, J201:J212)</f>
        <v/>
      </c>
      <c r="W201" s="25">
        <f>SUMPRODUCT(P189:AA189, K201:K212)</f>
        <v/>
      </c>
      <c r="X201" s="25">
        <f>SUMPRODUCT(P189:AA189, L201:L212)</f>
        <v/>
      </c>
      <c r="Y201" s="25">
        <f>SUMPRODUCT(P189:AA189, M201:M212)</f>
        <v/>
      </c>
      <c r="Z201" s="25">
        <f>SUMPRODUCT(P189:AA189, N201:N212)</f>
        <v/>
      </c>
      <c r="AA201" s="25">
        <f>SUMPRODUCT(P189:AA189, O201:O212)</f>
        <v/>
      </c>
    </row>
    <row r="202">
      <c r="B202" s="24" t="n">
        <v>0</v>
      </c>
      <c r="C202" s="24">
        <f>SUMPRODUCT(P190:AA190, B201:B212)</f>
        <v/>
      </c>
      <c r="D202" s="25">
        <f>SUMPRODUCT(D190:O190, P189:P200)</f>
        <v/>
      </c>
      <c r="E202" s="25">
        <f>SUMPRODUCT(D190:O190, Q189:Q200)</f>
        <v/>
      </c>
      <c r="F202" s="25">
        <f>SUMPRODUCT(D190:O190, R189:R200)</f>
        <v/>
      </c>
      <c r="G202" s="25">
        <f>SUMPRODUCT(D190:O190, S189:S200)</f>
        <v/>
      </c>
      <c r="H202" s="25">
        <f>SUMPRODUCT(D190:O190, T189:T200)</f>
        <v/>
      </c>
      <c r="I202" s="25">
        <f>SUMPRODUCT(D190:O190, U189:U200)</f>
        <v/>
      </c>
      <c r="J202" s="25">
        <f>SUMPRODUCT(D190:O190, V189:V200)</f>
        <v/>
      </c>
      <c r="K202" s="25">
        <f>SUMPRODUCT(D190:O190, W189:W200)</f>
        <v/>
      </c>
      <c r="L202" s="25">
        <f>SUMPRODUCT(D190:O190, X189:X200)</f>
        <v/>
      </c>
      <c r="M202" s="25">
        <f>SUMPRODUCT(D190:O190, Y189:Y200)</f>
        <v/>
      </c>
      <c r="N202" s="25">
        <f>SUMPRODUCT(D190:O190, Z189:Z200)</f>
        <v/>
      </c>
      <c r="O202" s="25">
        <f>SUMPRODUCT(D190:O190, AA189:AA200)</f>
        <v/>
      </c>
      <c r="P202" s="25">
        <f>SUMPRODUCT(P190:AA190, D201:D212)</f>
        <v/>
      </c>
      <c r="Q202" s="25">
        <f>SUMPRODUCT(P190:AA190, E201:E212)</f>
        <v/>
      </c>
      <c r="R202" s="25">
        <f>SUMPRODUCT(P190:AA190, F201:F212)</f>
        <v/>
      </c>
      <c r="S202" s="25">
        <f>SUMPRODUCT(P190:AA190, G201:G212)</f>
        <v/>
      </c>
      <c r="T202" s="25">
        <f>SUMPRODUCT(P190:AA190, H201:H212)</f>
        <v/>
      </c>
      <c r="U202" s="25">
        <f>SUMPRODUCT(P190:AA190, I201:I212)</f>
        <v/>
      </c>
      <c r="V202" s="25">
        <f>SUMPRODUCT(P190:AA190, J201:J212)</f>
        <v/>
      </c>
      <c r="W202" s="25">
        <f>SUMPRODUCT(P190:AA190, K201:K212)</f>
        <v/>
      </c>
      <c r="X202" s="25">
        <f>SUMPRODUCT(P190:AA190, L201:L212)</f>
        <v/>
      </c>
      <c r="Y202" s="25">
        <f>SUMPRODUCT(P190:AA190, M201:M212)</f>
        <v/>
      </c>
      <c r="Z202" s="25">
        <f>SUMPRODUCT(P190:AA190, N201:N212)</f>
        <v/>
      </c>
      <c r="AA202" s="25">
        <f>SUMPRODUCT(P190:AA190, O201:O212)</f>
        <v/>
      </c>
    </row>
    <row r="203">
      <c r="B203" s="24" t="n">
        <v>0</v>
      </c>
      <c r="C203" s="24">
        <f>SUMPRODUCT(P191:AA191, B201:B212)</f>
        <v/>
      </c>
      <c r="D203" s="25">
        <f>SUMPRODUCT(D191:O191, P189:P200)</f>
        <v/>
      </c>
      <c r="E203" s="25">
        <f>SUMPRODUCT(D191:O191, Q189:Q200)</f>
        <v/>
      </c>
      <c r="F203" s="25">
        <f>SUMPRODUCT(D191:O191, R189:R200)</f>
        <v/>
      </c>
      <c r="G203" s="25">
        <f>SUMPRODUCT(D191:O191, S189:S200)</f>
        <v/>
      </c>
      <c r="H203" s="25">
        <f>SUMPRODUCT(D191:O191, T189:T200)</f>
        <v/>
      </c>
      <c r="I203" s="25">
        <f>SUMPRODUCT(D191:O191, U189:U200)</f>
        <v/>
      </c>
      <c r="J203" s="25">
        <f>SUMPRODUCT(D191:O191, V189:V200)</f>
        <v/>
      </c>
      <c r="K203" s="25">
        <f>SUMPRODUCT(D191:O191, W189:W200)</f>
        <v/>
      </c>
      <c r="L203" s="25">
        <f>SUMPRODUCT(D191:O191, X189:X200)</f>
        <v/>
      </c>
      <c r="M203" s="25">
        <f>SUMPRODUCT(D191:O191, Y189:Y200)</f>
        <v/>
      </c>
      <c r="N203" s="25">
        <f>SUMPRODUCT(D191:O191, Z189:Z200)</f>
        <v/>
      </c>
      <c r="O203" s="25">
        <f>SUMPRODUCT(D191:O191, AA189:AA200)</f>
        <v/>
      </c>
      <c r="P203" s="25">
        <f>SUMPRODUCT(P191:AA191, D201:D212)</f>
        <v/>
      </c>
      <c r="Q203" s="25">
        <f>SUMPRODUCT(P191:AA191, E201:E212)</f>
        <v/>
      </c>
      <c r="R203" s="25">
        <f>SUMPRODUCT(P191:AA191, F201:F212)</f>
        <v/>
      </c>
      <c r="S203" s="25">
        <f>SUMPRODUCT(P191:AA191, G201:G212)</f>
        <v/>
      </c>
      <c r="T203" s="25">
        <f>SUMPRODUCT(P191:AA191, H201:H212)</f>
        <v/>
      </c>
      <c r="U203" s="25">
        <f>SUMPRODUCT(P191:AA191, I201:I212)</f>
        <v/>
      </c>
      <c r="V203" s="25">
        <f>SUMPRODUCT(P191:AA191, J201:J212)</f>
        <v/>
      </c>
      <c r="W203" s="25">
        <f>SUMPRODUCT(P191:AA191, K201:K212)</f>
        <v/>
      </c>
      <c r="X203" s="25">
        <f>SUMPRODUCT(P191:AA191, L201:L212)</f>
        <v/>
      </c>
      <c r="Y203" s="25">
        <f>SUMPRODUCT(P191:AA191, M201:M212)</f>
        <v/>
      </c>
      <c r="Z203" s="25">
        <f>SUMPRODUCT(P191:AA191, N201:N212)</f>
        <v/>
      </c>
      <c r="AA203" s="25">
        <f>SUMPRODUCT(P191:AA191, O201:O212)</f>
        <v/>
      </c>
    </row>
    <row r="204">
      <c r="B204" s="24" t="n">
        <v>0</v>
      </c>
      <c r="C204" s="24">
        <f>SUMPRODUCT(P192:AA192, B201:B212)</f>
        <v/>
      </c>
      <c r="D204" s="25">
        <f>SUMPRODUCT(D192:O192, P189:P200)</f>
        <v/>
      </c>
      <c r="E204" s="25">
        <f>SUMPRODUCT(D192:O192, Q189:Q200)</f>
        <v/>
      </c>
      <c r="F204" s="25">
        <f>SUMPRODUCT(D192:O192, R189:R200)</f>
        <v/>
      </c>
      <c r="G204" s="25">
        <f>SUMPRODUCT(D192:O192, S189:S200)</f>
        <v/>
      </c>
      <c r="H204" s="25">
        <f>SUMPRODUCT(D192:O192, T189:T200)</f>
        <v/>
      </c>
      <c r="I204" s="25">
        <f>SUMPRODUCT(D192:O192, U189:U200)</f>
        <v/>
      </c>
      <c r="J204" s="25">
        <f>SUMPRODUCT(D192:O192, V189:V200)</f>
        <v/>
      </c>
      <c r="K204" s="25">
        <f>SUMPRODUCT(D192:O192, W189:W200)</f>
        <v/>
      </c>
      <c r="L204" s="25">
        <f>SUMPRODUCT(D192:O192, X189:X200)</f>
        <v/>
      </c>
      <c r="M204" s="25">
        <f>SUMPRODUCT(D192:O192, Y189:Y200)</f>
        <v/>
      </c>
      <c r="N204" s="25">
        <f>SUMPRODUCT(D192:O192, Z189:Z200)</f>
        <v/>
      </c>
      <c r="O204" s="25">
        <f>SUMPRODUCT(D192:O192, AA189:AA200)</f>
        <v/>
      </c>
      <c r="P204" s="25">
        <f>SUMPRODUCT(P192:AA192, D201:D212)</f>
        <v/>
      </c>
      <c r="Q204" s="25">
        <f>SUMPRODUCT(P192:AA192, E201:E212)</f>
        <v/>
      </c>
      <c r="R204" s="25">
        <f>SUMPRODUCT(P192:AA192, F201:F212)</f>
        <v/>
      </c>
      <c r="S204" s="25">
        <f>SUMPRODUCT(P192:AA192, G201:G212)</f>
        <v/>
      </c>
      <c r="T204" s="25">
        <f>SUMPRODUCT(P192:AA192, H201:H212)</f>
        <v/>
      </c>
      <c r="U204" s="25">
        <f>SUMPRODUCT(P192:AA192, I201:I212)</f>
        <v/>
      </c>
      <c r="V204" s="25">
        <f>SUMPRODUCT(P192:AA192, J201:J212)</f>
        <v/>
      </c>
      <c r="W204" s="25">
        <f>SUMPRODUCT(P192:AA192, K201:K212)</f>
        <v/>
      </c>
      <c r="X204" s="25">
        <f>SUMPRODUCT(P192:AA192, L201:L212)</f>
        <v/>
      </c>
      <c r="Y204" s="25">
        <f>SUMPRODUCT(P192:AA192, M201:M212)</f>
        <v/>
      </c>
      <c r="Z204" s="25">
        <f>SUMPRODUCT(P192:AA192, N201:N212)</f>
        <v/>
      </c>
      <c r="AA204" s="25">
        <f>SUMPRODUCT(P192:AA192, O201:O212)</f>
        <v/>
      </c>
    </row>
    <row r="205">
      <c r="B205" s="24" t="n">
        <v>0</v>
      </c>
      <c r="C205" s="24">
        <f>SUMPRODUCT(P193:AA193, B201:B212)</f>
        <v/>
      </c>
      <c r="D205" s="25">
        <f>SUMPRODUCT(D193:O193, P189:P200)</f>
        <v/>
      </c>
      <c r="E205" s="25">
        <f>SUMPRODUCT(D193:O193, Q189:Q200)</f>
        <v/>
      </c>
      <c r="F205" s="25">
        <f>SUMPRODUCT(D193:O193, R189:R200)</f>
        <v/>
      </c>
      <c r="G205" s="25">
        <f>SUMPRODUCT(D193:O193, S189:S200)</f>
        <v/>
      </c>
      <c r="H205" s="25">
        <f>SUMPRODUCT(D193:O193, T189:T200)</f>
        <v/>
      </c>
      <c r="I205" s="25">
        <f>SUMPRODUCT(D193:O193, U189:U200)</f>
        <v/>
      </c>
      <c r="J205" s="25">
        <f>SUMPRODUCT(D193:O193, V189:V200)</f>
        <v/>
      </c>
      <c r="K205" s="25">
        <f>SUMPRODUCT(D193:O193, W189:W200)</f>
        <v/>
      </c>
      <c r="L205" s="25">
        <f>SUMPRODUCT(D193:O193, X189:X200)</f>
        <v/>
      </c>
      <c r="M205" s="25">
        <f>SUMPRODUCT(D193:O193, Y189:Y200)</f>
        <v/>
      </c>
      <c r="N205" s="25">
        <f>SUMPRODUCT(D193:O193, Z189:Z200)</f>
        <v/>
      </c>
      <c r="O205" s="25">
        <f>SUMPRODUCT(D193:O193, AA189:AA200)</f>
        <v/>
      </c>
      <c r="P205" s="25">
        <f>SUMPRODUCT(P193:AA193, D201:D212)</f>
        <v/>
      </c>
      <c r="Q205" s="25">
        <f>SUMPRODUCT(P193:AA193, E201:E212)</f>
        <v/>
      </c>
      <c r="R205" s="25">
        <f>SUMPRODUCT(P193:AA193, F201:F212)</f>
        <v/>
      </c>
      <c r="S205" s="25">
        <f>SUMPRODUCT(P193:AA193, G201:G212)</f>
        <v/>
      </c>
      <c r="T205" s="25">
        <f>SUMPRODUCT(P193:AA193, H201:H212)</f>
        <v/>
      </c>
      <c r="U205" s="25">
        <f>SUMPRODUCT(P193:AA193, I201:I212)</f>
        <v/>
      </c>
      <c r="V205" s="25">
        <f>SUMPRODUCT(P193:AA193, J201:J212)</f>
        <v/>
      </c>
      <c r="W205" s="25">
        <f>SUMPRODUCT(P193:AA193, K201:K212)</f>
        <v/>
      </c>
      <c r="X205" s="25">
        <f>SUMPRODUCT(P193:AA193, L201:L212)</f>
        <v/>
      </c>
      <c r="Y205" s="25">
        <f>SUMPRODUCT(P193:AA193, M201:M212)</f>
        <v/>
      </c>
      <c r="Z205" s="25">
        <f>SUMPRODUCT(P193:AA193, N201:N212)</f>
        <v/>
      </c>
      <c r="AA205" s="25">
        <f>SUMPRODUCT(P193:AA193, O201:O212)</f>
        <v/>
      </c>
    </row>
    <row r="206">
      <c r="B206" s="24" t="n">
        <v>0</v>
      </c>
      <c r="C206" s="24">
        <f>SUMPRODUCT(P194:AA194, B201:B212)</f>
        <v/>
      </c>
      <c r="D206" s="25">
        <f>SUMPRODUCT(D194:O194, P189:P200)</f>
        <v/>
      </c>
      <c r="E206" s="25">
        <f>SUMPRODUCT(D194:O194, Q189:Q200)</f>
        <v/>
      </c>
      <c r="F206" s="25">
        <f>SUMPRODUCT(D194:O194, R189:R200)</f>
        <v/>
      </c>
      <c r="G206" s="25">
        <f>SUMPRODUCT(D194:O194, S189:S200)</f>
        <v/>
      </c>
      <c r="H206" s="25">
        <f>SUMPRODUCT(D194:O194, T189:T200)</f>
        <v/>
      </c>
      <c r="I206" s="25">
        <f>SUMPRODUCT(D194:O194, U189:U200)</f>
        <v/>
      </c>
      <c r="J206" s="25">
        <f>SUMPRODUCT(D194:O194, V189:V200)</f>
        <v/>
      </c>
      <c r="K206" s="25">
        <f>SUMPRODUCT(D194:O194, W189:W200)</f>
        <v/>
      </c>
      <c r="L206" s="25">
        <f>SUMPRODUCT(D194:O194, X189:X200)</f>
        <v/>
      </c>
      <c r="M206" s="25">
        <f>SUMPRODUCT(D194:O194, Y189:Y200)</f>
        <v/>
      </c>
      <c r="N206" s="25">
        <f>SUMPRODUCT(D194:O194, Z189:Z200)</f>
        <v/>
      </c>
      <c r="O206" s="25">
        <f>SUMPRODUCT(D194:O194, AA189:AA200)</f>
        <v/>
      </c>
      <c r="P206" s="25">
        <f>SUMPRODUCT(P194:AA194, D201:D212)</f>
        <v/>
      </c>
      <c r="Q206" s="25">
        <f>SUMPRODUCT(P194:AA194, E201:E212)</f>
        <v/>
      </c>
      <c r="R206" s="25">
        <f>SUMPRODUCT(P194:AA194, F201:F212)</f>
        <v/>
      </c>
      <c r="S206" s="25">
        <f>SUMPRODUCT(P194:AA194, G201:G212)</f>
        <v/>
      </c>
      <c r="T206" s="25">
        <f>SUMPRODUCT(P194:AA194, H201:H212)</f>
        <v/>
      </c>
      <c r="U206" s="25">
        <f>SUMPRODUCT(P194:AA194, I201:I212)</f>
        <v/>
      </c>
      <c r="V206" s="25">
        <f>SUMPRODUCT(P194:AA194, J201:J212)</f>
        <v/>
      </c>
      <c r="W206" s="25">
        <f>SUMPRODUCT(P194:AA194, K201:K212)</f>
        <v/>
      </c>
      <c r="X206" s="25">
        <f>SUMPRODUCT(P194:AA194, L201:L212)</f>
        <v/>
      </c>
      <c r="Y206" s="25">
        <f>SUMPRODUCT(P194:AA194, M201:M212)</f>
        <v/>
      </c>
      <c r="Z206" s="25">
        <f>SUMPRODUCT(P194:AA194, N201:N212)</f>
        <v/>
      </c>
      <c r="AA206" s="25">
        <f>SUMPRODUCT(P194:AA194, O201:O212)</f>
        <v/>
      </c>
    </row>
    <row r="207">
      <c r="B207" s="24">
        <f>IF(C181,C185*F187*E185*Inputs!$K$11,0)</f>
        <v/>
      </c>
      <c r="C207" s="24">
        <f>SUMPRODUCT(P195:AA195, B201:B212)</f>
        <v/>
      </c>
      <c r="D207" s="25">
        <f>SUMPRODUCT(D195:O195, P189:P200)</f>
        <v/>
      </c>
      <c r="E207" s="25">
        <f>SUMPRODUCT(D195:O195, Q189:Q200)</f>
        <v/>
      </c>
      <c r="F207" s="25">
        <f>SUMPRODUCT(D195:O195, R189:R200)</f>
        <v/>
      </c>
      <c r="G207" s="25">
        <f>SUMPRODUCT(D195:O195, S189:S200)</f>
        <v/>
      </c>
      <c r="H207" s="25">
        <f>SUMPRODUCT(D195:O195, T189:T200)</f>
        <v/>
      </c>
      <c r="I207" s="25">
        <f>SUMPRODUCT(D195:O195, U189:U200)</f>
        <v/>
      </c>
      <c r="J207" s="25">
        <f>SUMPRODUCT(D195:O195, V189:V200)</f>
        <v/>
      </c>
      <c r="K207" s="25">
        <f>SUMPRODUCT(D195:O195, W189:W200)</f>
        <v/>
      </c>
      <c r="L207" s="25">
        <f>SUMPRODUCT(D195:O195, X189:X200)</f>
        <v/>
      </c>
      <c r="M207" s="25">
        <f>SUMPRODUCT(D195:O195, Y189:Y200)</f>
        <v/>
      </c>
      <c r="N207" s="25">
        <f>SUMPRODUCT(D195:O195, Z189:Z200)</f>
        <v/>
      </c>
      <c r="O207" s="25">
        <f>SUMPRODUCT(D195:O195, AA189:AA200)</f>
        <v/>
      </c>
      <c r="P207" s="25">
        <f>SUMPRODUCT(P195:AA195, D201:D212)</f>
        <v/>
      </c>
      <c r="Q207" s="25">
        <f>SUMPRODUCT(P195:AA195, E201:E212)</f>
        <v/>
      </c>
      <c r="R207" s="25">
        <f>SUMPRODUCT(P195:AA195, F201:F212)</f>
        <v/>
      </c>
      <c r="S207" s="25">
        <f>SUMPRODUCT(P195:AA195, G201:G212)</f>
        <v/>
      </c>
      <c r="T207" s="25">
        <f>SUMPRODUCT(P195:AA195, H201:H212)</f>
        <v/>
      </c>
      <c r="U207" s="25">
        <f>SUMPRODUCT(P195:AA195, I201:I212)</f>
        <v/>
      </c>
      <c r="V207" s="25">
        <f>SUMPRODUCT(P195:AA195, J201:J212)</f>
        <v/>
      </c>
      <c r="W207" s="25">
        <f>SUMPRODUCT(P195:AA195, K201:K212)</f>
        <v/>
      </c>
      <c r="X207" s="25">
        <f>SUMPRODUCT(P195:AA195, L201:L212)</f>
        <v/>
      </c>
      <c r="Y207" s="25">
        <f>SUMPRODUCT(P195:AA195, M201:M212)</f>
        <v/>
      </c>
      <c r="Z207" s="25">
        <f>SUMPRODUCT(P195:AA195, N201:N212)</f>
        <v/>
      </c>
      <c r="AA207" s="25">
        <f>SUMPRODUCT(P195:AA195, O201:O212)</f>
        <v/>
      </c>
    </row>
    <row r="208">
      <c r="B208" s="24" t="n">
        <v>0</v>
      </c>
      <c r="C208" s="24">
        <f>SUMPRODUCT(P196:AA196, B201:B212)</f>
        <v/>
      </c>
      <c r="D208" s="25">
        <f>SUMPRODUCT(D196:O196, P189:P200)</f>
        <v/>
      </c>
      <c r="E208" s="25">
        <f>SUMPRODUCT(D196:O196, Q189:Q200)</f>
        <v/>
      </c>
      <c r="F208" s="25">
        <f>SUMPRODUCT(D196:O196, R189:R200)</f>
        <v/>
      </c>
      <c r="G208" s="25">
        <f>SUMPRODUCT(D196:O196, S189:S200)</f>
        <v/>
      </c>
      <c r="H208" s="25">
        <f>SUMPRODUCT(D196:O196, T189:T200)</f>
        <v/>
      </c>
      <c r="I208" s="25">
        <f>SUMPRODUCT(D196:O196, U189:U200)</f>
        <v/>
      </c>
      <c r="J208" s="25">
        <f>SUMPRODUCT(D196:O196, V189:V200)</f>
        <v/>
      </c>
      <c r="K208" s="25">
        <f>SUMPRODUCT(D196:O196, W189:W200)</f>
        <v/>
      </c>
      <c r="L208" s="25">
        <f>SUMPRODUCT(D196:O196, X189:X200)</f>
        <v/>
      </c>
      <c r="M208" s="25">
        <f>SUMPRODUCT(D196:O196, Y189:Y200)</f>
        <v/>
      </c>
      <c r="N208" s="25">
        <f>SUMPRODUCT(D196:O196, Z189:Z200)</f>
        <v/>
      </c>
      <c r="O208" s="25">
        <f>SUMPRODUCT(D196:O196, AA189:AA200)</f>
        <v/>
      </c>
      <c r="P208" s="25">
        <f>SUMPRODUCT(P196:AA196, D201:D212)</f>
        <v/>
      </c>
      <c r="Q208" s="25">
        <f>SUMPRODUCT(P196:AA196, E201:E212)</f>
        <v/>
      </c>
      <c r="R208" s="25">
        <f>SUMPRODUCT(P196:AA196, F201:F212)</f>
        <v/>
      </c>
      <c r="S208" s="25">
        <f>SUMPRODUCT(P196:AA196, G201:G212)</f>
        <v/>
      </c>
      <c r="T208" s="25">
        <f>SUMPRODUCT(P196:AA196, H201:H212)</f>
        <v/>
      </c>
      <c r="U208" s="25">
        <f>SUMPRODUCT(P196:AA196, I201:I212)</f>
        <v/>
      </c>
      <c r="V208" s="25">
        <f>SUMPRODUCT(P196:AA196, J201:J212)</f>
        <v/>
      </c>
      <c r="W208" s="25">
        <f>SUMPRODUCT(P196:AA196, K201:K212)</f>
        <v/>
      </c>
      <c r="X208" s="25">
        <f>SUMPRODUCT(P196:AA196, L201:L212)</f>
        <v/>
      </c>
      <c r="Y208" s="25">
        <f>SUMPRODUCT(P196:AA196, M201:M212)</f>
        <v/>
      </c>
      <c r="Z208" s="25">
        <f>SUMPRODUCT(P196:AA196, N201:N212)</f>
        <v/>
      </c>
      <c r="AA208" s="25">
        <f>SUMPRODUCT(P196:AA196, O201:O212)</f>
        <v/>
      </c>
    </row>
    <row r="209">
      <c r="B209" s="24" t="n">
        <v>0</v>
      </c>
      <c r="C209" s="24">
        <f>SUMPRODUCT(P197:AA197, B201:B212)</f>
        <v/>
      </c>
      <c r="D209" s="25">
        <f>SUMPRODUCT(D197:O197, P189:P200)</f>
        <v/>
      </c>
      <c r="E209" s="25">
        <f>SUMPRODUCT(D197:O197, Q189:Q200)</f>
        <v/>
      </c>
      <c r="F209" s="25">
        <f>SUMPRODUCT(D197:O197, R189:R200)</f>
        <v/>
      </c>
      <c r="G209" s="25">
        <f>SUMPRODUCT(D197:O197, S189:S200)</f>
        <v/>
      </c>
      <c r="H209" s="25">
        <f>SUMPRODUCT(D197:O197, T189:T200)</f>
        <v/>
      </c>
      <c r="I209" s="25">
        <f>SUMPRODUCT(D197:O197, U189:U200)</f>
        <v/>
      </c>
      <c r="J209" s="25">
        <f>SUMPRODUCT(D197:O197, V189:V200)</f>
        <v/>
      </c>
      <c r="K209" s="25">
        <f>SUMPRODUCT(D197:O197, W189:W200)</f>
        <v/>
      </c>
      <c r="L209" s="25">
        <f>SUMPRODUCT(D197:O197, X189:X200)</f>
        <v/>
      </c>
      <c r="M209" s="25">
        <f>SUMPRODUCT(D197:O197, Y189:Y200)</f>
        <v/>
      </c>
      <c r="N209" s="25">
        <f>SUMPRODUCT(D197:O197, Z189:Z200)</f>
        <v/>
      </c>
      <c r="O209" s="25">
        <f>SUMPRODUCT(D197:O197, AA189:AA200)</f>
        <v/>
      </c>
      <c r="P209" s="25">
        <f>SUMPRODUCT(P197:AA197, D201:D212)</f>
        <v/>
      </c>
      <c r="Q209" s="25">
        <f>SUMPRODUCT(P197:AA197, E201:E212)</f>
        <v/>
      </c>
      <c r="R209" s="25">
        <f>SUMPRODUCT(P197:AA197, F201:F212)</f>
        <v/>
      </c>
      <c r="S209" s="25">
        <f>SUMPRODUCT(P197:AA197, G201:G212)</f>
        <v/>
      </c>
      <c r="T209" s="25">
        <f>SUMPRODUCT(P197:AA197, H201:H212)</f>
        <v/>
      </c>
      <c r="U209" s="25">
        <f>SUMPRODUCT(P197:AA197, I201:I212)</f>
        <v/>
      </c>
      <c r="V209" s="25">
        <f>SUMPRODUCT(P197:AA197, J201:J212)</f>
        <v/>
      </c>
      <c r="W209" s="25">
        <f>SUMPRODUCT(P197:AA197, K201:K212)</f>
        <v/>
      </c>
      <c r="X209" s="25">
        <f>SUMPRODUCT(P197:AA197, L201:L212)</f>
        <v/>
      </c>
      <c r="Y209" s="25">
        <f>SUMPRODUCT(P197:AA197, M201:M212)</f>
        <v/>
      </c>
      <c r="Z209" s="25">
        <f>SUMPRODUCT(P197:AA197, N201:N212)</f>
        <v/>
      </c>
      <c r="AA209" s="25">
        <f>SUMPRODUCT(P197:AA197, O201:O212)</f>
        <v/>
      </c>
    </row>
    <row r="210">
      <c r="B210" s="24" t="n">
        <v>0</v>
      </c>
      <c r="C210" s="24">
        <f>SUMPRODUCT(P198:AA198, B201:B212)</f>
        <v/>
      </c>
      <c r="D210" s="25">
        <f>SUMPRODUCT(D198:O198, P189:P200)</f>
        <v/>
      </c>
      <c r="E210" s="25">
        <f>SUMPRODUCT(D198:O198, Q189:Q200)</f>
        <v/>
      </c>
      <c r="F210" s="25">
        <f>SUMPRODUCT(D198:O198, R189:R200)</f>
        <v/>
      </c>
      <c r="G210" s="25">
        <f>SUMPRODUCT(D198:O198, S189:S200)</f>
        <v/>
      </c>
      <c r="H210" s="25">
        <f>SUMPRODUCT(D198:O198, T189:T200)</f>
        <v/>
      </c>
      <c r="I210" s="25">
        <f>SUMPRODUCT(D198:O198, U189:U200)</f>
        <v/>
      </c>
      <c r="J210" s="25">
        <f>SUMPRODUCT(D198:O198, V189:V200)</f>
        <v/>
      </c>
      <c r="K210" s="25">
        <f>SUMPRODUCT(D198:O198, W189:W200)</f>
        <v/>
      </c>
      <c r="L210" s="25">
        <f>SUMPRODUCT(D198:O198, X189:X200)</f>
        <v/>
      </c>
      <c r="M210" s="25">
        <f>SUMPRODUCT(D198:O198, Y189:Y200)</f>
        <v/>
      </c>
      <c r="N210" s="25">
        <f>SUMPRODUCT(D198:O198, Z189:Z200)</f>
        <v/>
      </c>
      <c r="O210" s="25">
        <f>SUMPRODUCT(D198:O198, AA189:AA200)</f>
        <v/>
      </c>
      <c r="P210" s="25">
        <f>SUMPRODUCT(P198:AA198, D201:D212)</f>
        <v/>
      </c>
      <c r="Q210" s="25">
        <f>SUMPRODUCT(P198:AA198, E201:E212)</f>
        <v/>
      </c>
      <c r="R210" s="25">
        <f>SUMPRODUCT(P198:AA198, F201:F212)</f>
        <v/>
      </c>
      <c r="S210" s="25">
        <f>SUMPRODUCT(P198:AA198, G201:G212)</f>
        <v/>
      </c>
      <c r="T210" s="25">
        <f>SUMPRODUCT(P198:AA198, H201:H212)</f>
        <v/>
      </c>
      <c r="U210" s="25">
        <f>SUMPRODUCT(P198:AA198, I201:I212)</f>
        <v/>
      </c>
      <c r="V210" s="25">
        <f>SUMPRODUCT(P198:AA198, J201:J212)</f>
        <v/>
      </c>
      <c r="W210" s="25">
        <f>SUMPRODUCT(P198:AA198, K201:K212)</f>
        <v/>
      </c>
      <c r="X210" s="25">
        <f>SUMPRODUCT(P198:AA198, L201:L212)</f>
        <v/>
      </c>
      <c r="Y210" s="25">
        <f>SUMPRODUCT(P198:AA198, M201:M212)</f>
        <v/>
      </c>
      <c r="Z210" s="25">
        <f>SUMPRODUCT(P198:AA198, N201:N212)</f>
        <v/>
      </c>
      <c r="AA210" s="25">
        <f>SUMPRODUCT(P198:AA198, O201:O212)</f>
        <v/>
      </c>
    </row>
    <row r="211">
      <c r="B211" s="24" t="n">
        <v>0</v>
      </c>
      <c r="C211" s="24">
        <f>SUMPRODUCT(P199:AA199, B201:B212)</f>
        <v/>
      </c>
      <c r="D211" s="25">
        <f>SUMPRODUCT(D199:O199, P189:P200)</f>
        <v/>
      </c>
      <c r="E211" s="25">
        <f>SUMPRODUCT(D199:O199, Q189:Q200)</f>
        <v/>
      </c>
      <c r="F211" s="25">
        <f>SUMPRODUCT(D199:O199, R189:R200)</f>
        <v/>
      </c>
      <c r="G211" s="25">
        <f>SUMPRODUCT(D199:O199, S189:S200)</f>
        <v/>
      </c>
      <c r="H211" s="25">
        <f>SUMPRODUCT(D199:O199, T189:T200)</f>
        <v/>
      </c>
      <c r="I211" s="25">
        <f>SUMPRODUCT(D199:O199, U189:U200)</f>
        <v/>
      </c>
      <c r="J211" s="25">
        <f>SUMPRODUCT(D199:O199, V189:V200)</f>
        <v/>
      </c>
      <c r="K211" s="25">
        <f>SUMPRODUCT(D199:O199, W189:W200)</f>
        <v/>
      </c>
      <c r="L211" s="25">
        <f>SUMPRODUCT(D199:O199, X189:X200)</f>
        <v/>
      </c>
      <c r="M211" s="25">
        <f>SUMPRODUCT(D199:O199, Y189:Y200)</f>
        <v/>
      </c>
      <c r="N211" s="25">
        <f>SUMPRODUCT(D199:O199, Z189:Z200)</f>
        <v/>
      </c>
      <c r="O211" s="25">
        <f>SUMPRODUCT(D199:O199, AA189:AA200)</f>
        <v/>
      </c>
      <c r="P211" s="25">
        <f>SUMPRODUCT(P199:AA199, D201:D212)</f>
        <v/>
      </c>
      <c r="Q211" s="25">
        <f>SUMPRODUCT(P199:AA199, E201:E212)</f>
        <v/>
      </c>
      <c r="R211" s="25">
        <f>SUMPRODUCT(P199:AA199, F201:F212)</f>
        <v/>
      </c>
      <c r="S211" s="25">
        <f>SUMPRODUCT(P199:AA199, G201:G212)</f>
        <v/>
      </c>
      <c r="T211" s="25">
        <f>SUMPRODUCT(P199:AA199, H201:H212)</f>
        <v/>
      </c>
      <c r="U211" s="25">
        <f>SUMPRODUCT(P199:AA199, I201:I212)</f>
        <v/>
      </c>
      <c r="V211" s="25">
        <f>SUMPRODUCT(P199:AA199, J201:J212)</f>
        <v/>
      </c>
      <c r="W211" s="25">
        <f>SUMPRODUCT(P199:AA199, K201:K212)</f>
        <v/>
      </c>
      <c r="X211" s="25">
        <f>SUMPRODUCT(P199:AA199, L201:L212)</f>
        <v/>
      </c>
      <c r="Y211" s="25">
        <f>SUMPRODUCT(P199:AA199, M201:M212)</f>
        <v/>
      </c>
      <c r="Z211" s="25">
        <f>SUMPRODUCT(P199:AA199, N201:N212)</f>
        <v/>
      </c>
      <c r="AA211" s="25">
        <f>SUMPRODUCT(P199:AA199, O201:O212)</f>
        <v/>
      </c>
    </row>
    <row r="212">
      <c r="B212" s="24" t="n">
        <v>0</v>
      </c>
      <c r="C212" s="24">
        <f>SUMPRODUCT(P200:AA200, B201:B212)</f>
        <v/>
      </c>
      <c r="D212" s="25">
        <f>SUMPRODUCT(D200:O200, P189:P200)</f>
        <v/>
      </c>
      <c r="E212" s="25">
        <f>SUMPRODUCT(D200:O200, Q189:Q200)</f>
        <v/>
      </c>
      <c r="F212" s="25">
        <f>SUMPRODUCT(D200:O200, R189:R200)</f>
        <v/>
      </c>
      <c r="G212" s="25">
        <f>SUMPRODUCT(D200:O200, S189:S200)</f>
        <v/>
      </c>
      <c r="H212" s="25">
        <f>SUMPRODUCT(D200:O200, T189:T200)</f>
        <v/>
      </c>
      <c r="I212" s="25">
        <f>SUMPRODUCT(D200:O200, U189:U200)</f>
        <v/>
      </c>
      <c r="J212" s="25">
        <f>SUMPRODUCT(D200:O200, V189:V200)</f>
        <v/>
      </c>
      <c r="K212" s="25">
        <f>SUMPRODUCT(D200:O200, W189:W200)</f>
        <v/>
      </c>
      <c r="L212" s="25">
        <f>SUMPRODUCT(D200:O200, X189:X200)</f>
        <v/>
      </c>
      <c r="M212" s="25">
        <f>SUMPRODUCT(D200:O200, Y189:Y200)</f>
        <v/>
      </c>
      <c r="N212" s="25">
        <f>SUMPRODUCT(D200:O200, Z189:Z200)</f>
        <v/>
      </c>
      <c r="O212" s="25">
        <f>SUMPRODUCT(D200:O200, AA189:AA200)</f>
        <v/>
      </c>
      <c r="P212" s="25">
        <f>SUMPRODUCT(P200:AA200, D201:D212)</f>
        <v/>
      </c>
      <c r="Q212" s="25">
        <f>SUMPRODUCT(P200:AA200, E201:E212)</f>
        <v/>
      </c>
      <c r="R212" s="25">
        <f>SUMPRODUCT(P200:AA200, F201:F212)</f>
        <v/>
      </c>
      <c r="S212" s="25">
        <f>SUMPRODUCT(P200:AA200, G201:G212)</f>
        <v/>
      </c>
      <c r="T212" s="25">
        <f>SUMPRODUCT(P200:AA200, H201:H212)</f>
        <v/>
      </c>
      <c r="U212" s="25">
        <f>SUMPRODUCT(P200:AA200, I201:I212)</f>
        <v/>
      </c>
      <c r="V212" s="25">
        <f>SUMPRODUCT(P200:AA200, J201:J212)</f>
        <v/>
      </c>
      <c r="W212" s="25">
        <f>SUMPRODUCT(P200:AA200, K201:K212)</f>
        <v/>
      </c>
      <c r="X212" s="25">
        <f>SUMPRODUCT(P200:AA200, L201:L212)</f>
        <v/>
      </c>
      <c r="Y212" s="25">
        <f>SUMPRODUCT(P200:AA200, M201:M212)</f>
        <v/>
      </c>
      <c r="Z212" s="25">
        <f>SUMPRODUCT(P200:AA200, N201:N212)</f>
        <v/>
      </c>
      <c r="AA212" s="25">
        <f>SUMPRODUCT(P200:AA200, O201:O212)</f>
        <v/>
      </c>
    </row>
    <row r="214">
      <c r="B214" s="3" t="inlineStr">
        <is>
          <t>ELEMENT 6 ANALYSIS BLOCK</t>
        </is>
      </c>
    </row>
    <row r="215">
      <c r="B215" s="16" t="inlineStr">
        <is>
          <t>Node A ID</t>
        </is>
      </c>
      <c r="C215" s="17">
        <f>Inputs!C35</f>
        <v/>
      </c>
      <c r="D215" s="16" t="inlineStr">
        <is>
          <t>Node B ID</t>
        </is>
      </c>
      <c r="E215" s="17">
        <f>Inputs!D35</f>
        <v/>
      </c>
    </row>
    <row r="216">
      <c r="B216" s="16" t="inlineStr">
        <is>
          <t>Is Active?</t>
        </is>
      </c>
      <c r="C216" s="16">
        <f>AND(C215&lt;&gt;"",E215&lt;&gt;"")</f>
        <v/>
      </c>
    </row>
    <row r="217">
      <c r="B217" s="16" t="inlineStr">
        <is>
          <t>Node A Coord</t>
        </is>
      </c>
      <c r="C217" s="18">
        <f>IF(C216,VLOOKUP(C215,Inputs!$B$17:$E$24,2,FALSE),0.0)</f>
        <v/>
      </c>
      <c r="D217" s="18">
        <f>IF(C216,VLOOKUP(C215,Inputs!$B$17:$E$24,3,FALSE),0.0)</f>
        <v/>
      </c>
      <c r="E217" s="18">
        <f>IF(C216,VLOOKUP(C215,Inputs!$B$17:$E$24,4,FALSE),0.0)</f>
        <v/>
      </c>
      <c r="F217" s="16" t="inlineStr">
        <is>
          <t>Node B Coord</t>
        </is>
      </c>
      <c r="G217" s="18">
        <f>IF(C216,VLOOKUP(E215,Inputs!$B$17:$E$24,2,FALSE),0.0)</f>
        <v/>
      </c>
      <c r="H217" s="18">
        <f>IF(C216,VLOOKUP(E215,Inputs!$B$17:$E$24,3,FALSE),0.0)</f>
        <v/>
      </c>
      <c r="I217" s="18">
        <f>IF(C216,VLOOKUP(E215,Inputs!$B$17:$E$24,4,FALSE),0.0)</f>
        <v/>
      </c>
    </row>
    <row r="218">
      <c r="B218" s="16" t="inlineStr">
        <is>
          <t>deltas dx,dy,dz</t>
        </is>
      </c>
      <c r="C218">
        <f>G217-C217</f>
        <v/>
      </c>
      <c r="D218">
        <f>H217-D217</f>
        <v/>
      </c>
      <c r="E218">
        <f>I217-E217</f>
        <v/>
      </c>
      <c r="F218" s="16" t="inlineStr">
        <is>
          <t>Length L</t>
        </is>
      </c>
      <c r="G218" s="19">
        <f>IF(C216,SQRT(C218^2+D218^2+E218^2),1.0)</f>
        <v/>
      </c>
    </row>
    <row r="219">
      <c r="B219" s="16" t="inlineStr">
        <is>
          <t>dir cosines lx,my,nz</t>
        </is>
      </c>
      <c r="C219">
        <f>C218/G218</f>
        <v/>
      </c>
      <c r="D219">
        <f>D218/G218</f>
        <v/>
      </c>
      <c r="E219">
        <f>E218/G218</f>
        <v/>
      </c>
      <c r="F219" s="16" t="inlineStr">
        <is>
          <t>D_is_zero</t>
        </is>
      </c>
      <c r="G219">
        <f>AND(ABS(C219)&lt;1E-5,ABS(D219)&lt;1E-5)</f>
        <v/>
      </c>
      <c r="H219" s="16" t="inlineStr">
        <is>
          <t>D</t>
        </is>
      </c>
      <c r="I219">
        <f>SQRT(C219^2+D219^2)</f>
        <v/>
      </c>
      <c r="L219" s="16" t="inlineStr">
        <is>
          <t>ROTATION MATRIX lambda</t>
        </is>
      </c>
    </row>
    <row r="220">
      <c r="B220" s="16" t="inlineStr">
        <is>
          <t>Material E, G, alpha</t>
        </is>
      </c>
      <c r="C220">
        <f>VLOOKUP(Inputs!G35,Inputs!$B$7:$H$8,2,FALSE)</f>
        <v/>
      </c>
      <c r="D220">
        <f>VLOOKUP(Inputs!G35,Inputs!$B$7:$H$8,3,FALSE)</f>
        <v/>
      </c>
      <c r="E220">
        <f>VLOOKUP(Inputs!G35,Inputs!$B$7:$H$8,4,FALSE)</f>
        <v/>
      </c>
      <c r="L220" s="20">
        <f>C219</f>
        <v/>
      </c>
      <c r="M220" s="20">
        <f>D219</f>
        <v/>
      </c>
      <c r="N220" s="20">
        <f>E219</f>
        <v/>
      </c>
    </row>
    <row r="221">
      <c r="B221" s="16" t="inlineStr">
        <is>
          <t>Section OD, t</t>
        </is>
      </c>
      <c r="C221">
        <f>VLOOKUP(Inputs!H35,Inputs!$B$12:$H$13,2,FALSE)</f>
        <v/>
      </c>
      <c r="D221">
        <f>VLOOKUP(Inputs!H35,Inputs!$B$12:$H$13,3,FALSE)</f>
        <v/>
      </c>
      <c r="L221" s="20">
        <f>IF(G219,0,-D219/I219)</f>
        <v/>
      </c>
      <c r="M221" s="20">
        <f>IF(G219,IF(E219&gt;0,1,-1),C219/I219)</f>
        <v/>
      </c>
      <c r="N221" s="20" t="n">
        <v>0</v>
      </c>
    </row>
    <row r="222">
      <c r="B222" s="16" t="inlineStr">
        <is>
          <t>ro, ri</t>
        </is>
      </c>
      <c r="C222">
        <f>C221/2</f>
        <v/>
      </c>
      <c r="D222">
        <f>C222-D221</f>
        <v/>
      </c>
      <c r="E222" s="16" t="inlineStr">
        <is>
          <t>Area A</t>
        </is>
      </c>
      <c r="F222">
        <f>PI()*(C222^2-D222^2)</f>
        <v/>
      </c>
      <c r="L222" s="20">
        <f>IF(G219,IF(E219&gt;0,-1,1),-C219*E219/I219)</f>
        <v/>
      </c>
      <c r="M222" s="20">
        <f>IF(G219,0,-D219*E219/I219)</f>
        <v/>
      </c>
      <c r="N222" s="20">
        <f>IF(G219,0,I219)</f>
        <v/>
      </c>
    </row>
    <row r="223">
      <c r="B223" s="16" t="inlineStr">
        <is>
          <t>Inertia I, J</t>
        </is>
      </c>
      <c r="C223">
        <f>(PI()/4)*(C222^4-D222^4)</f>
        <v/>
      </c>
      <c r="D223">
        <f>C223*2</f>
        <v/>
      </c>
      <c r="E223" s="16" t="inlineStr">
        <is>
          <t>Flex Factor k</t>
        </is>
      </c>
      <c r="F223">
        <f>IF(Inputs!E35="bend",IF(Inputs!F35&lt;&gt;"",MAX(1.0,1.65/((D221*Inputs!F35)/(((C221-D221)/2)^2))),1.0),1.0)</f>
        <v/>
      </c>
    </row>
    <row r="224">
      <c r="D224" s="21">
        <f>IF(C216,$C$220*$F$222/$G$218,0)</f>
        <v/>
      </c>
      <c r="E224" s="21" t="n">
        <v>0</v>
      </c>
      <c r="F224" s="21" t="n">
        <v>0</v>
      </c>
      <c r="G224" s="21" t="n">
        <v>0</v>
      </c>
      <c r="H224" s="21" t="n">
        <v>0</v>
      </c>
      <c r="I224" s="21" t="n">
        <v>0</v>
      </c>
      <c r="J224" s="21">
        <f>-D224</f>
        <v/>
      </c>
      <c r="K224" s="21" t="n">
        <v>0</v>
      </c>
      <c r="L224" s="21" t="n">
        <v>0</v>
      </c>
      <c r="M224" s="21" t="n">
        <v>0</v>
      </c>
      <c r="N224" s="21" t="n">
        <v>0</v>
      </c>
      <c r="O224" s="21" t="n">
        <v>0</v>
      </c>
      <c r="P224" s="22">
        <f>L220</f>
        <v/>
      </c>
      <c r="Q224" s="22">
        <f>M220</f>
        <v/>
      </c>
      <c r="R224" s="22">
        <f>N220</f>
        <v/>
      </c>
      <c r="S224" s="22" t="n">
        <v>0</v>
      </c>
      <c r="T224" s="22" t="n">
        <v>0</v>
      </c>
      <c r="U224" s="22" t="n">
        <v>0</v>
      </c>
      <c r="V224" s="22" t="n">
        <v>0</v>
      </c>
      <c r="W224" s="22" t="n">
        <v>0</v>
      </c>
      <c r="X224" s="22" t="n">
        <v>0</v>
      </c>
      <c r="Y224" s="22" t="n">
        <v>0</v>
      </c>
      <c r="Z224" s="22" t="n">
        <v>0</v>
      </c>
      <c r="AA224" s="22" t="n">
        <v>0</v>
      </c>
      <c r="AG224" s="23">
        <f>INDEX(Global_Solver!$BC$5:$BC$52, 6*C215+1, 1)</f>
        <v/>
      </c>
      <c r="AH224" s="23">
        <f>SUMPRODUCT(P224:AA224, AG224:AG235)</f>
        <v/>
      </c>
      <c r="AI224" s="24">
        <f>SUMPRODUCT(D224:O224, AH224:AH235)-B236</f>
        <v/>
      </c>
    </row>
    <row r="225">
      <c r="D225" s="21" t="n">
        <v>0</v>
      </c>
      <c r="E225" s="21">
        <f>IF(C216,=(12*$C$220*($C$223/$F$223))/($G$218^3),0)</f>
        <v/>
      </c>
      <c r="F225" s="21" t="n">
        <v>0</v>
      </c>
      <c r="G225" s="21" t="n">
        <v>0</v>
      </c>
      <c r="H225" s="21" t="n">
        <v>0</v>
      </c>
      <c r="I225" s="21">
        <f>IF(C216,=(6*$C$220*($C$223/$F$223))/($G$218^2),0)</f>
        <v/>
      </c>
      <c r="J225" s="21" t="n">
        <v>0</v>
      </c>
      <c r="K225" s="21">
        <f>-E225</f>
        <v/>
      </c>
      <c r="L225" s="21" t="n">
        <v>0</v>
      </c>
      <c r="M225" s="21" t="n">
        <v>0</v>
      </c>
      <c r="N225" s="21" t="n">
        <v>0</v>
      </c>
      <c r="O225" s="21">
        <f>I225</f>
        <v/>
      </c>
      <c r="P225" s="22">
        <f>L221</f>
        <v/>
      </c>
      <c r="Q225" s="22">
        <f>M221</f>
        <v/>
      </c>
      <c r="R225" s="22">
        <f>N221</f>
        <v/>
      </c>
      <c r="S225" s="22" t="n">
        <v>0</v>
      </c>
      <c r="T225" s="22" t="n">
        <v>0</v>
      </c>
      <c r="U225" s="22" t="n">
        <v>0</v>
      </c>
      <c r="V225" s="22" t="n">
        <v>0</v>
      </c>
      <c r="W225" s="22" t="n">
        <v>0</v>
      </c>
      <c r="X225" s="22" t="n">
        <v>0</v>
      </c>
      <c r="Y225" s="22" t="n">
        <v>0</v>
      </c>
      <c r="Z225" s="22" t="n">
        <v>0</v>
      </c>
      <c r="AA225" s="22" t="n">
        <v>0</v>
      </c>
      <c r="AG225" s="23">
        <f>INDEX(Global_Solver!$BC$5:$BC$52, 6*C215+2, 1)</f>
        <v/>
      </c>
      <c r="AH225" s="23">
        <f>SUMPRODUCT(P225:AA225, AG224:AG235)</f>
        <v/>
      </c>
      <c r="AI225" s="24">
        <f>SUMPRODUCT(D225:O225, AH224:AH235)-B237</f>
        <v/>
      </c>
    </row>
    <row r="226">
      <c r="D226" s="21" t="n">
        <v>0</v>
      </c>
      <c r="E226" s="21" t="n">
        <v>0</v>
      </c>
      <c r="F226" s="21">
        <f>IF(C216,=(12*$C$220*($C$223/$F$223))/($G$218^3),0)</f>
        <v/>
      </c>
      <c r="G226" s="21" t="n">
        <v>0</v>
      </c>
      <c r="H226" s="21">
        <f>IF(C216,-=(6*$C$220*($C$223/$F$223))/($G$218^2),0)</f>
        <v/>
      </c>
      <c r="I226" s="21" t="n">
        <v>0</v>
      </c>
      <c r="J226" s="21" t="n">
        <v>0</v>
      </c>
      <c r="K226" s="21" t="n">
        <v>0</v>
      </c>
      <c r="L226" s="21">
        <f>-F226</f>
        <v/>
      </c>
      <c r="M226" s="21" t="n">
        <v>0</v>
      </c>
      <c r="N226" s="21">
        <f>H226</f>
        <v/>
      </c>
      <c r="O226" s="21" t="n">
        <v>0</v>
      </c>
      <c r="P226" s="22">
        <f>L222</f>
        <v/>
      </c>
      <c r="Q226" s="22">
        <f>M222</f>
        <v/>
      </c>
      <c r="R226" s="22">
        <f>N222</f>
        <v/>
      </c>
      <c r="S226" s="22" t="n">
        <v>0</v>
      </c>
      <c r="T226" s="22" t="n">
        <v>0</v>
      </c>
      <c r="U226" s="22" t="n">
        <v>0</v>
      </c>
      <c r="V226" s="22" t="n">
        <v>0</v>
      </c>
      <c r="W226" s="22" t="n">
        <v>0</v>
      </c>
      <c r="X226" s="22" t="n">
        <v>0</v>
      </c>
      <c r="Y226" s="22" t="n">
        <v>0</v>
      </c>
      <c r="Z226" s="22" t="n">
        <v>0</v>
      </c>
      <c r="AA226" s="22" t="n">
        <v>0</v>
      </c>
      <c r="AG226" s="23">
        <f>INDEX(Global_Solver!$BC$5:$BC$52, 6*C215+3, 1)</f>
        <v/>
      </c>
      <c r="AH226" s="23">
        <f>SUMPRODUCT(P226:AA226, AG224:AG235)</f>
        <v/>
      </c>
      <c r="AI226" s="24">
        <f>SUMPRODUCT(D226:O226, AH224:AH235)-B238</f>
        <v/>
      </c>
    </row>
    <row r="227">
      <c r="D227" s="21" t="n">
        <v>0</v>
      </c>
      <c r="E227" s="21" t="n">
        <v>0</v>
      </c>
      <c r="F227" s="21" t="n">
        <v>0</v>
      </c>
      <c r="G227" s="21">
        <f>IF(C216,$D$220*$D$223/$G$218,0)</f>
        <v/>
      </c>
      <c r="H227" s="21" t="n">
        <v>0</v>
      </c>
      <c r="I227" s="21" t="n">
        <v>0</v>
      </c>
      <c r="J227" s="21" t="n">
        <v>0</v>
      </c>
      <c r="K227" s="21" t="n">
        <v>0</v>
      </c>
      <c r="L227" s="21" t="n">
        <v>0</v>
      </c>
      <c r="M227" s="21">
        <f>-G227</f>
        <v/>
      </c>
      <c r="N227" s="21" t="n">
        <v>0</v>
      </c>
      <c r="O227" s="21" t="n">
        <v>0</v>
      </c>
      <c r="P227" s="22" t="n">
        <v>0</v>
      </c>
      <c r="Q227" s="22" t="n">
        <v>0</v>
      </c>
      <c r="R227" s="22" t="n">
        <v>0</v>
      </c>
      <c r="S227" s="22">
        <f>L220</f>
        <v/>
      </c>
      <c r="T227" s="22">
        <f>M220</f>
        <v/>
      </c>
      <c r="U227" s="22">
        <f>N220</f>
        <v/>
      </c>
      <c r="V227" s="22" t="n">
        <v>0</v>
      </c>
      <c r="W227" s="22" t="n">
        <v>0</v>
      </c>
      <c r="X227" s="22" t="n">
        <v>0</v>
      </c>
      <c r="Y227" s="22" t="n">
        <v>0</v>
      </c>
      <c r="Z227" s="22" t="n">
        <v>0</v>
      </c>
      <c r="AA227" s="22" t="n">
        <v>0</v>
      </c>
      <c r="AG227" s="23">
        <f>INDEX(Global_Solver!$BC$5:$BC$52, 6*C215+4, 1)</f>
        <v/>
      </c>
      <c r="AH227" s="23">
        <f>SUMPRODUCT(P227:AA227, AG224:AG235)</f>
        <v/>
      </c>
      <c r="AI227" s="24">
        <f>SUMPRODUCT(D227:O227, AH224:AH235)-B239</f>
        <v/>
      </c>
    </row>
    <row r="228">
      <c r="D228" s="21" t="n">
        <v>0</v>
      </c>
      <c r="E228" s="21" t="n">
        <v>0</v>
      </c>
      <c r="F228" s="21">
        <f>H226</f>
        <v/>
      </c>
      <c r="G228" s="21" t="n">
        <v>0</v>
      </c>
      <c r="H228" s="21">
        <f>IF(C216,=(4*$C$220*($C$223/$F$223))/$G$218,0)</f>
        <v/>
      </c>
      <c r="I228" s="21" t="n">
        <v>0</v>
      </c>
      <c r="J228" s="21" t="n">
        <v>0</v>
      </c>
      <c r="K228" s="21" t="n">
        <v>0</v>
      </c>
      <c r="L228" s="21">
        <f>-H226</f>
        <v/>
      </c>
      <c r="M228" s="21" t="n">
        <v>0</v>
      </c>
      <c r="N228" s="21">
        <f>IF(C216,=(2*$C$220*($C$223/$F$223))/$G$218,0)</f>
        <v/>
      </c>
      <c r="O228" s="21" t="n">
        <v>0</v>
      </c>
      <c r="P228" s="22" t="n">
        <v>0</v>
      </c>
      <c r="Q228" s="22" t="n">
        <v>0</v>
      </c>
      <c r="R228" s="22" t="n">
        <v>0</v>
      </c>
      <c r="S228" s="22">
        <f>L221</f>
        <v/>
      </c>
      <c r="T228" s="22">
        <f>M221</f>
        <v/>
      </c>
      <c r="U228" s="22">
        <f>N221</f>
        <v/>
      </c>
      <c r="V228" s="22" t="n">
        <v>0</v>
      </c>
      <c r="W228" s="22" t="n">
        <v>0</v>
      </c>
      <c r="X228" s="22" t="n">
        <v>0</v>
      </c>
      <c r="Y228" s="22" t="n">
        <v>0</v>
      </c>
      <c r="Z228" s="22" t="n">
        <v>0</v>
      </c>
      <c r="AA228" s="22" t="n">
        <v>0</v>
      </c>
      <c r="AG228" s="23">
        <f>INDEX(Global_Solver!$BC$5:$BC$52, 6*C215+5, 1)</f>
        <v/>
      </c>
      <c r="AH228" s="23">
        <f>SUMPRODUCT(P228:AA228, AG224:AG235)</f>
        <v/>
      </c>
      <c r="AI228" s="24">
        <f>SUMPRODUCT(D228:O228, AH224:AH235)-B240</f>
        <v/>
      </c>
    </row>
    <row r="229">
      <c r="D229" s="21" t="n">
        <v>0</v>
      </c>
      <c r="E229" s="21">
        <f>I225</f>
        <v/>
      </c>
      <c r="F229" s="21" t="n">
        <v>0</v>
      </c>
      <c r="G229" s="21" t="n">
        <v>0</v>
      </c>
      <c r="H229" s="21" t="n">
        <v>0</v>
      </c>
      <c r="I229" s="21">
        <f>IF(C216,=(4*$C$220*($C$223/$F$223))/$G$218,0)</f>
        <v/>
      </c>
      <c r="J229" s="21" t="n">
        <v>0</v>
      </c>
      <c r="K229" s="21">
        <f>-I225</f>
        <v/>
      </c>
      <c r="L229" s="21" t="n">
        <v>0</v>
      </c>
      <c r="M229" s="21" t="n">
        <v>0</v>
      </c>
      <c r="N229" s="21" t="n">
        <v>0</v>
      </c>
      <c r="O229" s="21">
        <f>IF(C216,=(2*$C$220*($C$223/$F$223))/$G$218,0)</f>
        <v/>
      </c>
      <c r="P229" s="22" t="n">
        <v>0</v>
      </c>
      <c r="Q229" s="22" t="n">
        <v>0</v>
      </c>
      <c r="R229" s="22" t="n">
        <v>0</v>
      </c>
      <c r="S229" s="22">
        <f>L222</f>
        <v/>
      </c>
      <c r="T229" s="22">
        <f>M222</f>
        <v/>
      </c>
      <c r="U229" s="22">
        <f>N222</f>
        <v/>
      </c>
      <c r="V229" s="22" t="n">
        <v>0</v>
      </c>
      <c r="W229" s="22" t="n">
        <v>0</v>
      </c>
      <c r="X229" s="22" t="n">
        <v>0</v>
      </c>
      <c r="Y229" s="22" t="n">
        <v>0</v>
      </c>
      <c r="Z229" s="22" t="n">
        <v>0</v>
      </c>
      <c r="AA229" s="22" t="n">
        <v>0</v>
      </c>
      <c r="AG229" s="23">
        <f>INDEX(Global_Solver!$BC$5:$BC$52, 6*C215+6, 1)</f>
        <v/>
      </c>
      <c r="AH229" s="23">
        <f>SUMPRODUCT(P229:AA229, AG224:AG235)</f>
        <v/>
      </c>
      <c r="AI229" s="24">
        <f>SUMPRODUCT(D229:O229, AH224:AH235)-B241</f>
        <v/>
      </c>
    </row>
    <row r="230">
      <c r="D230" s="21">
        <f>J224</f>
        <v/>
      </c>
      <c r="E230" s="21" t="n">
        <v>0</v>
      </c>
      <c r="F230" s="21" t="n">
        <v>0</v>
      </c>
      <c r="G230" s="21" t="n">
        <v>0</v>
      </c>
      <c r="H230" s="21" t="n">
        <v>0</v>
      </c>
      <c r="I230" s="21" t="n">
        <v>0</v>
      </c>
      <c r="J230" s="21">
        <f>-J224</f>
        <v/>
      </c>
      <c r="K230" s="21" t="n">
        <v>0</v>
      </c>
      <c r="L230" s="21" t="n">
        <v>0</v>
      </c>
      <c r="M230" s="21" t="n">
        <v>0</v>
      </c>
      <c r="N230" s="21" t="n">
        <v>0</v>
      </c>
      <c r="O230" s="21" t="n">
        <v>0</v>
      </c>
      <c r="P230" s="22" t="n">
        <v>0</v>
      </c>
      <c r="Q230" s="22" t="n">
        <v>0</v>
      </c>
      <c r="R230" s="22" t="n">
        <v>0</v>
      </c>
      <c r="S230" s="22" t="n">
        <v>0</v>
      </c>
      <c r="T230" s="22" t="n">
        <v>0</v>
      </c>
      <c r="U230" s="22" t="n">
        <v>0</v>
      </c>
      <c r="V230" s="22">
        <f>L220</f>
        <v/>
      </c>
      <c r="W230" s="22">
        <f>M220</f>
        <v/>
      </c>
      <c r="X230" s="22">
        <f>N220</f>
        <v/>
      </c>
      <c r="Y230" s="22" t="n">
        <v>0</v>
      </c>
      <c r="Z230" s="22" t="n">
        <v>0</v>
      </c>
      <c r="AA230" s="22" t="n">
        <v>0</v>
      </c>
      <c r="AG230" s="23">
        <f>INDEX(Global_Solver!$BC$5:$BC$52, 6*E215+1, 1)</f>
        <v/>
      </c>
      <c r="AH230" s="23">
        <f>SUMPRODUCT(P230:AA230, AG224:AG235)</f>
        <v/>
      </c>
      <c r="AI230" s="24">
        <f>SUMPRODUCT(D230:O230, AH224:AH235)-B242</f>
        <v/>
      </c>
    </row>
    <row r="231">
      <c r="D231" s="21" t="n">
        <v>0</v>
      </c>
      <c r="E231" s="21">
        <f>K225</f>
        <v/>
      </c>
      <c r="F231" s="21" t="n">
        <v>0</v>
      </c>
      <c r="G231" s="21" t="n">
        <v>0</v>
      </c>
      <c r="H231" s="21" t="n">
        <v>0</v>
      </c>
      <c r="I231" s="21">
        <f>K229</f>
        <v/>
      </c>
      <c r="J231" s="21" t="n">
        <v>0</v>
      </c>
      <c r="K231" s="21">
        <f>E225</f>
        <v/>
      </c>
      <c r="L231" s="21" t="n">
        <v>0</v>
      </c>
      <c r="M231" s="21" t="n">
        <v>0</v>
      </c>
      <c r="N231" s="21" t="n">
        <v>0</v>
      </c>
      <c r="O231" s="21">
        <f>-I225</f>
        <v/>
      </c>
      <c r="P231" s="22" t="n">
        <v>0</v>
      </c>
      <c r="Q231" s="22" t="n">
        <v>0</v>
      </c>
      <c r="R231" s="22" t="n">
        <v>0</v>
      </c>
      <c r="S231" s="22" t="n">
        <v>0</v>
      </c>
      <c r="T231" s="22" t="n">
        <v>0</v>
      </c>
      <c r="U231" s="22" t="n">
        <v>0</v>
      </c>
      <c r="V231" s="22">
        <f>L221</f>
        <v/>
      </c>
      <c r="W231" s="22">
        <f>M221</f>
        <v/>
      </c>
      <c r="X231" s="22">
        <f>N221</f>
        <v/>
      </c>
      <c r="Y231" s="22" t="n">
        <v>0</v>
      </c>
      <c r="Z231" s="22" t="n">
        <v>0</v>
      </c>
      <c r="AA231" s="22" t="n">
        <v>0</v>
      </c>
      <c r="AG231" s="23">
        <f>INDEX(Global_Solver!$BC$5:$BC$52, 6*E215+2, 1)</f>
        <v/>
      </c>
      <c r="AH231" s="23">
        <f>SUMPRODUCT(P231:AA231, AG224:AG235)</f>
        <v/>
      </c>
      <c r="AI231" s="24">
        <f>SUMPRODUCT(D231:O231, AH224:AH235)-B243</f>
        <v/>
      </c>
    </row>
    <row r="232">
      <c r="D232" s="21" t="n">
        <v>0</v>
      </c>
      <c r="E232" s="21" t="n">
        <v>0</v>
      </c>
      <c r="F232" s="21">
        <f>L226</f>
        <v/>
      </c>
      <c r="G232" s="21" t="n">
        <v>0</v>
      </c>
      <c r="H232" s="21">
        <f>L228</f>
        <v/>
      </c>
      <c r="I232" s="21" t="n">
        <v>0</v>
      </c>
      <c r="J232" s="21" t="n">
        <v>0</v>
      </c>
      <c r="K232" s="21" t="n">
        <v>0</v>
      </c>
      <c r="L232" s="21">
        <f>F226</f>
        <v/>
      </c>
      <c r="M232" s="21" t="n">
        <v>0</v>
      </c>
      <c r="N232" s="21">
        <f>-H226</f>
        <v/>
      </c>
      <c r="O232" s="21" t="n">
        <v>0</v>
      </c>
      <c r="P232" s="22" t="n">
        <v>0</v>
      </c>
      <c r="Q232" s="22" t="n">
        <v>0</v>
      </c>
      <c r="R232" s="22" t="n">
        <v>0</v>
      </c>
      <c r="S232" s="22" t="n">
        <v>0</v>
      </c>
      <c r="T232" s="22" t="n">
        <v>0</v>
      </c>
      <c r="U232" s="22" t="n">
        <v>0</v>
      </c>
      <c r="V232" s="22">
        <f>L222</f>
        <v/>
      </c>
      <c r="W232" s="22">
        <f>M222</f>
        <v/>
      </c>
      <c r="X232" s="22">
        <f>N222</f>
        <v/>
      </c>
      <c r="Y232" s="22" t="n">
        <v>0</v>
      </c>
      <c r="Z232" s="22" t="n">
        <v>0</v>
      </c>
      <c r="AA232" s="22" t="n">
        <v>0</v>
      </c>
      <c r="AG232" s="23">
        <f>INDEX(Global_Solver!$BC$5:$BC$52, 6*E215+3, 1)</f>
        <v/>
      </c>
      <c r="AH232" s="23">
        <f>SUMPRODUCT(P232:AA232, AG224:AG235)</f>
        <v/>
      </c>
      <c r="AI232" s="24">
        <f>SUMPRODUCT(D232:O232, AH224:AH235)-B244</f>
        <v/>
      </c>
    </row>
    <row r="233">
      <c r="D233" s="21" t="n">
        <v>0</v>
      </c>
      <c r="E233" s="21" t="n">
        <v>0</v>
      </c>
      <c r="F233" s="21" t="n">
        <v>0</v>
      </c>
      <c r="G233" s="21">
        <f>M227</f>
        <v/>
      </c>
      <c r="H233" s="21" t="n">
        <v>0</v>
      </c>
      <c r="I233" s="21" t="n">
        <v>0</v>
      </c>
      <c r="J233" s="21" t="n">
        <v>0</v>
      </c>
      <c r="K233" s="21" t="n">
        <v>0</v>
      </c>
      <c r="L233" s="21" t="n">
        <v>0</v>
      </c>
      <c r="M233" s="21">
        <f>-M227</f>
        <v/>
      </c>
      <c r="N233" s="21" t="n">
        <v>0</v>
      </c>
      <c r="O233" s="21" t="n">
        <v>0</v>
      </c>
      <c r="P233" s="22" t="n">
        <v>0</v>
      </c>
      <c r="Q233" s="22" t="n">
        <v>0</v>
      </c>
      <c r="R233" s="22" t="n">
        <v>0</v>
      </c>
      <c r="S233" s="22" t="n">
        <v>0</v>
      </c>
      <c r="T233" s="22" t="n">
        <v>0</v>
      </c>
      <c r="U233" s="22" t="n">
        <v>0</v>
      </c>
      <c r="V233" s="22" t="n">
        <v>0</v>
      </c>
      <c r="W233" s="22" t="n">
        <v>0</v>
      </c>
      <c r="X233" s="22" t="n">
        <v>0</v>
      </c>
      <c r="Y233" s="22">
        <f>L220</f>
        <v/>
      </c>
      <c r="Z233" s="22">
        <f>M220</f>
        <v/>
      </c>
      <c r="AA233" s="22">
        <f>N220</f>
        <v/>
      </c>
      <c r="AG233" s="23">
        <f>INDEX(Global_Solver!$BC$5:$BC$52, 6*E215+4, 1)</f>
        <v/>
      </c>
      <c r="AH233" s="23">
        <f>SUMPRODUCT(P233:AA233, AG224:AG235)</f>
        <v/>
      </c>
      <c r="AI233" s="24">
        <f>SUMPRODUCT(D233:O233, AH224:AH235)-B245</f>
        <v/>
      </c>
    </row>
    <row r="234">
      <c r="D234" s="21" t="n">
        <v>0</v>
      </c>
      <c r="E234" s="21" t="n">
        <v>0</v>
      </c>
      <c r="F234" s="21">
        <f>N226</f>
        <v/>
      </c>
      <c r="G234" s="21" t="n">
        <v>0</v>
      </c>
      <c r="H234" s="21">
        <f>N228</f>
        <v/>
      </c>
      <c r="I234" s="21" t="n">
        <v>0</v>
      </c>
      <c r="J234" s="21" t="n">
        <v>0</v>
      </c>
      <c r="K234" s="21" t="n">
        <v>0</v>
      </c>
      <c r="L234" s="21">
        <f>L232</f>
        <v/>
      </c>
      <c r="M234" s="21" t="n">
        <v>0</v>
      </c>
      <c r="N234" s="21">
        <f>H228</f>
        <v/>
      </c>
      <c r="O234" s="21" t="n">
        <v>0</v>
      </c>
      <c r="P234" s="22" t="n">
        <v>0</v>
      </c>
      <c r="Q234" s="22" t="n">
        <v>0</v>
      </c>
      <c r="R234" s="22" t="n">
        <v>0</v>
      </c>
      <c r="S234" s="22" t="n">
        <v>0</v>
      </c>
      <c r="T234" s="22" t="n">
        <v>0</v>
      </c>
      <c r="U234" s="22" t="n">
        <v>0</v>
      </c>
      <c r="V234" s="22" t="n">
        <v>0</v>
      </c>
      <c r="W234" s="22" t="n">
        <v>0</v>
      </c>
      <c r="X234" s="22" t="n">
        <v>0</v>
      </c>
      <c r="Y234" s="22">
        <f>L221</f>
        <v/>
      </c>
      <c r="Z234" s="22">
        <f>M221</f>
        <v/>
      </c>
      <c r="AA234" s="22">
        <f>N221</f>
        <v/>
      </c>
      <c r="AG234" s="23">
        <f>INDEX(Global_Solver!$BC$5:$BC$52, 6*E215+5, 1)</f>
        <v/>
      </c>
      <c r="AH234" s="23">
        <f>SUMPRODUCT(P234:AA234, AG224:AG235)</f>
        <v/>
      </c>
      <c r="AI234" s="24">
        <f>SUMPRODUCT(D234:O234, AH224:AH235)-B246</f>
        <v/>
      </c>
    </row>
    <row r="235">
      <c r="D235" s="21" t="n">
        <v>0</v>
      </c>
      <c r="E235" s="21">
        <f>O225</f>
        <v/>
      </c>
      <c r="F235" s="21" t="n">
        <v>0</v>
      </c>
      <c r="G235" s="21" t="n">
        <v>0</v>
      </c>
      <c r="H235" s="21" t="n">
        <v>0</v>
      </c>
      <c r="I235" s="21">
        <f>O229</f>
        <v/>
      </c>
      <c r="J235" s="21" t="n">
        <v>0</v>
      </c>
      <c r="K235" s="21">
        <f>K231</f>
        <v/>
      </c>
      <c r="L235" s="21" t="n">
        <v>0</v>
      </c>
      <c r="M235" s="21" t="n">
        <v>0</v>
      </c>
      <c r="N235" s="21" t="n">
        <v>0</v>
      </c>
      <c r="O235" s="21">
        <f>I229</f>
        <v/>
      </c>
      <c r="P235" s="22" t="n">
        <v>0</v>
      </c>
      <c r="Q235" s="22" t="n">
        <v>0</v>
      </c>
      <c r="R235" s="22" t="n">
        <v>0</v>
      </c>
      <c r="S235" s="22" t="n">
        <v>0</v>
      </c>
      <c r="T235" s="22" t="n">
        <v>0</v>
      </c>
      <c r="U235" s="22" t="n">
        <v>0</v>
      </c>
      <c r="V235" s="22" t="n">
        <v>0</v>
      </c>
      <c r="W235" s="22" t="n">
        <v>0</v>
      </c>
      <c r="X235" s="22" t="n">
        <v>0</v>
      </c>
      <c r="Y235" s="22">
        <f>L222</f>
        <v/>
      </c>
      <c r="Z235" s="22">
        <f>M222</f>
        <v/>
      </c>
      <c r="AA235" s="22">
        <f>N222</f>
        <v/>
      </c>
      <c r="AG235" s="23">
        <f>INDEX(Global_Solver!$BC$5:$BC$52, 6*E215+6, 1)</f>
        <v/>
      </c>
      <c r="AH235" s="23">
        <f>SUMPRODUCT(P235:AA235, AG224:AG235)</f>
        <v/>
      </c>
      <c r="AI235" s="24">
        <f>SUMPRODUCT(D235:O235, AH224:AH235)-B247</f>
        <v/>
      </c>
    </row>
    <row r="236">
      <c r="B236" s="24">
        <f>IF(C216,-C220*F222*E220*Inputs!$K$11,0)</f>
        <v/>
      </c>
      <c r="C236" s="24">
        <f>SUMPRODUCT(P224:AA224, B236:B247)</f>
        <v/>
      </c>
      <c r="D236" s="25">
        <f>SUMPRODUCT(D224:O224, P224:P235)</f>
        <v/>
      </c>
      <c r="E236" s="25">
        <f>SUMPRODUCT(D224:O224, Q224:Q235)</f>
        <v/>
      </c>
      <c r="F236" s="25">
        <f>SUMPRODUCT(D224:O224, R224:R235)</f>
        <v/>
      </c>
      <c r="G236" s="25">
        <f>SUMPRODUCT(D224:O224, S224:S235)</f>
        <v/>
      </c>
      <c r="H236" s="25">
        <f>SUMPRODUCT(D224:O224, T224:T235)</f>
        <v/>
      </c>
      <c r="I236" s="25">
        <f>SUMPRODUCT(D224:O224, U224:U235)</f>
        <v/>
      </c>
      <c r="J236" s="25">
        <f>SUMPRODUCT(D224:O224, V224:V235)</f>
        <v/>
      </c>
      <c r="K236" s="25">
        <f>SUMPRODUCT(D224:O224, W224:W235)</f>
        <v/>
      </c>
      <c r="L236" s="25">
        <f>SUMPRODUCT(D224:O224, X224:X235)</f>
        <v/>
      </c>
      <c r="M236" s="25">
        <f>SUMPRODUCT(D224:O224, Y224:Y235)</f>
        <v/>
      </c>
      <c r="N236" s="25">
        <f>SUMPRODUCT(D224:O224, Z224:Z235)</f>
        <v/>
      </c>
      <c r="O236" s="25">
        <f>SUMPRODUCT(D224:O224, AA224:AA235)</f>
        <v/>
      </c>
      <c r="P236" s="25">
        <f>SUMPRODUCT(P224:AA224, D236:D247)</f>
        <v/>
      </c>
      <c r="Q236" s="25">
        <f>SUMPRODUCT(P224:AA224, E236:E247)</f>
        <v/>
      </c>
      <c r="R236" s="25">
        <f>SUMPRODUCT(P224:AA224, F236:F247)</f>
        <v/>
      </c>
      <c r="S236" s="25">
        <f>SUMPRODUCT(P224:AA224, G236:G247)</f>
        <v/>
      </c>
      <c r="T236" s="25">
        <f>SUMPRODUCT(P224:AA224, H236:H247)</f>
        <v/>
      </c>
      <c r="U236" s="25">
        <f>SUMPRODUCT(P224:AA224, I236:I247)</f>
        <v/>
      </c>
      <c r="V236" s="25">
        <f>SUMPRODUCT(P224:AA224, J236:J247)</f>
        <v/>
      </c>
      <c r="W236" s="25">
        <f>SUMPRODUCT(P224:AA224, K236:K247)</f>
        <v/>
      </c>
      <c r="X236" s="25">
        <f>SUMPRODUCT(P224:AA224, L236:L247)</f>
        <v/>
      </c>
      <c r="Y236" s="25">
        <f>SUMPRODUCT(P224:AA224, M236:M247)</f>
        <v/>
      </c>
      <c r="Z236" s="25">
        <f>SUMPRODUCT(P224:AA224, N236:N247)</f>
        <v/>
      </c>
      <c r="AA236" s="25">
        <f>SUMPRODUCT(P224:AA224, O236:O247)</f>
        <v/>
      </c>
    </row>
    <row r="237">
      <c r="B237" s="24" t="n">
        <v>0</v>
      </c>
      <c r="C237" s="24">
        <f>SUMPRODUCT(P225:AA225, B236:B247)</f>
        <v/>
      </c>
      <c r="D237" s="25">
        <f>SUMPRODUCT(D225:O225, P224:P235)</f>
        <v/>
      </c>
      <c r="E237" s="25">
        <f>SUMPRODUCT(D225:O225, Q224:Q235)</f>
        <v/>
      </c>
      <c r="F237" s="25">
        <f>SUMPRODUCT(D225:O225, R224:R235)</f>
        <v/>
      </c>
      <c r="G237" s="25">
        <f>SUMPRODUCT(D225:O225, S224:S235)</f>
        <v/>
      </c>
      <c r="H237" s="25">
        <f>SUMPRODUCT(D225:O225, T224:T235)</f>
        <v/>
      </c>
      <c r="I237" s="25">
        <f>SUMPRODUCT(D225:O225, U224:U235)</f>
        <v/>
      </c>
      <c r="J237" s="25">
        <f>SUMPRODUCT(D225:O225, V224:V235)</f>
        <v/>
      </c>
      <c r="K237" s="25">
        <f>SUMPRODUCT(D225:O225, W224:W235)</f>
        <v/>
      </c>
      <c r="L237" s="25">
        <f>SUMPRODUCT(D225:O225, X224:X235)</f>
        <v/>
      </c>
      <c r="M237" s="25">
        <f>SUMPRODUCT(D225:O225, Y224:Y235)</f>
        <v/>
      </c>
      <c r="N237" s="25">
        <f>SUMPRODUCT(D225:O225, Z224:Z235)</f>
        <v/>
      </c>
      <c r="O237" s="25">
        <f>SUMPRODUCT(D225:O225, AA224:AA235)</f>
        <v/>
      </c>
      <c r="P237" s="25">
        <f>SUMPRODUCT(P225:AA225, D236:D247)</f>
        <v/>
      </c>
      <c r="Q237" s="25">
        <f>SUMPRODUCT(P225:AA225, E236:E247)</f>
        <v/>
      </c>
      <c r="R237" s="25">
        <f>SUMPRODUCT(P225:AA225, F236:F247)</f>
        <v/>
      </c>
      <c r="S237" s="25">
        <f>SUMPRODUCT(P225:AA225, G236:G247)</f>
        <v/>
      </c>
      <c r="T237" s="25">
        <f>SUMPRODUCT(P225:AA225, H236:H247)</f>
        <v/>
      </c>
      <c r="U237" s="25">
        <f>SUMPRODUCT(P225:AA225, I236:I247)</f>
        <v/>
      </c>
      <c r="V237" s="25">
        <f>SUMPRODUCT(P225:AA225, J236:J247)</f>
        <v/>
      </c>
      <c r="W237" s="25">
        <f>SUMPRODUCT(P225:AA225, K236:K247)</f>
        <v/>
      </c>
      <c r="X237" s="25">
        <f>SUMPRODUCT(P225:AA225, L236:L247)</f>
        <v/>
      </c>
      <c r="Y237" s="25">
        <f>SUMPRODUCT(P225:AA225, M236:M247)</f>
        <v/>
      </c>
      <c r="Z237" s="25">
        <f>SUMPRODUCT(P225:AA225, N236:N247)</f>
        <v/>
      </c>
      <c r="AA237" s="25">
        <f>SUMPRODUCT(P225:AA225, O236:O247)</f>
        <v/>
      </c>
    </row>
    <row r="238">
      <c r="B238" s="24" t="n">
        <v>0</v>
      </c>
      <c r="C238" s="24">
        <f>SUMPRODUCT(P226:AA226, B236:B247)</f>
        <v/>
      </c>
      <c r="D238" s="25">
        <f>SUMPRODUCT(D226:O226, P224:P235)</f>
        <v/>
      </c>
      <c r="E238" s="25">
        <f>SUMPRODUCT(D226:O226, Q224:Q235)</f>
        <v/>
      </c>
      <c r="F238" s="25">
        <f>SUMPRODUCT(D226:O226, R224:R235)</f>
        <v/>
      </c>
      <c r="G238" s="25">
        <f>SUMPRODUCT(D226:O226, S224:S235)</f>
        <v/>
      </c>
      <c r="H238" s="25">
        <f>SUMPRODUCT(D226:O226, T224:T235)</f>
        <v/>
      </c>
      <c r="I238" s="25">
        <f>SUMPRODUCT(D226:O226, U224:U235)</f>
        <v/>
      </c>
      <c r="J238" s="25">
        <f>SUMPRODUCT(D226:O226, V224:V235)</f>
        <v/>
      </c>
      <c r="K238" s="25">
        <f>SUMPRODUCT(D226:O226, W224:W235)</f>
        <v/>
      </c>
      <c r="L238" s="25">
        <f>SUMPRODUCT(D226:O226, X224:X235)</f>
        <v/>
      </c>
      <c r="M238" s="25">
        <f>SUMPRODUCT(D226:O226, Y224:Y235)</f>
        <v/>
      </c>
      <c r="N238" s="25">
        <f>SUMPRODUCT(D226:O226, Z224:Z235)</f>
        <v/>
      </c>
      <c r="O238" s="25">
        <f>SUMPRODUCT(D226:O226, AA224:AA235)</f>
        <v/>
      </c>
      <c r="P238" s="25">
        <f>SUMPRODUCT(P226:AA226, D236:D247)</f>
        <v/>
      </c>
      <c r="Q238" s="25">
        <f>SUMPRODUCT(P226:AA226, E236:E247)</f>
        <v/>
      </c>
      <c r="R238" s="25">
        <f>SUMPRODUCT(P226:AA226, F236:F247)</f>
        <v/>
      </c>
      <c r="S238" s="25">
        <f>SUMPRODUCT(P226:AA226, G236:G247)</f>
        <v/>
      </c>
      <c r="T238" s="25">
        <f>SUMPRODUCT(P226:AA226, H236:H247)</f>
        <v/>
      </c>
      <c r="U238" s="25">
        <f>SUMPRODUCT(P226:AA226, I236:I247)</f>
        <v/>
      </c>
      <c r="V238" s="25">
        <f>SUMPRODUCT(P226:AA226, J236:J247)</f>
        <v/>
      </c>
      <c r="W238" s="25">
        <f>SUMPRODUCT(P226:AA226, K236:K247)</f>
        <v/>
      </c>
      <c r="X238" s="25">
        <f>SUMPRODUCT(P226:AA226, L236:L247)</f>
        <v/>
      </c>
      <c r="Y238" s="25">
        <f>SUMPRODUCT(P226:AA226, M236:M247)</f>
        <v/>
      </c>
      <c r="Z238" s="25">
        <f>SUMPRODUCT(P226:AA226, N236:N247)</f>
        <v/>
      </c>
      <c r="AA238" s="25">
        <f>SUMPRODUCT(P226:AA226, O236:O247)</f>
        <v/>
      </c>
    </row>
    <row r="239">
      <c r="B239" s="24" t="n">
        <v>0</v>
      </c>
      <c r="C239" s="24">
        <f>SUMPRODUCT(P227:AA227, B236:B247)</f>
        <v/>
      </c>
      <c r="D239" s="25">
        <f>SUMPRODUCT(D227:O227, P224:P235)</f>
        <v/>
      </c>
      <c r="E239" s="25">
        <f>SUMPRODUCT(D227:O227, Q224:Q235)</f>
        <v/>
      </c>
      <c r="F239" s="25">
        <f>SUMPRODUCT(D227:O227, R224:R235)</f>
        <v/>
      </c>
      <c r="G239" s="25">
        <f>SUMPRODUCT(D227:O227, S224:S235)</f>
        <v/>
      </c>
      <c r="H239" s="25">
        <f>SUMPRODUCT(D227:O227, T224:T235)</f>
        <v/>
      </c>
      <c r="I239" s="25">
        <f>SUMPRODUCT(D227:O227, U224:U235)</f>
        <v/>
      </c>
      <c r="J239" s="25">
        <f>SUMPRODUCT(D227:O227, V224:V235)</f>
        <v/>
      </c>
      <c r="K239" s="25">
        <f>SUMPRODUCT(D227:O227, W224:W235)</f>
        <v/>
      </c>
      <c r="L239" s="25">
        <f>SUMPRODUCT(D227:O227, X224:X235)</f>
        <v/>
      </c>
      <c r="M239" s="25">
        <f>SUMPRODUCT(D227:O227, Y224:Y235)</f>
        <v/>
      </c>
      <c r="N239" s="25">
        <f>SUMPRODUCT(D227:O227, Z224:Z235)</f>
        <v/>
      </c>
      <c r="O239" s="25">
        <f>SUMPRODUCT(D227:O227, AA224:AA235)</f>
        <v/>
      </c>
      <c r="P239" s="25">
        <f>SUMPRODUCT(P227:AA227, D236:D247)</f>
        <v/>
      </c>
      <c r="Q239" s="25">
        <f>SUMPRODUCT(P227:AA227, E236:E247)</f>
        <v/>
      </c>
      <c r="R239" s="25">
        <f>SUMPRODUCT(P227:AA227, F236:F247)</f>
        <v/>
      </c>
      <c r="S239" s="25">
        <f>SUMPRODUCT(P227:AA227, G236:G247)</f>
        <v/>
      </c>
      <c r="T239" s="25">
        <f>SUMPRODUCT(P227:AA227, H236:H247)</f>
        <v/>
      </c>
      <c r="U239" s="25">
        <f>SUMPRODUCT(P227:AA227, I236:I247)</f>
        <v/>
      </c>
      <c r="V239" s="25">
        <f>SUMPRODUCT(P227:AA227, J236:J247)</f>
        <v/>
      </c>
      <c r="W239" s="25">
        <f>SUMPRODUCT(P227:AA227, K236:K247)</f>
        <v/>
      </c>
      <c r="X239" s="25">
        <f>SUMPRODUCT(P227:AA227, L236:L247)</f>
        <v/>
      </c>
      <c r="Y239" s="25">
        <f>SUMPRODUCT(P227:AA227, M236:M247)</f>
        <v/>
      </c>
      <c r="Z239" s="25">
        <f>SUMPRODUCT(P227:AA227, N236:N247)</f>
        <v/>
      </c>
      <c r="AA239" s="25">
        <f>SUMPRODUCT(P227:AA227, O236:O247)</f>
        <v/>
      </c>
    </row>
    <row r="240">
      <c r="B240" s="24" t="n">
        <v>0</v>
      </c>
      <c r="C240" s="24">
        <f>SUMPRODUCT(P228:AA228, B236:B247)</f>
        <v/>
      </c>
      <c r="D240" s="25">
        <f>SUMPRODUCT(D228:O228, P224:P235)</f>
        <v/>
      </c>
      <c r="E240" s="25">
        <f>SUMPRODUCT(D228:O228, Q224:Q235)</f>
        <v/>
      </c>
      <c r="F240" s="25">
        <f>SUMPRODUCT(D228:O228, R224:R235)</f>
        <v/>
      </c>
      <c r="G240" s="25">
        <f>SUMPRODUCT(D228:O228, S224:S235)</f>
        <v/>
      </c>
      <c r="H240" s="25">
        <f>SUMPRODUCT(D228:O228, T224:T235)</f>
        <v/>
      </c>
      <c r="I240" s="25">
        <f>SUMPRODUCT(D228:O228, U224:U235)</f>
        <v/>
      </c>
      <c r="J240" s="25">
        <f>SUMPRODUCT(D228:O228, V224:V235)</f>
        <v/>
      </c>
      <c r="K240" s="25">
        <f>SUMPRODUCT(D228:O228, W224:W235)</f>
        <v/>
      </c>
      <c r="L240" s="25">
        <f>SUMPRODUCT(D228:O228, X224:X235)</f>
        <v/>
      </c>
      <c r="M240" s="25">
        <f>SUMPRODUCT(D228:O228, Y224:Y235)</f>
        <v/>
      </c>
      <c r="N240" s="25">
        <f>SUMPRODUCT(D228:O228, Z224:Z235)</f>
        <v/>
      </c>
      <c r="O240" s="25">
        <f>SUMPRODUCT(D228:O228, AA224:AA235)</f>
        <v/>
      </c>
      <c r="P240" s="25">
        <f>SUMPRODUCT(P228:AA228, D236:D247)</f>
        <v/>
      </c>
      <c r="Q240" s="25">
        <f>SUMPRODUCT(P228:AA228, E236:E247)</f>
        <v/>
      </c>
      <c r="R240" s="25">
        <f>SUMPRODUCT(P228:AA228, F236:F247)</f>
        <v/>
      </c>
      <c r="S240" s="25">
        <f>SUMPRODUCT(P228:AA228, G236:G247)</f>
        <v/>
      </c>
      <c r="T240" s="25">
        <f>SUMPRODUCT(P228:AA228, H236:H247)</f>
        <v/>
      </c>
      <c r="U240" s="25">
        <f>SUMPRODUCT(P228:AA228, I236:I247)</f>
        <v/>
      </c>
      <c r="V240" s="25">
        <f>SUMPRODUCT(P228:AA228, J236:J247)</f>
        <v/>
      </c>
      <c r="W240" s="25">
        <f>SUMPRODUCT(P228:AA228, K236:K247)</f>
        <v/>
      </c>
      <c r="X240" s="25">
        <f>SUMPRODUCT(P228:AA228, L236:L247)</f>
        <v/>
      </c>
      <c r="Y240" s="25">
        <f>SUMPRODUCT(P228:AA228, M236:M247)</f>
        <v/>
      </c>
      <c r="Z240" s="25">
        <f>SUMPRODUCT(P228:AA228, N236:N247)</f>
        <v/>
      </c>
      <c r="AA240" s="25">
        <f>SUMPRODUCT(P228:AA228, O236:O247)</f>
        <v/>
      </c>
    </row>
    <row r="241">
      <c r="B241" s="24" t="n">
        <v>0</v>
      </c>
      <c r="C241" s="24">
        <f>SUMPRODUCT(P229:AA229, B236:B247)</f>
        <v/>
      </c>
      <c r="D241" s="25">
        <f>SUMPRODUCT(D229:O229, P224:P235)</f>
        <v/>
      </c>
      <c r="E241" s="25">
        <f>SUMPRODUCT(D229:O229, Q224:Q235)</f>
        <v/>
      </c>
      <c r="F241" s="25">
        <f>SUMPRODUCT(D229:O229, R224:R235)</f>
        <v/>
      </c>
      <c r="G241" s="25">
        <f>SUMPRODUCT(D229:O229, S224:S235)</f>
        <v/>
      </c>
      <c r="H241" s="25">
        <f>SUMPRODUCT(D229:O229, T224:T235)</f>
        <v/>
      </c>
      <c r="I241" s="25">
        <f>SUMPRODUCT(D229:O229, U224:U235)</f>
        <v/>
      </c>
      <c r="J241" s="25">
        <f>SUMPRODUCT(D229:O229, V224:V235)</f>
        <v/>
      </c>
      <c r="K241" s="25">
        <f>SUMPRODUCT(D229:O229, W224:W235)</f>
        <v/>
      </c>
      <c r="L241" s="25">
        <f>SUMPRODUCT(D229:O229, X224:X235)</f>
        <v/>
      </c>
      <c r="M241" s="25">
        <f>SUMPRODUCT(D229:O229, Y224:Y235)</f>
        <v/>
      </c>
      <c r="N241" s="25">
        <f>SUMPRODUCT(D229:O229, Z224:Z235)</f>
        <v/>
      </c>
      <c r="O241" s="25">
        <f>SUMPRODUCT(D229:O229, AA224:AA235)</f>
        <v/>
      </c>
      <c r="P241" s="25">
        <f>SUMPRODUCT(P229:AA229, D236:D247)</f>
        <v/>
      </c>
      <c r="Q241" s="25">
        <f>SUMPRODUCT(P229:AA229, E236:E247)</f>
        <v/>
      </c>
      <c r="R241" s="25">
        <f>SUMPRODUCT(P229:AA229, F236:F247)</f>
        <v/>
      </c>
      <c r="S241" s="25">
        <f>SUMPRODUCT(P229:AA229, G236:G247)</f>
        <v/>
      </c>
      <c r="T241" s="25">
        <f>SUMPRODUCT(P229:AA229, H236:H247)</f>
        <v/>
      </c>
      <c r="U241" s="25">
        <f>SUMPRODUCT(P229:AA229, I236:I247)</f>
        <v/>
      </c>
      <c r="V241" s="25">
        <f>SUMPRODUCT(P229:AA229, J236:J247)</f>
        <v/>
      </c>
      <c r="W241" s="25">
        <f>SUMPRODUCT(P229:AA229, K236:K247)</f>
        <v/>
      </c>
      <c r="X241" s="25">
        <f>SUMPRODUCT(P229:AA229, L236:L247)</f>
        <v/>
      </c>
      <c r="Y241" s="25">
        <f>SUMPRODUCT(P229:AA229, M236:M247)</f>
        <v/>
      </c>
      <c r="Z241" s="25">
        <f>SUMPRODUCT(P229:AA229, N236:N247)</f>
        <v/>
      </c>
      <c r="AA241" s="25">
        <f>SUMPRODUCT(P229:AA229, O236:O247)</f>
        <v/>
      </c>
    </row>
    <row r="242">
      <c r="B242" s="24">
        <f>IF(C216,C220*F222*E220*Inputs!$K$11,0)</f>
        <v/>
      </c>
      <c r="C242" s="24">
        <f>SUMPRODUCT(P230:AA230, B236:B247)</f>
        <v/>
      </c>
      <c r="D242" s="25">
        <f>SUMPRODUCT(D230:O230, P224:P235)</f>
        <v/>
      </c>
      <c r="E242" s="25">
        <f>SUMPRODUCT(D230:O230, Q224:Q235)</f>
        <v/>
      </c>
      <c r="F242" s="25">
        <f>SUMPRODUCT(D230:O230, R224:R235)</f>
        <v/>
      </c>
      <c r="G242" s="25">
        <f>SUMPRODUCT(D230:O230, S224:S235)</f>
        <v/>
      </c>
      <c r="H242" s="25">
        <f>SUMPRODUCT(D230:O230, T224:T235)</f>
        <v/>
      </c>
      <c r="I242" s="25">
        <f>SUMPRODUCT(D230:O230, U224:U235)</f>
        <v/>
      </c>
      <c r="J242" s="25">
        <f>SUMPRODUCT(D230:O230, V224:V235)</f>
        <v/>
      </c>
      <c r="K242" s="25">
        <f>SUMPRODUCT(D230:O230, W224:W235)</f>
        <v/>
      </c>
      <c r="L242" s="25">
        <f>SUMPRODUCT(D230:O230, X224:X235)</f>
        <v/>
      </c>
      <c r="M242" s="25">
        <f>SUMPRODUCT(D230:O230, Y224:Y235)</f>
        <v/>
      </c>
      <c r="N242" s="25">
        <f>SUMPRODUCT(D230:O230, Z224:Z235)</f>
        <v/>
      </c>
      <c r="O242" s="25">
        <f>SUMPRODUCT(D230:O230, AA224:AA235)</f>
        <v/>
      </c>
      <c r="P242" s="25">
        <f>SUMPRODUCT(P230:AA230, D236:D247)</f>
        <v/>
      </c>
      <c r="Q242" s="25">
        <f>SUMPRODUCT(P230:AA230, E236:E247)</f>
        <v/>
      </c>
      <c r="R242" s="25">
        <f>SUMPRODUCT(P230:AA230, F236:F247)</f>
        <v/>
      </c>
      <c r="S242" s="25">
        <f>SUMPRODUCT(P230:AA230, G236:G247)</f>
        <v/>
      </c>
      <c r="T242" s="25">
        <f>SUMPRODUCT(P230:AA230, H236:H247)</f>
        <v/>
      </c>
      <c r="U242" s="25">
        <f>SUMPRODUCT(P230:AA230, I236:I247)</f>
        <v/>
      </c>
      <c r="V242" s="25">
        <f>SUMPRODUCT(P230:AA230, J236:J247)</f>
        <v/>
      </c>
      <c r="W242" s="25">
        <f>SUMPRODUCT(P230:AA230, K236:K247)</f>
        <v/>
      </c>
      <c r="X242" s="25">
        <f>SUMPRODUCT(P230:AA230, L236:L247)</f>
        <v/>
      </c>
      <c r="Y242" s="25">
        <f>SUMPRODUCT(P230:AA230, M236:M247)</f>
        <v/>
      </c>
      <c r="Z242" s="25">
        <f>SUMPRODUCT(P230:AA230, N236:N247)</f>
        <v/>
      </c>
      <c r="AA242" s="25">
        <f>SUMPRODUCT(P230:AA230, O236:O247)</f>
        <v/>
      </c>
    </row>
    <row r="243">
      <c r="B243" s="24" t="n">
        <v>0</v>
      </c>
      <c r="C243" s="24">
        <f>SUMPRODUCT(P231:AA231, B236:B247)</f>
        <v/>
      </c>
      <c r="D243" s="25">
        <f>SUMPRODUCT(D231:O231, P224:P235)</f>
        <v/>
      </c>
      <c r="E243" s="25">
        <f>SUMPRODUCT(D231:O231, Q224:Q235)</f>
        <v/>
      </c>
      <c r="F243" s="25">
        <f>SUMPRODUCT(D231:O231, R224:R235)</f>
        <v/>
      </c>
      <c r="G243" s="25">
        <f>SUMPRODUCT(D231:O231, S224:S235)</f>
        <v/>
      </c>
      <c r="H243" s="25">
        <f>SUMPRODUCT(D231:O231, T224:T235)</f>
        <v/>
      </c>
      <c r="I243" s="25">
        <f>SUMPRODUCT(D231:O231, U224:U235)</f>
        <v/>
      </c>
      <c r="J243" s="25">
        <f>SUMPRODUCT(D231:O231, V224:V235)</f>
        <v/>
      </c>
      <c r="K243" s="25">
        <f>SUMPRODUCT(D231:O231, W224:W235)</f>
        <v/>
      </c>
      <c r="L243" s="25">
        <f>SUMPRODUCT(D231:O231, X224:X235)</f>
        <v/>
      </c>
      <c r="M243" s="25">
        <f>SUMPRODUCT(D231:O231, Y224:Y235)</f>
        <v/>
      </c>
      <c r="N243" s="25">
        <f>SUMPRODUCT(D231:O231, Z224:Z235)</f>
        <v/>
      </c>
      <c r="O243" s="25">
        <f>SUMPRODUCT(D231:O231, AA224:AA235)</f>
        <v/>
      </c>
      <c r="P243" s="25">
        <f>SUMPRODUCT(P231:AA231, D236:D247)</f>
        <v/>
      </c>
      <c r="Q243" s="25">
        <f>SUMPRODUCT(P231:AA231, E236:E247)</f>
        <v/>
      </c>
      <c r="R243" s="25">
        <f>SUMPRODUCT(P231:AA231, F236:F247)</f>
        <v/>
      </c>
      <c r="S243" s="25">
        <f>SUMPRODUCT(P231:AA231, G236:G247)</f>
        <v/>
      </c>
      <c r="T243" s="25">
        <f>SUMPRODUCT(P231:AA231, H236:H247)</f>
        <v/>
      </c>
      <c r="U243" s="25">
        <f>SUMPRODUCT(P231:AA231, I236:I247)</f>
        <v/>
      </c>
      <c r="V243" s="25">
        <f>SUMPRODUCT(P231:AA231, J236:J247)</f>
        <v/>
      </c>
      <c r="W243" s="25">
        <f>SUMPRODUCT(P231:AA231, K236:K247)</f>
        <v/>
      </c>
      <c r="X243" s="25">
        <f>SUMPRODUCT(P231:AA231, L236:L247)</f>
        <v/>
      </c>
      <c r="Y243" s="25">
        <f>SUMPRODUCT(P231:AA231, M236:M247)</f>
        <v/>
      </c>
      <c r="Z243" s="25">
        <f>SUMPRODUCT(P231:AA231, N236:N247)</f>
        <v/>
      </c>
      <c r="AA243" s="25">
        <f>SUMPRODUCT(P231:AA231, O236:O247)</f>
        <v/>
      </c>
    </row>
    <row r="244">
      <c r="B244" s="24" t="n">
        <v>0</v>
      </c>
      <c r="C244" s="24">
        <f>SUMPRODUCT(P232:AA232, B236:B247)</f>
        <v/>
      </c>
      <c r="D244" s="25">
        <f>SUMPRODUCT(D232:O232, P224:P235)</f>
        <v/>
      </c>
      <c r="E244" s="25">
        <f>SUMPRODUCT(D232:O232, Q224:Q235)</f>
        <v/>
      </c>
      <c r="F244" s="25">
        <f>SUMPRODUCT(D232:O232, R224:R235)</f>
        <v/>
      </c>
      <c r="G244" s="25">
        <f>SUMPRODUCT(D232:O232, S224:S235)</f>
        <v/>
      </c>
      <c r="H244" s="25">
        <f>SUMPRODUCT(D232:O232, T224:T235)</f>
        <v/>
      </c>
      <c r="I244" s="25">
        <f>SUMPRODUCT(D232:O232, U224:U235)</f>
        <v/>
      </c>
      <c r="J244" s="25">
        <f>SUMPRODUCT(D232:O232, V224:V235)</f>
        <v/>
      </c>
      <c r="K244" s="25">
        <f>SUMPRODUCT(D232:O232, W224:W235)</f>
        <v/>
      </c>
      <c r="L244" s="25">
        <f>SUMPRODUCT(D232:O232, X224:X235)</f>
        <v/>
      </c>
      <c r="M244" s="25">
        <f>SUMPRODUCT(D232:O232, Y224:Y235)</f>
        <v/>
      </c>
      <c r="N244" s="25">
        <f>SUMPRODUCT(D232:O232, Z224:Z235)</f>
        <v/>
      </c>
      <c r="O244" s="25">
        <f>SUMPRODUCT(D232:O232, AA224:AA235)</f>
        <v/>
      </c>
      <c r="P244" s="25">
        <f>SUMPRODUCT(P232:AA232, D236:D247)</f>
        <v/>
      </c>
      <c r="Q244" s="25">
        <f>SUMPRODUCT(P232:AA232, E236:E247)</f>
        <v/>
      </c>
      <c r="R244" s="25">
        <f>SUMPRODUCT(P232:AA232, F236:F247)</f>
        <v/>
      </c>
      <c r="S244" s="25">
        <f>SUMPRODUCT(P232:AA232, G236:G247)</f>
        <v/>
      </c>
      <c r="T244" s="25">
        <f>SUMPRODUCT(P232:AA232, H236:H247)</f>
        <v/>
      </c>
      <c r="U244" s="25">
        <f>SUMPRODUCT(P232:AA232, I236:I247)</f>
        <v/>
      </c>
      <c r="V244" s="25">
        <f>SUMPRODUCT(P232:AA232, J236:J247)</f>
        <v/>
      </c>
      <c r="W244" s="25">
        <f>SUMPRODUCT(P232:AA232, K236:K247)</f>
        <v/>
      </c>
      <c r="X244" s="25">
        <f>SUMPRODUCT(P232:AA232, L236:L247)</f>
        <v/>
      </c>
      <c r="Y244" s="25">
        <f>SUMPRODUCT(P232:AA232, M236:M247)</f>
        <v/>
      </c>
      <c r="Z244" s="25">
        <f>SUMPRODUCT(P232:AA232, N236:N247)</f>
        <v/>
      </c>
      <c r="AA244" s="25">
        <f>SUMPRODUCT(P232:AA232, O236:O247)</f>
        <v/>
      </c>
    </row>
    <row r="245">
      <c r="B245" s="24" t="n">
        <v>0</v>
      </c>
      <c r="C245" s="24">
        <f>SUMPRODUCT(P233:AA233, B236:B247)</f>
        <v/>
      </c>
      <c r="D245" s="25">
        <f>SUMPRODUCT(D233:O233, P224:P235)</f>
        <v/>
      </c>
      <c r="E245" s="25">
        <f>SUMPRODUCT(D233:O233, Q224:Q235)</f>
        <v/>
      </c>
      <c r="F245" s="25">
        <f>SUMPRODUCT(D233:O233, R224:R235)</f>
        <v/>
      </c>
      <c r="G245" s="25">
        <f>SUMPRODUCT(D233:O233, S224:S235)</f>
        <v/>
      </c>
      <c r="H245" s="25">
        <f>SUMPRODUCT(D233:O233, T224:T235)</f>
        <v/>
      </c>
      <c r="I245" s="25">
        <f>SUMPRODUCT(D233:O233, U224:U235)</f>
        <v/>
      </c>
      <c r="J245" s="25">
        <f>SUMPRODUCT(D233:O233, V224:V235)</f>
        <v/>
      </c>
      <c r="K245" s="25">
        <f>SUMPRODUCT(D233:O233, W224:W235)</f>
        <v/>
      </c>
      <c r="L245" s="25">
        <f>SUMPRODUCT(D233:O233, X224:X235)</f>
        <v/>
      </c>
      <c r="M245" s="25">
        <f>SUMPRODUCT(D233:O233, Y224:Y235)</f>
        <v/>
      </c>
      <c r="N245" s="25">
        <f>SUMPRODUCT(D233:O233, Z224:Z235)</f>
        <v/>
      </c>
      <c r="O245" s="25">
        <f>SUMPRODUCT(D233:O233, AA224:AA235)</f>
        <v/>
      </c>
      <c r="P245" s="25">
        <f>SUMPRODUCT(P233:AA233, D236:D247)</f>
        <v/>
      </c>
      <c r="Q245" s="25">
        <f>SUMPRODUCT(P233:AA233, E236:E247)</f>
        <v/>
      </c>
      <c r="R245" s="25">
        <f>SUMPRODUCT(P233:AA233, F236:F247)</f>
        <v/>
      </c>
      <c r="S245" s="25">
        <f>SUMPRODUCT(P233:AA233, G236:G247)</f>
        <v/>
      </c>
      <c r="T245" s="25">
        <f>SUMPRODUCT(P233:AA233, H236:H247)</f>
        <v/>
      </c>
      <c r="U245" s="25">
        <f>SUMPRODUCT(P233:AA233, I236:I247)</f>
        <v/>
      </c>
      <c r="V245" s="25">
        <f>SUMPRODUCT(P233:AA233, J236:J247)</f>
        <v/>
      </c>
      <c r="W245" s="25">
        <f>SUMPRODUCT(P233:AA233, K236:K247)</f>
        <v/>
      </c>
      <c r="X245" s="25">
        <f>SUMPRODUCT(P233:AA233, L236:L247)</f>
        <v/>
      </c>
      <c r="Y245" s="25">
        <f>SUMPRODUCT(P233:AA233, M236:M247)</f>
        <v/>
      </c>
      <c r="Z245" s="25">
        <f>SUMPRODUCT(P233:AA233, N236:N247)</f>
        <v/>
      </c>
      <c r="AA245" s="25">
        <f>SUMPRODUCT(P233:AA233, O236:O247)</f>
        <v/>
      </c>
    </row>
    <row r="246">
      <c r="B246" s="24" t="n">
        <v>0</v>
      </c>
      <c r="C246" s="24">
        <f>SUMPRODUCT(P234:AA234, B236:B247)</f>
        <v/>
      </c>
      <c r="D246" s="25">
        <f>SUMPRODUCT(D234:O234, P224:P235)</f>
        <v/>
      </c>
      <c r="E246" s="25">
        <f>SUMPRODUCT(D234:O234, Q224:Q235)</f>
        <v/>
      </c>
      <c r="F246" s="25">
        <f>SUMPRODUCT(D234:O234, R224:R235)</f>
        <v/>
      </c>
      <c r="G246" s="25">
        <f>SUMPRODUCT(D234:O234, S224:S235)</f>
        <v/>
      </c>
      <c r="H246" s="25">
        <f>SUMPRODUCT(D234:O234, T224:T235)</f>
        <v/>
      </c>
      <c r="I246" s="25">
        <f>SUMPRODUCT(D234:O234, U224:U235)</f>
        <v/>
      </c>
      <c r="J246" s="25">
        <f>SUMPRODUCT(D234:O234, V224:V235)</f>
        <v/>
      </c>
      <c r="K246" s="25">
        <f>SUMPRODUCT(D234:O234, W224:W235)</f>
        <v/>
      </c>
      <c r="L246" s="25">
        <f>SUMPRODUCT(D234:O234, X224:X235)</f>
        <v/>
      </c>
      <c r="M246" s="25">
        <f>SUMPRODUCT(D234:O234, Y224:Y235)</f>
        <v/>
      </c>
      <c r="N246" s="25">
        <f>SUMPRODUCT(D234:O234, Z224:Z235)</f>
        <v/>
      </c>
      <c r="O246" s="25">
        <f>SUMPRODUCT(D234:O234, AA224:AA235)</f>
        <v/>
      </c>
      <c r="P246" s="25">
        <f>SUMPRODUCT(P234:AA234, D236:D247)</f>
        <v/>
      </c>
      <c r="Q246" s="25">
        <f>SUMPRODUCT(P234:AA234, E236:E247)</f>
        <v/>
      </c>
      <c r="R246" s="25">
        <f>SUMPRODUCT(P234:AA234, F236:F247)</f>
        <v/>
      </c>
      <c r="S246" s="25">
        <f>SUMPRODUCT(P234:AA234, G236:G247)</f>
        <v/>
      </c>
      <c r="T246" s="25">
        <f>SUMPRODUCT(P234:AA234, H236:H247)</f>
        <v/>
      </c>
      <c r="U246" s="25">
        <f>SUMPRODUCT(P234:AA234, I236:I247)</f>
        <v/>
      </c>
      <c r="V246" s="25">
        <f>SUMPRODUCT(P234:AA234, J236:J247)</f>
        <v/>
      </c>
      <c r="W246" s="25">
        <f>SUMPRODUCT(P234:AA234, K236:K247)</f>
        <v/>
      </c>
      <c r="X246" s="25">
        <f>SUMPRODUCT(P234:AA234, L236:L247)</f>
        <v/>
      </c>
      <c r="Y246" s="25">
        <f>SUMPRODUCT(P234:AA234, M236:M247)</f>
        <v/>
      </c>
      <c r="Z246" s="25">
        <f>SUMPRODUCT(P234:AA234, N236:N247)</f>
        <v/>
      </c>
      <c r="AA246" s="25">
        <f>SUMPRODUCT(P234:AA234, O236:O247)</f>
        <v/>
      </c>
    </row>
    <row r="247">
      <c r="B247" s="24" t="n">
        <v>0</v>
      </c>
      <c r="C247" s="24">
        <f>SUMPRODUCT(P235:AA235, B236:B247)</f>
        <v/>
      </c>
      <c r="D247" s="25">
        <f>SUMPRODUCT(D235:O235, P224:P235)</f>
        <v/>
      </c>
      <c r="E247" s="25">
        <f>SUMPRODUCT(D235:O235, Q224:Q235)</f>
        <v/>
      </c>
      <c r="F247" s="25">
        <f>SUMPRODUCT(D235:O235, R224:R235)</f>
        <v/>
      </c>
      <c r="G247" s="25">
        <f>SUMPRODUCT(D235:O235, S224:S235)</f>
        <v/>
      </c>
      <c r="H247" s="25">
        <f>SUMPRODUCT(D235:O235, T224:T235)</f>
        <v/>
      </c>
      <c r="I247" s="25">
        <f>SUMPRODUCT(D235:O235, U224:U235)</f>
        <v/>
      </c>
      <c r="J247" s="25">
        <f>SUMPRODUCT(D235:O235, V224:V235)</f>
        <v/>
      </c>
      <c r="K247" s="25">
        <f>SUMPRODUCT(D235:O235, W224:W235)</f>
        <v/>
      </c>
      <c r="L247" s="25">
        <f>SUMPRODUCT(D235:O235, X224:X235)</f>
        <v/>
      </c>
      <c r="M247" s="25">
        <f>SUMPRODUCT(D235:O235, Y224:Y235)</f>
        <v/>
      </c>
      <c r="N247" s="25">
        <f>SUMPRODUCT(D235:O235, Z224:Z235)</f>
        <v/>
      </c>
      <c r="O247" s="25">
        <f>SUMPRODUCT(D235:O235, AA224:AA235)</f>
        <v/>
      </c>
      <c r="P247" s="25">
        <f>SUMPRODUCT(P235:AA235, D236:D247)</f>
        <v/>
      </c>
      <c r="Q247" s="25">
        <f>SUMPRODUCT(P235:AA235, E236:E247)</f>
        <v/>
      </c>
      <c r="R247" s="25">
        <f>SUMPRODUCT(P235:AA235, F236:F247)</f>
        <v/>
      </c>
      <c r="S247" s="25">
        <f>SUMPRODUCT(P235:AA235, G236:G247)</f>
        <v/>
      </c>
      <c r="T247" s="25">
        <f>SUMPRODUCT(P235:AA235, H236:H247)</f>
        <v/>
      </c>
      <c r="U247" s="25">
        <f>SUMPRODUCT(P235:AA235, I236:I247)</f>
        <v/>
      </c>
      <c r="V247" s="25">
        <f>SUMPRODUCT(P235:AA235, J236:J247)</f>
        <v/>
      </c>
      <c r="W247" s="25">
        <f>SUMPRODUCT(P235:AA235, K236:K247)</f>
        <v/>
      </c>
      <c r="X247" s="25">
        <f>SUMPRODUCT(P235:AA235, L236:L247)</f>
        <v/>
      </c>
      <c r="Y247" s="25">
        <f>SUMPRODUCT(P235:AA235, M236:M247)</f>
        <v/>
      </c>
      <c r="Z247" s="25">
        <f>SUMPRODUCT(P235:AA235, N236:N247)</f>
        <v/>
      </c>
      <c r="AA247" s="25">
        <f>SUMPRODUCT(P235:AA235, O236:O247)</f>
        <v/>
      </c>
    </row>
  </sheetData>
  <mergeCells count="7">
    <mergeCell ref="B179:AA179"/>
    <mergeCell ref="B74:AA74"/>
    <mergeCell ref="B4:AA4"/>
    <mergeCell ref="B144:AA144"/>
    <mergeCell ref="B214:AA214"/>
    <mergeCell ref="B39:AA39"/>
    <mergeCell ref="B109:AA10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BC5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</cols>
  <sheetData>
    <row r="2">
      <c r="B2" s="1" t="inlineStr">
        <is>
          <t>Global Assembly, Boundary Conditions, and Linear Equation Solver</t>
        </is>
      </c>
    </row>
    <row r="4">
      <c r="C4" s="4" t="inlineStr">
        <is>
          <t>N0_tx</t>
        </is>
      </c>
      <c r="D4" s="4" t="inlineStr">
        <is>
          <t>N0_ty</t>
        </is>
      </c>
      <c r="E4" s="4" t="inlineStr">
        <is>
          <t>N0_tz</t>
        </is>
      </c>
      <c r="F4" s="4" t="inlineStr">
        <is>
          <t>N0_rx</t>
        </is>
      </c>
      <c r="G4" s="4" t="inlineStr">
        <is>
          <t>N0_ry</t>
        </is>
      </c>
      <c r="H4" s="4" t="inlineStr">
        <is>
          <t>N0_rz</t>
        </is>
      </c>
      <c r="I4" s="4" t="inlineStr">
        <is>
          <t>N1_tx</t>
        </is>
      </c>
      <c r="J4" s="4" t="inlineStr">
        <is>
          <t>N1_ty</t>
        </is>
      </c>
      <c r="K4" s="4" t="inlineStr">
        <is>
          <t>N1_tz</t>
        </is>
      </c>
      <c r="L4" s="4" t="inlineStr">
        <is>
          <t>N1_rx</t>
        </is>
      </c>
      <c r="M4" s="4" t="inlineStr">
        <is>
          <t>N1_ry</t>
        </is>
      </c>
      <c r="N4" s="4" t="inlineStr">
        <is>
          <t>N1_rz</t>
        </is>
      </c>
      <c r="O4" s="4" t="inlineStr">
        <is>
          <t>N2_tx</t>
        </is>
      </c>
      <c r="P4" s="4" t="inlineStr">
        <is>
          <t>N2_ty</t>
        </is>
      </c>
      <c r="Q4" s="4" t="inlineStr">
        <is>
          <t>N2_tz</t>
        </is>
      </c>
      <c r="R4" s="4" t="inlineStr">
        <is>
          <t>N2_rx</t>
        </is>
      </c>
      <c r="S4" s="4" t="inlineStr">
        <is>
          <t>N2_ry</t>
        </is>
      </c>
      <c r="T4" s="4" t="inlineStr">
        <is>
          <t>N2_rz</t>
        </is>
      </c>
      <c r="U4" s="4" t="inlineStr">
        <is>
          <t>N3_tx</t>
        </is>
      </c>
      <c r="V4" s="4" t="inlineStr">
        <is>
          <t>N3_ty</t>
        </is>
      </c>
      <c r="W4" s="4" t="inlineStr">
        <is>
          <t>N3_tz</t>
        </is>
      </c>
      <c r="X4" s="4" t="inlineStr">
        <is>
          <t>N3_rx</t>
        </is>
      </c>
      <c r="Y4" s="4" t="inlineStr">
        <is>
          <t>N3_ry</t>
        </is>
      </c>
      <c r="Z4" s="4" t="inlineStr">
        <is>
          <t>N3_rz</t>
        </is>
      </c>
      <c r="AA4" s="4" t="inlineStr">
        <is>
          <t>N4_tx</t>
        </is>
      </c>
      <c r="AB4" s="4" t="inlineStr">
        <is>
          <t>N4_ty</t>
        </is>
      </c>
      <c r="AC4" s="4" t="inlineStr">
        <is>
          <t>N4_tz</t>
        </is>
      </c>
      <c r="AD4" s="4" t="inlineStr">
        <is>
          <t>N4_rx</t>
        </is>
      </c>
      <c r="AE4" s="4" t="inlineStr">
        <is>
          <t>N4_ry</t>
        </is>
      </c>
      <c r="AF4" s="4" t="inlineStr">
        <is>
          <t>N4_rz</t>
        </is>
      </c>
      <c r="AG4" s="4" t="inlineStr">
        <is>
          <t>N5_tx</t>
        </is>
      </c>
      <c r="AH4" s="4" t="inlineStr">
        <is>
          <t>N5_ty</t>
        </is>
      </c>
      <c r="AI4" s="4" t="inlineStr">
        <is>
          <t>N5_tz</t>
        </is>
      </c>
      <c r="AJ4" s="4" t="inlineStr">
        <is>
          <t>N5_rx</t>
        </is>
      </c>
      <c r="AK4" s="4" t="inlineStr">
        <is>
          <t>N5_ry</t>
        </is>
      </c>
      <c r="AL4" s="4" t="inlineStr">
        <is>
          <t>N5_rz</t>
        </is>
      </c>
      <c r="AM4" s="4" t="inlineStr">
        <is>
          <t>N6_tx</t>
        </is>
      </c>
      <c r="AN4" s="4" t="inlineStr">
        <is>
          <t>N6_ty</t>
        </is>
      </c>
      <c r="AO4" s="4" t="inlineStr">
        <is>
          <t>N6_tz</t>
        </is>
      </c>
      <c r="AP4" s="4" t="inlineStr">
        <is>
          <t>N6_rx</t>
        </is>
      </c>
      <c r="AQ4" s="4" t="inlineStr">
        <is>
          <t>N6_ry</t>
        </is>
      </c>
      <c r="AR4" s="4" t="inlineStr">
        <is>
          <t>N6_rz</t>
        </is>
      </c>
      <c r="AS4" s="4" t="inlineStr">
        <is>
          <t>N7_tx</t>
        </is>
      </c>
      <c r="AT4" s="4" t="inlineStr">
        <is>
          <t>N7_ty</t>
        </is>
      </c>
      <c r="AU4" s="4" t="inlineStr">
        <is>
          <t>N7_tz</t>
        </is>
      </c>
      <c r="AV4" s="4" t="inlineStr">
        <is>
          <t>N7_rx</t>
        </is>
      </c>
      <c r="AW4" s="4" t="inlineStr">
        <is>
          <t>N7_ry</t>
        </is>
      </c>
      <c r="AX4" s="4" t="inlineStr">
        <is>
          <t>N7_rz</t>
        </is>
      </c>
      <c r="AY4" s="26" t="inlineStr">
        <is>
          <t>F_Weight (N)</t>
        </is>
      </c>
      <c r="AZ4" s="26" t="inlineStr">
        <is>
          <t>F_Thermal (N)</t>
        </is>
      </c>
      <c r="BB4" s="26" t="inlineStr">
        <is>
          <t>u_Weight (m)</t>
        </is>
      </c>
      <c r="BC4" s="26" t="inlineStr">
        <is>
          <t>u_Thermal (m)</t>
        </is>
      </c>
    </row>
    <row r="5">
      <c r="B5" s="27" t="inlineStr">
        <is>
          <t>N0_tx</t>
        </is>
      </c>
      <c r="C5" s="21">
        <f>IF(Element_Stiffness!$C$6,IF(Element_Stiffness!$C$5=0,IF(0=Element_Stiffness!$C$5,Element_Stiffness!P26,IF(0=Element_Stiffness!$E$5,Element_Stiffness!V26,0)),IF(Element_Stiffness!$E$5=0,IF(0=Element_Stiffness!$C$5,Element_Stiffness!P32,IF(0=Element_Stiffness!$E$5,Element_Stiffness!V32,0)),0)),0)+IF(Element_Stiffness!$C$41,IF(Element_Stiffness!$C$40=0,IF(0=Element_Stiffness!$C$40,Element_Stiffness!P61,IF(0=Element_Stiffness!$E$40,Element_Stiffness!V61,0)),IF(Element_Stiffness!$E$40=0,IF(0=Element_Stiffness!$C$40,Element_Stiffness!P67,IF(0=Element_Stiffness!$E$40,Element_Stiffness!V67,0)),0)),0)+IF(Element_Stiffness!$C$76,IF(Element_Stiffness!$C$75=0,IF(0=Element_Stiffness!$C$75,Element_Stiffness!P96,IF(0=Element_Stiffness!$E$75,Element_Stiffness!V96,0)),IF(Element_Stiffness!$E$75=0,IF(0=Element_Stiffness!$C$75,Element_Stiffness!P102,IF(0=Element_Stiffness!$E$75,Element_Stiffness!V102,0)),0)),0)+IF(Element_Stiffness!$C$111,IF(Element_Stiffness!$C$110=0,IF(0=Element_Stiffness!$C$110,Element_Stiffness!P131,IF(0=Element_Stiffness!$E$110,Element_Stiffness!V131,0)),IF(Element_Stiffness!$E$110=0,IF(0=Element_Stiffness!$C$110,Element_Stiffness!P137,IF(0=Element_Stiffness!$E$110,Element_Stiffness!V137,0)),0)),0)+IF(Element_Stiffness!$C$146,IF(Element_Stiffness!$C$145=0,IF(0=Element_Stiffness!$C$145,Element_Stiffness!P166,IF(0=Element_Stiffness!$E$145,Element_Stiffness!V166,0)),IF(Element_Stiffness!$E$145=0,IF(0=Element_Stiffness!$C$145,Element_Stiffness!P172,IF(0=Element_Stiffness!$E$145,Element_Stiffness!V172,0)),0)),0)+IF(Element_Stiffness!$C$181,IF(Element_Stiffness!$C$180=0,IF(0=Element_Stiffness!$C$180,Element_Stiffness!P201,IF(0=Element_Stiffness!$E$180,Element_Stiffness!V201,0)),IF(Element_Stiffness!$E$180=0,IF(0=Element_Stiffness!$C$180,Element_Stiffness!P207,IF(0=Element_Stiffness!$E$180,Element_Stiffness!V207,0)),0)),0)+IF(Element_Stiffness!$C$216,IF(Element_Stiffness!$C$215=0,IF(0=Element_Stiffness!$C$215,Element_Stiffness!P236,IF(0=Element_Stiffness!$E$215,Element_Stiffness!V236,0)),IF(Element_Stiffness!$E$215=0,IF(0=Element_Stiffness!$C$215,Element_Stiffness!P242,IF(0=Element_Stiffness!$E$215,Element_Stiffness!V242,0)),0)),0)+IF(Inputs!C40=TRUE,1E15,IF(ISNUMBER(Inputs!C40),Inputs!C40,0))</f>
        <v/>
      </c>
      <c r="D5" s="21">
        <f>IF(Element_Stiffness!$C$6,IF(Element_Stiffness!$C$5=0,IF(0=Element_Stiffness!$C$5,Element_Stiffness!Q26,IF(0=Element_Stiffness!$E$5,Element_Stiffness!W26,0)),IF(Element_Stiffness!$E$5=0,IF(0=Element_Stiffness!$C$5,Element_Stiffness!Q32,IF(0=Element_Stiffness!$E$5,Element_Stiffness!W32,0)),0)),0)+IF(Element_Stiffness!$C$41,IF(Element_Stiffness!$C$40=0,IF(0=Element_Stiffness!$C$40,Element_Stiffness!Q61,IF(0=Element_Stiffness!$E$40,Element_Stiffness!W61,0)),IF(Element_Stiffness!$E$40=0,IF(0=Element_Stiffness!$C$40,Element_Stiffness!Q67,IF(0=Element_Stiffness!$E$40,Element_Stiffness!W67,0)),0)),0)+IF(Element_Stiffness!$C$76,IF(Element_Stiffness!$C$75=0,IF(0=Element_Stiffness!$C$75,Element_Stiffness!Q96,IF(0=Element_Stiffness!$E$75,Element_Stiffness!W96,0)),IF(Element_Stiffness!$E$75=0,IF(0=Element_Stiffness!$C$75,Element_Stiffness!Q102,IF(0=Element_Stiffness!$E$75,Element_Stiffness!W102,0)),0)),0)+IF(Element_Stiffness!$C$111,IF(Element_Stiffness!$C$110=0,IF(0=Element_Stiffness!$C$110,Element_Stiffness!Q131,IF(0=Element_Stiffness!$E$110,Element_Stiffness!W131,0)),IF(Element_Stiffness!$E$110=0,IF(0=Element_Stiffness!$C$110,Element_Stiffness!Q137,IF(0=Element_Stiffness!$E$110,Element_Stiffness!W137,0)),0)),0)+IF(Element_Stiffness!$C$146,IF(Element_Stiffness!$C$145=0,IF(0=Element_Stiffness!$C$145,Element_Stiffness!Q166,IF(0=Element_Stiffness!$E$145,Element_Stiffness!W166,0)),IF(Element_Stiffness!$E$145=0,IF(0=Element_Stiffness!$C$145,Element_Stiffness!Q172,IF(0=Element_Stiffness!$E$145,Element_Stiffness!W172,0)),0)),0)+IF(Element_Stiffness!$C$181,IF(Element_Stiffness!$C$180=0,IF(0=Element_Stiffness!$C$180,Element_Stiffness!Q201,IF(0=Element_Stiffness!$E$180,Element_Stiffness!W201,0)),IF(Element_Stiffness!$E$180=0,IF(0=Element_Stiffness!$C$180,Element_Stiffness!Q207,IF(0=Element_Stiffness!$E$180,Element_Stiffness!W207,0)),0)),0)+IF(Element_Stiffness!$C$216,IF(Element_Stiffness!$C$215=0,IF(0=Element_Stiffness!$C$215,Element_Stiffness!Q236,IF(0=Element_Stiffness!$E$215,Element_Stiffness!W236,0)),IF(Element_Stiffness!$E$215=0,IF(0=Element_Stiffness!$C$215,Element_Stiffness!Q242,IF(0=Element_Stiffness!$E$215,Element_Stiffness!W242,0)),0)),0)</f>
        <v/>
      </c>
      <c r="E5" s="21">
        <f>IF(Element_Stiffness!$C$6,IF(Element_Stiffness!$C$5=0,IF(0=Element_Stiffness!$C$5,Element_Stiffness!R26,IF(0=Element_Stiffness!$E$5,Element_Stiffness!X26,0)),IF(Element_Stiffness!$E$5=0,IF(0=Element_Stiffness!$C$5,Element_Stiffness!R32,IF(0=Element_Stiffness!$E$5,Element_Stiffness!X32,0)),0)),0)+IF(Element_Stiffness!$C$41,IF(Element_Stiffness!$C$40=0,IF(0=Element_Stiffness!$C$40,Element_Stiffness!R61,IF(0=Element_Stiffness!$E$40,Element_Stiffness!X61,0)),IF(Element_Stiffness!$E$40=0,IF(0=Element_Stiffness!$C$40,Element_Stiffness!R67,IF(0=Element_Stiffness!$E$40,Element_Stiffness!X67,0)),0)),0)+IF(Element_Stiffness!$C$76,IF(Element_Stiffness!$C$75=0,IF(0=Element_Stiffness!$C$75,Element_Stiffness!R96,IF(0=Element_Stiffness!$E$75,Element_Stiffness!X96,0)),IF(Element_Stiffness!$E$75=0,IF(0=Element_Stiffness!$C$75,Element_Stiffness!R102,IF(0=Element_Stiffness!$E$75,Element_Stiffness!X102,0)),0)),0)+IF(Element_Stiffness!$C$111,IF(Element_Stiffness!$C$110=0,IF(0=Element_Stiffness!$C$110,Element_Stiffness!R131,IF(0=Element_Stiffness!$E$110,Element_Stiffness!X131,0)),IF(Element_Stiffness!$E$110=0,IF(0=Element_Stiffness!$C$110,Element_Stiffness!R137,IF(0=Element_Stiffness!$E$110,Element_Stiffness!X137,0)),0)),0)+IF(Element_Stiffness!$C$146,IF(Element_Stiffness!$C$145=0,IF(0=Element_Stiffness!$C$145,Element_Stiffness!R166,IF(0=Element_Stiffness!$E$145,Element_Stiffness!X166,0)),IF(Element_Stiffness!$E$145=0,IF(0=Element_Stiffness!$C$145,Element_Stiffness!R172,IF(0=Element_Stiffness!$E$145,Element_Stiffness!X172,0)),0)),0)+IF(Element_Stiffness!$C$181,IF(Element_Stiffness!$C$180=0,IF(0=Element_Stiffness!$C$180,Element_Stiffness!R201,IF(0=Element_Stiffness!$E$180,Element_Stiffness!X201,0)),IF(Element_Stiffness!$E$180=0,IF(0=Element_Stiffness!$C$180,Element_Stiffness!R207,IF(0=Element_Stiffness!$E$180,Element_Stiffness!X207,0)),0)),0)+IF(Element_Stiffness!$C$216,IF(Element_Stiffness!$C$215=0,IF(0=Element_Stiffness!$C$215,Element_Stiffness!R236,IF(0=Element_Stiffness!$E$215,Element_Stiffness!X236,0)),IF(Element_Stiffness!$E$215=0,IF(0=Element_Stiffness!$C$215,Element_Stiffness!R242,IF(0=Element_Stiffness!$E$215,Element_Stiffness!X242,0)),0)),0)</f>
        <v/>
      </c>
      <c r="F5" s="21">
        <f>IF(Element_Stiffness!$C$6,IF(Element_Stiffness!$C$5=0,IF(0=Element_Stiffness!$C$5,Element_Stiffness!S26,IF(0=Element_Stiffness!$E$5,Element_Stiffness!Y26,0)),IF(Element_Stiffness!$E$5=0,IF(0=Element_Stiffness!$C$5,Element_Stiffness!S32,IF(0=Element_Stiffness!$E$5,Element_Stiffness!Y32,0)),0)),0)+IF(Element_Stiffness!$C$41,IF(Element_Stiffness!$C$40=0,IF(0=Element_Stiffness!$C$40,Element_Stiffness!S61,IF(0=Element_Stiffness!$E$40,Element_Stiffness!Y61,0)),IF(Element_Stiffness!$E$40=0,IF(0=Element_Stiffness!$C$40,Element_Stiffness!S67,IF(0=Element_Stiffness!$E$40,Element_Stiffness!Y67,0)),0)),0)+IF(Element_Stiffness!$C$76,IF(Element_Stiffness!$C$75=0,IF(0=Element_Stiffness!$C$75,Element_Stiffness!S96,IF(0=Element_Stiffness!$E$75,Element_Stiffness!Y96,0)),IF(Element_Stiffness!$E$75=0,IF(0=Element_Stiffness!$C$75,Element_Stiffness!S102,IF(0=Element_Stiffness!$E$75,Element_Stiffness!Y102,0)),0)),0)+IF(Element_Stiffness!$C$111,IF(Element_Stiffness!$C$110=0,IF(0=Element_Stiffness!$C$110,Element_Stiffness!S131,IF(0=Element_Stiffness!$E$110,Element_Stiffness!Y131,0)),IF(Element_Stiffness!$E$110=0,IF(0=Element_Stiffness!$C$110,Element_Stiffness!S137,IF(0=Element_Stiffness!$E$110,Element_Stiffness!Y137,0)),0)),0)+IF(Element_Stiffness!$C$146,IF(Element_Stiffness!$C$145=0,IF(0=Element_Stiffness!$C$145,Element_Stiffness!S166,IF(0=Element_Stiffness!$E$145,Element_Stiffness!Y166,0)),IF(Element_Stiffness!$E$145=0,IF(0=Element_Stiffness!$C$145,Element_Stiffness!S172,IF(0=Element_Stiffness!$E$145,Element_Stiffness!Y172,0)),0)),0)+IF(Element_Stiffness!$C$181,IF(Element_Stiffness!$C$180=0,IF(0=Element_Stiffness!$C$180,Element_Stiffness!S201,IF(0=Element_Stiffness!$E$180,Element_Stiffness!Y201,0)),IF(Element_Stiffness!$E$180=0,IF(0=Element_Stiffness!$C$180,Element_Stiffness!S207,IF(0=Element_Stiffness!$E$180,Element_Stiffness!Y207,0)),0)),0)+IF(Element_Stiffness!$C$216,IF(Element_Stiffness!$C$215=0,IF(0=Element_Stiffness!$C$215,Element_Stiffness!S236,IF(0=Element_Stiffness!$E$215,Element_Stiffness!Y236,0)),IF(Element_Stiffness!$E$215=0,IF(0=Element_Stiffness!$C$215,Element_Stiffness!S242,IF(0=Element_Stiffness!$E$215,Element_Stiffness!Y242,0)),0)),0)</f>
        <v/>
      </c>
      <c r="G5" s="21">
        <f>IF(Element_Stiffness!$C$6,IF(Element_Stiffness!$C$5=0,IF(0=Element_Stiffness!$C$5,Element_Stiffness!T26,IF(0=Element_Stiffness!$E$5,Element_Stiffness!Z26,0)),IF(Element_Stiffness!$E$5=0,IF(0=Element_Stiffness!$C$5,Element_Stiffness!T32,IF(0=Element_Stiffness!$E$5,Element_Stiffness!Z32,0)),0)),0)+IF(Element_Stiffness!$C$41,IF(Element_Stiffness!$C$40=0,IF(0=Element_Stiffness!$C$40,Element_Stiffness!T61,IF(0=Element_Stiffness!$E$40,Element_Stiffness!Z61,0)),IF(Element_Stiffness!$E$40=0,IF(0=Element_Stiffness!$C$40,Element_Stiffness!T67,IF(0=Element_Stiffness!$E$40,Element_Stiffness!Z67,0)),0)),0)+IF(Element_Stiffness!$C$76,IF(Element_Stiffness!$C$75=0,IF(0=Element_Stiffness!$C$75,Element_Stiffness!T96,IF(0=Element_Stiffness!$E$75,Element_Stiffness!Z96,0)),IF(Element_Stiffness!$E$75=0,IF(0=Element_Stiffness!$C$75,Element_Stiffness!T102,IF(0=Element_Stiffness!$E$75,Element_Stiffness!Z102,0)),0)),0)+IF(Element_Stiffness!$C$111,IF(Element_Stiffness!$C$110=0,IF(0=Element_Stiffness!$C$110,Element_Stiffness!T131,IF(0=Element_Stiffness!$E$110,Element_Stiffness!Z131,0)),IF(Element_Stiffness!$E$110=0,IF(0=Element_Stiffness!$C$110,Element_Stiffness!T137,IF(0=Element_Stiffness!$E$110,Element_Stiffness!Z137,0)),0)),0)+IF(Element_Stiffness!$C$146,IF(Element_Stiffness!$C$145=0,IF(0=Element_Stiffness!$C$145,Element_Stiffness!T166,IF(0=Element_Stiffness!$E$145,Element_Stiffness!Z166,0)),IF(Element_Stiffness!$E$145=0,IF(0=Element_Stiffness!$C$145,Element_Stiffness!T172,IF(0=Element_Stiffness!$E$145,Element_Stiffness!Z172,0)),0)),0)+IF(Element_Stiffness!$C$181,IF(Element_Stiffness!$C$180=0,IF(0=Element_Stiffness!$C$180,Element_Stiffness!T201,IF(0=Element_Stiffness!$E$180,Element_Stiffness!Z201,0)),IF(Element_Stiffness!$E$180=0,IF(0=Element_Stiffness!$C$180,Element_Stiffness!T207,IF(0=Element_Stiffness!$E$180,Element_Stiffness!Z207,0)),0)),0)+IF(Element_Stiffness!$C$216,IF(Element_Stiffness!$C$215=0,IF(0=Element_Stiffness!$C$215,Element_Stiffness!T236,IF(0=Element_Stiffness!$E$215,Element_Stiffness!Z236,0)),IF(Element_Stiffness!$E$215=0,IF(0=Element_Stiffness!$C$215,Element_Stiffness!T242,IF(0=Element_Stiffness!$E$215,Element_Stiffness!Z242,0)),0)),0)</f>
        <v/>
      </c>
      <c r="H5" s="21">
        <f>IF(Element_Stiffness!$C$6,IF(Element_Stiffness!$C$5=0,IF(0=Element_Stiffness!$C$5,Element_Stiffness!U26,IF(0=Element_Stiffness!$E$5,Element_Stiffness!AA26,0)),IF(Element_Stiffness!$E$5=0,IF(0=Element_Stiffness!$C$5,Element_Stiffness!U32,IF(0=Element_Stiffness!$E$5,Element_Stiffness!AA32,0)),0)),0)+IF(Element_Stiffness!$C$41,IF(Element_Stiffness!$C$40=0,IF(0=Element_Stiffness!$C$40,Element_Stiffness!U61,IF(0=Element_Stiffness!$E$40,Element_Stiffness!AA61,0)),IF(Element_Stiffness!$E$40=0,IF(0=Element_Stiffness!$C$40,Element_Stiffness!U67,IF(0=Element_Stiffness!$E$40,Element_Stiffness!AA67,0)),0)),0)+IF(Element_Stiffness!$C$76,IF(Element_Stiffness!$C$75=0,IF(0=Element_Stiffness!$C$75,Element_Stiffness!U96,IF(0=Element_Stiffness!$E$75,Element_Stiffness!AA96,0)),IF(Element_Stiffness!$E$75=0,IF(0=Element_Stiffness!$C$75,Element_Stiffness!U102,IF(0=Element_Stiffness!$E$75,Element_Stiffness!AA102,0)),0)),0)+IF(Element_Stiffness!$C$111,IF(Element_Stiffness!$C$110=0,IF(0=Element_Stiffness!$C$110,Element_Stiffness!U131,IF(0=Element_Stiffness!$E$110,Element_Stiffness!AA131,0)),IF(Element_Stiffness!$E$110=0,IF(0=Element_Stiffness!$C$110,Element_Stiffness!U137,IF(0=Element_Stiffness!$E$110,Element_Stiffness!AA137,0)),0)),0)+IF(Element_Stiffness!$C$146,IF(Element_Stiffness!$C$145=0,IF(0=Element_Stiffness!$C$145,Element_Stiffness!U166,IF(0=Element_Stiffness!$E$145,Element_Stiffness!AA166,0)),IF(Element_Stiffness!$E$145=0,IF(0=Element_Stiffness!$C$145,Element_Stiffness!U172,IF(0=Element_Stiffness!$E$145,Element_Stiffness!AA172,0)),0)),0)+IF(Element_Stiffness!$C$181,IF(Element_Stiffness!$C$180=0,IF(0=Element_Stiffness!$C$180,Element_Stiffness!U201,IF(0=Element_Stiffness!$E$180,Element_Stiffness!AA201,0)),IF(Element_Stiffness!$E$180=0,IF(0=Element_Stiffness!$C$180,Element_Stiffness!U207,IF(0=Element_Stiffness!$E$180,Element_Stiffness!AA207,0)),0)),0)+IF(Element_Stiffness!$C$216,IF(Element_Stiffness!$C$215=0,IF(0=Element_Stiffness!$C$215,Element_Stiffness!U236,IF(0=Element_Stiffness!$E$215,Element_Stiffness!AA236,0)),IF(Element_Stiffness!$E$215=0,IF(0=Element_Stiffness!$C$215,Element_Stiffness!U242,IF(0=Element_Stiffness!$E$215,Element_Stiffness!AA242,0)),0)),0)</f>
        <v/>
      </c>
      <c r="I5" s="21">
        <f>IF(Element_Stiffness!$C$6,IF(Element_Stiffness!$C$5=0,IF(1=Element_Stiffness!$C$5,Element_Stiffness!P26,IF(1=Element_Stiffness!$E$5,Element_Stiffness!V26,0)),IF(Element_Stiffness!$E$5=0,IF(1=Element_Stiffness!$C$5,Element_Stiffness!P32,IF(1=Element_Stiffness!$E$5,Element_Stiffness!V32,0)),0)),0)+IF(Element_Stiffness!$C$41,IF(Element_Stiffness!$C$40=0,IF(1=Element_Stiffness!$C$40,Element_Stiffness!P61,IF(1=Element_Stiffness!$E$40,Element_Stiffness!V61,0)),IF(Element_Stiffness!$E$40=0,IF(1=Element_Stiffness!$C$40,Element_Stiffness!P67,IF(1=Element_Stiffness!$E$40,Element_Stiffness!V67,0)),0)),0)+IF(Element_Stiffness!$C$76,IF(Element_Stiffness!$C$75=0,IF(1=Element_Stiffness!$C$75,Element_Stiffness!P96,IF(1=Element_Stiffness!$E$75,Element_Stiffness!V96,0)),IF(Element_Stiffness!$E$75=0,IF(1=Element_Stiffness!$C$75,Element_Stiffness!P102,IF(1=Element_Stiffness!$E$75,Element_Stiffness!V102,0)),0)),0)+IF(Element_Stiffness!$C$111,IF(Element_Stiffness!$C$110=0,IF(1=Element_Stiffness!$C$110,Element_Stiffness!P131,IF(1=Element_Stiffness!$E$110,Element_Stiffness!V131,0)),IF(Element_Stiffness!$E$110=0,IF(1=Element_Stiffness!$C$110,Element_Stiffness!P137,IF(1=Element_Stiffness!$E$110,Element_Stiffness!V137,0)),0)),0)+IF(Element_Stiffness!$C$146,IF(Element_Stiffness!$C$145=0,IF(1=Element_Stiffness!$C$145,Element_Stiffness!P166,IF(1=Element_Stiffness!$E$145,Element_Stiffness!V166,0)),IF(Element_Stiffness!$E$145=0,IF(1=Element_Stiffness!$C$145,Element_Stiffness!P172,IF(1=Element_Stiffness!$E$145,Element_Stiffness!V172,0)),0)),0)+IF(Element_Stiffness!$C$181,IF(Element_Stiffness!$C$180=0,IF(1=Element_Stiffness!$C$180,Element_Stiffness!P201,IF(1=Element_Stiffness!$E$180,Element_Stiffness!V201,0)),IF(Element_Stiffness!$E$180=0,IF(1=Element_Stiffness!$C$180,Element_Stiffness!P207,IF(1=Element_Stiffness!$E$180,Element_Stiffness!V207,0)),0)),0)+IF(Element_Stiffness!$C$216,IF(Element_Stiffness!$C$215=0,IF(1=Element_Stiffness!$C$215,Element_Stiffness!P236,IF(1=Element_Stiffness!$E$215,Element_Stiffness!V236,0)),IF(Element_Stiffness!$E$215=0,IF(1=Element_Stiffness!$C$215,Element_Stiffness!P242,IF(1=Element_Stiffness!$E$215,Element_Stiffness!V242,0)),0)),0)</f>
        <v/>
      </c>
      <c r="J5" s="21">
        <f>IF(Element_Stiffness!$C$6,IF(Element_Stiffness!$C$5=0,IF(1=Element_Stiffness!$C$5,Element_Stiffness!Q26,IF(1=Element_Stiffness!$E$5,Element_Stiffness!W26,0)),IF(Element_Stiffness!$E$5=0,IF(1=Element_Stiffness!$C$5,Element_Stiffness!Q32,IF(1=Element_Stiffness!$E$5,Element_Stiffness!W32,0)),0)),0)+IF(Element_Stiffness!$C$41,IF(Element_Stiffness!$C$40=0,IF(1=Element_Stiffness!$C$40,Element_Stiffness!Q61,IF(1=Element_Stiffness!$E$40,Element_Stiffness!W61,0)),IF(Element_Stiffness!$E$40=0,IF(1=Element_Stiffness!$C$40,Element_Stiffness!Q67,IF(1=Element_Stiffness!$E$40,Element_Stiffness!W67,0)),0)),0)+IF(Element_Stiffness!$C$76,IF(Element_Stiffness!$C$75=0,IF(1=Element_Stiffness!$C$75,Element_Stiffness!Q96,IF(1=Element_Stiffness!$E$75,Element_Stiffness!W96,0)),IF(Element_Stiffness!$E$75=0,IF(1=Element_Stiffness!$C$75,Element_Stiffness!Q102,IF(1=Element_Stiffness!$E$75,Element_Stiffness!W102,0)),0)),0)+IF(Element_Stiffness!$C$111,IF(Element_Stiffness!$C$110=0,IF(1=Element_Stiffness!$C$110,Element_Stiffness!Q131,IF(1=Element_Stiffness!$E$110,Element_Stiffness!W131,0)),IF(Element_Stiffness!$E$110=0,IF(1=Element_Stiffness!$C$110,Element_Stiffness!Q137,IF(1=Element_Stiffness!$E$110,Element_Stiffness!W137,0)),0)),0)+IF(Element_Stiffness!$C$146,IF(Element_Stiffness!$C$145=0,IF(1=Element_Stiffness!$C$145,Element_Stiffness!Q166,IF(1=Element_Stiffness!$E$145,Element_Stiffness!W166,0)),IF(Element_Stiffness!$E$145=0,IF(1=Element_Stiffness!$C$145,Element_Stiffness!Q172,IF(1=Element_Stiffness!$E$145,Element_Stiffness!W172,0)),0)),0)+IF(Element_Stiffness!$C$181,IF(Element_Stiffness!$C$180=0,IF(1=Element_Stiffness!$C$180,Element_Stiffness!Q201,IF(1=Element_Stiffness!$E$180,Element_Stiffness!W201,0)),IF(Element_Stiffness!$E$180=0,IF(1=Element_Stiffness!$C$180,Element_Stiffness!Q207,IF(1=Element_Stiffness!$E$180,Element_Stiffness!W207,0)),0)),0)+IF(Element_Stiffness!$C$216,IF(Element_Stiffness!$C$215=0,IF(1=Element_Stiffness!$C$215,Element_Stiffness!Q236,IF(1=Element_Stiffness!$E$215,Element_Stiffness!W236,0)),IF(Element_Stiffness!$E$215=0,IF(1=Element_Stiffness!$C$215,Element_Stiffness!Q242,IF(1=Element_Stiffness!$E$215,Element_Stiffness!W242,0)),0)),0)</f>
        <v/>
      </c>
      <c r="K5" s="21">
        <f>IF(Element_Stiffness!$C$6,IF(Element_Stiffness!$C$5=0,IF(1=Element_Stiffness!$C$5,Element_Stiffness!R26,IF(1=Element_Stiffness!$E$5,Element_Stiffness!X26,0)),IF(Element_Stiffness!$E$5=0,IF(1=Element_Stiffness!$C$5,Element_Stiffness!R32,IF(1=Element_Stiffness!$E$5,Element_Stiffness!X32,0)),0)),0)+IF(Element_Stiffness!$C$41,IF(Element_Stiffness!$C$40=0,IF(1=Element_Stiffness!$C$40,Element_Stiffness!R61,IF(1=Element_Stiffness!$E$40,Element_Stiffness!X61,0)),IF(Element_Stiffness!$E$40=0,IF(1=Element_Stiffness!$C$40,Element_Stiffness!R67,IF(1=Element_Stiffness!$E$40,Element_Stiffness!X67,0)),0)),0)+IF(Element_Stiffness!$C$76,IF(Element_Stiffness!$C$75=0,IF(1=Element_Stiffness!$C$75,Element_Stiffness!R96,IF(1=Element_Stiffness!$E$75,Element_Stiffness!X96,0)),IF(Element_Stiffness!$E$75=0,IF(1=Element_Stiffness!$C$75,Element_Stiffness!R102,IF(1=Element_Stiffness!$E$75,Element_Stiffness!X102,0)),0)),0)+IF(Element_Stiffness!$C$111,IF(Element_Stiffness!$C$110=0,IF(1=Element_Stiffness!$C$110,Element_Stiffness!R131,IF(1=Element_Stiffness!$E$110,Element_Stiffness!X131,0)),IF(Element_Stiffness!$E$110=0,IF(1=Element_Stiffness!$C$110,Element_Stiffness!R137,IF(1=Element_Stiffness!$E$110,Element_Stiffness!X137,0)),0)),0)+IF(Element_Stiffness!$C$146,IF(Element_Stiffness!$C$145=0,IF(1=Element_Stiffness!$C$145,Element_Stiffness!R166,IF(1=Element_Stiffness!$E$145,Element_Stiffness!X166,0)),IF(Element_Stiffness!$E$145=0,IF(1=Element_Stiffness!$C$145,Element_Stiffness!R172,IF(1=Element_Stiffness!$E$145,Element_Stiffness!X172,0)),0)),0)+IF(Element_Stiffness!$C$181,IF(Element_Stiffness!$C$180=0,IF(1=Element_Stiffness!$C$180,Element_Stiffness!R201,IF(1=Element_Stiffness!$E$180,Element_Stiffness!X201,0)),IF(Element_Stiffness!$E$180=0,IF(1=Element_Stiffness!$C$180,Element_Stiffness!R207,IF(1=Element_Stiffness!$E$180,Element_Stiffness!X207,0)),0)),0)+IF(Element_Stiffness!$C$216,IF(Element_Stiffness!$C$215=0,IF(1=Element_Stiffness!$C$215,Element_Stiffness!R236,IF(1=Element_Stiffness!$E$215,Element_Stiffness!X236,0)),IF(Element_Stiffness!$E$215=0,IF(1=Element_Stiffness!$C$215,Element_Stiffness!R242,IF(1=Element_Stiffness!$E$215,Element_Stiffness!X242,0)),0)),0)</f>
        <v/>
      </c>
      <c r="L5" s="21">
        <f>IF(Element_Stiffness!$C$6,IF(Element_Stiffness!$C$5=0,IF(1=Element_Stiffness!$C$5,Element_Stiffness!S26,IF(1=Element_Stiffness!$E$5,Element_Stiffness!Y26,0)),IF(Element_Stiffness!$E$5=0,IF(1=Element_Stiffness!$C$5,Element_Stiffness!S32,IF(1=Element_Stiffness!$E$5,Element_Stiffness!Y32,0)),0)),0)+IF(Element_Stiffness!$C$41,IF(Element_Stiffness!$C$40=0,IF(1=Element_Stiffness!$C$40,Element_Stiffness!S61,IF(1=Element_Stiffness!$E$40,Element_Stiffness!Y61,0)),IF(Element_Stiffness!$E$40=0,IF(1=Element_Stiffness!$C$40,Element_Stiffness!S67,IF(1=Element_Stiffness!$E$40,Element_Stiffness!Y67,0)),0)),0)+IF(Element_Stiffness!$C$76,IF(Element_Stiffness!$C$75=0,IF(1=Element_Stiffness!$C$75,Element_Stiffness!S96,IF(1=Element_Stiffness!$E$75,Element_Stiffness!Y96,0)),IF(Element_Stiffness!$E$75=0,IF(1=Element_Stiffness!$C$75,Element_Stiffness!S102,IF(1=Element_Stiffness!$E$75,Element_Stiffness!Y102,0)),0)),0)+IF(Element_Stiffness!$C$111,IF(Element_Stiffness!$C$110=0,IF(1=Element_Stiffness!$C$110,Element_Stiffness!S131,IF(1=Element_Stiffness!$E$110,Element_Stiffness!Y131,0)),IF(Element_Stiffness!$E$110=0,IF(1=Element_Stiffness!$C$110,Element_Stiffness!S137,IF(1=Element_Stiffness!$E$110,Element_Stiffness!Y137,0)),0)),0)+IF(Element_Stiffness!$C$146,IF(Element_Stiffness!$C$145=0,IF(1=Element_Stiffness!$C$145,Element_Stiffness!S166,IF(1=Element_Stiffness!$E$145,Element_Stiffness!Y166,0)),IF(Element_Stiffness!$E$145=0,IF(1=Element_Stiffness!$C$145,Element_Stiffness!S172,IF(1=Element_Stiffness!$E$145,Element_Stiffness!Y172,0)),0)),0)+IF(Element_Stiffness!$C$181,IF(Element_Stiffness!$C$180=0,IF(1=Element_Stiffness!$C$180,Element_Stiffness!S201,IF(1=Element_Stiffness!$E$180,Element_Stiffness!Y201,0)),IF(Element_Stiffness!$E$180=0,IF(1=Element_Stiffness!$C$180,Element_Stiffness!S207,IF(1=Element_Stiffness!$E$180,Element_Stiffness!Y207,0)),0)),0)+IF(Element_Stiffness!$C$216,IF(Element_Stiffness!$C$215=0,IF(1=Element_Stiffness!$C$215,Element_Stiffness!S236,IF(1=Element_Stiffness!$E$215,Element_Stiffness!Y236,0)),IF(Element_Stiffness!$E$215=0,IF(1=Element_Stiffness!$C$215,Element_Stiffness!S242,IF(1=Element_Stiffness!$E$215,Element_Stiffness!Y242,0)),0)),0)</f>
        <v/>
      </c>
      <c r="M5" s="21">
        <f>IF(Element_Stiffness!$C$6,IF(Element_Stiffness!$C$5=0,IF(1=Element_Stiffness!$C$5,Element_Stiffness!T26,IF(1=Element_Stiffness!$E$5,Element_Stiffness!Z26,0)),IF(Element_Stiffness!$E$5=0,IF(1=Element_Stiffness!$C$5,Element_Stiffness!T32,IF(1=Element_Stiffness!$E$5,Element_Stiffness!Z32,0)),0)),0)+IF(Element_Stiffness!$C$41,IF(Element_Stiffness!$C$40=0,IF(1=Element_Stiffness!$C$40,Element_Stiffness!T61,IF(1=Element_Stiffness!$E$40,Element_Stiffness!Z61,0)),IF(Element_Stiffness!$E$40=0,IF(1=Element_Stiffness!$C$40,Element_Stiffness!T67,IF(1=Element_Stiffness!$E$40,Element_Stiffness!Z67,0)),0)),0)+IF(Element_Stiffness!$C$76,IF(Element_Stiffness!$C$75=0,IF(1=Element_Stiffness!$C$75,Element_Stiffness!T96,IF(1=Element_Stiffness!$E$75,Element_Stiffness!Z96,0)),IF(Element_Stiffness!$E$75=0,IF(1=Element_Stiffness!$C$75,Element_Stiffness!T102,IF(1=Element_Stiffness!$E$75,Element_Stiffness!Z102,0)),0)),0)+IF(Element_Stiffness!$C$111,IF(Element_Stiffness!$C$110=0,IF(1=Element_Stiffness!$C$110,Element_Stiffness!T131,IF(1=Element_Stiffness!$E$110,Element_Stiffness!Z131,0)),IF(Element_Stiffness!$E$110=0,IF(1=Element_Stiffness!$C$110,Element_Stiffness!T137,IF(1=Element_Stiffness!$E$110,Element_Stiffness!Z137,0)),0)),0)+IF(Element_Stiffness!$C$146,IF(Element_Stiffness!$C$145=0,IF(1=Element_Stiffness!$C$145,Element_Stiffness!T166,IF(1=Element_Stiffness!$E$145,Element_Stiffness!Z166,0)),IF(Element_Stiffness!$E$145=0,IF(1=Element_Stiffness!$C$145,Element_Stiffness!T172,IF(1=Element_Stiffness!$E$145,Element_Stiffness!Z172,0)),0)),0)+IF(Element_Stiffness!$C$181,IF(Element_Stiffness!$C$180=0,IF(1=Element_Stiffness!$C$180,Element_Stiffness!T201,IF(1=Element_Stiffness!$E$180,Element_Stiffness!Z201,0)),IF(Element_Stiffness!$E$180=0,IF(1=Element_Stiffness!$C$180,Element_Stiffness!T207,IF(1=Element_Stiffness!$E$180,Element_Stiffness!Z207,0)),0)),0)+IF(Element_Stiffness!$C$216,IF(Element_Stiffness!$C$215=0,IF(1=Element_Stiffness!$C$215,Element_Stiffness!T236,IF(1=Element_Stiffness!$E$215,Element_Stiffness!Z236,0)),IF(Element_Stiffness!$E$215=0,IF(1=Element_Stiffness!$C$215,Element_Stiffness!T242,IF(1=Element_Stiffness!$E$215,Element_Stiffness!Z242,0)),0)),0)</f>
        <v/>
      </c>
      <c r="N5" s="21">
        <f>IF(Element_Stiffness!$C$6,IF(Element_Stiffness!$C$5=0,IF(1=Element_Stiffness!$C$5,Element_Stiffness!U26,IF(1=Element_Stiffness!$E$5,Element_Stiffness!AA26,0)),IF(Element_Stiffness!$E$5=0,IF(1=Element_Stiffness!$C$5,Element_Stiffness!U32,IF(1=Element_Stiffness!$E$5,Element_Stiffness!AA32,0)),0)),0)+IF(Element_Stiffness!$C$41,IF(Element_Stiffness!$C$40=0,IF(1=Element_Stiffness!$C$40,Element_Stiffness!U61,IF(1=Element_Stiffness!$E$40,Element_Stiffness!AA61,0)),IF(Element_Stiffness!$E$40=0,IF(1=Element_Stiffness!$C$40,Element_Stiffness!U67,IF(1=Element_Stiffness!$E$40,Element_Stiffness!AA67,0)),0)),0)+IF(Element_Stiffness!$C$76,IF(Element_Stiffness!$C$75=0,IF(1=Element_Stiffness!$C$75,Element_Stiffness!U96,IF(1=Element_Stiffness!$E$75,Element_Stiffness!AA96,0)),IF(Element_Stiffness!$E$75=0,IF(1=Element_Stiffness!$C$75,Element_Stiffness!U102,IF(1=Element_Stiffness!$E$75,Element_Stiffness!AA102,0)),0)),0)+IF(Element_Stiffness!$C$111,IF(Element_Stiffness!$C$110=0,IF(1=Element_Stiffness!$C$110,Element_Stiffness!U131,IF(1=Element_Stiffness!$E$110,Element_Stiffness!AA131,0)),IF(Element_Stiffness!$E$110=0,IF(1=Element_Stiffness!$C$110,Element_Stiffness!U137,IF(1=Element_Stiffness!$E$110,Element_Stiffness!AA137,0)),0)),0)+IF(Element_Stiffness!$C$146,IF(Element_Stiffness!$C$145=0,IF(1=Element_Stiffness!$C$145,Element_Stiffness!U166,IF(1=Element_Stiffness!$E$145,Element_Stiffness!AA166,0)),IF(Element_Stiffness!$E$145=0,IF(1=Element_Stiffness!$C$145,Element_Stiffness!U172,IF(1=Element_Stiffness!$E$145,Element_Stiffness!AA172,0)),0)),0)+IF(Element_Stiffness!$C$181,IF(Element_Stiffness!$C$180=0,IF(1=Element_Stiffness!$C$180,Element_Stiffness!U201,IF(1=Element_Stiffness!$E$180,Element_Stiffness!AA201,0)),IF(Element_Stiffness!$E$180=0,IF(1=Element_Stiffness!$C$180,Element_Stiffness!U207,IF(1=Element_Stiffness!$E$180,Element_Stiffness!AA207,0)),0)),0)+IF(Element_Stiffness!$C$216,IF(Element_Stiffness!$C$215=0,IF(1=Element_Stiffness!$C$215,Element_Stiffness!U236,IF(1=Element_Stiffness!$E$215,Element_Stiffness!AA236,0)),IF(Element_Stiffness!$E$215=0,IF(1=Element_Stiffness!$C$215,Element_Stiffness!U242,IF(1=Element_Stiffness!$E$215,Element_Stiffness!AA242,0)),0)),0)</f>
        <v/>
      </c>
      <c r="O5" s="21">
        <f>IF(Element_Stiffness!$C$6,IF(Element_Stiffness!$C$5=0,IF(2=Element_Stiffness!$C$5,Element_Stiffness!P26,IF(2=Element_Stiffness!$E$5,Element_Stiffness!V26,0)),IF(Element_Stiffness!$E$5=0,IF(2=Element_Stiffness!$C$5,Element_Stiffness!P32,IF(2=Element_Stiffness!$E$5,Element_Stiffness!V32,0)),0)),0)+IF(Element_Stiffness!$C$41,IF(Element_Stiffness!$C$40=0,IF(2=Element_Stiffness!$C$40,Element_Stiffness!P61,IF(2=Element_Stiffness!$E$40,Element_Stiffness!V61,0)),IF(Element_Stiffness!$E$40=0,IF(2=Element_Stiffness!$C$40,Element_Stiffness!P67,IF(2=Element_Stiffness!$E$40,Element_Stiffness!V67,0)),0)),0)+IF(Element_Stiffness!$C$76,IF(Element_Stiffness!$C$75=0,IF(2=Element_Stiffness!$C$75,Element_Stiffness!P96,IF(2=Element_Stiffness!$E$75,Element_Stiffness!V96,0)),IF(Element_Stiffness!$E$75=0,IF(2=Element_Stiffness!$C$75,Element_Stiffness!P102,IF(2=Element_Stiffness!$E$75,Element_Stiffness!V102,0)),0)),0)+IF(Element_Stiffness!$C$111,IF(Element_Stiffness!$C$110=0,IF(2=Element_Stiffness!$C$110,Element_Stiffness!P131,IF(2=Element_Stiffness!$E$110,Element_Stiffness!V131,0)),IF(Element_Stiffness!$E$110=0,IF(2=Element_Stiffness!$C$110,Element_Stiffness!P137,IF(2=Element_Stiffness!$E$110,Element_Stiffness!V137,0)),0)),0)+IF(Element_Stiffness!$C$146,IF(Element_Stiffness!$C$145=0,IF(2=Element_Stiffness!$C$145,Element_Stiffness!P166,IF(2=Element_Stiffness!$E$145,Element_Stiffness!V166,0)),IF(Element_Stiffness!$E$145=0,IF(2=Element_Stiffness!$C$145,Element_Stiffness!P172,IF(2=Element_Stiffness!$E$145,Element_Stiffness!V172,0)),0)),0)+IF(Element_Stiffness!$C$181,IF(Element_Stiffness!$C$180=0,IF(2=Element_Stiffness!$C$180,Element_Stiffness!P201,IF(2=Element_Stiffness!$E$180,Element_Stiffness!V201,0)),IF(Element_Stiffness!$E$180=0,IF(2=Element_Stiffness!$C$180,Element_Stiffness!P207,IF(2=Element_Stiffness!$E$180,Element_Stiffness!V207,0)),0)),0)+IF(Element_Stiffness!$C$216,IF(Element_Stiffness!$C$215=0,IF(2=Element_Stiffness!$C$215,Element_Stiffness!P236,IF(2=Element_Stiffness!$E$215,Element_Stiffness!V236,0)),IF(Element_Stiffness!$E$215=0,IF(2=Element_Stiffness!$C$215,Element_Stiffness!P242,IF(2=Element_Stiffness!$E$215,Element_Stiffness!V242,0)),0)),0)</f>
        <v/>
      </c>
      <c r="P5" s="21">
        <f>IF(Element_Stiffness!$C$6,IF(Element_Stiffness!$C$5=0,IF(2=Element_Stiffness!$C$5,Element_Stiffness!Q26,IF(2=Element_Stiffness!$E$5,Element_Stiffness!W26,0)),IF(Element_Stiffness!$E$5=0,IF(2=Element_Stiffness!$C$5,Element_Stiffness!Q32,IF(2=Element_Stiffness!$E$5,Element_Stiffness!W32,0)),0)),0)+IF(Element_Stiffness!$C$41,IF(Element_Stiffness!$C$40=0,IF(2=Element_Stiffness!$C$40,Element_Stiffness!Q61,IF(2=Element_Stiffness!$E$40,Element_Stiffness!W61,0)),IF(Element_Stiffness!$E$40=0,IF(2=Element_Stiffness!$C$40,Element_Stiffness!Q67,IF(2=Element_Stiffness!$E$40,Element_Stiffness!W67,0)),0)),0)+IF(Element_Stiffness!$C$76,IF(Element_Stiffness!$C$75=0,IF(2=Element_Stiffness!$C$75,Element_Stiffness!Q96,IF(2=Element_Stiffness!$E$75,Element_Stiffness!W96,0)),IF(Element_Stiffness!$E$75=0,IF(2=Element_Stiffness!$C$75,Element_Stiffness!Q102,IF(2=Element_Stiffness!$E$75,Element_Stiffness!W102,0)),0)),0)+IF(Element_Stiffness!$C$111,IF(Element_Stiffness!$C$110=0,IF(2=Element_Stiffness!$C$110,Element_Stiffness!Q131,IF(2=Element_Stiffness!$E$110,Element_Stiffness!W131,0)),IF(Element_Stiffness!$E$110=0,IF(2=Element_Stiffness!$C$110,Element_Stiffness!Q137,IF(2=Element_Stiffness!$E$110,Element_Stiffness!W137,0)),0)),0)+IF(Element_Stiffness!$C$146,IF(Element_Stiffness!$C$145=0,IF(2=Element_Stiffness!$C$145,Element_Stiffness!Q166,IF(2=Element_Stiffness!$E$145,Element_Stiffness!W166,0)),IF(Element_Stiffness!$E$145=0,IF(2=Element_Stiffness!$C$145,Element_Stiffness!Q172,IF(2=Element_Stiffness!$E$145,Element_Stiffness!W172,0)),0)),0)+IF(Element_Stiffness!$C$181,IF(Element_Stiffness!$C$180=0,IF(2=Element_Stiffness!$C$180,Element_Stiffness!Q201,IF(2=Element_Stiffness!$E$180,Element_Stiffness!W201,0)),IF(Element_Stiffness!$E$180=0,IF(2=Element_Stiffness!$C$180,Element_Stiffness!Q207,IF(2=Element_Stiffness!$E$180,Element_Stiffness!W207,0)),0)),0)+IF(Element_Stiffness!$C$216,IF(Element_Stiffness!$C$215=0,IF(2=Element_Stiffness!$C$215,Element_Stiffness!Q236,IF(2=Element_Stiffness!$E$215,Element_Stiffness!W236,0)),IF(Element_Stiffness!$E$215=0,IF(2=Element_Stiffness!$C$215,Element_Stiffness!Q242,IF(2=Element_Stiffness!$E$215,Element_Stiffness!W242,0)),0)),0)</f>
        <v/>
      </c>
      <c r="Q5" s="21">
        <f>IF(Element_Stiffness!$C$6,IF(Element_Stiffness!$C$5=0,IF(2=Element_Stiffness!$C$5,Element_Stiffness!R26,IF(2=Element_Stiffness!$E$5,Element_Stiffness!X26,0)),IF(Element_Stiffness!$E$5=0,IF(2=Element_Stiffness!$C$5,Element_Stiffness!R32,IF(2=Element_Stiffness!$E$5,Element_Stiffness!X32,0)),0)),0)+IF(Element_Stiffness!$C$41,IF(Element_Stiffness!$C$40=0,IF(2=Element_Stiffness!$C$40,Element_Stiffness!R61,IF(2=Element_Stiffness!$E$40,Element_Stiffness!X61,0)),IF(Element_Stiffness!$E$40=0,IF(2=Element_Stiffness!$C$40,Element_Stiffness!R67,IF(2=Element_Stiffness!$E$40,Element_Stiffness!X67,0)),0)),0)+IF(Element_Stiffness!$C$76,IF(Element_Stiffness!$C$75=0,IF(2=Element_Stiffness!$C$75,Element_Stiffness!R96,IF(2=Element_Stiffness!$E$75,Element_Stiffness!X96,0)),IF(Element_Stiffness!$E$75=0,IF(2=Element_Stiffness!$C$75,Element_Stiffness!R102,IF(2=Element_Stiffness!$E$75,Element_Stiffness!X102,0)),0)),0)+IF(Element_Stiffness!$C$111,IF(Element_Stiffness!$C$110=0,IF(2=Element_Stiffness!$C$110,Element_Stiffness!R131,IF(2=Element_Stiffness!$E$110,Element_Stiffness!X131,0)),IF(Element_Stiffness!$E$110=0,IF(2=Element_Stiffness!$C$110,Element_Stiffness!R137,IF(2=Element_Stiffness!$E$110,Element_Stiffness!X137,0)),0)),0)+IF(Element_Stiffness!$C$146,IF(Element_Stiffness!$C$145=0,IF(2=Element_Stiffness!$C$145,Element_Stiffness!R166,IF(2=Element_Stiffness!$E$145,Element_Stiffness!X166,0)),IF(Element_Stiffness!$E$145=0,IF(2=Element_Stiffness!$C$145,Element_Stiffness!R172,IF(2=Element_Stiffness!$E$145,Element_Stiffness!X172,0)),0)),0)+IF(Element_Stiffness!$C$181,IF(Element_Stiffness!$C$180=0,IF(2=Element_Stiffness!$C$180,Element_Stiffness!R201,IF(2=Element_Stiffness!$E$180,Element_Stiffness!X201,0)),IF(Element_Stiffness!$E$180=0,IF(2=Element_Stiffness!$C$180,Element_Stiffness!R207,IF(2=Element_Stiffness!$E$180,Element_Stiffness!X207,0)),0)),0)+IF(Element_Stiffness!$C$216,IF(Element_Stiffness!$C$215=0,IF(2=Element_Stiffness!$C$215,Element_Stiffness!R236,IF(2=Element_Stiffness!$E$215,Element_Stiffness!X236,0)),IF(Element_Stiffness!$E$215=0,IF(2=Element_Stiffness!$C$215,Element_Stiffness!R242,IF(2=Element_Stiffness!$E$215,Element_Stiffness!X242,0)),0)),0)</f>
        <v/>
      </c>
      <c r="R5" s="21">
        <f>IF(Element_Stiffness!$C$6,IF(Element_Stiffness!$C$5=0,IF(2=Element_Stiffness!$C$5,Element_Stiffness!S26,IF(2=Element_Stiffness!$E$5,Element_Stiffness!Y26,0)),IF(Element_Stiffness!$E$5=0,IF(2=Element_Stiffness!$C$5,Element_Stiffness!S32,IF(2=Element_Stiffness!$E$5,Element_Stiffness!Y32,0)),0)),0)+IF(Element_Stiffness!$C$41,IF(Element_Stiffness!$C$40=0,IF(2=Element_Stiffness!$C$40,Element_Stiffness!S61,IF(2=Element_Stiffness!$E$40,Element_Stiffness!Y61,0)),IF(Element_Stiffness!$E$40=0,IF(2=Element_Stiffness!$C$40,Element_Stiffness!S67,IF(2=Element_Stiffness!$E$40,Element_Stiffness!Y67,0)),0)),0)+IF(Element_Stiffness!$C$76,IF(Element_Stiffness!$C$75=0,IF(2=Element_Stiffness!$C$75,Element_Stiffness!S96,IF(2=Element_Stiffness!$E$75,Element_Stiffness!Y96,0)),IF(Element_Stiffness!$E$75=0,IF(2=Element_Stiffness!$C$75,Element_Stiffness!S102,IF(2=Element_Stiffness!$E$75,Element_Stiffness!Y102,0)),0)),0)+IF(Element_Stiffness!$C$111,IF(Element_Stiffness!$C$110=0,IF(2=Element_Stiffness!$C$110,Element_Stiffness!S131,IF(2=Element_Stiffness!$E$110,Element_Stiffness!Y131,0)),IF(Element_Stiffness!$E$110=0,IF(2=Element_Stiffness!$C$110,Element_Stiffness!S137,IF(2=Element_Stiffness!$E$110,Element_Stiffness!Y137,0)),0)),0)+IF(Element_Stiffness!$C$146,IF(Element_Stiffness!$C$145=0,IF(2=Element_Stiffness!$C$145,Element_Stiffness!S166,IF(2=Element_Stiffness!$E$145,Element_Stiffness!Y166,0)),IF(Element_Stiffness!$E$145=0,IF(2=Element_Stiffness!$C$145,Element_Stiffness!S172,IF(2=Element_Stiffness!$E$145,Element_Stiffness!Y172,0)),0)),0)+IF(Element_Stiffness!$C$181,IF(Element_Stiffness!$C$180=0,IF(2=Element_Stiffness!$C$180,Element_Stiffness!S201,IF(2=Element_Stiffness!$E$180,Element_Stiffness!Y201,0)),IF(Element_Stiffness!$E$180=0,IF(2=Element_Stiffness!$C$180,Element_Stiffness!S207,IF(2=Element_Stiffness!$E$180,Element_Stiffness!Y207,0)),0)),0)+IF(Element_Stiffness!$C$216,IF(Element_Stiffness!$C$215=0,IF(2=Element_Stiffness!$C$215,Element_Stiffness!S236,IF(2=Element_Stiffness!$E$215,Element_Stiffness!Y236,0)),IF(Element_Stiffness!$E$215=0,IF(2=Element_Stiffness!$C$215,Element_Stiffness!S242,IF(2=Element_Stiffness!$E$215,Element_Stiffness!Y242,0)),0)),0)</f>
        <v/>
      </c>
      <c r="S5" s="21">
        <f>IF(Element_Stiffness!$C$6,IF(Element_Stiffness!$C$5=0,IF(2=Element_Stiffness!$C$5,Element_Stiffness!T26,IF(2=Element_Stiffness!$E$5,Element_Stiffness!Z26,0)),IF(Element_Stiffness!$E$5=0,IF(2=Element_Stiffness!$C$5,Element_Stiffness!T32,IF(2=Element_Stiffness!$E$5,Element_Stiffness!Z32,0)),0)),0)+IF(Element_Stiffness!$C$41,IF(Element_Stiffness!$C$40=0,IF(2=Element_Stiffness!$C$40,Element_Stiffness!T61,IF(2=Element_Stiffness!$E$40,Element_Stiffness!Z61,0)),IF(Element_Stiffness!$E$40=0,IF(2=Element_Stiffness!$C$40,Element_Stiffness!T67,IF(2=Element_Stiffness!$E$40,Element_Stiffness!Z67,0)),0)),0)+IF(Element_Stiffness!$C$76,IF(Element_Stiffness!$C$75=0,IF(2=Element_Stiffness!$C$75,Element_Stiffness!T96,IF(2=Element_Stiffness!$E$75,Element_Stiffness!Z96,0)),IF(Element_Stiffness!$E$75=0,IF(2=Element_Stiffness!$C$75,Element_Stiffness!T102,IF(2=Element_Stiffness!$E$75,Element_Stiffness!Z102,0)),0)),0)+IF(Element_Stiffness!$C$111,IF(Element_Stiffness!$C$110=0,IF(2=Element_Stiffness!$C$110,Element_Stiffness!T131,IF(2=Element_Stiffness!$E$110,Element_Stiffness!Z131,0)),IF(Element_Stiffness!$E$110=0,IF(2=Element_Stiffness!$C$110,Element_Stiffness!T137,IF(2=Element_Stiffness!$E$110,Element_Stiffness!Z137,0)),0)),0)+IF(Element_Stiffness!$C$146,IF(Element_Stiffness!$C$145=0,IF(2=Element_Stiffness!$C$145,Element_Stiffness!T166,IF(2=Element_Stiffness!$E$145,Element_Stiffness!Z166,0)),IF(Element_Stiffness!$E$145=0,IF(2=Element_Stiffness!$C$145,Element_Stiffness!T172,IF(2=Element_Stiffness!$E$145,Element_Stiffness!Z172,0)),0)),0)+IF(Element_Stiffness!$C$181,IF(Element_Stiffness!$C$180=0,IF(2=Element_Stiffness!$C$180,Element_Stiffness!T201,IF(2=Element_Stiffness!$E$180,Element_Stiffness!Z201,0)),IF(Element_Stiffness!$E$180=0,IF(2=Element_Stiffness!$C$180,Element_Stiffness!T207,IF(2=Element_Stiffness!$E$180,Element_Stiffness!Z207,0)),0)),0)+IF(Element_Stiffness!$C$216,IF(Element_Stiffness!$C$215=0,IF(2=Element_Stiffness!$C$215,Element_Stiffness!T236,IF(2=Element_Stiffness!$E$215,Element_Stiffness!Z236,0)),IF(Element_Stiffness!$E$215=0,IF(2=Element_Stiffness!$C$215,Element_Stiffness!T242,IF(2=Element_Stiffness!$E$215,Element_Stiffness!Z242,0)),0)),0)</f>
        <v/>
      </c>
      <c r="T5" s="21">
        <f>IF(Element_Stiffness!$C$6,IF(Element_Stiffness!$C$5=0,IF(2=Element_Stiffness!$C$5,Element_Stiffness!U26,IF(2=Element_Stiffness!$E$5,Element_Stiffness!AA26,0)),IF(Element_Stiffness!$E$5=0,IF(2=Element_Stiffness!$C$5,Element_Stiffness!U32,IF(2=Element_Stiffness!$E$5,Element_Stiffness!AA32,0)),0)),0)+IF(Element_Stiffness!$C$41,IF(Element_Stiffness!$C$40=0,IF(2=Element_Stiffness!$C$40,Element_Stiffness!U61,IF(2=Element_Stiffness!$E$40,Element_Stiffness!AA61,0)),IF(Element_Stiffness!$E$40=0,IF(2=Element_Stiffness!$C$40,Element_Stiffness!U67,IF(2=Element_Stiffness!$E$40,Element_Stiffness!AA67,0)),0)),0)+IF(Element_Stiffness!$C$76,IF(Element_Stiffness!$C$75=0,IF(2=Element_Stiffness!$C$75,Element_Stiffness!U96,IF(2=Element_Stiffness!$E$75,Element_Stiffness!AA96,0)),IF(Element_Stiffness!$E$75=0,IF(2=Element_Stiffness!$C$75,Element_Stiffness!U102,IF(2=Element_Stiffness!$E$75,Element_Stiffness!AA102,0)),0)),0)+IF(Element_Stiffness!$C$111,IF(Element_Stiffness!$C$110=0,IF(2=Element_Stiffness!$C$110,Element_Stiffness!U131,IF(2=Element_Stiffness!$E$110,Element_Stiffness!AA131,0)),IF(Element_Stiffness!$E$110=0,IF(2=Element_Stiffness!$C$110,Element_Stiffness!U137,IF(2=Element_Stiffness!$E$110,Element_Stiffness!AA137,0)),0)),0)+IF(Element_Stiffness!$C$146,IF(Element_Stiffness!$C$145=0,IF(2=Element_Stiffness!$C$145,Element_Stiffness!U166,IF(2=Element_Stiffness!$E$145,Element_Stiffness!AA166,0)),IF(Element_Stiffness!$E$145=0,IF(2=Element_Stiffness!$C$145,Element_Stiffness!U172,IF(2=Element_Stiffness!$E$145,Element_Stiffness!AA172,0)),0)),0)+IF(Element_Stiffness!$C$181,IF(Element_Stiffness!$C$180=0,IF(2=Element_Stiffness!$C$180,Element_Stiffness!U201,IF(2=Element_Stiffness!$E$180,Element_Stiffness!AA201,0)),IF(Element_Stiffness!$E$180=0,IF(2=Element_Stiffness!$C$180,Element_Stiffness!U207,IF(2=Element_Stiffness!$E$180,Element_Stiffness!AA207,0)),0)),0)+IF(Element_Stiffness!$C$216,IF(Element_Stiffness!$C$215=0,IF(2=Element_Stiffness!$C$215,Element_Stiffness!U236,IF(2=Element_Stiffness!$E$215,Element_Stiffness!AA236,0)),IF(Element_Stiffness!$E$215=0,IF(2=Element_Stiffness!$C$215,Element_Stiffness!U242,IF(2=Element_Stiffness!$E$215,Element_Stiffness!AA242,0)),0)),0)</f>
        <v/>
      </c>
      <c r="U5" s="21">
        <f>IF(Element_Stiffness!$C$6,IF(Element_Stiffness!$C$5=0,IF(3=Element_Stiffness!$C$5,Element_Stiffness!P26,IF(3=Element_Stiffness!$E$5,Element_Stiffness!V26,0)),IF(Element_Stiffness!$E$5=0,IF(3=Element_Stiffness!$C$5,Element_Stiffness!P32,IF(3=Element_Stiffness!$E$5,Element_Stiffness!V32,0)),0)),0)+IF(Element_Stiffness!$C$41,IF(Element_Stiffness!$C$40=0,IF(3=Element_Stiffness!$C$40,Element_Stiffness!P61,IF(3=Element_Stiffness!$E$40,Element_Stiffness!V61,0)),IF(Element_Stiffness!$E$40=0,IF(3=Element_Stiffness!$C$40,Element_Stiffness!P67,IF(3=Element_Stiffness!$E$40,Element_Stiffness!V67,0)),0)),0)+IF(Element_Stiffness!$C$76,IF(Element_Stiffness!$C$75=0,IF(3=Element_Stiffness!$C$75,Element_Stiffness!P96,IF(3=Element_Stiffness!$E$75,Element_Stiffness!V96,0)),IF(Element_Stiffness!$E$75=0,IF(3=Element_Stiffness!$C$75,Element_Stiffness!P102,IF(3=Element_Stiffness!$E$75,Element_Stiffness!V102,0)),0)),0)+IF(Element_Stiffness!$C$111,IF(Element_Stiffness!$C$110=0,IF(3=Element_Stiffness!$C$110,Element_Stiffness!P131,IF(3=Element_Stiffness!$E$110,Element_Stiffness!V131,0)),IF(Element_Stiffness!$E$110=0,IF(3=Element_Stiffness!$C$110,Element_Stiffness!P137,IF(3=Element_Stiffness!$E$110,Element_Stiffness!V137,0)),0)),0)+IF(Element_Stiffness!$C$146,IF(Element_Stiffness!$C$145=0,IF(3=Element_Stiffness!$C$145,Element_Stiffness!P166,IF(3=Element_Stiffness!$E$145,Element_Stiffness!V166,0)),IF(Element_Stiffness!$E$145=0,IF(3=Element_Stiffness!$C$145,Element_Stiffness!P172,IF(3=Element_Stiffness!$E$145,Element_Stiffness!V172,0)),0)),0)+IF(Element_Stiffness!$C$181,IF(Element_Stiffness!$C$180=0,IF(3=Element_Stiffness!$C$180,Element_Stiffness!P201,IF(3=Element_Stiffness!$E$180,Element_Stiffness!V201,0)),IF(Element_Stiffness!$E$180=0,IF(3=Element_Stiffness!$C$180,Element_Stiffness!P207,IF(3=Element_Stiffness!$E$180,Element_Stiffness!V207,0)),0)),0)+IF(Element_Stiffness!$C$216,IF(Element_Stiffness!$C$215=0,IF(3=Element_Stiffness!$C$215,Element_Stiffness!P236,IF(3=Element_Stiffness!$E$215,Element_Stiffness!V236,0)),IF(Element_Stiffness!$E$215=0,IF(3=Element_Stiffness!$C$215,Element_Stiffness!P242,IF(3=Element_Stiffness!$E$215,Element_Stiffness!V242,0)),0)),0)</f>
        <v/>
      </c>
      <c r="V5" s="21">
        <f>IF(Element_Stiffness!$C$6,IF(Element_Stiffness!$C$5=0,IF(3=Element_Stiffness!$C$5,Element_Stiffness!Q26,IF(3=Element_Stiffness!$E$5,Element_Stiffness!W26,0)),IF(Element_Stiffness!$E$5=0,IF(3=Element_Stiffness!$C$5,Element_Stiffness!Q32,IF(3=Element_Stiffness!$E$5,Element_Stiffness!W32,0)),0)),0)+IF(Element_Stiffness!$C$41,IF(Element_Stiffness!$C$40=0,IF(3=Element_Stiffness!$C$40,Element_Stiffness!Q61,IF(3=Element_Stiffness!$E$40,Element_Stiffness!W61,0)),IF(Element_Stiffness!$E$40=0,IF(3=Element_Stiffness!$C$40,Element_Stiffness!Q67,IF(3=Element_Stiffness!$E$40,Element_Stiffness!W67,0)),0)),0)+IF(Element_Stiffness!$C$76,IF(Element_Stiffness!$C$75=0,IF(3=Element_Stiffness!$C$75,Element_Stiffness!Q96,IF(3=Element_Stiffness!$E$75,Element_Stiffness!W96,0)),IF(Element_Stiffness!$E$75=0,IF(3=Element_Stiffness!$C$75,Element_Stiffness!Q102,IF(3=Element_Stiffness!$E$75,Element_Stiffness!W102,0)),0)),0)+IF(Element_Stiffness!$C$111,IF(Element_Stiffness!$C$110=0,IF(3=Element_Stiffness!$C$110,Element_Stiffness!Q131,IF(3=Element_Stiffness!$E$110,Element_Stiffness!W131,0)),IF(Element_Stiffness!$E$110=0,IF(3=Element_Stiffness!$C$110,Element_Stiffness!Q137,IF(3=Element_Stiffness!$E$110,Element_Stiffness!W137,0)),0)),0)+IF(Element_Stiffness!$C$146,IF(Element_Stiffness!$C$145=0,IF(3=Element_Stiffness!$C$145,Element_Stiffness!Q166,IF(3=Element_Stiffness!$E$145,Element_Stiffness!W166,0)),IF(Element_Stiffness!$E$145=0,IF(3=Element_Stiffness!$C$145,Element_Stiffness!Q172,IF(3=Element_Stiffness!$E$145,Element_Stiffness!W172,0)),0)),0)+IF(Element_Stiffness!$C$181,IF(Element_Stiffness!$C$180=0,IF(3=Element_Stiffness!$C$180,Element_Stiffness!Q201,IF(3=Element_Stiffness!$E$180,Element_Stiffness!W201,0)),IF(Element_Stiffness!$E$180=0,IF(3=Element_Stiffness!$C$180,Element_Stiffness!Q207,IF(3=Element_Stiffness!$E$180,Element_Stiffness!W207,0)),0)),0)+IF(Element_Stiffness!$C$216,IF(Element_Stiffness!$C$215=0,IF(3=Element_Stiffness!$C$215,Element_Stiffness!Q236,IF(3=Element_Stiffness!$E$215,Element_Stiffness!W236,0)),IF(Element_Stiffness!$E$215=0,IF(3=Element_Stiffness!$C$215,Element_Stiffness!Q242,IF(3=Element_Stiffness!$E$215,Element_Stiffness!W242,0)),0)),0)</f>
        <v/>
      </c>
      <c r="W5" s="21">
        <f>IF(Element_Stiffness!$C$6,IF(Element_Stiffness!$C$5=0,IF(3=Element_Stiffness!$C$5,Element_Stiffness!R26,IF(3=Element_Stiffness!$E$5,Element_Stiffness!X26,0)),IF(Element_Stiffness!$E$5=0,IF(3=Element_Stiffness!$C$5,Element_Stiffness!R32,IF(3=Element_Stiffness!$E$5,Element_Stiffness!X32,0)),0)),0)+IF(Element_Stiffness!$C$41,IF(Element_Stiffness!$C$40=0,IF(3=Element_Stiffness!$C$40,Element_Stiffness!R61,IF(3=Element_Stiffness!$E$40,Element_Stiffness!X61,0)),IF(Element_Stiffness!$E$40=0,IF(3=Element_Stiffness!$C$40,Element_Stiffness!R67,IF(3=Element_Stiffness!$E$40,Element_Stiffness!X67,0)),0)),0)+IF(Element_Stiffness!$C$76,IF(Element_Stiffness!$C$75=0,IF(3=Element_Stiffness!$C$75,Element_Stiffness!R96,IF(3=Element_Stiffness!$E$75,Element_Stiffness!X96,0)),IF(Element_Stiffness!$E$75=0,IF(3=Element_Stiffness!$C$75,Element_Stiffness!R102,IF(3=Element_Stiffness!$E$75,Element_Stiffness!X102,0)),0)),0)+IF(Element_Stiffness!$C$111,IF(Element_Stiffness!$C$110=0,IF(3=Element_Stiffness!$C$110,Element_Stiffness!R131,IF(3=Element_Stiffness!$E$110,Element_Stiffness!X131,0)),IF(Element_Stiffness!$E$110=0,IF(3=Element_Stiffness!$C$110,Element_Stiffness!R137,IF(3=Element_Stiffness!$E$110,Element_Stiffness!X137,0)),0)),0)+IF(Element_Stiffness!$C$146,IF(Element_Stiffness!$C$145=0,IF(3=Element_Stiffness!$C$145,Element_Stiffness!R166,IF(3=Element_Stiffness!$E$145,Element_Stiffness!X166,0)),IF(Element_Stiffness!$E$145=0,IF(3=Element_Stiffness!$C$145,Element_Stiffness!R172,IF(3=Element_Stiffness!$E$145,Element_Stiffness!X172,0)),0)),0)+IF(Element_Stiffness!$C$181,IF(Element_Stiffness!$C$180=0,IF(3=Element_Stiffness!$C$180,Element_Stiffness!R201,IF(3=Element_Stiffness!$E$180,Element_Stiffness!X201,0)),IF(Element_Stiffness!$E$180=0,IF(3=Element_Stiffness!$C$180,Element_Stiffness!R207,IF(3=Element_Stiffness!$E$180,Element_Stiffness!X207,0)),0)),0)+IF(Element_Stiffness!$C$216,IF(Element_Stiffness!$C$215=0,IF(3=Element_Stiffness!$C$215,Element_Stiffness!R236,IF(3=Element_Stiffness!$E$215,Element_Stiffness!X236,0)),IF(Element_Stiffness!$E$215=0,IF(3=Element_Stiffness!$C$215,Element_Stiffness!R242,IF(3=Element_Stiffness!$E$215,Element_Stiffness!X242,0)),0)),0)</f>
        <v/>
      </c>
      <c r="X5" s="21">
        <f>IF(Element_Stiffness!$C$6,IF(Element_Stiffness!$C$5=0,IF(3=Element_Stiffness!$C$5,Element_Stiffness!S26,IF(3=Element_Stiffness!$E$5,Element_Stiffness!Y26,0)),IF(Element_Stiffness!$E$5=0,IF(3=Element_Stiffness!$C$5,Element_Stiffness!S32,IF(3=Element_Stiffness!$E$5,Element_Stiffness!Y32,0)),0)),0)+IF(Element_Stiffness!$C$41,IF(Element_Stiffness!$C$40=0,IF(3=Element_Stiffness!$C$40,Element_Stiffness!S61,IF(3=Element_Stiffness!$E$40,Element_Stiffness!Y61,0)),IF(Element_Stiffness!$E$40=0,IF(3=Element_Stiffness!$C$40,Element_Stiffness!S67,IF(3=Element_Stiffness!$E$40,Element_Stiffness!Y67,0)),0)),0)+IF(Element_Stiffness!$C$76,IF(Element_Stiffness!$C$75=0,IF(3=Element_Stiffness!$C$75,Element_Stiffness!S96,IF(3=Element_Stiffness!$E$75,Element_Stiffness!Y96,0)),IF(Element_Stiffness!$E$75=0,IF(3=Element_Stiffness!$C$75,Element_Stiffness!S102,IF(3=Element_Stiffness!$E$75,Element_Stiffness!Y102,0)),0)),0)+IF(Element_Stiffness!$C$111,IF(Element_Stiffness!$C$110=0,IF(3=Element_Stiffness!$C$110,Element_Stiffness!S131,IF(3=Element_Stiffness!$E$110,Element_Stiffness!Y131,0)),IF(Element_Stiffness!$E$110=0,IF(3=Element_Stiffness!$C$110,Element_Stiffness!S137,IF(3=Element_Stiffness!$E$110,Element_Stiffness!Y137,0)),0)),0)+IF(Element_Stiffness!$C$146,IF(Element_Stiffness!$C$145=0,IF(3=Element_Stiffness!$C$145,Element_Stiffness!S166,IF(3=Element_Stiffness!$E$145,Element_Stiffness!Y166,0)),IF(Element_Stiffness!$E$145=0,IF(3=Element_Stiffness!$C$145,Element_Stiffness!S172,IF(3=Element_Stiffness!$E$145,Element_Stiffness!Y172,0)),0)),0)+IF(Element_Stiffness!$C$181,IF(Element_Stiffness!$C$180=0,IF(3=Element_Stiffness!$C$180,Element_Stiffness!S201,IF(3=Element_Stiffness!$E$180,Element_Stiffness!Y201,0)),IF(Element_Stiffness!$E$180=0,IF(3=Element_Stiffness!$C$180,Element_Stiffness!S207,IF(3=Element_Stiffness!$E$180,Element_Stiffness!Y207,0)),0)),0)+IF(Element_Stiffness!$C$216,IF(Element_Stiffness!$C$215=0,IF(3=Element_Stiffness!$C$215,Element_Stiffness!S236,IF(3=Element_Stiffness!$E$215,Element_Stiffness!Y236,0)),IF(Element_Stiffness!$E$215=0,IF(3=Element_Stiffness!$C$215,Element_Stiffness!S242,IF(3=Element_Stiffness!$E$215,Element_Stiffness!Y242,0)),0)),0)</f>
        <v/>
      </c>
      <c r="Y5" s="21">
        <f>IF(Element_Stiffness!$C$6,IF(Element_Stiffness!$C$5=0,IF(3=Element_Stiffness!$C$5,Element_Stiffness!T26,IF(3=Element_Stiffness!$E$5,Element_Stiffness!Z26,0)),IF(Element_Stiffness!$E$5=0,IF(3=Element_Stiffness!$C$5,Element_Stiffness!T32,IF(3=Element_Stiffness!$E$5,Element_Stiffness!Z32,0)),0)),0)+IF(Element_Stiffness!$C$41,IF(Element_Stiffness!$C$40=0,IF(3=Element_Stiffness!$C$40,Element_Stiffness!T61,IF(3=Element_Stiffness!$E$40,Element_Stiffness!Z61,0)),IF(Element_Stiffness!$E$40=0,IF(3=Element_Stiffness!$C$40,Element_Stiffness!T67,IF(3=Element_Stiffness!$E$40,Element_Stiffness!Z67,0)),0)),0)+IF(Element_Stiffness!$C$76,IF(Element_Stiffness!$C$75=0,IF(3=Element_Stiffness!$C$75,Element_Stiffness!T96,IF(3=Element_Stiffness!$E$75,Element_Stiffness!Z96,0)),IF(Element_Stiffness!$E$75=0,IF(3=Element_Stiffness!$C$75,Element_Stiffness!T102,IF(3=Element_Stiffness!$E$75,Element_Stiffness!Z102,0)),0)),0)+IF(Element_Stiffness!$C$111,IF(Element_Stiffness!$C$110=0,IF(3=Element_Stiffness!$C$110,Element_Stiffness!T131,IF(3=Element_Stiffness!$E$110,Element_Stiffness!Z131,0)),IF(Element_Stiffness!$E$110=0,IF(3=Element_Stiffness!$C$110,Element_Stiffness!T137,IF(3=Element_Stiffness!$E$110,Element_Stiffness!Z137,0)),0)),0)+IF(Element_Stiffness!$C$146,IF(Element_Stiffness!$C$145=0,IF(3=Element_Stiffness!$C$145,Element_Stiffness!T166,IF(3=Element_Stiffness!$E$145,Element_Stiffness!Z166,0)),IF(Element_Stiffness!$E$145=0,IF(3=Element_Stiffness!$C$145,Element_Stiffness!T172,IF(3=Element_Stiffness!$E$145,Element_Stiffness!Z172,0)),0)),0)+IF(Element_Stiffness!$C$181,IF(Element_Stiffness!$C$180=0,IF(3=Element_Stiffness!$C$180,Element_Stiffness!T201,IF(3=Element_Stiffness!$E$180,Element_Stiffness!Z201,0)),IF(Element_Stiffness!$E$180=0,IF(3=Element_Stiffness!$C$180,Element_Stiffness!T207,IF(3=Element_Stiffness!$E$180,Element_Stiffness!Z207,0)),0)),0)+IF(Element_Stiffness!$C$216,IF(Element_Stiffness!$C$215=0,IF(3=Element_Stiffness!$C$215,Element_Stiffness!T236,IF(3=Element_Stiffness!$E$215,Element_Stiffness!Z236,0)),IF(Element_Stiffness!$E$215=0,IF(3=Element_Stiffness!$C$215,Element_Stiffness!T242,IF(3=Element_Stiffness!$E$215,Element_Stiffness!Z242,0)),0)),0)</f>
        <v/>
      </c>
      <c r="Z5" s="21">
        <f>IF(Element_Stiffness!$C$6,IF(Element_Stiffness!$C$5=0,IF(3=Element_Stiffness!$C$5,Element_Stiffness!U26,IF(3=Element_Stiffness!$E$5,Element_Stiffness!AA26,0)),IF(Element_Stiffness!$E$5=0,IF(3=Element_Stiffness!$C$5,Element_Stiffness!U32,IF(3=Element_Stiffness!$E$5,Element_Stiffness!AA32,0)),0)),0)+IF(Element_Stiffness!$C$41,IF(Element_Stiffness!$C$40=0,IF(3=Element_Stiffness!$C$40,Element_Stiffness!U61,IF(3=Element_Stiffness!$E$40,Element_Stiffness!AA61,0)),IF(Element_Stiffness!$E$40=0,IF(3=Element_Stiffness!$C$40,Element_Stiffness!U67,IF(3=Element_Stiffness!$E$40,Element_Stiffness!AA67,0)),0)),0)+IF(Element_Stiffness!$C$76,IF(Element_Stiffness!$C$75=0,IF(3=Element_Stiffness!$C$75,Element_Stiffness!U96,IF(3=Element_Stiffness!$E$75,Element_Stiffness!AA96,0)),IF(Element_Stiffness!$E$75=0,IF(3=Element_Stiffness!$C$75,Element_Stiffness!U102,IF(3=Element_Stiffness!$E$75,Element_Stiffness!AA102,0)),0)),0)+IF(Element_Stiffness!$C$111,IF(Element_Stiffness!$C$110=0,IF(3=Element_Stiffness!$C$110,Element_Stiffness!U131,IF(3=Element_Stiffness!$E$110,Element_Stiffness!AA131,0)),IF(Element_Stiffness!$E$110=0,IF(3=Element_Stiffness!$C$110,Element_Stiffness!U137,IF(3=Element_Stiffness!$E$110,Element_Stiffness!AA137,0)),0)),0)+IF(Element_Stiffness!$C$146,IF(Element_Stiffness!$C$145=0,IF(3=Element_Stiffness!$C$145,Element_Stiffness!U166,IF(3=Element_Stiffness!$E$145,Element_Stiffness!AA166,0)),IF(Element_Stiffness!$E$145=0,IF(3=Element_Stiffness!$C$145,Element_Stiffness!U172,IF(3=Element_Stiffness!$E$145,Element_Stiffness!AA172,0)),0)),0)+IF(Element_Stiffness!$C$181,IF(Element_Stiffness!$C$180=0,IF(3=Element_Stiffness!$C$180,Element_Stiffness!U201,IF(3=Element_Stiffness!$E$180,Element_Stiffness!AA201,0)),IF(Element_Stiffness!$E$180=0,IF(3=Element_Stiffness!$C$180,Element_Stiffness!U207,IF(3=Element_Stiffness!$E$180,Element_Stiffness!AA207,0)),0)),0)+IF(Element_Stiffness!$C$216,IF(Element_Stiffness!$C$215=0,IF(3=Element_Stiffness!$C$215,Element_Stiffness!U236,IF(3=Element_Stiffness!$E$215,Element_Stiffness!AA236,0)),IF(Element_Stiffness!$E$215=0,IF(3=Element_Stiffness!$C$215,Element_Stiffness!U242,IF(3=Element_Stiffness!$E$215,Element_Stiffness!AA242,0)),0)),0)</f>
        <v/>
      </c>
      <c r="AA5" s="21">
        <f>IF(Element_Stiffness!$C$6,IF(Element_Stiffness!$C$5=0,IF(4=Element_Stiffness!$C$5,Element_Stiffness!P26,IF(4=Element_Stiffness!$E$5,Element_Stiffness!V26,0)),IF(Element_Stiffness!$E$5=0,IF(4=Element_Stiffness!$C$5,Element_Stiffness!P32,IF(4=Element_Stiffness!$E$5,Element_Stiffness!V32,0)),0)),0)+IF(Element_Stiffness!$C$41,IF(Element_Stiffness!$C$40=0,IF(4=Element_Stiffness!$C$40,Element_Stiffness!P61,IF(4=Element_Stiffness!$E$40,Element_Stiffness!V61,0)),IF(Element_Stiffness!$E$40=0,IF(4=Element_Stiffness!$C$40,Element_Stiffness!P67,IF(4=Element_Stiffness!$E$40,Element_Stiffness!V67,0)),0)),0)+IF(Element_Stiffness!$C$76,IF(Element_Stiffness!$C$75=0,IF(4=Element_Stiffness!$C$75,Element_Stiffness!P96,IF(4=Element_Stiffness!$E$75,Element_Stiffness!V96,0)),IF(Element_Stiffness!$E$75=0,IF(4=Element_Stiffness!$C$75,Element_Stiffness!P102,IF(4=Element_Stiffness!$E$75,Element_Stiffness!V102,0)),0)),0)+IF(Element_Stiffness!$C$111,IF(Element_Stiffness!$C$110=0,IF(4=Element_Stiffness!$C$110,Element_Stiffness!P131,IF(4=Element_Stiffness!$E$110,Element_Stiffness!V131,0)),IF(Element_Stiffness!$E$110=0,IF(4=Element_Stiffness!$C$110,Element_Stiffness!P137,IF(4=Element_Stiffness!$E$110,Element_Stiffness!V137,0)),0)),0)+IF(Element_Stiffness!$C$146,IF(Element_Stiffness!$C$145=0,IF(4=Element_Stiffness!$C$145,Element_Stiffness!P166,IF(4=Element_Stiffness!$E$145,Element_Stiffness!V166,0)),IF(Element_Stiffness!$E$145=0,IF(4=Element_Stiffness!$C$145,Element_Stiffness!P172,IF(4=Element_Stiffness!$E$145,Element_Stiffness!V172,0)),0)),0)+IF(Element_Stiffness!$C$181,IF(Element_Stiffness!$C$180=0,IF(4=Element_Stiffness!$C$180,Element_Stiffness!P201,IF(4=Element_Stiffness!$E$180,Element_Stiffness!V201,0)),IF(Element_Stiffness!$E$180=0,IF(4=Element_Stiffness!$C$180,Element_Stiffness!P207,IF(4=Element_Stiffness!$E$180,Element_Stiffness!V207,0)),0)),0)+IF(Element_Stiffness!$C$216,IF(Element_Stiffness!$C$215=0,IF(4=Element_Stiffness!$C$215,Element_Stiffness!P236,IF(4=Element_Stiffness!$E$215,Element_Stiffness!V236,0)),IF(Element_Stiffness!$E$215=0,IF(4=Element_Stiffness!$C$215,Element_Stiffness!P242,IF(4=Element_Stiffness!$E$215,Element_Stiffness!V242,0)),0)),0)</f>
        <v/>
      </c>
      <c r="AB5" s="21">
        <f>IF(Element_Stiffness!$C$6,IF(Element_Stiffness!$C$5=0,IF(4=Element_Stiffness!$C$5,Element_Stiffness!Q26,IF(4=Element_Stiffness!$E$5,Element_Stiffness!W26,0)),IF(Element_Stiffness!$E$5=0,IF(4=Element_Stiffness!$C$5,Element_Stiffness!Q32,IF(4=Element_Stiffness!$E$5,Element_Stiffness!W32,0)),0)),0)+IF(Element_Stiffness!$C$41,IF(Element_Stiffness!$C$40=0,IF(4=Element_Stiffness!$C$40,Element_Stiffness!Q61,IF(4=Element_Stiffness!$E$40,Element_Stiffness!W61,0)),IF(Element_Stiffness!$E$40=0,IF(4=Element_Stiffness!$C$40,Element_Stiffness!Q67,IF(4=Element_Stiffness!$E$40,Element_Stiffness!W67,0)),0)),0)+IF(Element_Stiffness!$C$76,IF(Element_Stiffness!$C$75=0,IF(4=Element_Stiffness!$C$75,Element_Stiffness!Q96,IF(4=Element_Stiffness!$E$75,Element_Stiffness!W96,0)),IF(Element_Stiffness!$E$75=0,IF(4=Element_Stiffness!$C$75,Element_Stiffness!Q102,IF(4=Element_Stiffness!$E$75,Element_Stiffness!W102,0)),0)),0)+IF(Element_Stiffness!$C$111,IF(Element_Stiffness!$C$110=0,IF(4=Element_Stiffness!$C$110,Element_Stiffness!Q131,IF(4=Element_Stiffness!$E$110,Element_Stiffness!W131,0)),IF(Element_Stiffness!$E$110=0,IF(4=Element_Stiffness!$C$110,Element_Stiffness!Q137,IF(4=Element_Stiffness!$E$110,Element_Stiffness!W137,0)),0)),0)+IF(Element_Stiffness!$C$146,IF(Element_Stiffness!$C$145=0,IF(4=Element_Stiffness!$C$145,Element_Stiffness!Q166,IF(4=Element_Stiffness!$E$145,Element_Stiffness!W166,0)),IF(Element_Stiffness!$E$145=0,IF(4=Element_Stiffness!$C$145,Element_Stiffness!Q172,IF(4=Element_Stiffness!$E$145,Element_Stiffness!W172,0)),0)),0)+IF(Element_Stiffness!$C$181,IF(Element_Stiffness!$C$180=0,IF(4=Element_Stiffness!$C$180,Element_Stiffness!Q201,IF(4=Element_Stiffness!$E$180,Element_Stiffness!W201,0)),IF(Element_Stiffness!$E$180=0,IF(4=Element_Stiffness!$C$180,Element_Stiffness!Q207,IF(4=Element_Stiffness!$E$180,Element_Stiffness!W207,0)),0)),0)+IF(Element_Stiffness!$C$216,IF(Element_Stiffness!$C$215=0,IF(4=Element_Stiffness!$C$215,Element_Stiffness!Q236,IF(4=Element_Stiffness!$E$215,Element_Stiffness!W236,0)),IF(Element_Stiffness!$E$215=0,IF(4=Element_Stiffness!$C$215,Element_Stiffness!Q242,IF(4=Element_Stiffness!$E$215,Element_Stiffness!W242,0)),0)),0)</f>
        <v/>
      </c>
      <c r="AC5" s="21">
        <f>IF(Element_Stiffness!$C$6,IF(Element_Stiffness!$C$5=0,IF(4=Element_Stiffness!$C$5,Element_Stiffness!R26,IF(4=Element_Stiffness!$E$5,Element_Stiffness!X26,0)),IF(Element_Stiffness!$E$5=0,IF(4=Element_Stiffness!$C$5,Element_Stiffness!R32,IF(4=Element_Stiffness!$E$5,Element_Stiffness!X32,0)),0)),0)+IF(Element_Stiffness!$C$41,IF(Element_Stiffness!$C$40=0,IF(4=Element_Stiffness!$C$40,Element_Stiffness!R61,IF(4=Element_Stiffness!$E$40,Element_Stiffness!X61,0)),IF(Element_Stiffness!$E$40=0,IF(4=Element_Stiffness!$C$40,Element_Stiffness!R67,IF(4=Element_Stiffness!$E$40,Element_Stiffness!X67,0)),0)),0)+IF(Element_Stiffness!$C$76,IF(Element_Stiffness!$C$75=0,IF(4=Element_Stiffness!$C$75,Element_Stiffness!R96,IF(4=Element_Stiffness!$E$75,Element_Stiffness!X96,0)),IF(Element_Stiffness!$E$75=0,IF(4=Element_Stiffness!$C$75,Element_Stiffness!R102,IF(4=Element_Stiffness!$E$75,Element_Stiffness!X102,0)),0)),0)+IF(Element_Stiffness!$C$111,IF(Element_Stiffness!$C$110=0,IF(4=Element_Stiffness!$C$110,Element_Stiffness!R131,IF(4=Element_Stiffness!$E$110,Element_Stiffness!X131,0)),IF(Element_Stiffness!$E$110=0,IF(4=Element_Stiffness!$C$110,Element_Stiffness!R137,IF(4=Element_Stiffness!$E$110,Element_Stiffness!X137,0)),0)),0)+IF(Element_Stiffness!$C$146,IF(Element_Stiffness!$C$145=0,IF(4=Element_Stiffness!$C$145,Element_Stiffness!R166,IF(4=Element_Stiffness!$E$145,Element_Stiffness!X166,0)),IF(Element_Stiffness!$E$145=0,IF(4=Element_Stiffness!$C$145,Element_Stiffness!R172,IF(4=Element_Stiffness!$E$145,Element_Stiffness!X172,0)),0)),0)+IF(Element_Stiffness!$C$181,IF(Element_Stiffness!$C$180=0,IF(4=Element_Stiffness!$C$180,Element_Stiffness!R201,IF(4=Element_Stiffness!$E$180,Element_Stiffness!X201,0)),IF(Element_Stiffness!$E$180=0,IF(4=Element_Stiffness!$C$180,Element_Stiffness!R207,IF(4=Element_Stiffness!$E$180,Element_Stiffness!X207,0)),0)),0)+IF(Element_Stiffness!$C$216,IF(Element_Stiffness!$C$215=0,IF(4=Element_Stiffness!$C$215,Element_Stiffness!R236,IF(4=Element_Stiffness!$E$215,Element_Stiffness!X236,0)),IF(Element_Stiffness!$E$215=0,IF(4=Element_Stiffness!$C$215,Element_Stiffness!R242,IF(4=Element_Stiffness!$E$215,Element_Stiffness!X242,0)),0)),0)</f>
        <v/>
      </c>
      <c r="AD5" s="21">
        <f>IF(Element_Stiffness!$C$6,IF(Element_Stiffness!$C$5=0,IF(4=Element_Stiffness!$C$5,Element_Stiffness!S26,IF(4=Element_Stiffness!$E$5,Element_Stiffness!Y26,0)),IF(Element_Stiffness!$E$5=0,IF(4=Element_Stiffness!$C$5,Element_Stiffness!S32,IF(4=Element_Stiffness!$E$5,Element_Stiffness!Y32,0)),0)),0)+IF(Element_Stiffness!$C$41,IF(Element_Stiffness!$C$40=0,IF(4=Element_Stiffness!$C$40,Element_Stiffness!S61,IF(4=Element_Stiffness!$E$40,Element_Stiffness!Y61,0)),IF(Element_Stiffness!$E$40=0,IF(4=Element_Stiffness!$C$40,Element_Stiffness!S67,IF(4=Element_Stiffness!$E$40,Element_Stiffness!Y67,0)),0)),0)+IF(Element_Stiffness!$C$76,IF(Element_Stiffness!$C$75=0,IF(4=Element_Stiffness!$C$75,Element_Stiffness!S96,IF(4=Element_Stiffness!$E$75,Element_Stiffness!Y96,0)),IF(Element_Stiffness!$E$75=0,IF(4=Element_Stiffness!$C$75,Element_Stiffness!S102,IF(4=Element_Stiffness!$E$75,Element_Stiffness!Y102,0)),0)),0)+IF(Element_Stiffness!$C$111,IF(Element_Stiffness!$C$110=0,IF(4=Element_Stiffness!$C$110,Element_Stiffness!S131,IF(4=Element_Stiffness!$E$110,Element_Stiffness!Y131,0)),IF(Element_Stiffness!$E$110=0,IF(4=Element_Stiffness!$C$110,Element_Stiffness!S137,IF(4=Element_Stiffness!$E$110,Element_Stiffness!Y137,0)),0)),0)+IF(Element_Stiffness!$C$146,IF(Element_Stiffness!$C$145=0,IF(4=Element_Stiffness!$C$145,Element_Stiffness!S166,IF(4=Element_Stiffness!$E$145,Element_Stiffness!Y166,0)),IF(Element_Stiffness!$E$145=0,IF(4=Element_Stiffness!$C$145,Element_Stiffness!S172,IF(4=Element_Stiffness!$E$145,Element_Stiffness!Y172,0)),0)),0)+IF(Element_Stiffness!$C$181,IF(Element_Stiffness!$C$180=0,IF(4=Element_Stiffness!$C$180,Element_Stiffness!S201,IF(4=Element_Stiffness!$E$180,Element_Stiffness!Y201,0)),IF(Element_Stiffness!$E$180=0,IF(4=Element_Stiffness!$C$180,Element_Stiffness!S207,IF(4=Element_Stiffness!$E$180,Element_Stiffness!Y207,0)),0)),0)+IF(Element_Stiffness!$C$216,IF(Element_Stiffness!$C$215=0,IF(4=Element_Stiffness!$C$215,Element_Stiffness!S236,IF(4=Element_Stiffness!$E$215,Element_Stiffness!Y236,0)),IF(Element_Stiffness!$E$215=0,IF(4=Element_Stiffness!$C$215,Element_Stiffness!S242,IF(4=Element_Stiffness!$E$215,Element_Stiffness!Y242,0)),0)),0)</f>
        <v/>
      </c>
      <c r="AE5" s="21">
        <f>IF(Element_Stiffness!$C$6,IF(Element_Stiffness!$C$5=0,IF(4=Element_Stiffness!$C$5,Element_Stiffness!T26,IF(4=Element_Stiffness!$E$5,Element_Stiffness!Z26,0)),IF(Element_Stiffness!$E$5=0,IF(4=Element_Stiffness!$C$5,Element_Stiffness!T32,IF(4=Element_Stiffness!$E$5,Element_Stiffness!Z32,0)),0)),0)+IF(Element_Stiffness!$C$41,IF(Element_Stiffness!$C$40=0,IF(4=Element_Stiffness!$C$40,Element_Stiffness!T61,IF(4=Element_Stiffness!$E$40,Element_Stiffness!Z61,0)),IF(Element_Stiffness!$E$40=0,IF(4=Element_Stiffness!$C$40,Element_Stiffness!T67,IF(4=Element_Stiffness!$E$40,Element_Stiffness!Z67,0)),0)),0)+IF(Element_Stiffness!$C$76,IF(Element_Stiffness!$C$75=0,IF(4=Element_Stiffness!$C$75,Element_Stiffness!T96,IF(4=Element_Stiffness!$E$75,Element_Stiffness!Z96,0)),IF(Element_Stiffness!$E$75=0,IF(4=Element_Stiffness!$C$75,Element_Stiffness!T102,IF(4=Element_Stiffness!$E$75,Element_Stiffness!Z102,0)),0)),0)+IF(Element_Stiffness!$C$111,IF(Element_Stiffness!$C$110=0,IF(4=Element_Stiffness!$C$110,Element_Stiffness!T131,IF(4=Element_Stiffness!$E$110,Element_Stiffness!Z131,0)),IF(Element_Stiffness!$E$110=0,IF(4=Element_Stiffness!$C$110,Element_Stiffness!T137,IF(4=Element_Stiffness!$E$110,Element_Stiffness!Z137,0)),0)),0)+IF(Element_Stiffness!$C$146,IF(Element_Stiffness!$C$145=0,IF(4=Element_Stiffness!$C$145,Element_Stiffness!T166,IF(4=Element_Stiffness!$E$145,Element_Stiffness!Z166,0)),IF(Element_Stiffness!$E$145=0,IF(4=Element_Stiffness!$C$145,Element_Stiffness!T172,IF(4=Element_Stiffness!$E$145,Element_Stiffness!Z172,0)),0)),0)+IF(Element_Stiffness!$C$181,IF(Element_Stiffness!$C$180=0,IF(4=Element_Stiffness!$C$180,Element_Stiffness!T201,IF(4=Element_Stiffness!$E$180,Element_Stiffness!Z201,0)),IF(Element_Stiffness!$E$180=0,IF(4=Element_Stiffness!$C$180,Element_Stiffness!T207,IF(4=Element_Stiffness!$E$180,Element_Stiffness!Z207,0)),0)),0)+IF(Element_Stiffness!$C$216,IF(Element_Stiffness!$C$215=0,IF(4=Element_Stiffness!$C$215,Element_Stiffness!T236,IF(4=Element_Stiffness!$E$215,Element_Stiffness!Z236,0)),IF(Element_Stiffness!$E$215=0,IF(4=Element_Stiffness!$C$215,Element_Stiffness!T242,IF(4=Element_Stiffness!$E$215,Element_Stiffness!Z242,0)),0)),0)</f>
        <v/>
      </c>
      <c r="AF5" s="21">
        <f>IF(Element_Stiffness!$C$6,IF(Element_Stiffness!$C$5=0,IF(4=Element_Stiffness!$C$5,Element_Stiffness!U26,IF(4=Element_Stiffness!$E$5,Element_Stiffness!AA26,0)),IF(Element_Stiffness!$E$5=0,IF(4=Element_Stiffness!$C$5,Element_Stiffness!U32,IF(4=Element_Stiffness!$E$5,Element_Stiffness!AA32,0)),0)),0)+IF(Element_Stiffness!$C$41,IF(Element_Stiffness!$C$40=0,IF(4=Element_Stiffness!$C$40,Element_Stiffness!U61,IF(4=Element_Stiffness!$E$40,Element_Stiffness!AA61,0)),IF(Element_Stiffness!$E$40=0,IF(4=Element_Stiffness!$C$40,Element_Stiffness!U67,IF(4=Element_Stiffness!$E$40,Element_Stiffness!AA67,0)),0)),0)+IF(Element_Stiffness!$C$76,IF(Element_Stiffness!$C$75=0,IF(4=Element_Stiffness!$C$75,Element_Stiffness!U96,IF(4=Element_Stiffness!$E$75,Element_Stiffness!AA96,0)),IF(Element_Stiffness!$E$75=0,IF(4=Element_Stiffness!$C$75,Element_Stiffness!U102,IF(4=Element_Stiffness!$E$75,Element_Stiffness!AA102,0)),0)),0)+IF(Element_Stiffness!$C$111,IF(Element_Stiffness!$C$110=0,IF(4=Element_Stiffness!$C$110,Element_Stiffness!U131,IF(4=Element_Stiffness!$E$110,Element_Stiffness!AA131,0)),IF(Element_Stiffness!$E$110=0,IF(4=Element_Stiffness!$C$110,Element_Stiffness!U137,IF(4=Element_Stiffness!$E$110,Element_Stiffness!AA137,0)),0)),0)+IF(Element_Stiffness!$C$146,IF(Element_Stiffness!$C$145=0,IF(4=Element_Stiffness!$C$145,Element_Stiffness!U166,IF(4=Element_Stiffness!$E$145,Element_Stiffness!AA166,0)),IF(Element_Stiffness!$E$145=0,IF(4=Element_Stiffness!$C$145,Element_Stiffness!U172,IF(4=Element_Stiffness!$E$145,Element_Stiffness!AA172,0)),0)),0)+IF(Element_Stiffness!$C$181,IF(Element_Stiffness!$C$180=0,IF(4=Element_Stiffness!$C$180,Element_Stiffness!U201,IF(4=Element_Stiffness!$E$180,Element_Stiffness!AA201,0)),IF(Element_Stiffness!$E$180=0,IF(4=Element_Stiffness!$C$180,Element_Stiffness!U207,IF(4=Element_Stiffness!$E$180,Element_Stiffness!AA207,0)),0)),0)+IF(Element_Stiffness!$C$216,IF(Element_Stiffness!$C$215=0,IF(4=Element_Stiffness!$C$215,Element_Stiffness!U236,IF(4=Element_Stiffness!$E$215,Element_Stiffness!AA236,0)),IF(Element_Stiffness!$E$215=0,IF(4=Element_Stiffness!$C$215,Element_Stiffness!U242,IF(4=Element_Stiffness!$E$215,Element_Stiffness!AA242,0)),0)),0)</f>
        <v/>
      </c>
      <c r="AG5" s="21">
        <f>IF(Element_Stiffness!$C$6,IF(Element_Stiffness!$C$5=0,IF(5=Element_Stiffness!$C$5,Element_Stiffness!P26,IF(5=Element_Stiffness!$E$5,Element_Stiffness!V26,0)),IF(Element_Stiffness!$E$5=0,IF(5=Element_Stiffness!$C$5,Element_Stiffness!P32,IF(5=Element_Stiffness!$E$5,Element_Stiffness!V32,0)),0)),0)+IF(Element_Stiffness!$C$41,IF(Element_Stiffness!$C$40=0,IF(5=Element_Stiffness!$C$40,Element_Stiffness!P61,IF(5=Element_Stiffness!$E$40,Element_Stiffness!V61,0)),IF(Element_Stiffness!$E$40=0,IF(5=Element_Stiffness!$C$40,Element_Stiffness!P67,IF(5=Element_Stiffness!$E$40,Element_Stiffness!V67,0)),0)),0)+IF(Element_Stiffness!$C$76,IF(Element_Stiffness!$C$75=0,IF(5=Element_Stiffness!$C$75,Element_Stiffness!P96,IF(5=Element_Stiffness!$E$75,Element_Stiffness!V96,0)),IF(Element_Stiffness!$E$75=0,IF(5=Element_Stiffness!$C$75,Element_Stiffness!P102,IF(5=Element_Stiffness!$E$75,Element_Stiffness!V102,0)),0)),0)+IF(Element_Stiffness!$C$111,IF(Element_Stiffness!$C$110=0,IF(5=Element_Stiffness!$C$110,Element_Stiffness!P131,IF(5=Element_Stiffness!$E$110,Element_Stiffness!V131,0)),IF(Element_Stiffness!$E$110=0,IF(5=Element_Stiffness!$C$110,Element_Stiffness!P137,IF(5=Element_Stiffness!$E$110,Element_Stiffness!V137,0)),0)),0)+IF(Element_Stiffness!$C$146,IF(Element_Stiffness!$C$145=0,IF(5=Element_Stiffness!$C$145,Element_Stiffness!P166,IF(5=Element_Stiffness!$E$145,Element_Stiffness!V166,0)),IF(Element_Stiffness!$E$145=0,IF(5=Element_Stiffness!$C$145,Element_Stiffness!P172,IF(5=Element_Stiffness!$E$145,Element_Stiffness!V172,0)),0)),0)+IF(Element_Stiffness!$C$181,IF(Element_Stiffness!$C$180=0,IF(5=Element_Stiffness!$C$180,Element_Stiffness!P201,IF(5=Element_Stiffness!$E$180,Element_Stiffness!V201,0)),IF(Element_Stiffness!$E$180=0,IF(5=Element_Stiffness!$C$180,Element_Stiffness!P207,IF(5=Element_Stiffness!$E$180,Element_Stiffness!V207,0)),0)),0)+IF(Element_Stiffness!$C$216,IF(Element_Stiffness!$C$215=0,IF(5=Element_Stiffness!$C$215,Element_Stiffness!P236,IF(5=Element_Stiffness!$E$215,Element_Stiffness!V236,0)),IF(Element_Stiffness!$E$215=0,IF(5=Element_Stiffness!$C$215,Element_Stiffness!P242,IF(5=Element_Stiffness!$E$215,Element_Stiffness!V242,0)),0)),0)</f>
        <v/>
      </c>
      <c r="AH5" s="21">
        <f>IF(Element_Stiffness!$C$6,IF(Element_Stiffness!$C$5=0,IF(5=Element_Stiffness!$C$5,Element_Stiffness!Q26,IF(5=Element_Stiffness!$E$5,Element_Stiffness!W26,0)),IF(Element_Stiffness!$E$5=0,IF(5=Element_Stiffness!$C$5,Element_Stiffness!Q32,IF(5=Element_Stiffness!$E$5,Element_Stiffness!W32,0)),0)),0)+IF(Element_Stiffness!$C$41,IF(Element_Stiffness!$C$40=0,IF(5=Element_Stiffness!$C$40,Element_Stiffness!Q61,IF(5=Element_Stiffness!$E$40,Element_Stiffness!W61,0)),IF(Element_Stiffness!$E$40=0,IF(5=Element_Stiffness!$C$40,Element_Stiffness!Q67,IF(5=Element_Stiffness!$E$40,Element_Stiffness!W67,0)),0)),0)+IF(Element_Stiffness!$C$76,IF(Element_Stiffness!$C$75=0,IF(5=Element_Stiffness!$C$75,Element_Stiffness!Q96,IF(5=Element_Stiffness!$E$75,Element_Stiffness!W96,0)),IF(Element_Stiffness!$E$75=0,IF(5=Element_Stiffness!$C$75,Element_Stiffness!Q102,IF(5=Element_Stiffness!$E$75,Element_Stiffness!W102,0)),0)),0)+IF(Element_Stiffness!$C$111,IF(Element_Stiffness!$C$110=0,IF(5=Element_Stiffness!$C$110,Element_Stiffness!Q131,IF(5=Element_Stiffness!$E$110,Element_Stiffness!W131,0)),IF(Element_Stiffness!$E$110=0,IF(5=Element_Stiffness!$C$110,Element_Stiffness!Q137,IF(5=Element_Stiffness!$E$110,Element_Stiffness!W137,0)),0)),0)+IF(Element_Stiffness!$C$146,IF(Element_Stiffness!$C$145=0,IF(5=Element_Stiffness!$C$145,Element_Stiffness!Q166,IF(5=Element_Stiffness!$E$145,Element_Stiffness!W166,0)),IF(Element_Stiffness!$E$145=0,IF(5=Element_Stiffness!$C$145,Element_Stiffness!Q172,IF(5=Element_Stiffness!$E$145,Element_Stiffness!W172,0)),0)),0)+IF(Element_Stiffness!$C$181,IF(Element_Stiffness!$C$180=0,IF(5=Element_Stiffness!$C$180,Element_Stiffness!Q201,IF(5=Element_Stiffness!$E$180,Element_Stiffness!W201,0)),IF(Element_Stiffness!$E$180=0,IF(5=Element_Stiffness!$C$180,Element_Stiffness!Q207,IF(5=Element_Stiffness!$E$180,Element_Stiffness!W207,0)),0)),0)+IF(Element_Stiffness!$C$216,IF(Element_Stiffness!$C$215=0,IF(5=Element_Stiffness!$C$215,Element_Stiffness!Q236,IF(5=Element_Stiffness!$E$215,Element_Stiffness!W236,0)),IF(Element_Stiffness!$E$215=0,IF(5=Element_Stiffness!$C$215,Element_Stiffness!Q242,IF(5=Element_Stiffness!$E$215,Element_Stiffness!W242,0)),0)),0)</f>
        <v/>
      </c>
      <c r="AI5" s="21">
        <f>IF(Element_Stiffness!$C$6,IF(Element_Stiffness!$C$5=0,IF(5=Element_Stiffness!$C$5,Element_Stiffness!R26,IF(5=Element_Stiffness!$E$5,Element_Stiffness!X26,0)),IF(Element_Stiffness!$E$5=0,IF(5=Element_Stiffness!$C$5,Element_Stiffness!R32,IF(5=Element_Stiffness!$E$5,Element_Stiffness!X32,0)),0)),0)+IF(Element_Stiffness!$C$41,IF(Element_Stiffness!$C$40=0,IF(5=Element_Stiffness!$C$40,Element_Stiffness!R61,IF(5=Element_Stiffness!$E$40,Element_Stiffness!X61,0)),IF(Element_Stiffness!$E$40=0,IF(5=Element_Stiffness!$C$40,Element_Stiffness!R67,IF(5=Element_Stiffness!$E$40,Element_Stiffness!X67,0)),0)),0)+IF(Element_Stiffness!$C$76,IF(Element_Stiffness!$C$75=0,IF(5=Element_Stiffness!$C$75,Element_Stiffness!R96,IF(5=Element_Stiffness!$E$75,Element_Stiffness!X96,0)),IF(Element_Stiffness!$E$75=0,IF(5=Element_Stiffness!$C$75,Element_Stiffness!R102,IF(5=Element_Stiffness!$E$75,Element_Stiffness!X102,0)),0)),0)+IF(Element_Stiffness!$C$111,IF(Element_Stiffness!$C$110=0,IF(5=Element_Stiffness!$C$110,Element_Stiffness!R131,IF(5=Element_Stiffness!$E$110,Element_Stiffness!X131,0)),IF(Element_Stiffness!$E$110=0,IF(5=Element_Stiffness!$C$110,Element_Stiffness!R137,IF(5=Element_Stiffness!$E$110,Element_Stiffness!X137,0)),0)),0)+IF(Element_Stiffness!$C$146,IF(Element_Stiffness!$C$145=0,IF(5=Element_Stiffness!$C$145,Element_Stiffness!R166,IF(5=Element_Stiffness!$E$145,Element_Stiffness!X166,0)),IF(Element_Stiffness!$E$145=0,IF(5=Element_Stiffness!$C$145,Element_Stiffness!R172,IF(5=Element_Stiffness!$E$145,Element_Stiffness!X172,0)),0)),0)+IF(Element_Stiffness!$C$181,IF(Element_Stiffness!$C$180=0,IF(5=Element_Stiffness!$C$180,Element_Stiffness!R201,IF(5=Element_Stiffness!$E$180,Element_Stiffness!X201,0)),IF(Element_Stiffness!$E$180=0,IF(5=Element_Stiffness!$C$180,Element_Stiffness!R207,IF(5=Element_Stiffness!$E$180,Element_Stiffness!X207,0)),0)),0)+IF(Element_Stiffness!$C$216,IF(Element_Stiffness!$C$215=0,IF(5=Element_Stiffness!$C$215,Element_Stiffness!R236,IF(5=Element_Stiffness!$E$215,Element_Stiffness!X236,0)),IF(Element_Stiffness!$E$215=0,IF(5=Element_Stiffness!$C$215,Element_Stiffness!R242,IF(5=Element_Stiffness!$E$215,Element_Stiffness!X242,0)),0)),0)</f>
        <v/>
      </c>
      <c r="AJ5" s="21">
        <f>IF(Element_Stiffness!$C$6,IF(Element_Stiffness!$C$5=0,IF(5=Element_Stiffness!$C$5,Element_Stiffness!S26,IF(5=Element_Stiffness!$E$5,Element_Stiffness!Y26,0)),IF(Element_Stiffness!$E$5=0,IF(5=Element_Stiffness!$C$5,Element_Stiffness!S32,IF(5=Element_Stiffness!$E$5,Element_Stiffness!Y32,0)),0)),0)+IF(Element_Stiffness!$C$41,IF(Element_Stiffness!$C$40=0,IF(5=Element_Stiffness!$C$40,Element_Stiffness!S61,IF(5=Element_Stiffness!$E$40,Element_Stiffness!Y61,0)),IF(Element_Stiffness!$E$40=0,IF(5=Element_Stiffness!$C$40,Element_Stiffness!S67,IF(5=Element_Stiffness!$E$40,Element_Stiffness!Y67,0)),0)),0)+IF(Element_Stiffness!$C$76,IF(Element_Stiffness!$C$75=0,IF(5=Element_Stiffness!$C$75,Element_Stiffness!S96,IF(5=Element_Stiffness!$E$75,Element_Stiffness!Y96,0)),IF(Element_Stiffness!$E$75=0,IF(5=Element_Stiffness!$C$75,Element_Stiffness!S102,IF(5=Element_Stiffness!$E$75,Element_Stiffness!Y102,0)),0)),0)+IF(Element_Stiffness!$C$111,IF(Element_Stiffness!$C$110=0,IF(5=Element_Stiffness!$C$110,Element_Stiffness!S131,IF(5=Element_Stiffness!$E$110,Element_Stiffness!Y131,0)),IF(Element_Stiffness!$E$110=0,IF(5=Element_Stiffness!$C$110,Element_Stiffness!S137,IF(5=Element_Stiffness!$E$110,Element_Stiffness!Y137,0)),0)),0)+IF(Element_Stiffness!$C$146,IF(Element_Stiffness!$C$145=0,IF(5=Element_Stiffness!$C$145,Element_Stiffness!S166,IF(5=Element_Stiffness!$E$145,Element_Stiffness!Y166,0)),IF(Element_Stiffness!$E$145=0,IF(5=Element_Stiffness!$C$145,Element_Stiffness!S172,IF(5=Element_Stiffness!$E$145,Element_Stiffness!Y172,0)),0)),0)+IF(Element_Stiffness!$C$181,IF(Element_Stiffness!$C$180=0,IF(5=Element_Stiffness!$C$180,Element_Stiffness!S201,IF(5=Element_Stiffness!$E$180,Element_Stiffness!Y201,0)),IF(Element_Stiffness!$E$180=0,IF(5=Element_Stiffness!$C$180,Element_Stiffness!S207,IF(5=Element_Stiffness!$E$180,Element_Stiffness!Y207,0)),0)),0)+IF(Element_Stiffness!$C$216,IF(Element_Stiffness!$C$215=0,IF(5=Element_Stiffness!$C$215,Element_Stiffness!S236,IF(5=Element_Stiffness!$E$215,Element_Stiffness!Y236,0)),IF(Element_Stiffness!$E$215=0,IF(5=Element_Stiffness!$C$215,Element_Stiffness!S242,IF(5=Element_Stiffness!$E$215,Element_Stiffness!Y242,0)),0)),0)</f>
        <v/>
      </c>
      <c r="AK5" s="21">
        <f>IF(Element_Stiffness!$C$6,IF(Element_Stiffness!$C$5=0,IF(5=Element_Stiffness!$C$5,Element_Stiffness!T26,IF(5=Element_Stiffness!$E$5,Element_Stiffness!Z26,0)),IF(Element_Stiffness!$E$5=0,IF(5=Element_Stiffness!$C$5,Element_Stiffness!T32,IF(5=Element_Stiffness!$E$5,Element_Stiffness!Z32,0)),0)),0)+IF(Element_Stiffness!$C$41,IF(Element_Stiffness!$C$40=0,IF(5=Element_Stiffness!$C$40,Element_Stiffness!T61,IF(5=Element_Stiffness!$E$40,Element_Stiffness!Z61,0)),IF(Element_Stiffness!$E$40=0,IF(5=Element_Stiffness!$C$40,Element_Stiffness!T67,IF(5=Element_Stiffness!$E$40,Element_Stiffness!Z67,0)),0)),0)+IF(Element_Stiffness!$C$76,IF(Element_Stiffness!$C$75=0,IF(5=Element_Stiffness!$C$75,Element_Stiffness!T96,IF(5=Element_Stiffness!$E$75,Element_Stiffness!Z96,0)),IF(Element_Stiffness!$E$75=0,IF(5=Element_Stiffness!$C$75,Element_Stiffness!T102,IF(5=Element_Stiffness!$E$75,Element_Stiffness!Z102,0)),0)),0)+IF(Element_Stiffness!$C$111,IF(Element_Stiffness!$C$110=0,IF(5=Element_Stiffness!$C$110,Element_Stiffness!T131,IF(5=Element_Stiffness!$E$110,Element_Stiffness!Z131,0)),IF(Element_Stiffness!$E$110=0,IF(5=Element_Stiffness!$C$110,Element_Stiffness!T137,IF(5=Element_Stiffness!$E$110,Element_Stiffness!Z137,0)),0)),0)+IF(Element_Stiffness!$C$146,IF(Element_Stiffness!$C$145=0,IF(5=Element_Stiffness!$C$145,Element_Stiffness!T166,IF(5=Element_Stiffness!$E$145,Element_Stiffness!Z166,0)),IF(Element_Stiffness!$E$145=0,IF(5=Element_Stiffness!$C$145,Element_Stiffness!T172,IF(5=Element_Stiffness!$E$145,Element_Stiffness!Z172,0)),0)),0)+IF(Element_Stiffness!$C$181,IF(Element_Stiffness!$C$180=0,IF(5=Element_Stiffness!$C$180,Element_Stiffness!T201,IF(5=Element_Stiffness!$E$180,Element_Stiffness!Z201,0)),IF(Element_Stiffness!$E$180=0,IF(5=Element_Stiffness!$C$180,Element_Stiffness!T207,IF(5=Element_Stiffness!$E$180,Element_Stiffness!Z207,0)),0)),0)+IF(Element_Stiffness!$C$216,IF(Element_Stiffness!$C$215=0,IF(5=Element_Stiffness!$C$215,Element_Stiffness!T236,IF(5=Element_Stiffness!$E$215,Element_Stiffness!Z236,0)),IF(Element_Stiffness!$E$215=0,IF(5=Element_Stiffness!$C$215,Element_Stiffness!T242,IF(5=Element_Stiffness!$E$215,Element_Stiffness!Z242,0)),0)),0)</f>
        <v/>
      </c>
      <c r="AL5" s="21">
        <f>IF(Element_Stiffness!$C$6,IF(Element_Stiffness!$C$5=0,IF(5=Element_Stiffness!$C$5,Element_Stiffness!U26,IF(5=Element_Stiffness!$E$5,Element_Stiffness!AA26,0)),IF(Element_Stiffness!$E$5=0,IF(5=Element_Stiffness!$C$5,Element_Stiffness!U32,IF(5=Element_Stiffness!$E$5,Element_Stiffness!AA32,0)),0)),0)+IF(Element_Stiffness!$C$41,IF(Element_Stiffness!$C$40=0,IF(5=Element_Stiffness!$C$40,Element_Stiffness!U61,IF(5=Element_Stiffness!$E$40,Element_Stiffness!AA61,0)),IF(Element_Stiffness!$E$40=0,IF(5=Element_Stiffness!$C$40,Element_Stiffness!U67,IF(5=Element_Stiffness!$E$40,Element_Stiffness!AA67,0)),0)),0)+IF(Element_Stiffness!$C$76,IF(Element_Stiffness!$C$75=0,IF(5=Element_Stiffness!$C$75,Element_Stiffness!U96,IF(5=Element_Stiffness!$E$75,Element_Stiffness!AA96,0)),IF(Element_Stiffness!$E$75=0,IF(5=Element_Stiffness!$C$75,Element_Stiffness!U102,IF(5=Element_Stiffness!$E$75,Element_Stiffness!AA102,0)),0)),0)+IF(Element_Stiffness!$C$111,IF(Element_Stiffness!$C$110=0,IF(5=Element_Stiffness!$C$110,Element_Stiffness!U131,IF(5=Element_Stiffness!$E$110,Element_Stiffness!AA131,0)),IF(Element_Stiffness!$E$110=0,IF(5=Element_Stiffness!$C$110,Element_Stiffness!U137,IF(5=Element_Stiffness!$E$110,Element_Stiffness!AA137,0)),0)),0)+IF(Element_Stiffness!$C$146,IF(Element_Stiffness!$C$145=0,IF(5=Element_Stiffness!$C$145,Element_Stiffness!U166,IF(5=Element_Stiffness!$E$145,Element_Stiffness!AA166,0)),IF(Element_Stiffness!$E$145=0,IF(5=Element_Stiffness!$C$145,Element_Stiffness!U172,IF(5=Element_Stiffness!$E$145,Element_Stiffness!AA172,0)),0)),0)+IF(Element_Stiffness!$C$181,IF(Element_Stiffness!$C$180=0,IF(5=Element_Stiffness!$C$180,Element_Stiffness!U201,IF(5=Element_Stiffness!$E$180,Element_Stiffness!AA201,0)),IF(Element_Stiffness!$E$180=0,IF(5=Element_Stiffness!$C$180,Element_Stiffness!U207,IF(5=Element_Stiffness!$E$180,Element_Stiffness!AA207,0)),0)),0)+IF(Element_Stiffness!$C$216,IF(Element_Stiffness!$C$215=0,IF(5=Element_Stiffness!$C$215,Element_Stiffness!U236,IF(5=Element_Stiffness!$E$215,Element_Stiffness!AA236,0)),IF(Element_Stiffness!$E$215=0,IF(5=Element_Stiffness!$C$215,Element_Stiffness!U242,IF(5=Element_Stiffness!$E$215,Element_Stiffness!AA242,0)),0)),0)</f>
        <v/>
      </c>
      <c r="AM5" s="21">
        <f>IF(Element_Stiffness!$C$6,IF(Element_Stiffness!$C$5=0,IF(6=Element_Stiffness!$C$5,Element_Stiffness!P26,IF(6=Element_Stiffness!$E$5,Element_Stiffness!V26,0)),IF(Element_Stiffness!$E$5=0,IF(6=Element_Stiffness!$C$5,Element_Stiffness!P32,IF(6=Element_Stiffness!$E$5,Element_Stiffness!V32,0)),0)),0)+IF(Element_Stiffness!$C$41,IF(Element_Stiffness!$C$40=0,IF(6=Element_Stiffness!$C$40,Element_Stiffness!P61,IF(6=Element_Stiffness!$E$40,Element_Stiffness!V61,0)),IF(Element_Stiffness!$E$40=0,IF(6=Element_Stiffness!$C$40,Element_Stiffness!P67,IF(6=Element_Stiffness!$E$40,Element_Stiffness!V67,0)),0)),0)+IF(Element_Stiffness!$C$76,IF(Element_Stiffness!$C$75=0,IF(6=Element_Stiffness!$C$75,Element_Stiffness!P96,IF(6=Element_Stiffness!$E$75,Element_Stiffness!V96,0)),IF(Element_Stiffness!$E$75=0,IF(6=Element_Stiffness!$C$75,Element_Stiffness!P102,IF(6=Element_Stiffness!$E$75,Element_Stiffness!V102,0)),0)),0)+IF(Element_Stiffness!$C$111,IF(Element_Stiffness!$C$110=0,IF(6=Element_Stiffness!$C$110,Element_Stiffness!P131,IF(6=Element_Stiffness!$E$110,Element_Stiffness!V131,0)),IF(Element_Stiffness!$E$110=0,IF(6=Element_Stiffness!$C$110,Element_Stiffness!P137,IF(6=Element_Stiffness!$E$110,Element_Stiffness!V137,0)),0)),0)+IF(Element_Stiffness!$C$146,IF(Element_Stiffness!$C$145=0,IF(6=Element_Stiffness!$C$145,Element_Stiffness!P166,IF(6=Element_Stiffness!$E$145,Element_Stiffness!V166,0)),IF(Element_Stiffness!$E$145=0,IF(6=Element_Stiffness!$C$145,Element_Stiffness!P172,IF(6=Element_Stiffness!$E$145,Element_Stiffness!V172,0)),0)),0)+IF(Element_Stiffness!$C$181,IF(Element_Stiffness!$C$180=0,IF(6=Element_Stiffness!$C$180,Element_Stiffness!P201,IF(6=Element_Stiffness!$E$180,Element_Stiffness!V201,0)),IF(Element_Stiffness!$E$180=0,IF(6=Element_Stiffness!$C$180,Element_Stiffness!P207,IF(6=Element_Stiffness!$E$180,Element_Stiffness!V207,0)),0)),0)+IF(Element_Stiffness!$C$216,IF(Element_Stiffness!$C$215=0,IF(6=Element_Stiffness!$C$215,Element_Stiffness!P236,IF(6=Element_Stiffness!$E$215,Element_Stiffness!V236,0)),IF(Element_Stiffness!$E$215=0,IF(6=Element_Stiffness!$C$215,Element_Stiffness!P242,IF(6=Element_Stiffness!$E$215,Element_Stiffness!V242,0)),0)),0)</f>
        <v/>
      </c>
      <c r="AN5" s="21">
        <f>IF(Element_Stiffness!$C$6,IF(Element_Stiffness!$C$5=0,IF(6=Element_Stiffness!$C$5,Element_Stiffness!Q26,IF(6=Element_Stiffness!$E$5,Element_Stiffness!W26,0)),IF(Element_Stiffness!$E$5=0,IF(6=Element_Stiffness!$C$5,Element_Stiffness!Q32,IF(6=Element_Stiffness!$E$5,Element_Stiffness!W32,0)),0)),0)+IF(Element_Stiffness!$C$41,IF(Element_Stiffness!$C$40=0,IF(6=Element_Stiffness!$C$40,Element_Stiffness!Q61,IF(6=Element_Stiffness!$E$40,Element_Stiffness!W61,0)),IF(Element_Stiffness!$E$40=0,IF(6=Element_Stiffness!$C$40,Element_Stiffness!Q67,IF(6=Element_Stiffness!$E$40,Element_Stiffness!W67,0)),0)),0)+IF(Element_Stiffness!$C$76,IF(Element_Stiffness!$C$75=0,IF(6=Element_Stiffness!$C$75,Element_Stiffness!Q96,IF(6=Element_Stiffness!$E$75,Element_Stiffness!W96,0)),IF(Element_Stiffness!$E$75=0,IF(6=Element_Stiffness!$C$75,Element_Stiffness!Q102,IF(6=Element_Stiffness!$E$75,Element_Stiffness!W102,0)),0)),0)+IF(Element_Stiffness!$C$111,IF(Element_Stiffness!$C$110=0,IF(6=Element_Stiffness!$C$110,Element_Stiffness!Q131,IF(6=Element_Stiffness!$E$110,Element_Stiffness!W131,0)),IF(Element_Stiffness!$E$110=0,IF(6=Element_Stiffness!$C$110,Element_Stiffness!Q137,IF(6=Element_Stiffness!$E$110,Element_Stiffness!W137,0)),0)),0)+IF(Element_Stiffness!$C$146,IF(Element_Stiffness!$C$145=0,IF(6=Element_Stiffness!$C$145,Element_Stiffness!Q166,IF(6=Element_Stiffness!$E$145,Element_Stiffness!W166,0)),IF(Element_Stiffness!$E$145=0,IF(6=Element_Stiffness!$C$145,Element_Stiffness!Q172,IF(6=Element_Stiffness!$E$145,Element_Stiffness!W172,0)),0)),0)+IF(Element_Stiffness!$C$181,IF(Element_Stiffness!$C$180=0,IF(6=Element_Stiffness!$C$180,Element_Stiffness!Q201,IF(6=Element_Stiffness!$E$180,Element_Stiffness!W201,0)),IF(Element_Stiffness!$E$180=0,IF(6=Element_Stiffness!$C$180,Element_Stiffness!Q207,IF(6=Element_Stiffness!$E$180,Element_Stiffness!W207,0)),0)),0)+IF(Element_Stiffness!$C$216,IF(Element_Stiffness!$C$215=0,IF(6=Element_Stiffness!$C$215,Element_Stiffness!Q236,IF(6=Element_Stiffness!$E$215,Element_Stiffness!W236,0)),IF(Element_Stiffness!$E$215=0,IF(6=Element_Stiffness!$C$215,Element_Stiffness!Q242,IF(6=Element_Stiffness!$E$215,Element_Stiffness!W242,0)),0)),0)</f>
        <v/>
      </c>
      <c r="AO5" s="21">
        <f>IF(Element_Stiffness!$C$6,IF(Element_Stiffness!$C$5=0,IF(6=Element_Stiffness!$C$5,Element_Stiffness!R26,IF(6=Element_Stiffness!$E$5,Element_Stiffness!X26,0)),IF(Element_Stiffness!$E$5=0,IF(6=Element_Stiffness!$C$5,Element_Stiffness!R32,IF(6=Element_Stiffness!$E$5,Element_Stiffness!X32,0)),0)),0)+IF(Element_Stiffness!$C$41,IF(Element_Stiffness!$C$40=0,IF(6=Element_Stiffness!$C$40,Element_Stiffness!R61,IF(6=Element_Stiffness!$E$40,Element_Stiffness!X61,0)),IF(Element_Stiffness!$E$40=0,IF(6=Element_Stiffness!$C$40,Element_Stiffness!R67,IF(6=Element_Stiffness!$E$40,Element_Stiffness!X67,0)),0)),0)+IF(Element_Stiffness!$C$76,IF(Element_Stiffness!$C$75=0,IF(6=Element_Stiffness!$C$75,Element_Stiffness!R96,IF(6=Element_Stiffness!$E$75,Element_Stiffness!X96,0)),IF(Element_Stiffness!$E$75=0,IF(6=Element_Stiffness!$C$75,Element_Stiffness!R102,IF(6=Element_Stiffness!$E$75,Element_Stiffness!X102,0)),0)),0)+IF(Element_Stiffness!$C$111,IF(Element_Stiffness!$C$110=0,IF(6=Element_Stiffness!$C$110,Element_Stiffness!R131,IF(6=Element_Stiffness!$E$110,Element_Stiffness!X131,0)),IF(Element_Stiffness!$E$110=0,IF(6=Element_Stiffness!$C$110,Element_Stiffness!R137,IF(6=Element_Stiffness!$E$110,Element_Stiffness!X137,0)),0)),0)+IF(Element_Stiffness!$C$146,IF(Element_Stiffness!$C$145=0,IF(6=Element_Stiffness!$C$145,Element_Stiffness!R166,IF(6=Element_Stiffness!$E$145,Element_Stiffness!X166,0)),IF(Element_Stiffness!$E$145=0,IF(6=Element_Stiffness!$C$145,Element_Stiffness!R172,IF(6=Element_Stiffness!$E$145,Element_Stiffness!X172,0)),0)),0)+IF(Element_Stiffness!$C$181,IF(Element_Stiffness!$C$180=0,IF(6=Element_Stiffness!$C$180,Element_Stiffness!R201,IF(6=Element_Stiffness!$E$180,Element_Stiffness!X201,0)),IF(Element_Stiffness!$E$180=0,IF(6=Element_Stiffness!$C$180,Element_Stiffness!R207,IF(6=Element_Stiffness!$E$180,Element_Stiffness!X207,0)),0)),0)+IF(Element_Stiffness!$C$216,IF(Element_Stiffness!$C$215=0,IF(6=Element_Stiffness!$C$215,Element_Stiffness!R236,IF(6=Element_Stiffness!$E$215,Element_Stiffness!X236,0)),IF(Element_Stiffness!$E$215=0,IF(6=Element_Stiffness!$C$215,Element_Stiffness!R242,IF(6=Element_Stiffness!$E$215,Element_Stiffness!X242,0)),0)),0)</f>
        <v/>
      </c>
      <c r="AP5" s="21">
        <f>IF(Element_Stiffness!$C$6,IF(Element_Stiffness!$C$5=0,IF(6=Element_Stiffness!$C$5,Element_Stiffness!S26,IF(6=Element_Stiffness!$E$5,Element_Stiffness!Y26,0)),IF(Element_Stiffness!$E$5=0,IF(6=Element_Stiffness!$C$5,Element_Stiffness!S32,IF(6=Element_Stiffness!$E$5,Element_Stiffness!Y32,0)),0)),0)+IF(Element_Stiffness!$C$41,IF(Element_Stiffness!$C$40=0,IF(6=Element_Stiffness!$C$40,Element_Stiffness!S61,IF(6=Element_Stiffness!$E$40,Element_Stiffness!Y61,0)),IF(Element_Stiffness!$E$40=0,IF(6=Element_Stiffness!$C$40,Element_Stiffness!S67,IF(6=Element_Stiffness!$E$40,Element_Stiffness!Y67,0)),0)),0)+IF(Element_Stiffness!$C$76,IF(Element_Stiffness!$C$75=0,IF(6=Element_Stiffness!$C$75,Element_Stiffness!S96,IF(6=Element_Stiffness!$E$75,Element_Stiffness!Y96,0)),IF(Element_Stiffness!$E$75=0,IF(6=Element_Stiffness!$C$75,Element_Stiffness!S102,IF(6=Element_Stiffness!$E$75,Element_Stiffness!Y102,0)),0)),0)+IF(Element_Stiffness!$C$111,IF(Element_Stiffness!$C$110=0,IF(6=Element_Stiffness!$C$110,Element_Stiffness!S131,IF(6=Element_Stiffness!$E$110,Element_Stiffness!Y131,0)),IF(Element_Stiffness!$E$110=0,IF(6=Element_Stiffness!$C$110,Element_Stiffness!S137,IF(6=Element_Stiffness!$E$110,Element_Stiffness!Y137,0)),0)),0)+IF(Element_Stiffness!$C$146,IF(Element_Stiffness!$C$145=0,IF(6=Element_Stiffness!$C$145,Element_Stiffness!S166,IF(6=Element_Stiffness!$E$145,Element_Stiffness!Y166,0)),IF(Element_Stiffness!$E$145=0,IF(6=Element_Stiffness!$C$145,Element_Stiffness!S172,IF(6=Element_Stiffness!$E$145,Element_Stiffness!Y172,0)),0)),0)+IF(Element_Stiffness!$C$181,IF(Element_Stiffness!$C$180=0,IF(6=Element_Stiffness!$C$180,Element_Stiffness!S201,IF(6=Element_Stiffness!$E$180,Element_Stiffness!Y201,0)),IF(Element_Stiffness!$E$180=0,IF(6=Element_Stiffness!$C$180,Element_Stiffness!S207,IF(6=Element_Stiffness!$E$180,Element_Stiffness!Y207,0)),0)),0)+IF(Element_Stiffness!$C$216,IF(Element_Stiffness!$C$215=0,IF(6=Element_Stiffness!$C$215,Element_Stiffness!S236,IF(6=Element_Stiffness!$E$215,Element_Stiffness!Y236,0)),IF(Element_Stiffness!$E$215=0,IF(6=Element_Stiffness!$C$215,Element_Stiffness!S242,IF(6=Element_Stiffness!$E$215,Element_Stiffness!Y242,0)),0)),0)</f>
        <v/>
      </c>
      <c r="AQ5" s="21">
        <f>IF(Element_Stiffness!$C$6,IF(Element_Stiffness!$C$5=0,IF(6=Element_Stiffness!$C$5,Element_Stiffness!T26,IF(6=Element_Stiffness!$E$5,Element_Stiffness!Z26,0)),IF(Element_Stiffness!$E$5=0,IF(6=Element_Stiffness!$C$5,Element_Stiffness!T32,IF(6=Element_Stiffness!$E$5,Element_Stiffness!Z32,0)),0)),0)+IF(Element_Stiffness!$C$41,IF(Element_Stiffness!$C$40=0,IF(6=Element_Stiffness!$C$40,Element_Stiffness!T61,IF(6=Element_Stiffness!$E$40,Element_Stiffness!Z61,0)),IF(Element_Stiffness!$E$40=0,IF(6=Element_Stiffness!$C$40,Element_Stiffness!T67,IF(6=Element_Stiffness!$E$40,Element_Stiffness!Z67,0)),0)),0)+IF(Element_Stiffness!$C$76,IF(Element_Stiffness!$C$75=0,IF(6=Element_Stiffness!$C$75,Element_Stiffness!T96,IF(6=Element_Stiffness!$E$75,Element_Stiffness!Z96,0)),IF(Element_Stiffness!$E$75=0,IF(6=Element_Stiffness!$C$75,Element_Stiffness!T102,IF(6=Element_Stiffness!$E$75,Element_Stiffness!Z102,0)),0)),0)+IF(Element_Stiffness!$C$111,IF(Element_Stiffness!$C$110=0,IF(6=Element_Stiffness!$C$110,Element_Stiffness!T131,IF(6=Element_Stiffness!$E$110,Element_Stiffness!Z131,0)),IF(Element_Stiffness!$E$110=0,IF(6=Element_Stiffness!$C$110,Element_Stiffness!T137,IF(6=Element_Stiffness!$E$110,Element_Stiffness!Z137,0)),0)),0)+IF(Element_Stiffness!$C$146,IF(Element_Stiffness!$C$145=0,IF(6=Element_Stiffness!$C$145,Element_Stiffness!T166,IF(6=Element_Stiffness!$E$145,Element_Stiffness!Z166,0)),IF(Element_Stiffness!$E$145=0,IF(6=Element_Stiffness!$C$145,Element_Stiffness!T172,IF(6=Element_Stiffness!$E$145,Element_Stiffness!Z172,0)),0)),0)+IF(Element_Stiffness!$C$181,IF(Element_Stiffness!$C$180=0,IF(6=Element_Stiffness!$C$180,Element_Stiffness!T201,IF(6=Element_Stiffness!$E$180,Element_Stiffness!Z201,0)),IF(Element_Stiffness!$E$180=0,IF(6=Element_Stiffness!$C$180,Element_Stiffness!T207,IF(6=Element_Stiffness!$E$180,Element_Stiffness!Z207,0)),0)),0)+IF(Element_Stiffness!$C$216,IF(Element_Stiffness!$C$215=0,IF(6=Element_Stiffness!$C$215,Element_Stiffness!T236,IF(6=Element_Stiffness!$E$215,Element_Stiffness!Z236,0)),IF(Element_Stiffness!$E$215=0,IF(6=Element_Stiffness!$C$215,Element_Stiffness!T242,IF(6=Element_Stiffness!$E$215,Element_Stiffness!Z242,0)),0)),0)</f>
        <v/>
      </c>
      <c r="AR5" s="21">
        <f>IF(Element_Stiffness!$C$6,IF(Element_Stiffness!$C$5=0,IF(6=Element_Stiffness!$C$5,Element_Stiffness!U26,IF(6=Element_Stiffness!$E$5,Element_Stiffness!AA26,0)),IF(Element_Stiffness!$E$5=0,IF(6=Element_Stiffness!$C$5,Element_Stiffness!U32,IF(6=Element_Stiffness!$E$5,Element_Stiffness!AA32,0)),0)),0)+IF(Element_Stiffness!$C$41,IF(Element_Stiffness!$C$40=0,IF(6=Element_Stiffness!$C$40,Element_Stiffness!U61,IF(6=Element_Stiffness!$E$40,Element_Stiffness!AA61,0)),IF(Element_Stiffness!$E$40=0,IF(6=Element_Stiffness!$C$40,Element_Stiffness!U67,IF(6=Element_Stiffness!$E$40,Element_Stiffness!AA67,0)),0)),0)+IF(Element_Stiffness!$C$76,IF(Element_Stiffness!$C$75=0,IF(6=Element_Stiffness!$C$75,Element_Stiffness!U96,IF(6=Element_Stiffness!$E$75,Element_Stiffness!AA96,0)),IF(Element_Stiffness!$E$75=0,IF(6=Element_Stiffness!$C$75,Element_Stiffness!U102,IF(6=Element_Stiffness!$E$75,Element_Stiffness!AA102,0)),0)),0)+IF(Element_Stiffness!$C$111,IF(Element_Stiffness!$C$110=0,IF(6=Element_Stiffness!$C$110,Element_Stiffness!U131,IF(6=Element_Stiffness!$E$110,Element_Stiffness!AA131,0)),IF(Element_Stiffness!$E$110=0,IF(6=Element_Stiffness!$C$110,Element_Stiffness!U137,IF(6=Element_Stiffness!$E$110,Element_Stiffness!AA137,0)),0)),0)+IF(Element_Stiffness!$C$146,IF(Element_Stiffness!$C$145=0,IF(6=Element_Stiffness!$C$145,Element_Stiffness!U166,IF(6=Element_Stiffness!$E$145,Element_Stiffness!AA166,0)),IF(Element_Stiffness!$E$145=0,IF(6=Element_Stiffness!$C$145,Element_Stiffness!U172,IF(6=Element_Stiffness!$E$145,Element_Stiffness!AA172,0)),0)),0)+IF(Element_Stiffness!$C$181,IF(Element_Stiffness!$C$180=0,IF(6=Element_Stiffness!$C$180,Element_Stiffness!U201,IF(6=Element_Stiffness!$E$180,Element_Stiffness!AA201,0)),IF(Element_Stiffness!$E$180=0,IF(6=Element_Stiffness!$C$180,Element_Stiffness!U207,IF(6=Element_Stiffness!$E$180,Element_Stiffness!AA207,0)),0)),0)+IF(Element_Stiffness!$C$216,IF(Element_Stiffness!$C$215=0,IF(6=Element_Stiffness!$C$215,Element_Stiffness!U236,IF(6=Element_Stiffness!$E$215,Element_Stiffness!AA236,0)),IF(Element_Stiffness!$E$215=0,IF(6=Element_Stiffness!$C$215,Element_Stiffness!U242,IF(6=Element_Stiffness!$E$215,Element_Stiffness!AA242,0)),0)),0)</f>
        <v/>
      </c>
      <c r="AS5" s="21">
        <f>IF(Element_Stiffness!$C$6,IF(Element_Stiffness!$C$5=0,IF(7=Element_Stiffness!$C$5,Element_Stiffness!P26,IF(7=Element_Stiffness!$E$5,Element_Stiffness!V26,0)),IF(Element_Stiffness!$E$5=0,IF(7=Element_Stiffness!$C$5,Element_Stiffness!P32,IF(7=Element_Stiffness!$E$5,Element_Stiffness!V32,0)),0)),0)+IF(Element_Stiffness!$C$41,IF(Element_Stiffness!$C$40=0,IF(7=Element_Stiffness!$C$40,Element_Stiffness!P61,IF(7=Element_Stiffness!$E$40,Element_Stiffness!V61,0)),IF(Element_Stiffness!$E$40=0,IF(7=Element_Stiffness!$C$40,Element_Stiffness!P67,IF(7=Element_Stiffness!$E$40,Element_Stiffness!V67,0)),0)),0)+IF(Element_Stiffness!$C$76,IF(Element_Stiffness!$C$75=0,IF(7=Element_Stiffness!$C$75,Element_Stiffness!P96,IF(7=Element_Stiffness!$E$75,Element_Stiffness!V96,0)),IF(Element_Stiffness!$E$75=0,IF(7=Element_Stiffness!$C$75,Element_Stiffness!P102,IF(7=Element_Stiffness!$E$75,Element_Stiffness!V102,0)),0)),0)+IF(Element_Stiffness!$C$111,IF(Element_Stiffness!$C$110=0,IF(7=Element_Stiffness!$C$110,Element_Stiffness!P131,IF(7=Element_Stiffness!$E$110,Element_Stiffness!V131,0)),IF(Element_Stiffness!$E$110=0,IF(7=Element_Stiffness!$C$110,Element_Stiffness!P137,IF(7=Element_Stiffness!$E$110,Element_Stiffness!V137,0)),0)),0)+IF(Element_Stiffness!$C$146,IF(Element_Stiffness!$C$145=0,IF(7=Element_Stiffness!$C$145,Element_Stiffness!P166,IF(7=Element_Stiffness!$E$145,Element_Stiffness!V166,0)),IF(Element_Stiffness!$E$145=0,IF(7=Element_Stiffness!$C$145,Element_Stiffness!P172,IF(7=Element_Stiffness!$E$145,Element_Stiffness!V172,0)),0)),0)+IF(Element_Stiffness!$C$181,IF(Element_Stiffness!$C$180=0,IF(7=Element_Stiffness!$C$180,Element_Stiffness!P201,IF(7=Element_Stiffness!$E$180,Element_Stiffness!V201,0)),IF(Element_Stiffness!$E$180=0,IF(7=Element_Stiffness!$C$180,Element_Stiffness!P207,IF(7=Element_Stiffness!$E$180,Element_Stiffness!V207,0)),0)),0)+IF(Element_Stiffness!$C$216,IF(Element_Stiffness!$C$215=0,IF(7=Element_Stiffness!$C$215,Element_Stiffness!P236,IF(7=Element_Stiffness!$E$215,Element_Stiffness!V236,0)),IF(Element_Stiffness!$E$215=0,IF(7=Element_Stiffness!$C$215,Element_Stiffness!P242,IF(7=Element_Stiffness!$E$215,Element_Stiffness!V242,0)),0)),0)</f>
        <v/>
      </c>
      <c r="AT5" s="21">
        <f>IF(Element_Stiffness!$C$6,IF(Element_Stiffness!$C$5=0,IF(7=Element_Stiffness!$C$5,Element_Stiffness!Q26,IF(7=Element_Stiffness!$E$5,Element_Stiffness!W26,0)),IF(Element_Stiffness!$E$5=0,IF(7=Element_Stiffness!$C$5,Element_Stiffness!Q32,IF(7=Element_Stiffness!$E$5,Element_Stiffness!W32,0)),0)),0)+IF(Element_Stiffness!$C$41,IF(Element_Stiffness!$C$40=0,IF(7=Element_Stiffness!$C$40,Element_Stiffness!Q61,IF(7=Element_Stiffness!$E$40,Element_Stiffness!W61,0)),IF(Element_Stiffness!$E$40=0,IF(7=Element_Stiffness!$C$40,Element_Stiffness!Q67,IF(7=Element_Stiffness!$E$40,Element_Stiffness!W67,0)),0)),0)+IF(Element_Stiffness!$C$76,IF(Element_Stiffness!$C$75=0,IF(7=Element_Stiffness!$C$75,Element_Stiffness!Q96,IF(7=Element_Stiffness!$E$75,Element_Stiffness!W96,0)),IF(Element_Stiffness!$E$75=0,IF(7=Element_Stiffness!$C$75,Element_Stiffness!Q102,IF(7=Element_Stiffness!$E$75,Element_Stiffness!W102,0)),0)),0)+IF(Element_Stiffness!$C$111,IF(Element_Stiffness!$C$110=0,IF(7=Element_Stiffness!$C$110,Element_Stiffness!Q131,IF(7=Element_Stiffness!$E$110,Element_Stiffness!W131,0)),IF(Element_Stiffness!$E$110=0,IF(7=Element_Stiffness!$C$110,Element_Stiffness!Q137,IF(7=Element_Stiffness!$E$110,Element_Stiffness!W137,0)),0)),0)+IF(Element_Stiffness!$C$146,IF(Element_Stiffness!$C$145=0,IF(7=Element_Stiffness!$C$145,Element_Stiffness!Q166,IF(7=Element_Stiffness!$E$145,Element_Stiffness!W166,0)),IF(Element_Stiffness!$E$145=0,IF(7=Element_Stiffness!$C$145,Element_Stiffness!Q172,IF(7=Element_Stiffness!$E$145,Element_Stiffness!W172,0)),0)),0)+IF(Element_Stiffness!$C$181,IF(Element_Stiffness!$C$180=0,IF(7=Element_Stiffness!$C$180,Element_Stiffness!Q201,IF(7=Element_Stiffness!$E$180,Element_Stiffness!W201,0)),IF(Element_Stiffness!$E$180=0,IF(7=Element_Stiffness!$C$180,Element_Stiffness!Q207,IF(7=Element_Stiffness!$E$180,Element_Stiffness!W207,0)),0)),0)+IF(Element_Stiffness!$C$216,IF(Element_Stiffness!$C$215=0,IF(7=Element_Stiffness!$C$215,Element_Stiffness!Q236,IF(7=Element_Stiffness!$E$215,Element_Stiffness!W236,0)),IF(Element_Stiffness!$E$215=0,IF(7=Element_Stiffness!$C$215,Element_Stiffness!Q242,IF(7=Element_Stiffness!$E$215,Element_Stiffness!W242,0)),0)),0)</f>
        <v/>
      </c>
      <c r="AU5" s="21">
        <f>IF(Element_Stiffness!$C$6,IF(Element_Stiffness!$C$5=0,IF(7=Element_Stiffness!$C$5,Element_Stiffness!R26,IF(7=Element_Stiffness!$E$5,Element_Stiffness!X26,0)),IF(Element_Stiffness!$E$5=0,IF(7=Element_Stiffness!$C$5,Element_Stiffness!R32,IF(7=Element_Stiffness!$E$5,Element_Stiffness!X32,0)),0)),0)+IF(Element_Stiffness!$C$41,IF(Element_Stiffness!$C$40=0,IF(7=Element_Stiffness!$C$40,Element_Stiffness!R61,IF(7=Element_Stiffness!$E$40,Element_Stiffness!X61,0)),IF(Element_Stiffness!$E$40=0,IF(7=Element_Stiffness!$C$40,Element_Stiffness!R67,IF(7=Element_Stiffness!$E$40,Element_Stiffness!X67,0)),0)),0)+IF(Element_Stiffness!$C$76,IF(Element_Stiffness!$C$75=0,IF(7=Element_Stiffness!$C$75,Element_Stiffness!R96,IF(7=Element_Stiffness!$E$75,Element_Stiffness!X96,0)),IF(Element_Stiffness!$E$75=0,IF(7=Element_Stiffness!$C$75,Element_Stiffness!R102,IF(7=Element_Stiffness!$E$75,Element_Stiffness!X102,0)),0)),0)+IF(Element_Stiffness!$C$111,IF(Element_Stiffness!$C$110=0,IF(7=Element_Stiffness!$C$110,Element_Stiffness!R131,IF(7=Element_Stiffness!$E$110,Element_Stiffness!X131,0)),IF(Element_Stiffness!$E$110=0,IF(7=Element_Stiffness!$C$110,Element_Stiffness!R137,IF(7=Element_Stiffness!$E$110,Element_Stiffness!X137,0)),0)),0)+IF(Element_Stiffness!$C$146,IF(Element_Stiffness!$C$145=0,IF(7=Element_Stiffness!$C$145,Element_Stiffness!R166,IF(7=Element_Stiffness!$E$145,Element_Stiffness!X166,0)),IF(Element_Stiffness!$E$145=0,IF(7=Element_Stiffness!$C$145,Element_Stiffness!R172,IF(7=Element_Stiffness!$E$145,Element_Stiffness!X172,0)),0)),0)+IF(Element_Stiffness!$C$181,IF(Element_Stiffness!$C$180=0,IF(7=Element_Stiffness!$C$180,Element_Stiffness!R201,IF(7=Element_Stiffness!$E$180,Element_Stiffness!X201,0)),IF(Element_Stiffness!$E$180=0,IF(7=Element_Stiffness!$C$180,Element_Stiffness!R207,IF(7=Element_Stiffness!$E$180,Element_Stiffness!X207,0)),0)),0)+IF(Element_Stiffness!$C$216,IF(Element_Stiffness!$C$215=0,IF(7=Element_Stiffness!$C$215,Element_Stiffness!R236,IF(7=Element_Stiffness!$E$215,Element_Stiffness!X236,0)),IF(Element_Stiffness!$E$215=0,IF(7=Element_Stiffness!$C$215,Element_Stiffness!R242,IF(7=Element_Stiffness!$E$215,Element_Stiffness!X242,0)),0)),0)</f>
        <v/>
      </c>
      <c r="AV5" s="21">
        <f>IF(Element_Stiffness!$C$6,IF(Element_Stiffness!$C$5=0,IF(7=Element_Stiffness!$C$5,Element_Stiffness!S26,IF(7=Element_Stiffness!$E$5,Element_Stiffness!Y26,0)),IF(Element_Stiffness!$E$5=0,IF(7=Element_Stiffness!$C$5,Element_Stiffness!S32,IF(7=Element_Stiffness!$E$5,Element_Stiffness!Y32,0)),0)),0)+IF(Element_Stiffness!$C$41,IF(Element_Stiffness!$C$40=0,IF(7=Element_Stiffness!$C$40,Element_Stiffness!S61,IF(7=Element_Stiffness!$E$40,Element_Stiffness!Y61,0)),IF(Element_Stiffness!$E$40=0,IF(7=Element_Stiffness!$C$40,Element_Stiffness!S67,IF(7=Element_Stiffness!$E$40,Element_Stiffness!Y67,0)),0)),0)+IF(Element_Stiffness!$C$76,IF(Element_Stiffness!$C$75=0,IF(7=Element_Stiffness!$C$75,Element_Stiffness!S96,IF(7=Element_Stiffness!$E$75,Element_Stiffness!Y96,0)),IF(Element_Stiffness!$E$75=0,IF(7=Element_Stiffness!$C$75,Element_Stiffness!S102,IF(7=Element_Stiffness!$E$75,Element_Stiffness!Y102,0)),0)),0)+IF(Element_Stiffness!$C$111,IF(Element_Stiffness!$C$110=0,IF(7=Element_Stiffness!$C$110,Element_Stiffness!S131,IF(7=Element_Stiffness!$E$110,Element_Stiffness!Y131,0)),IF(Element_Stiffness!$E$110=0,IF(7=Element_Stiffness!$C$110,Element_Stiffness!S137,IF(7=Element_Stiffness!$E$110,Element_Stiffness!Y137,0)),0)),0)+IF(Element_Stiffness!$C$146,IF(Element_Stiffness!$C$145=0,IF(7=Element_Stiffness!$C$145,Element_Stiffness!S166,IF(7=Element_Stiffness!$E$145,Element_Stiffness!Y166,0)),IF(Element_Stiffness!$E$145=0,IF(7=Element_Stiffness!$C$145,Element_Stiffness!S172,IF(7=Element_Stiffness!$E$145,Element_Stiffness!Y172,0)),0)),0)+IF(Element_Stiffness!$C$181,IF(Element_Stiffness!$C$180=0,IF(7=Element_Stiffness!$C$180,Element_Stiffness!S201,IF(7=Element_Stiffness!$E$180,Element_Stiffness!Y201,0)),IF(Element_Stiffness!$E$180=0,IF(7=Element_Stiffness!$C$180,Element_Stiffness!S207,IF(7=Element_Stiffness!$E$180,Element_Stiffness!Y207,0)),0)),0)+IF(Element_Stiffness!$C$216,IF(Element_Stiffness!$C$215=0,IF(7=Element_Stiffness!$C$215,Element_Stiffness!S236,IF(7=Element_Stiffness!$E$215,Element_Stiffness!Y236,0)),IF(Element_Stiffness!$E$215=0,IF(7=Element_Stiffness!$C$215,Element_Stiffness!S242,IF(7=Element_Stiffness!$E$215,Element_Stiffness!Y242,0)),0)),0)</f>
        <v/>
      </c>
      <c r="AW5" s="21">
        <f>IF(Element_Stiffness!$C$6,IF(Element_Stiffness!$C$5=0,IF(7=Element_Stiffness!$C$5,Element_Stiffness!T26,IF(7=Element_Stiffness!$E$5,Element_Stiffness!Z26,0)),IF(Element_Stiffness!$E$5=0,IF(7=Element_Stiffness!$C$5,Element_Stiffness!T32,IF(7=Element_Stiffness!$E$5,Element_Stiffness!Z32,0)),0)),0)+IF(Element_Stiffness!$C$41,IF(Element_Stiffness!$C$40=0,IF(7=Element_Stiffness!$C$40,Element_Stiffness!T61,IF(7=Element_Stiffness!$E$40,Element_Stiffness!Z61,0)),IF(Element_Stiffness!$E$40=0,IF(7=Element_Stiffness!$C$40,Element_Stiffness!T67,IF(7=Element_Stiffness!$E$40,Element_Stiffness!Z67,0)),0)),0)+IF(Element_Stiffness!$C$76,IF(Element_Stiffness!$C$75=0,IF(7=Element_Stiffness!$C$75,Element_Stiffness!T96,IF(7=Element_Stiffness!$E$75,Element_Stiffness!Z96,0)),IF(Element_Stiffness!$E$75=0,IF(7=Element_Stiffness!$C$75,Element_Stiffness!T102,IF(7=Element_Stiffness!$E$75,Element_Stiffness!Z102,0)),0)),0)+IF(Element_Stiffness!$C$111,IF(Element_Stiffness!$C$110=0,IF(7=Element_Stiffness!$C$110,Element_Stiffness!T131,IF(7=Element_Stiffness!$E$110,Element_Stiffness!Z131,0)),IF(Element_Stiffness!$E$110=0,IF(7=Element_Stiffness!$C$110,Element_Stiffness!T137,IF(7=Element_Stiffness!$E$110,Element_Stiffness!Z137,0)),0)),0)+IF(Element_Stiffness!$C$146,IF(Element_Stiffness!$C$145=0,IF(7=Element_Stiffness!$C$145,Element_Stiffness!T166,IF(7=Element_Stiffness!$E$145,Element_Stiffness!Z166,0)),IF(Element_Stiffness!$E$145=0,IF(7=Element_Stiffness!$C$145,Element_Stiffness!T172,IF(7=Element_Stiffness!$E$145,Element_Stiffness!Z172,0)),0)),0)+IF(Element_Stiffness!$C$181,IF(Element_Stiffness!$C$180=0,IF(7=Element_Stiffness!$C$180,Element_Stiffness!T201,IF(7=Element_Stiffness!$E$180,Element_Stiffness!Z201,0)),IF(Element_Stiffness!$E$180=0,IF(7=Element_Stiffness!$C$180,Element_Stiffness!T207,IF(7=Element_Stiffness!$E$180,Element_Stiffness!Z207,0)),0)),0)+IF(Element_Stiffness!$C$216,IF(Element_Stiffness!$C$215=0,IF(7=Element_Stiffness!$C$215,Element_Stiffness!T236,IF(7=Element_Stiffness!$E$215,Element_Stiffness!Z236,0)),IF(Element_Stiffness!$E$215=0,IF(7=Element_Stiffness!$C$215,Element_Stiffness!T242,IF(7=Element_Stiffness!$E$215,Element_Stiffness!Z242,0)),0)),0)</f>
        <v/>
      </c>
      <c r="AX5" s="21">
        <f>IF(Element_Stiffness!$C$6,IF(Element_Stiffness!$C$5=0,IF(7=Element_Stiffness!$C$5,Element_Stiffness!U26,IF(7=Element_Stiffness!$E$5,Element_Stiffness!AA26,0)),IF(Element_Stiffness!$E$5=0,IF(7=Element_Stiffness!$C$5,Element_Stiffness!U32,IF(7=Element_Stiffness!$E$5,Element_Stiffness!AA32,0)),0)),0)+IF(Element_Stiffness!$C$41,IF(Element_Stiffness!$C$40=0,IF(7=Element_Stiffness!$C$40,Element_Stiffness!U61,IF(7=Element_Stiffness!$E$40,Element_Stiffness!AA61,0)),IF(Element_Stiffness!$E$40=0,IF(7=Element_Stiffness!$C$40,Element_Stiffness!U67,IF(7=Element_Stiffness!$E$40,Element_Stiffness!AA67,0)),0)),0)+IF(Element_Stiffness!$C$76,IF(Element_Stiffness!$C$75=0,IF(7=Element_Stiffness!$C$75,Element_Stiffness!U96,IF(7=Element_Stiffness!$E$75,Element_Stiffness!AA96,0)),IF(Element_Stiffness!$E$75=0,IF(7=Element_Stiffness!$C$75,Element_Stiffness!U102,IF(7=Element_Stiffness!$E$75,Element_Stiffness!AA102,0)),0)),0)+IF(Element_Stiffness!$C$111,IF(Element_Stiffness!$C$110=0,IF(7=Element_Stiffness!$C$110,Element_Stiffness!U131,IF(7=Element_Stiffness!$E$110,Element_Stiffness!AA131,0)),IF(Element_Stiffness!$E$110=0,IF(7=Element_Stiffness!$C$110,Element_Stiffness!U137,IF(7=Element_Stiffness!$E$110,Element_Stiffness!AA137,0)),0)),0)+IF(Element_Stiffness!$C$146,IF(Element_Stiffness!$C$145=0,IF(7=Element_Stiffness!$C$145,Element_Stiffness!U166,IF(7=Element_Stiffness!$E$145,Element_Stiffness!AA166,0)),IF(Element_Stiffness!$E$145=0,IF(7=Element_Stiffness!$C$145,Element_Stiffness!U172,IF(7=Element_Stiffness!$E$145,Element_Stiffness!AA172,0)),0)),0)+IF(Element_Stiffness!$C$181,IF(Element_Stiffness!$C$180=0,IF(7=Element_Stiffness!$C$180,Element_Stiffness!U201,IF(7=Element_Stiffness!$E$180,Element_Stiffness!AA201,0)),IF(Element_Stiffness!$E$180=0,IF(7=Element_Stiffness!$C$180,Element_Stiffness!U207,IF(7=Element_Stiffness!$E$180,Element_Stiffness!AA207,0)),0)),0)+IF(Element_Stiffness!$C$216,IF(Element_Stiffness!$C$215=0,IF(7=Element_Stiffness!$C$215,Element_Stiffness!U236,IF(7=Element_Stiffness!$E$215,Element_Stiffness!AA236,0)),IF(Element_Stiffness!$E$215=0,IF(7=Element_Stiffness!$C$215,Element_Stiffness!U242,IF(7=Element_Stiffness!$E$215,Element_Stiffness!AA242,0)),0)),0)</f>
        <v/>
      </c>
      <c r="AY5" s="21" t="n">
        <v>0</v>
      </c>
      <c r="AZ5" s="21">
        <f>IF(Element_Stiffness!$C$6,IF(Element_Stiffness!$C$5=0,Element_Stiffness!C26,IF(Element_Stiffness!$E$5=0,Element_Stiffness!C32,0)),0)+IF(Element_Stiffness!$C$41,IF(Element_Stiffness!$C$40=0,Element_Stiffness!C61,IF(Element_Stiffness!$E$40=0,Element_Stiffness!C67,0)),0)+IF(Element_Stiffness!$C$76,IF(Element_Stiffness!$C$75=0,Element_Stiffness!C96,IF(Element_Stiffness!$E$75=0,Element_Stiffness!C102,0)),0)+IF(Element_Stiffness!$C$111,IF(Element_Stiffness!$C$110=0,Element_Stiffness!C131,IF(Element_Stiffness!$E$110=0,Element_Stiffness!C137,0)),0)+IF(Element_Stiffness!$C$146,IF(Element_Stiffness!$C$145=0,Element_Stiffness!C166,IF(Element_Stiffness!$E$145=0,Element_Stiffness!C172,0)),0)+IF(Element_Stiffness!$C$181,IF(Element_Stiffness!$C$180=0,Element_Stiffness!C201,IF(Element_Stiffness!$E$180=0,Element_Stiffness!C207,0)),0)+IF(Element_Stiffness!$C$216,IF(Element_Stiffness!$C$215=0,Element_Stiffness!C236,IF(Element_Stiffness!$E$215=0,Element_Stiffness!C242,0)),0)</f>
        <v/>
      </c>
      <c r="BB5" s="28">
        <f>INDEX(MMULT(MINVERSE(C5:AX52), AY5:AY52), 1, 1)</f>
        <v/>
      </c>
      <c r="BC5" s="28">
        <f>INDEX(MMULT(MINVERSE(C5:AX52), AZ5:AZ52), 1, 1)</f>
        <v/>
      </c>
    </row>
    <row r="6">
      <c r="B6" s="27" t="inlineStr">
        <is>
          <t>N0_ty</t>
        </is>
      </c>
      <c r="C6" s="21">
        <f>IF(Element_Stiffness!$C$6,IF(Element_Stiffness!$C$5=0,IF(0=Element_Stiffness!$C$5,Element_Stiffness!P27,IF(0=Element_Stiffness!$E$5,Element_Stiffness!V27,0)),IF(Element_Stiffness!$E$5=0,IF(0=Element_Stiffness!$C$5,Element_Stiffness!P33,IF(0=Element_Stiffness!$E$5,Element_Stiffness!V33,0)),0)),0)+IF(Element_Stiffness!$C$41,IF(Element_Stiffness!$C$40=0,IF(0=Element_Stiffness!$C$40,Element_Stiffness!P62,IF(0=Element_Stiffness!$E$40,Element_Stiffness!V62,0)),IF(Element_Stiffness!$E$40=0,IF(0=Element_Stiffness!$C$40,Element_Stiffness!P68,IF(0=Element_Stiffness!$E$40,Element_Stiffness!V68,0)),0)),0)+IF(Element_Stiffness!$C$76,IF(Element_Stiffness!$C$75=0,IF(0=Element_Stiffness!$C$75,Element_Stiffness!P97,IF(0=Element_Stiffness!$E$75,Element_Stiffness!V97,0)),IF(Element_Stiffness!$E$75=0,IF(0=Element_Stiffness!$C$75,Element_Stiffness!P103,IF(0=Element_Stiffness!$E$75,Element_Stiffness!V103,0)),0)),0)+IF(Element_Stiffness!$C$111,IF(Element_Stiffness!$C$110=0,IF(0=Element_Stiffness!$C$110,Element_Stiffness!P132,IF(0=Element_Stiffness!$E$110,Element_Stiffness!V132,0)),IF(Element_Stiffness!$E$110=0,IF(0=Element_Stiffness!$C$110,Element_Stiffness!P138,IF(0=Element_Stiffness!$E$110,Element_Stiffness!V138,0)),0)),0)+IF(Element_Stiffness!$C$146,IF(Element_Stiffness!$C$145=0,IF(0=Element_Stiffness!$C$145,Element_Stiffness!P167,IF(0=Element_Stiffness!$E$145,Element_Stiffness!V167,0)),IF(Element_Stiffness!$E$145=0,IF(0=Element_Stiffness!$C$145,Element_Stiffness!P173,IF(0=Element_Stiffness!$E$145,Element_Stiffness!V173,0)),0)),0)+IF(Element_Stiffness!$C$181,IF(Element_Stiffness!$C$180=0,IF(0=Element_Stiffness!$C$180,Element_Stiffness!P202,IF(0=Element_Stiffness!$E$180,Element_Stiffness!V202,0)),IF(Element_Stiffness!$E$180=0,IF(0=Element_Stiffness!$C$180,Element_Stiffness!P208,IF(0=Element_Stiffness!$E$180,Element_Stiffness!V208,0)),0)),0)+IF(Element_Stiffness!$C$216,IF(Element_Stiffness!$C$215=0,IF(0=Element_Stiffness!$C$215,Element_Stiffness!P237,IF(0=Element_Stiffness!$E$215,Element_Stiffness!V237,0)),IF(Element_Stiffness!$E$215=0,IF(0=Element_Stiffness!$C$215,Element_Stiffness!P243,IF(0=Element_Stiffness!$E$215,Element_Stiffness!V243,0)),0)),0)</f>
        <v/>
      </c>
      <c r="D6" s="21">
        <f>IF(Element_Stiffness!$C$6,IF(Element_Stiffness!$C$5=0,IF(0=Element_Stiffness!$C$5,Element_Stiffness!Q27,IF(0=Element_Stiffness!$E$5,Element_Stiffness!W27,0)),IF(Element_Stiffness!$E$5=0,IF(0=Element_Stiffness!$C$5,Element_Stiffness!Q33,IF(0=Element_Stiffness!$E$5,Element_Stiffness!W33,0)),0)),0)+IF(Element_Stiffness!$C$41,IF(Element_Stiffness!$C$40=0,IF(0=Element_Stiffness!$C$40,Element_Stiffness!Q62,IF(0=Element_Stiffness!$E$40,Element_Stiffness!W62,0)),IF(Element_Stiffness!$E$40=0,IF(0=Element_Stiffness!$C$40,Element_Stiffness!Q68,IF(0=Element_Stiffness!$E$40,Element_Stiffness!W68,0)),0)),0)+IF(Element_Stiffness!$C$76,IF(Element_Stiffness!$C$75=0,IF(0=Element_Stiffness!$C$75,Element_Stiffness!Q97,IF(0=Element_Stiffness!$E$75,Element_Stiffness!W97,0)),IF(Element_Stiffness!$E$75=0,IF(0=Element_Stiffness!$C$75,Element_Stiffness!Q103,IF(0=Element_Stiffness!$E$75,Element_Stiffness!W103,0)),0)),0)+IF(Element_Stiffness!$C$111,IF(Element_Stiffness!$C$110=0,IF(0=Element_Stiffness!$C$110,Element_Stiffness!Q132,IF(0=Element_Stiffness!$E$110,Element_Stiffness!W132,0)),IF(Element_Stiffness!$E$110=0,IF(0=Element_Stiffness!$C$110,Element_Stiffness!Q138,IF(0=Element_Stiffness!$E$110,Element_Stiffness!W138,0)),0)),0)+IF(Element_Stiffness!$C$146,IF(Element_Stiffness!$C$145=0,IF(0=Element_Stiffness!$C$145,Element_Stiffness!Q167,IF(0=Element_Stiffness!$E$145,Element_Stiffness!W167,0)),IF(Element_Stiffness!$E$145=0,IF(0=Element_Stiffness!$C$145,Element_Stiffness!Q173,IF(0=Element_Stiffness!$E$145,Element_Stiffness!W173,0)),0)),0)+IF(Element_Stiffness!$C$181,IF(Element_Stiffness!$C$180=0,IF(0=Element_Stiffness!$C$180,Element_Stiffness!Q202,IF(0=Element_Stiffness!$E$180,Element_Stiffness!W202,0)),IF(Element_Stiffness!$E$180=0,IF(0=Element_Stiffness!$C$180,Element_Stiffness!Q208,IF(0=Element_Stiffness!$E$180,Element_Stiffness!W208,0)),0)),0)+IF(Element_Stiffness!$C$216,IF(Element_Stiffness!$C$215=0,IF(0=Element_Stiffness!$C$215,Element_Stiffness!Q237,IF(0=Element_Stiffness!$E$215,Element_Stiffness!W237,0)),IF(Element_Stiffness!$E$215=0,IF(0=Element_Stiffness!$C$215,Element_Stiffness!Q243,IF(0=Element_Stiffness!$E$215,Element_Stiffness!W243,0)),0)),0)+IF(Inputs!D40=TRUE,1E15,IF(ISNUMBER(Inputs!D40),Inputs!D40,0))</f>
        <v/>
      </c>
      <c r="E6" s="21">
        <f>IF(Element_Stiffness!$C$6,IF(Element_Stiffness!$C$5=0,IF(0=Element_Stiffness!$C$5,Element_Stiffness!R27,IF(0=Element_Stiffness!$E$5,Element_Stiffness!X27,0)),IF(Element_Stiffness!$E$5=0,IF(0=Element_Stiffness!$C$5,Element_Stiffness!R33,IF(0=Element_Stiffness!$E$5,Element_Stiffness!X33,0)),0)),0)+IF(Element_Stiffness!$C$41,IF(Element_Stiffness!$C$40=0,IF(0=Element_Stiffness!$C$40,Element_Stiffness!R62,IF(0=Element_Stiffness!$E$40,Element_Stiffness!X62,0)),IF(Element_Stiffness!$E$40=0,IF(0=Element_Stiffness!$C$40,Element_Stiffness!R68,IF(0=Element_Stiffness!$E$40,Element_Stiffness!X68,0)),0)),0)+IF(Element_Stiffness!$C$76,IF(Element_Stiffness!$C$75=0,IF(0=Element_Stiffness!$C$75,Element_Stiffness!R97,IF(0=Element_Stiffness!$E$75,Element_Stiffness!X97,0)),IF(Element_Stiffness!$E$75=0,IF(0=Element_Stiffness!$C$75,Element_Stiffness!R103,IF(0=Element_Stiffness!$E$75,Element_Stiffness!X103,0)),0)),0)+IF(Element_Stiffness!$C$111,IF(Element_Stiffness!$C$110=0,IF(0=Element_Stiffness!$C$110,Element_Stiffness!R132,IF(0=Element_Stiffness!$E$110,Element_Stiffness!X132,0)),IF(Element_Stiffness!$E$110=0,IF(0=Element_Stiffness!$C$110,Element_Stiffness!R138,IF(0=Element_Stiffness!$E$110,Element_Stiffness!X138,0)),0)),0)+IF(Element_Stiffness!$C$146,IF(Element_Stiffness!$C$145=0,IF(0=Element_Stiffness!$C$145,Element_Stiffness!R167,IF(0=Element_Stiffness!$E$145,Element_Stiffness!X167,0)),IF(Element_Stiffness!$E$145=0,IF(0=Element_Stiffness!$C$145,Element_Stiffness!R173,IF(0=Element_Stiffness!$E$145,Element_Stiffness!X173,0)),0)),0)+IF(Element_Stiffness!$C$181,IF(Element_Stiffness!$C$180=0,IF(0=Element_Stiffness!$C$180,Element_Stiffness!R202,IF(0=Element_Stiffness!$E$180,Element_Stiffness!X202,0)),IF(Element_Stiffness!$E$180=0,IF(0=Element_Stiffness!$C$180,Element_Stiffness!R208,IF(0=Element_Stiffness!$E$180,Element_Stiffness!X208,0)),0)),0)+IF(Element_Stiffness!$C$216,IF(Element_Stiffness!$C$215=0,IF(0=Element_Stiffness!$C$215,Element_Stiffness!R237,IF(0=Element_Stiffness!$E$215,Element_Stiffness!X237,0)),IF(Element_Stiffness!$E$215=0,IF(0=Element_Stiffness!$C$215,Element_Stiffness!R243,IF(0=Element_Stiffness!$E$215,Element_Stiffness!X243,0)),0)),0)</f>
        <v/>
      </c>
      <c r="F6" s="21">
        <f>IF(Element_Stiffness!$C$6,IF(Element_Stiffness!$C$5=0,IF(0=Element_Stiffness!$C$5,Element_Stiffness!S27,IF(0=Element_Stiffness!$E$5,Element_Stiffness!Y27,0)),IF(Element_Stiffness!$E$5=0,IF(0=Element_Stiffness!$C$5,Element_Stiffness!S33,IF(0=Element_Stiffness!$E$5,Element_Stiffness!Y33,0)),0)),0)+IF(Element_Stiffness!$C$41,IF(Element_Stiffness!$C$40=0,IF(0=Element_Stiffness!$C$40,Element_Stiffness!S62,IF(0=Element_Stiffness!$E$40,Element_Stiffness!Y62,0)),IF(Element_Stiffness!$E$40=0,IF(0=Element_Stiffness!$C$40,Element_Stiffness!S68,IF(0=Element_Stiffness!$E$40,Element_Stiffness!Y68,0)),0)),0)+IF(Element_Stiffness!$C$76,IF(Element_Stiffness!$C$75=0,IF(0=Element_Stiffness!$C$75,Element_Stiffness!S97,IF(0=Element_Stiffness!$E$75,Element_Stiffness!Y97,0)),IF(Element_Stiffness!$E$75=0,IF(0=Element_Stiffness!$C$75,Element_Stiffness!S103,IF(0=Element_Stiffness!$E$75,Element_Stiffness!Y103,0)),0)),0)+IF(Element_Stiffness!$C$111,IF(Element_Stiffness!$C$110=0,IF(0=Element_Stiffness!$C$110,Element_Stiffness!S132,IF(0=Element_Stiffness!$E$110,Element_Stiffness!Y132,0)),IF(Element_Stiffness!$E$110=0,IF(0=Element_Stiffness!$C$110,Element_Stiffness!S138,IF(0=Element_Stiffness!$E$110,Element_Stiffness!Y138,0)),0)),0)+IF(Element_Stiffness!$C$146,IF(Element_Stiffness!$C$145=0,IF(0=Element_Stiffness!$C$145,Element_Stiffness!S167,IF(0=Element_Stiffness!$E$145,Element_Stiffness!Y167,0)),IF(Element_Stiffness!$E$145=0,IF(0=Element_Stiffness!$C$145,Element_Stiffness!S173,IF(0=Element_Stiffness!$E$145,Element_Stiffness!Y173,0)),0)),0)+IF(Element_Stiffness!$C$181,IF(Element_Stiffness!$C$180=0,IF(0=Element_Stiffness!$C$180,Element_Stiffness!S202,IF(0=Element_Stiffness!$E$180,Element_Stiffness!Y202,0)),IF(Element_Stiffness!$E$180=0,IF(0=Element_Stiffness!$C$180,Element_Stiffness!S208,IF(0=Element_Stiffness!$E$180,Element_Stiffness!Y208,0)),0)),0)+IF(Element_Stiffness!$C$216,IF(Element_Stiffness!$C$215=0,IF(0=Element_Stiffness!$C$215,Element_Stiffness!S237,IF(0=Element_Stiffness!$E$215,Element_Stiffness!Y237,0)),IF(Element_Stiffness!$E$215=0,IF(0=Element_Stiffness!$C$215,Element_Stiffness!S243,IF(0=Element_Stiffness!$E$215,Element_Stiffness!Y243,0)),0)),0)</f>
        <v/>
      </c>
      <c r="G6" s="21">
        <f>IF(Element_Stiffness!$C$6,IF(Element_Stiffness!$C$5=0,IF(0=Element_Stiffness!$C$5,Element_Stiffness!T27,IF(0=Element_Stiffness!$E$5,Element_Stiffness!Z27,0)),IF(Element_Stiffness!$E$5=0,IF(0=Element_Stiffness!$C$5,Element_Stiffness!T33,IF(0=Element_Stiffness!$E$5,Element_Stiffness!Z33,0)),0)),0)+IF(Element_Stiffness!$C$41,IF(Element_Stiffness!$C$40=0,IF(0=Element_Stiffness!$C$40,Element_Stiffness!T62,IF(0=Element_Stiffness!$E$40,Element_Stiffness!Z62,0)),IF(Element_Stiffness!$E$40=0,IF(0=Element_Stiffness!$C$40,Element_Stiffness!T68,IF(0=Element_Stiffness!$E$40,Element_Stiffness!Z68,0)),0)),0)+IF(Element_Stiffness!$C$76,IF(Element_Stiffness!$C$75=0,IF(0=Element_Stiffness!$C$75,Element_Stiffness!T97,IF(0=Element_Stiffness!$E$75,Element_Stiffness!Z97,0)),IF(Element_Stiffness!$E$75=0,IF(0=Element_Stiffness!$C$75,Element_Stiffness!T103,IF(0=Element_Stiffness!$E$75,Element_Stiffness!Z103,0)),0)),0)+IF(Element_Stiffness!$C$111,IF(Element_Stiffness!$C$110=0,IF(0=Element_Stiffness!$C$110,Element_Stiffness!T132,IF(0=Element_Stiffness!$E$110,Element_Stiffness!Z132,0)),IF(Element_Stiffness!$E$110=0,IF(0=Element_Stiffness!$C$110,Element_Stiffness!T138,IF(0=Element_Stiffness!$E$110,Element_Stiffness!Z138,0)),0)),0)+IF(Element_Stiffness!$C$146,IF(Element_Stiffness!$C$145=0,IF(0=Element_Stiffness!$C$145,Element_Stiffness!T167,IF(0=Element_Stiffness!$E$145,Element_Stiffness!Z167,0)),IF(Element_Stiffness!$E$145=0,IF(0=Element_Stiffness!$C$145,Element_Stiffness!T173,IF(0=Element_Stiffness!$E$145,Element_Stiffness!Z173,0)),0)),0)+IF(Element_Stiffness!$C$181,IF(Element_Stiffness!$C$180=0,IF(0=Element_Stiffness!$C$180,Element_Stiffness!T202,IF(0=Element_Stiffness!$E$180,Element_Stiffness!Z202,0)),IF(Element_Stiffness!$E$180=0,IF(0=Element_Stiffness!$C$180,Element_Stiffness!T208,IF(0=Element_Stiffness!$E$180,Element_Stiffness!Z208,0)),0)),0)+IF(Element_Stiffness!$C$216,IF(Element_Stiffness!$C$215=0,IF(0=Element_Stiffness!$C$215,Element_Stiffness!T237,IF(0=Element_Stiffness!$E$215,Element_Stiffness!Z237,0)),IF(Element_Stiffness!$E$215=0,IF(0=Element_Stiffness!$C$215,Element_Stiffness!T243,IF(0=Element_Stiffness!$E$215,Element_Stiffness!Z243,0)),0)),0)</f>
        <v/>
      </c>
      <c r="H6" s="21">
        <f>IF(Element_Stiffness!$C$6,IF(Element_Stiffness!$C$5=0,IF(0=Element_Stiffness!$C$5,Element_Stiffness!U27,IF(0=Element_Stiffness!$E$5,Element_Stiffness!AA27,0)),IF(Element_Stiffness!$E$5=0,IF(0=Element_Stiffness!$C$5,Element_Stiffness!U33,IF(0=Element_Stiffness!$E$5,Element_Stiffness!AA33,0)),0)),0)+IF(Element_Stiffness!$C$41,IF(Element_Stiffness!$C$40=0,IF(0=Element_Stiffness!$C$40,Element_Stiffness!U62,IF(0=Element_Stiffness!$E$40,Element_Stiffness!AA62,0)),IF(Element_Stiffness!$E$40=0,IF(0=Element_Stiffness!$C$40,Element_Stiffness!U68,IF(0=Element_Stiffness!$E$40,Element_Stiffness!AA68,0)),0)),0)+IF(Element_Stiffness!$C$76,IF(Element_Stiffness!$C$75=0,IF(0=Element_Stiffness!$C$75,Element_Stiffness!U97,IF(0=Element_Stiffness!$E$75,Element_Stiffness!AA97,0)),IF(Element_Stiffness!$E$75=0,IF(0=Element_Stiffness!$C$75,Element_Stiffness!U103,IF(0=Element_Stiffness!$E$75,Element_Stiffness!AA103,0)),0)),0)+IF(Element_Stiffness!$C$111,IF(Element_Stiffness!$C$110=0,IF(0=Element_Stiffness!$C$110,Element_Stiffness!U132,IF(0=Element_Stiffness!$E$110,Element_Stiffness!AA132,0)),IF(Element_Stiffness!$E$110=0,IF(0=Element_Stiffness!$C$110,Element_Stiffness!U138,IF(0=Element_Stiffness!$E$110,Element_Stiffness!AA138,0)),0)),0)+IF(Element_Stiffness!$C$146,IF(Element_Stiffness!$C$145=0,IF(0=Element_Stiffness!$C$145,Element_Stiffness!U167,IF(0=Element_Stiffness!$E$145,Element_Stiffness!AA167,0)),IF(Element_Stiffness!$E$145=0,IF(0=Element_Stiffness!$C$145,Element_Stiffness!U173,IF(0=Element_Stiffness!$E$145,Element_Stiffness!AA173,0)),0)),0)+IF(Element_Stiffness!$C$181,IF(Element_Stiffness!$C$180=0,IF(0=Element_Stiffness!$C$180,Element_Stiffness!U202,IF(0=Element_Stiffness!$E$180,Element_Stiffness!AA202,0)),IF(Element_Stiffness!$E$180=0,IF(0=Element_Stiffness!$C$180,Element_Stiffness!U208,IF(0=Element_Stiffness!$E$180,Element_Stiffness!AA208,0)),0)),0)+IF(Element_Stiffness!$C$216,IF(Element_Stiffness!$C$215=0,IF(0=Element_Stiffness!$C$215,Element_Stiffness!U237,IF(0=Element_Stiffness!$E$215,Element_Stiffness!AA237,0)),IF(Element_Stiffness!$E$215=0,IF(0=Element_Stiffness!$C$215,Element_Stiffness!U243,IF(0=Element_Stiffness!$E$215,Element_Stiffness!AA243,0)),0)),0)</f>
        <v/>
      </c>
      <c r="I6" s="21">
        <f>IF(Element_Stiffness!$C$6,IF(Element_Stiffness!$C$5=0,IF(1=Element_Stiffness!$C$5,Element_Stiffness!P27,IF(1=Element_Stiffness!$E$5,Element_Stiffness!V27,0)),IF(Element_Stiffness!$E$5=0,IF(1=Element_Stiffness!$C$5,Element_Stiffness!P33,IF(1=Element_Stiffness!$E$5,Element_Stiffness!V33,0)),0)),0)+IF(Element_Stiffness!$C$41,IF(Element_Stiffness!$C$40=0,IF(1=Element_Stiffness!$C$40,Element_Stiffness!P62,IF(1=Element_Stiffness!$E$40,Element_Stiffness!V62,0)),IF(Element_Stiffness!$E$40=0,IF(1=Element_Stiffness!$C$40,Element_Stiffness!P68,IF(1=Element_Stiffness!$E$40,Element_Stiffness!V68,0)),0)),0)+IF(Element_Stiffness!$C$76,IF(Element_Stiffness!$C$75=0,IF(1=Element_Stiffness!$C$75,Element_Stiffness!P97,IF(1=Element_Stiffness!$E$75,Element_Stiffness!V97,0)),IF(Element_Stiffness!$E$75=0,IF(1=Element_Stiffness!$C$75,Element_Stiffness!P103,IF(1=Element_Stiffness!$E$75,Element_Stiffness!V103,0)),0)),0)+IF(Element_Stiffness!$C$111,IF(Element_Stiffness!$C$110=0,IF(1=Element_Stiffness!$C$110,Element_Stiffness!P132,IF(1=Element_Stiffness!$E$110,Element_Stiffness!V132,0)),IF(Element_Stiffness!$E$110=0,IF(1=Element_Stiffness!$C$110,Element_Stiffness!P138,IF(1=Element_Stiffness!$E$110,Element_Stiffness!V138,0)),0)),0)+IF(Element_Stiffness!$C$146,IF(Element_Stiffness!$C$145=0,IF(1=Element_Stiffness!$C$145,Element_Stiffness!P167,IF(1=Element_Stiffness!$E$145,Element_Stiffness!V167,0)),IF(Element_Stiffness!$E$145=0,IF(1=Element_Stiffness!$C$145,Element_Stiffness!P173,IF(1=Element_Stiffness!$E$145,Element_Stiffness!V173,0)),0)),0)+IF(Element_Stiffness!$C$181,IF(Element_Stiffness!$C$180=0,IF(1=Element_Stiffness!$C$180,Element_Stiffness!P202,IF(1=Element_Stiffness!$E$180,Element_Stiffness!V202,0)),IF(Element_Stiffness!$E$180=0,IF(1=Element_Stiffness!$C$180,Element_Stiffness!P208,IF(1=Element_Stiffness!$E$180,Element_Stiffness!V208,0)),0)),0)+IF(Element_Stiffness!$C$216,IF(Element_Stiffness!$C$215=0,IF(1=Element_Stiffness!$C$215,Element_Stiffness!P237,IF(1=Element_Stiffness!$E$215,Element_Stiffness!V237,0)),IF(Element_Stiffness!$E$215=0,IF(1=Element_Stiffness!$C$215,Element_Stiffness!P243,IF(1=Element_Stiffness!$E$215,Element_Stiffness!V243,0)),0)),0)</f>
        <v/>
      </c>
      <c r="J6" s="21">
        <f>IF(Element_Stiffness!$C$6,IF(Element_Stiffness!$C$5=0,IF(1=Element_Stiffness!$C$5,Element_Stiffness!Q27,IF(1=Element_Stiffness!$E$5,Element_Stiffness!W27,0)),IF(Element_Stiffness!$E$5=0,IF(1=Element_Stiffness!$C$5,Element_Stiffness!Q33,IF(1=Element_Stiffness!$E$5,Element_Stiffness!W33,0)),0)),0)+IF(Element_Stiffness!$C$41,IF(Element_Stiffness!$C$40=0,IF(1=Element_Stiffness!$C$40,Element_Stiffness!Q62,IF(1=Element_Stiffness!$E$40,Element_Stiffness!W62,0)),IF(Element_Stiffness!$E$40=0,IF(1=Element_Stiffness!$C$40,Element_Stiffness!Q68,IF(1=Element_Stiffness!$E$40,Element_Stiffness!W68,0)),0)),0)+IF(Element_Stiffness!$C$76,IF(Element_Stiffness!$C$75=0,IF(1=Element_Stiffness!$C$75,Element_Stiffness!Q97,IF(1=Element_Stiffness!$E$75,Element_Stiffness!W97,0)),IF(Element_Stiffness!$E$75=0,IF(1=Element_Stiffness!$C$75,Element_Stiffness!Q103,IF(1=Element_Stiffness!$E$75,Element_Stiffness!W103,0)),0)),0)+IF(Element_Stiffness!$C$111,IF(Element_Stiffness!$C$110=0,IF(1=Element_Stiffness!$C$110,Element_Stiffness!Q132,IF(1=Element_Stiffness!$E$110,Element_Stiffness!W132,0)),IF(Element_Stiffness!$E$110=0,IF(1=Element_Stiffness!$C$110,Element_Stiffness!Q138,IF(1=Element_Stiffness!$E$110,Element_Stiffness!W138,0)),0)),0)+IF(Element_Stiffness!$C$146,IF(Element_Stiffness!$C$145=0,IF(1=Element_Stiffness!$C$145,Element_Stiffness!Q167,IF(1=Element_Stiffness!$E$145,Element_Stiffness!W167,0)),IF(Element_Stiffness!$E$145=0,IF(1=Element_Stiffness!$C$145,Element_Stiffness!Q173,IF(1=Element_Stiffness!$E$145,Element_Stiffness!W173,0)),0)),0)+IF(Element_Stiffness!$C$181,IF(Element_Stiffness!$C$180=0,IF(1=Element_Stiffness!$C$180,Element_Stiffness!Q202,IF(1=Element_Stiffness!$E$180,Element_Stiffness!W202,0)),IF(Element_Stiffness!$E$180=0,IF(1=Element_Stiffness!$C$180,Element_Stiffness!Q208,IF(1=Element_Stiffness!$E$180,Element_Stiffness!W208,0)),0)),0)+IF(Element_Stiffness!$C$216,IF(Element_Stiffness!$C$215=0,IF(1=Element_Stiffness!$C$215,Element_Stiffness!Q237,IF(1=Element_Stiffness!$E$215,Element_Stiffness!W237,0)),IF(Element_Stiffness!$E$215=0,IF(1=Element_Stiffness!$C$215,Element_Stiffness!Q243,IF(1=Element_Stiffness!$E$215,Element_Stiffness!W243,0)),0)),0)</f>
        <v/>
      </c>
      <c r="K6" s="21">
        <f>IF(Element_Stiffness!$C$6,IF(Element_Stiffness!$C$5=0,IF(1=Element_Stiffness!$C$5,Element_Stiffness!R27,IF(1=Element_Stiffness!$E$5,Element_Stiffness!X27,0)),IF(Element_Stiffness!$E$5=0,IF(1=Element_Stiffness!$C$5,Element_Stiffness!R33,IF(1=Element_Stiffness!$E$5,Element_Stiffness!X33,0)),0)),0)+IF(Element_Stiffness!$C$41,IF(Element_Stiffness!$C$40=0,IF(1=Element_Stiffness!$C$40,Element_Stiffness!R62,IF(1=Element_Stiffness!$E$40,Element_Stiffness!X62,0)),IF(Element_Stiffness!$E$40=0,IF(1=Element_Stiffness!$C$40,Element_Stiffness!R68,IF(1=Element_Stiffness!$E$40,Element_Stiffness!X68,0)),0)),0)+IF(Element_Stiffness!$C$76,IF(Element_Stiffness!$C$75=0,IF(1=Element_Stiffness!$C$75,Element_Stiffness!R97,IF(1=Element_Stiffness!$E$75,Element_Stiffness!X97,0)),IF(Element_Stiffness!$E$75=0,IF(1=Element_Stiffness!$C$75,Element_Stiffness!R103,IF(1=Element_Stiffness!$E$75,Element_Stiffness!X103,0)),0)),0)+IF(Element_Stiffness!$C$111,IF(Element_Stiffness!$C$110=0,IF(1=Element_Stiffness!$C$110,Element_Stiffness!R132,IF(1=Element_Stiffness!$E$110,Element_Stiffness!X132,0)),IF(Element_Stiffness!$E$110=0,IF(1=Element_Stiffness!$C$110,Element_Stiffness!R138,IF(1=Element_Stiffness!$E$110,Element_Stiffness!X138,0)),0)),0)+IF(Element_Stiffness!$C$146,IF(Element_Stiffness!$C$145=0,IF(1=Element_Stiffness!$C$145,Element_Stiffness!R167,IF(1=Element_Stiffness!$E$145,Element_Stiffness!X167,0)),IF(Element_Stiffness!$E$145=0,IF(1=Element_Stiffness!$C$145,Element_Stiffness!R173,IF(1=Element_Stiffness!$E$145,Element_Stiffness!X173,0)),0)),0)+IF(Element_Stiffness!$C$181,IF(Element_Stiffness!$C$180=0,IF(1=Element_Stiffness!$C$180,Element_Stiffness!R202,IF(1=Element_Stiffness!$E$180,Element_Stiffness!X202,0)),IF(Element_Stiffness!$E$180=0,IF(1=Element_Stiffness!$C$180,Element_Stiffness!R208,IF(1=Element_Stiffness!$E$180,Element_Stiffness!X208,0)),0)),0)+IF(Element_Stiffness!$C$216,IF(Element_Stiffness!$C$215=0,IF(1=Element_Stiffness!$C$215,Element_Stiffness!R237,IF(1=Element_Stiffness!$E$215,Element_Stiffness!X237,0)),IF(Element_Stiffness!$E$215=0,IF(1=Element_Stiffness!$C$215,Element_Stiffness!R243,IF(1=Element_Stiffness!$E$215,Element_Stiffness!X243,0)),0)),0)</f>
        <v/>
      </c>
      <c r="L6" s="21">
        <f>IF(Element_Stiffness!$C$6,IF(Element_Stiffness!$C$5=0,IF(1=Element_Stiffness!$C$5,Element_Stiffness!S27,IF(1=Element_Stiffness!$E$5,Element_Stiffness!Y27,0)),IF(Element_Stiffness!$E$5=0,IF(1=Element_Stiffness!$C$5,Element_Stiffness!S33,IF(1=Element_Stiffness!$E$5,Element_Stiffness!Y33,0)),0)),0)+IF(Element_Stiffness!$C$41,IF(Element_Stiffness!$C$40=0,IF(1=Element_Stiffness!$C$40,Element_Stiffness!S62,IF(1=Element_Stiffness!$E$40,Element_Stiffness!Y62,0)),IF(Element_Stiffness!$E$40=0,IF(1=Element_Stiffness!$C$40,Element_Stiffness!S68,IF(1=Element_Stiffness!$E$40,Element_Stiffness!Y68,0)),0)),0)+IF(Element_Stiffness!$C$76,IF(Element_Stiffness!$C$75=0,IF(1=Element_Stiffness!$C$75,Element_Stiffness!S97,IF(1=Element_Stiffness!$E$75,Element_Stiffness!Y97,0)),IF(Element_Stiffness!$E$75=0,IF(1=Element_Stiffness!$C$75,Element_Stiffness!S103,IF(1=Element_Stiffness!$E$75,Element_Stiffness!Y103,0)),0)),0)+IF(Element_Stiffness!$C$111,IF(Element_Stiffness!$C$110=0,IF(1=Element_Stiffness!$C$110,Element_Stiffness!S132,IF(1=Element_Stiffness!$E$110,Element_Stiffness!Y132,0)),IF(Element_Stiffness!$E$110=0,IF(1=Element_Stiffness!$C$110,Element_Stiffness!S138,IF(1=Element_Stiffness!$E$110,Element_Stiffness!Y138,0)),0)),0)+IF(Element_Stiffness!$C$146,IF(Element_Stiffness!$C$145=0,IF(1=Element_Stiffness!$C$145,Element_Stiffness!S167,IF(1=Element_Stiffness!$E$145,Element_Stiffness!Y167,0)),IF(Element_Stiffness!$E$145=0,IF(1=Element_Stiffness!$C$145,Element_Stiffness!S173,IF(1=Element_Stiffness!$E$145,Element_Stiffness!Y173,0)),0)),0)+IF(Element_Stiffness!$C$181,IF(Element_Stiffness!$C$180=0,IF(1=Element_Stiffness!$C$180,Element_Stiffness!S202,IF(1=Element_Stiffness!$E$180,Element_Stiffness!Y202,0)),IF(Element_Stiffness!$E$180=0,IF(1=Element_Stiffness!$C$180,Element_Stiffness!S208,IF(1=Element_Stiffness!$E$180,Element_Stiffness!Y208,0)),0)),0)+IF(Element_Stiffness!$C$216,IF(Element_Stiffness!$C$215=0,IF(1=Element_Stiffness!$C$215,Element_Stiffness!S237,IF(1=Element_Stiffness!$E$215,Element_Stiffness!Y237,0)),IF(Element_Stiffness!$E$215=0,IF(1=Element_Stiffness!$C$215,Element_Stiffness!S243,IF(1=Element_Stiffness!$E$215,Element_Stiffness!Y243,0)),0)),0)</f>
        <v/>
      </c>
      <c r="M6" s="21">
        <f>IF(Element_Stiffness!$C$6,IF(Element_Stiffness!$C$5=0,IF(1=Element_Stiffness!$C$5,Element_Stiffness!T27,IF(1=Element_Stiffness!$E$5,Element_Stiffness!Z27,0)),IF(Element_Stiffness!$E$5=0,IF(1=Element_Stiffness!$C$5,Element_Stiffness!T33,IF(1=Element_Stiffness!$E$5,Element_Stiffness!Z33,0)),0)),0)+IF(Element_Stiffness!$C$41,IF(Element_Stiffness!$C$40=0,IF(1=Element_Stiffness!$C$40,Element_Stiffness!T62,IF(1=Element_Stiffness!$E$40,Element_Stiffness!Z62,0)),IF(Element_Stiffness!$E$40=0,IF(1=Element_Stiffness!$C$40,Element_Stiffness!T68,IF(1=Element_Stiffness!$E$40,Element_Stiffness!Z68,0)),0)),0)+IF(Element_Stiffness!$C$76,IF(Element_Stiffness!$C$75=0,IF(1=Element_Stiffness!$C$75,Element_Stiffness!T97,IF(1=Element_Stiffness!$E$75,Element_Stiffness!Z97,0)),IF(Element_Stiffness!$E$75=0,IF(1=Element_Stiffness!$C$75,Element_Stiffness!T103,IF(1=Element_Stiffness!$E$75,Element_Stiffness!Z103,0)),0)),0)+IF(Element_Stiffness!$C$111,IF(Element_Stiffness!$C$110=0,IF(1=Element_Stiffness!$C$110,Element_Stiffness!T132,IF(1=Element_Stiffness!$E$110,Element_Stiffness!Z132,0)),IF(Element_Stiffness!$E$110=0,IF(1=Element_Stiffness!$C$110,Element_Stiffness!T138,IF(1=Element_Stiffness!$E$110,Element_Stiffness!Z138,0)),0)),0)+IF(Element_Stiffness!$C$146,IF(Element_Stiffness!$C$145=0,IF(1=Element_Stiffness!$C$145,Element_Stiffness!T167,IF(1=Element_Stiffness!$E$145,Element_Stiffness!Z167,0)),IF(Element_Stiffness!$E$145=0,IF(1=Element_Stiffness!$C$145,Element_Stiffness!T173,IF(1=Element_Stiffness!$E$145,Element_Stiffness!Z173,0)),0)),0)+IF(Element_Stiffness!$C$181,IF(Element_Stiffness!$C$180=0,IF(1=Element_Stiffness!$C$180,Element_Stiffness!T202,IF(1=Element_Stiffness!$E$180,Element_Stiffness!Z202,0)),IF(Element_Stiffness!$E$180=0,IF(1=Element_Stiffness!$C$180,Element_Stiffness!T208,IF(1=Element_Stiffness!$E$180,Element_Stiffness!Z208,0)),0)),0)+IF(Element_Stiffness!$C$216,IF(Element_Stiffness!$C$215=0,IF(1=Element_Stiffness!$C$215,Element_Stiffness!T237,IF(1=Element_Stiffness!$E$215,Element_Stiffness!Z237,0)),IF(Element_Stiffness!$E$215=0,IF(1=Element_Stiffness!$C$215,Element_Stiffness!T243,IF(1=Element_Stiffness!$E$215,Element_Stiffness!Z243,0)),0)),0)</f>
        <v/>
      </c>
      <c r="N6" s="21">
        <f>IF(Element_Stiffness!$C$6,IF(Element_Stiffness!$C$5=0,IF(1=Element_Stiffness!$C$5,Element_Stiffness!U27,IF(1=Element_Stiffness!$E$5,Element_Stiffness!AA27,0)),IF(Element_Stiffness!$E$5=0,IF(1=Element_Stiffness!$C$5,Element_Stiffness!U33,IF(1=Element_Stiffness!$E$5,Element_Stiffness!AA33,0)),0)),0)+IF(Element_Stiffness!$C$41,IF(Element_Stiffness!$C$40=0,IF(1=Element_Stiffness!$C$40,Element_Stiffness!U62,IF(1=Element_Stiffness!$E$40,Element_Stiffness!AA62,0)),IF(Element_Stiffness!$E$40=0,IF(1=Element_Stiffness!$C$40,Element_Stiffness!U68,IF(1=Element_Stiffness!$E$40,Element_Stiffness!AA68,0)),0)),0)+IF(Element_Stiffness!$C$76,IF(Element_Stiffness!$C$75=0,IF(1=Element_Stiffness!$C$75,Element_Stiffness!U97,IF(1=Element_Stiffness!$E$75,Element_Stiffness!AA97,0)),IF(Element_Stiffness!$E$75=0,IF(1=Element_Stiffness!$C$75,Element_Stiffness!U103,IF(1=Element_Stiffness!$E$75,Element_Stiffness!AA103,0)),0)),0)+IF(Element_Stiffness!$C$111,IF(Element_Stiffness!$C$110=0,IF(1=Element_Stiffness!$C$110,Element_Stiffness!U132,IF(1=Element_Stiffness!$E$110,Element_Stiffness!AA132,0)),IF(Element_Stiffness!$E$110=0,IF(1=Element_Stiffness!$C$110,Element_Stiffness!U138,IF(1=Element_Stiffness!$E$110,Element_Stiffness!AA138,0)),0)),0)+IF(Element_Stiffness!$C$146,IF(Element_Stiffness!$C$145=0,IF(1=Element_Stiffness!$C$145,Element_Stiffness!U167,IF(1=Element_Stiffness!$E$145,Element_Stiffness!AA167,0)),IF(Element_Stiffness!$E$145=0,IF(1=Element_Stiffness!$C$145,Element_Stiffness!U173,IF(1=Element_Stiffness!$E$145,Element_Stiffness!AA173,0)),0)),0)+IF(Element_Stiffness!$C$181,IF(Element_Stiffness!$C$180=0,IF(1=Element_Stiffness!$C$180,Element_Stiffness!U202,IF(1=Element_Stiffness!$E$180,Element_Stiffness!AA202,0)),IF(Element_Stiffness!$E$180=0,IF(1=Element_Stiffness!$C$180,Element_Stiffness!U208,IF(1=Element_Stiffness!$E$180,Element_Stiffness!AA208,0)),0)),0)+IF(Element_Stiffness!$C$216,IF(Element_Stiffness!$C$215=0,IF(1=Element_Stiffness!$C$215,Element_Stiffness!U237,IF(1=Element_Stiffness!$E$215,Element_Stiffness!AA237,0)),IF(Element_Stiffness!$E$215=0,IF(1=Element_Stiffness!$C$215,Element_Stiffness!U243,IF(1=Element_Stiffness!$E$215,Element_Stiffness!AA243,0)),0)),0)</f>
        <v/>
      </c>
      <c r="O6" s="21">
        <f>IF(Element_Stiffness!$C$6,IF(Element_Stiffness!$C$5=0,IF(2=Element_Stiffness!$C$5,Element_Stiffness!P27,IF(2=Element_Stiffness!$E$5,Element_Stiffness!V27,0)),IF(Element_Stiffness!$E$5=0,IF(2=Element_Stiffness!$C$5,Element_Stiffness!P33,IF(2=Element_Stiffness!$E$5,Element_Stiffness!V33,0)),0)),0)+IF(Element_Stiffness!$C$41,IF(Element_Stiffness!$C$40=0,IF(2=Element_Stiffness!$C$40,Element_Stiffness!P62,IF(2=Element_Stiffness!$E$40,Element_Stiffness!V62,0)),IF(Element_Stiffness!$E$40=0,IF(2=Element_Stiffness!$C$40,Element_Stiffness!P68,IF(2=Element_Stiffness!$E$40,Element_Stiffness!V68,0)),0)),0)+IF(Element_Stiffness!$C$76,IF(Element_Stiffness!$C$75=0,IF(2=Element_Stiffness!$C$75,Element_Stiffness!P97,IF(2=Element_Stiffness!$E$75,Element_Stiffness!V97,0)),IF(Element_Stiffness!$E$75=0,IF(2=Element_Stiffness!$C$75,Element_Stiffness!P103,IF(2=Element_Stiffness!$E$75,Element_Stiffness!V103,0)),0)),0)+IF(Element_Stiffness!$C$111,IF(Element_Stiffness!$C$110=0,IF(2=Element_Stiffness!$C$110,Element_Stiffness!P132,IF(2=Element_Stiffness!$E$110,Element_Stiffness!V132,0)),IF(Element_Stiffness!$E$110=0,IF(2=Element_Stiffness!$C$110,Element_Stiffness!P138,IF(2=Element_Stiffness!$E$110,Element_Stiffness!V138,0)),0)),0)+IF(Element_Stiffness!$C$146,IF(Element_Stiffness!$C$145=0,IF(2=Element_Stiffness!$C$145,Element_Stiffness!P167,IF(2=Element_Stiffness!$E$145,Element_Stiffness!V167,0)),IF(Element_Stiffness!$E$145=0,IF(2=Element_Stiffness!$C$145,Element_Stiffness!P173,IF(2=Element_Stiffness!$E$145,Element_Stiffness!V173,0)),0)),0)+IF(Element_Stiffness!$C$181,IF(Element_Stiffness!$C$180=0,IF(2=Element_Stiffness!$C$180,Element_Stiffness!P202,IF(2=Element_Stiffness!$E$180,Element_Stiffness!V202,0)),IF(Element_Stiffness!$E$180=0,IF(2=Element_Stiffness!$C$180,Element_Stiffness!P208,IF(2=Element_Stiffness!$E$180,Element_Stiffness!V208,0)),0)),0)+IF(Element_Stiffness!$C$216,IF(Element_Stiffness!$C$215=0,IF(2=Element_Stiffness!$C$215,Element_Stiffness!P237,IF(2=Element_Stiffness!$E$215,Element_Stiffness!V237,0)),IF(Element_Stiffness!$E$215=0,IF(2=Element_Stiffness!$C$215,Element_Stiffness!P243,IF(2=Element_Stiffness!$E$215,Element_Stiffness!V243,0)),0)),0)</f>
        <v/>
      </c>
      <c r="P6" s="21">
        <f>IF(Element_Stiffness!$C$6,IF(Element_Stiffness!$C$5=0,IF(2=Element_Stiffness!$C$5,Element_Stiffness!Q27,IF(2=Element_Stiffness!$E$5,Element_Stiffness!W27,0)),IF(Element_Stiffness!$E$5=0,IF(2=Element_Stiffness!$C$5,Element_Stiffness!Q33,IF(2=Element_Stiffness!$E$5,Element_Stiffness!W33,0)),0)),0)+IF(Element_Stiffness!$C$41,IF(Element_Stiffness!$C$40=0,IF(2=Element_Stiffness!$C$40,Element_Stiffness!Q62,IF(2=Element_Stiffness!$E$40,Element_Stiffness!W62,0)),IF(Element_Stiffness!$E$40=0,IF(2=Element_Stiffness!$C$40,Element_Stiffness!Q68,IF(2=Element_Stiffness!$E$40,Element_Stiffness!W68,0)),0)),0)+IF(Element_Stiffness!$C$76,IF(Element_Stiffness!$C$75=0,IF(2=Element_Stiffness!$C$75,Element_Stiffness!Q97,IF(2=Element_Stiffness!$E$75,Element_Stiffness!W97,0)),IF(Element_Stiffness!$E$75=0,IF(2=Element_Stiffness!$C$75,Element_Stiffness!Q103,IF(2=Element_Stiffness!$E$75,Element_Stiffness!W103,0)),0)),0)+IF(Element_Stiffness!$C$111,IF(Element_Stiffness!$C$110=0,IF(2=Element_Stiffness!$C$110,Element_Stiffness!Q132,IF(2=Element_Stiffness!$E$110,Element_Stiffness!W132,0)),IF(Element_Stiffness!$E$110=0,IF(2=Element_Stiffness!$C$110,Element_Stiffness!Q138,IF(2=Element_Stiffness!$E$110,Element_Stiffness!W138,0)),0)),0)+IF(Element_Stiffness!$C$146,IF(Element_Stiffness!$C$145=0,IF(2=Element_Stiffness!$C$145,Element_Stiffness!Q167,IF(2=Element_Stiffness!$E$145,Element_Stiffness!W167,0)),IF(Element_Stiffness!$E$145=0,IF(2=Element_Stiffness!$C$145,Element_Stiffness!Q173,IF(2=Element_Stiffness!$E$145,Element_Stiffness!W173,0)),0)),0)+IF(Element_Stiffness!$C$181,IF(Element_Stiffness!$C$180=0,IF(2=Element_Stiffness!$C$180,Element_Stiffness!Q202,IF(2=Element_Stiffness!$E$180,Element_Stiffness!W202,0)),IF(Element_Stiffness!$E$180=0,IF(2=Element_Stiffness!$C$180,Element_Stiffness!Q208,IF(2=Element_Stiffness!$E$180,Element_Stiffness!W208,0)),0)),0)+IF(Element_Stiffness!$C$216,IF(Element_Stiffness!$C$215=0,IF(2=Element_Stiffness!$C$215,Element_Stiffness!Q237,IF(2=Element_Stiffness!$E$215,Element_Stiffness!W237,0)),IF(Element_Stiffness!$E$215=0,IF(2=Element_Stiffness!$C$215,Element_Stiffness!Q243,IF(2=Element_Stiffness!$E$215,Element_Stiffness!W243,0)),0)),0)</f>
        <v/>
      </c>
      <c r="Q6" s="21">
        <f>IF(Element_Stiffness!$C$6,IF(Element_Stiffness!$C$5=0,IF(2=Element_Stiffness!$C$5,Element_Stiffness!R27,IF(2=Element_Stiffness!$E$5,Element_Stiffness!X27,0)),IF(Element_Stiffness!$E$5=0,IF(2=Element_Stiffness!$C$5,Element_Stiffness!R33,IF(2=Element_Stiffness!$E$5,Element_Stiffness!X33,0)),0)),0)+IF(Element_Stiffness!$C$41,IF(Element_Stiffness!$C$40=0,IF(2=Element_Stiffness!$C$40,Element_Stiffness!R62,IF(2=Element_Stiffness!$E$40,Element_Stiffness!X62,0)),IF(Element_Stiffness!$E$40=0,IF(2=Element_Stiffness!$C$40,Element_Stiffness!R68,IF(2=Element_Stiffness!$E$40,Element_Stiffness!X68,0)),0)),0)+IF(Element_Stiffness!$C$76,IF(Element_Stiffness!$C$75=0,IF(2=Element_Stiffness!$C$75,Element_Stiffness!R97,IF(2=Element_Stiffness!$E$75,Element_Stiffness!X97,0)),IF(Element_Stiffness!$E$75=0,IF(2=Element_Stiffness!$C$75,Element_Stiffness!R103,IF(2=Element_Stiffness!$E$75,Element_Stiffness!X103,0)),0)),0)+IF(Element_Stiffness!$C$111,IF(Element_Stiffness!$C$110=0,IF(2=Element_Stiffness!$C$110,Element_Stiffness!R132,IF(2=Element_Stiffness!$E$110,Element_Stiffness!X132,0)),IF(Element_Stiffness!$E$110=0,IF(2=Element_Stiffness!$C$110,Element_Stiffness!R138,IF(2=Element_Stiffness!$E$110,Element_Stiffness!X138,0)),0)),0)+IF(Element_Stiffness!$C$146,IF(Element_Stiffness!$C$145=0,IF(2=Element_Stiffness!$C$145,Element_Stiffness!R167,IF(2=Element_Stiffness!$E$145,Element_Stiffness!X167,0)),IF(Element_Stiffness!$E$145=0,IF(2=Element_Stiffness!$C$145,Element_Stiffness!R173,IF(2=Element_Stiffness!$E$145,Element_Stiffness!X173,0)),0)),0)+IF(Element_Stiffness!$C$181,IF(Element_Stiffness!$C$180=0,IF(2=Element_Stiffness!$C$180,Element_Stiffness!R202,IF(2=Element_Stiffness!$E$180,Element_Stiffness!X202,0)),IF(Element_Stiffness!$E$180=0,IF(2=Element_Stiffness!$C$180,Element_Stiffness!R208,IF(2=Element_Stiffness!$E$180,Element_Stiffness!X208,0)),0)),0)+IF(Element_Stiffness!$C$216,IF(Element_Stiffness!$C$215=0,IF(2=Element_Stiffness!$C$215,Element_Stiffness!R237,IF(2=Element_Stiffness!$E$215,Element_Stiffness!X237,0)),IF(Element_Stiffness!$E$215=0,IF(2=Element_Stiffness!$C$215,Element_Stiffness!R243,IF(2=Element_Stiffness!$E$215,Element_Stiffness!X243,0)),0)),0)</f>
        <v/>
      </c>
      <c r="R6" s="21">
        <f>IF(Element_Stiffness!$C$6,IF(Element_Stiffness!$C$5=0,IF(2=Element_Stiffness!$C$5,Element_Stiffness!S27,IF(2=Element_Stiffness!$E$5,Element_Stiffness!Y27,0)),IF(Element_Stiffness!$E$5=0,IF(2=Element_Stiffness!$C$5,Element_Stiffness!S33,IF(2=Element_Stiffness!$E$5,Element_Stiffness!Y33,0)),0)),0)+IF(Element_Stiffness!$C$41,IF(Element_Stiffness!$C$40=0,IF(2=Element_Stiffness!$C$40,Element_Stiffness!S62,IF(2=Element_Stiffness!$E$40,Element_Stiffness!Y62,0)),IF(Element_Stiffness!$E$40=0,IF(2=Element_Stiffness!$C$40,Element_Stiffness!S68,IF(2=Element_Stiffness!$E$40,Element_Stiffness!Y68,0)),0)),0)+IF(Element_Stiffness!$C$76,IF(Element_Stiffness!$C$75=0,IF(2=Element_Stiffness!$C$75,Element_Stiffness!S97,IF(2=Element_Stiffness!$E$75,Element_Stiffness!Y97,0)),IF(Element_Stiffness!$E$75=0,IF(2=Element_Stiffness!$C$75,Element_Stiffness!S103,IF(2=Element_Stiffness!$E$75,Element_Stiffness!Y103,0)),0)),0)+IF(Element_Stiffness!$C$111,IF(Element_Stiffness!$C$110=0,IF(2=Element_Stiffness!$C$110,Element_Stiffness!S132,IF(2=Element_Stiffness!$E$110,Element_Stiffness!Y132,0)),IF(Element_Stiffness!$E$110=0,IF(2=Element_Stiffness!$C$110,Element_Stiffness!S138,IF(2=Element_Stiffness!$E$110,Element_Stiffness!Y138,0)),0)),0)+IF(Element_Stiffness!$C$146,IF(Element_Stiffness!$C$145=0,IF(2=Element_Stiffness!$C$145,Element_Stiffness!S167,IF(2=Element_Stiffness!$E$145,Element_Stiffness!Y167,0)),IF(Element_Stiffness!$E$145=0,IF(2=Element_Stiffness!$C$145,Element_Stiffness!S173,IF(2=Element_Stiffness!$E$145,Element_Stiffness!Y173,0)),0)),0)+IF(Element_Stiffness!$C$181,IF(Element_Stiffness!$C$180=0,IF(2=Element_Stiffness!$C$180,Element_Stiffness!S202,IF(2=Element_Stiffness!$E$180,Element_Stiffness!Y202,0)),IF(Element_Stiffness!$E$180=0,IF(2=Element_Stiffness!$C$180,Element_Stiffness!S208,IF(2=Element_Stiffness!$E$180,Element_Stiffness!Y208,0)),0)),0)+IF(Element_Stiffness!$C$216,IF(Element_Stiffness!$C$215=0,IF(2=Element_Stiffness!$C$215,Element_Stiffness!S237,IF(2=Element_Stiffness!$E$215,Element_Stiffness!Y237,0)),IF(Element_Stiffness!$E$215=0,IF(2=Element_Stiffness!$C$215,Element_Stiffness!S243,IF(2=Element_Stiffness!$E$215,Element_Stiffness!Y243,0)),0)),0)</f>
        <v/>
      </c>
      <c r="S6" s="21">
        <f>IF(Element_Stiffness!$C$6,IF(Element_Stiffness!$C$5=0,IF(2=Element_Stiffness!$C$5,Element_Stiffness!T27,IF(2=Element_Stiffness!$E$5,Element_Stiffness!Z27,0)),IF(Element_Stiffness!$E$5=0,IF(2=Element_Stiffness!$C$5,Element_Stiffness!T33,IF(2=Element_Stiffness!$E$5,Element_Stiffness!Z33,0)),0)),0)+IF(Element_Stiffness!$C$41,IF(Element_Stiffness!$C$40=0,IF(2=Element_Stiffness!$C$40,Element_Stiffness!T62,IF(2=Element_Stiffness!$E$40,Element_Stiffness!Z62,0)),IF(Element_Stiffness!$E$40=0,IF(2=Element_Stiffness!$C$40,Element_Stiffness!T68,IF(2=Element_Stiffness!$E$40,Element_Stiffness!Z68,0)),0)),0)+IF(Element_Stiffness!$C$76,IF(Element_Stiffness!$C$75=0,IF(2=Element_Stiffness!$C$75,Element_Stiffness!T97,IF(2=Element_Stiffness!$E$75,Element_Stiffness!Z97,0)),IF(Element_Stiffness!$E$75=0,IF(2=Element_Stiffness!$C$75,Element_Stiffness!T103,IF(2=Element_Stiffness!$E$75,Element_Stiffness!Z103,0)),0)),0)+IF(Element_Stiffness!$C$111,IF(Element_Stiffness!$C$110=0,IF(2=Element_Stiffness!$C$110,Element_Stiffness!T132,IF(2=Element_Stiffness!$E$110,Element_Stiffness!Z132,0)),IF(Element_Stiffness!$E$110=0,IF(2=Element_Stiffness!$C$110,Element_Stiffness!T138,IF(2=Element_Stiffness!$E$110,Element_Stiffness!Z138,0)),0)),0)+IF(Element_Stiffness!$C$146,IF(Element_Stiffness!$C$145=0,IF(2=Element_Stiffness!$C$145,Element_Stiffness!T167,IF(2=Element_Stiffness!$E$145,Element_Stiffness!Z167,0)),IF(Element_Stiffness!$E$145=0,IF(2=Element_Stiffness!$C$145,Element_Stiffness!T173,IF(2=Element_Stiffness!$E$145,Element_Stiffness!Z173,0)),0)),0)+IF(Element_Stiffness!$C$181,IF(Element_Stiffness!$C$180=0,IF(2=Element_Stiffness!$C$180,Element_Stiffness!T202,IF(2=Element_Stiffness!$E$180,Element_Stiffness!Z202,0)),IF(Element_Stiffness!$E$180=0,IF(2=Element_Stiffness!$C$180,Element_Stiffness!T208,IF(2=Element_Stiffness!$E$180,Element_Stiffness!Z208,0)),0)),0)+IF(Element_Stiffness!$C$216,IF(Element_Stiffness!$C$215=0,IF(2=Element_Stiffness!$C$215,Element_Stiffness!T237,IF(2=Element_Stiffness!$E$215,Element_Stiffness!Z237,0)),IF(Element_Stiffness!$E$215=0,IF(2=Element_Stiffness!$C$215,Element_Stiffness!T243,IF(2=Element_Stiffness!$E$215,Element_Stiffness!Z243,0)),0)),0)</f>
        <v/>
      </c>
      <c r="T6" s="21">
        <f>IF(Element_Stiffness!$C$6,IF(Element_Stiffness!$C$5=0,IF(2=Element_Stiffness!$C$5,Element_Stiffness!U27,IF(2=Element_Stiffness!$E$5,Element_Stiffness!AA27,0)),IF(Element_Stiffness!$E$5=0,IF(2=Element_Stiffness!$C$5,Element_Stiffness!U33,IF(2=Element_Stiffness!$E$5,Element_Stiffness!AA33,0)),0)),0)+IF(Element_Stiffness!$C$41,IF(Element_Stiffness!$C$40=0,IF(2=Element_Stiffness!$C$40,Element_Stiffness!U62,IF(2=Element_Stiffness!$E$40,Element_Stiffness!AA62,0)),IF(Element_Stiffness!$E$40=0,IF(2=Element_Stiffness!$C$40,Element_Stiffness!U68,IF(2=Element_Stiffness!$E$40,Element_Stiffness!AA68,0)),0)),0)+IF(Element_Stiffness!$C$76,IF(Element_Stiffness!$C$75=0,IF(2=Element_Stiffness!$C$75,Element_Stiffness!U97,IF(2=Element_Stiffness!$E$75,Element_Stiffness!AA97,0)),IF(Element_Stiffness!$E$75=0,IF(2=Element_Stiffness!$C$75,Element_Stiffness!U103,IF(2=Element_Stiffness!$E$75,Element_Stiffness!AA103,0)),0)),0)+IF(Element_Stiffness!$C$111,IF(Element_Stiffness!$C$110=0,IF(2=Element_Stiffness!$C$110,Element_Stiffness!U132,IF(2=Element_Stiffness!$E$110,Element_Stiffness!AA132,0)),IF(Element_Stiffness!$E$110=0,IF(2=Element_Stiffness!$C$110,Element_Stiffness!U138,IF(2=Element_Stiffness!$E$110,Element_Stiffness!AA138,0)),0)),0)+IF(Element_Stiffness!$C$146,IF(Element_Stiffness!$C$145=0,IF(2=Element_Stiffness!$C$145,Element_Stiffness!U167,IF(2=Element_Stiffness!$E$145,Element_Stiffness!AA167,0)),IF(Element_Stiffness!$E$145=0,IF(2=Element_Stiffness!$C$145,Element_Stiffness!U173,IF(2=Element_Stiffness!$E$145,Element_Stiffness!AA173,0)),0)),0)+IF(Element_Stiffness!$C$181,IF(Element_Stiffness!$C$180=0,IF(2=Element_Stiffness!$C$180,Element_Stiffness!U202,IF(2=Element_Stiffness!$E$180,Element_Stiffness!AA202,0)),IF(Element_Stiffness!$E$180=0,IF(2=Element_Stiffness!$C$180,Element_Stiffness!U208,IF(2=Element_Stiffness!$E$180,Element_Stiffness!AA208,0)),0)),0)+IF(Element_Stiffness!$C$216,IF(Element_Stiffness!$C$215=0,IF(2=Element_Stiffness!$C$215,Element_Stiffness!U237,IF(2=Element_Stiffness!$E$215,Element_Stiffness!AA237,0)),IF(Element_Stiffness!$E$215=0,IF(2=Element_Stiffness!$C$215,Element_Stiffness!U243,IF(2=Element_Stiffness!$E$215,Element_Stiffness!AA243,0)),0)),0)</f>
        <v/>
      </c>
      <c r="U6" s="21">
        <f>IF(Element_Stiffness!$C$6,IF(Element_Stiffness!$C$5=0,IF(3=Element_Stiffness!$C$5,Element_Stiffness!P27,IF(3=Element_Stiffness!$E$5,Element_Stiffness!V27,0)),IF(Element_Stiffness!$E$5=0,IF(3=Element_Stiffness!$C$5,Element_Stiffness!P33,IF(3=Element_Stiffness!$E$5,Element_Stiffness!V33,0)),0)),0)+IF(Element_Stiffness!$C$41,IF(Element_Stiffness!$C$40=0,IF(3=Element_Stiffness!$C$40,Element_Stiffness!P62,IF(3=Element_Stiffness!$E$40,Element_Stiffness!V62,0)),IF(Element_Stiffness!$E$40=0,IF(3=Element_Stiffness!$C$40,Element_Stiffness!P68,IF(3=Element_Stiffness!$E$40,Element_Stiffness!V68,0)),0)),0)+IF(Element_Stiffness!$C$76,IF(Element_Stiffness!$C$75=0,IF(3=Element_Stiffness!$C$75,Element_Stiffness!P97,IF(3=Element_Stiffness!$E$75,Element_Stiffness!V97,0)),IF(Element_Stiffness!$E$75=0,IF(3=Element_Stiffness!$C$75,Element_Stiffness!P103,IF(3=Element_Stiffness!$E$75,Element_Stiffness!V103,0)),0)),0)+IF(Element_Stiffness!$C$111,IF(Element_Stiffness!$C$110=0,IF(3=Element_Stiffness!$C$110,Element_Stiffness!P132,IF(3=Element_Stiffness!$E$110,Element_Stiffness!V132,0)),IF(Element_Stiffness!$E$110=0,IF(3=Element_Stiffness!$C$110,Element_Stiffness!P138,IF(3=Element_Stiffness!$E$110,Element_Stiffness!V138,0)),0)),0)+IF(Element_Stiffness!$C$146,IF(Element_Stiffness!$C$145=0,IF(3=Element_Stiffness!$C$145,Element_Stiffness!P167,IF(3=Element_Stiffness!$E$145,Element_Stiffness!V167,0)),IF(Element_Stiffness!$E$145=0,IF(3=Element_Stiffness!$C$145,Element_Stiffness!P173,IF(3=Element_Stiffness!$E$145,Element_Stiffness!V173,0)),0)),0)+IF(Element_Stiffness!$C$181,IF(Element_Stiffness!$C$180=0,IF(3=Element_Stiffness!$C$180,Element_Stiffness!P202,IF(3=Element_Stiffness!$E$180,Element_Stiffness!V202,0)),IF(Element_Stiffness!$E$180=0,IF(3=Element_Stiffness!$C$180,Element_Stiffness!P208,IF(3=Element_Stiffness!$E$180,Element_Stiffness!V208,0)),0)),0)+IF(Element_Stiffness!$C$216,IF(Element_Stiffness!$C$215=0,IF(3=Element_Stiffness!$C$215,Element_Stiffness!P237,IF(3=Element_Stiffness!$E$215,Element_Stiffness!V237,0)),IF(Element_Stiffness!$E$215=0,IF(3=Element_Stiffness!$C$215,Element_Stiffness!P243,IF(3=Element_Stiffness!$E$215,Element_Stiffness!V243,0)),0)),0)</f>
        <v/>
      </c>
      <c r="V6" s="21">
        <f>IF(Element_Stiffness!$C$6,IF(Element_Stiffness!$C$5=0,IF(3=Element_Stiffness!$C$5,Element_Stiffness!Q27,IF(3=Element_Stiffness!$E$5,Element_Stiffness!W27,0)),IF(Element_Stiffness!$E$5=0,IF(3=Element_Stiffness!$C$5,Element_Stiffness!Q33,IF(3=Element_Stiffness!$E$5,Element_Stiffness!W33,0)),0)),0)+IF(Element_Stiffness!$C$41,IF(Element_Stiffness!$C$40=0,IF(3=Element_Stiffness!$C$40,Element_Stiffness!Q62,IF(3=Element_Stiffness!$E$40,Element_Stiffness!W62,0)),IF(Element_Stiffness!$E$40=0,IF(3=Element_Stiffness!$C$40,Element_Stiffness!Q68,IF(3=Element_Stiffness!$E$40,Element_Stiffness!W68,0)),0)),0)+IF(Element_Stiffness!$C$76,IF(Element_Stiffness!$C$75=0,IF(3=Element_Stiffness!$C$75,Element_Stiffness!Q97,IF(3=Element_Stiffness!$E$75,Element_Stiffness!W97,0)),IF(Element_Stiffness!$E$75=0,IF(3=Element_Stiffness!$C$75,Element_Stiffness!Q103,IF(3=Element_Stiffness!$E$75,Element_Stiffness!W103,0)),0)),0)+IF(Element_Stiffness!$C$111,IF(Element_Stiffness!$C$110=0,IF(3=Element_Stiffness!$C$110,Element_Stiffness!Q132,IF(3=Element_Stiffness!$E$110,Element_Stiffness!W132,0)),IF(Element_Stiffness!$E$110=0,IF(3=Element_Stiffness!$C$110,Element_Stiffness!Q138,IF(3=Element_Stiffness!$E$110,Element_Stiffness!W138,0)),0)),0)+IF(Element_Stiffness!$C$146,IF(Element_Stiffness!$C$145=0,IF(3=Element_Stiffness!$C$145,Element_Stiffness!Q167,IF(3=Element_Stiffness!$E$145,Element_Stiffness!W167,0)),IF(Element_Stiffness!$E$145=0,IF(3=Element_Stiffness!$C$145,Element_Stiffness!Q173,IF(3=Element_Stiffness!$E$145,Element_Stiffness!W173,0)),0)),0)+IF(Element_Stiffness!$C$181,IF(Element_Stiffness!$C$180=0,IF(3=Element_Stiffness!$C$180,Element_Stiffness!Q202,IF(3=Element_Stiffness!$E$180,Element_Stiffness!W202,0)),IF(Element_Stiffness!$E$180=0,IF(3=Element_Stiffness!$C$180,Element_Stiffness!Q208,IF(3=Element_Stiffness!$E$180,Element_Stiffness!W208,0)),0)),0)+IF(Element_Stiffness!$C$216,IF(Element_Stiffness!$C$215=0,IF(3=Element_Stiffness!$C$215,Element_Stiffness!Q237,IF(3=Element_Stiffness!$E$215,Element_Stiffness!W237,0)),IF(Element_Stiffness!$E$215=0,IF(3=Element_Stiffness!$C$215,Element_Stiffness!Q243,IF(3=Element_Stiffness!$E$215,Element_Stiffness!W243,0)),0)),0)</f>
        <v/>
      </c>
      <c r="W6" s="21">
        <f>IF(Element_Stiffness!$C$6,IF(Element_Stiffness!$C$5=0,IF(3=Element_Stiffness!$C$5,Element_Stiffness!R27,IF(3=Element_Stiffness!$E$5,Element_Stiffness!X27,0)),IF(Element_Stiffness!$E$5=0,IF(3=Element_Stiffness!$C$5,Element_Stiffness!R33,IF(3=Element_Stiffness!$E$5,Element_Stiffness!X33,0)),0)),0)+IF(Element_Stiffness!$C$41,IF(Element_Stiffness!$C$40=0,IF(3=Element_Stiffness!$C$40,Element_Stiffness!R62,IF(3=Element_Stiffness!$E$40,Element_Stiffness!X62,0)),IF(Element_Stiffness!$E$40=0,IF(3=Element_Stiffness!$C$40,Element_Stiffness!R68,IF(3=Element_Stiffness!$E$40,Element_Stiffness!X68,0)),0)),0)+IF(Element_Stiffness!$C$76,IF(Element_Stiffness!$C$75=0,IF(3=Element_Stiffness!$C$75,Element_Stiffness!R97,IF(3=Element_Stiffness!$E$75,Element_Stiffness!X97,0)),IF(Element_Stiffness!$E$75=0,IF(3=Element_Stiffness!$C$75,Element_Stiffness!R103,IF(3=Element_Stiffness!$E$75,Element_Stiffness!X103,0)),0)),0)+IF(Element_Stiffness!$C$111,IF(Element_Stiffness!$C$110=0,IF(3=Element_Stiffness!$C$110,Element_Stiffness!R132,IF(3=Element_Stiffness!$E$110,Element_Stiffness!X132,0)),IF(Element_Stiffness!$E$110=0,IF(3=Element_Stiffness!$C$110,Element_Stiffness!R138,IF(3=Element_Stiffness!$E$110,Element_Stiffness!X138,0)),0)),0)+IF(Element_Stiffness!$C$146,IF(Element_Stiffness!$C$145=0,IF(3=Element_Stiffness!$C$145,Element_Stiffness!R167,IF(3=Element_Stiffness!$E$145,Element_Stiffness!X167,0)),IF(Element_Stiffness!$E$145=0,IF(3=Element_Stiffness!$C$145,Element_Stiffness!R173,IF(3=Element_Stiffness!$E$145,Element_Stiffness!X173,0)),0)),0)+IF(Element_Stiffness!$C$181,IF(Element_Stiffness!$C$180=0,IF(3=Element_Stiffness!$C$180,Element_Stiffness!R202,IF(3=Element_Stiffness!$E$180,Element_Stiffness!X202,0)),IF(Element_Stiffness!$E$180=0,IF(3=Element_Stiffness!$C$180,Element_Stiffness!R208,IF(3=Element_Stiffness!$E$180,Element_Stiffness!X208,0)),0)),0)+IF(Element_Stiffness!$C$216,IF(Element_Stiffness!$C$215=0,IF(3=Element_Stiffness!$C$215,Element_Stiffness!R237,IF(3=Element_Stiffness!$E$215,Element_Stiffness!X237,0)),IF(Element_Stiffness!$E$215=0,IF(3=Element_Stiffness!$C$215,Element_Stiffness!R243,IF(3=Element_Stiffness!$E$215,Element_Stiffness!X243,0)),0)),0)</f>
        <v/>
      </c>
      <c r="X6" s="21">
        <f>IF(Element_Stiffness!$C$6,IF(Element_Stiffness!$C$5=0,IF(3=Element_Stiffness!$C$5,Element_Stiffness!S27,IF(3=Element_Stiffness!$E$5,Element_Stiffness!Y27,0)),IF(Element_Stiffness!$E$5=0,IF(3=Element_Stiffness!$C$5,Element_Stiffness!S33,IF(3=Element_Stiffness!$E$5,Element_Stiffness!Y33,0)),0)),0)+IF(Element_Stiffness!$C$41,IF(Element_Stiffness!$C$40=0,IF(3=Element_Stiffness!$C$40,Element_Stiffness!S62,IF(3=Element_Stiffness!$E$40,Element_Stiffness!Y62,0)),IF(Element_Stiffness!$E$40=0,IF(3=Element_Stiffness!$C$40,Element_Stiffness!S68,IF(3=Element_Stiffness!$E$40,Element_Stiffness!Y68,0)),0)),0)+IF(Element_Stiffness!$C$76,IF(Element_Stiffness!$C$75=0,IF(3=Element_Stiffness!$C$75,Element_Stiffness!S97,IF(3=Element_Stiffness!$E$75,Element_Stiffness!Y97,0)),IF(Element_Stiffness!$E$75=0,IF(3=Element_Stiffness!$C$75,Element_Stiffness!S103,IF(3=Element_Stiffness!$E$75,Element_Stiffness!Y103,0)),0)),0)+IF(Element_Stiffness!$C$111,IF(Element_Stiffness!$C$110=0,IF(3=Element_Stiffness!$C$110,Element_Stiffness!S132,IF(3=Element_Stiffness!$E$110,Element_Stiffness!Y132,0)),IF(Element_Stiffness!$E$110=0,IF(3=Element_Stiffness!$C$110,Element_Stiffness!S138,IF(3=Element_Stiffness!$E$110,Element_Stiffness!Y138,0)),0)),0)+IF(Element_Stiffness!$C$146,IF(Element_Stiffness!$C$145=0,IF(3=Element_Stiffness!$C$145,Element_Stiffness!S167,IF(3=Element_Stiffness!$E$145,Element_Stiffness!Y167,0)),IF(Element_Stiffness!$E$145=0,IF(3=Element_Stiffness!$C$145,Element_Stiffness!S173,IF(3=Element_Stiffness!$E$145,Element_Stiffness!Y173,0)),0)),0)+IF(Element_Stiffness!$C$181,IF(Element_Stiffness!$C$180=0,IF(3=Element_Stiffness!$C$180,Element_Stiffness!S202,IF(3=Element_Stiffness!$E$180,Element_Stiffness!Y202,0)),IF(Element_Stiffness!$E$180=0,IF(3=Element_Stiffness!$C$180,Element_Stiffness!S208,IF(3=Element_Stiffness!$E$180,Element_Stiffness!Y208,0)),0)),0)+IF(Element_Stiffness!$C$216,IF(Element_Stiffness!$C$215=0,IF(3=Element_Stiffness!$C$215,Element_Stiffness!S237,IF(3=Element_Stiffness!$E$215,Element_Stiffness!Y237,0)),IF(Element_Stiffness!$E$215=0,IF(3=Element_Stiffness!$C$215,Element_Stiffness!S243,IF(3=Element_Stiffness!$E$215,Element_Stiffness!Y243,0)),0)),0)</f>
        <v/>
      </c>
      <c r="Y6" s="21">
        <f>IF(Element_Stiffness!$C$6,IF(Element_Stiffness!$C$5=0,IF(3=Element_Stiffness!$C$5,Element_Stiffness!T27,IF(3=Element_Stiffness!$E$5,Element_Stiffness!Z27,0)),IF(Element_Stiffness!$E$5=0,IF(3=Element_Stiffness!$C$5,Element_Stiffness!T33,IF(3=Element_Stiffness!$E$5,Element_Stiffness!Z33,0)),0)),0)+IF(Element_Stiffness!$C$41,IF(Element_Stiffness!$C$40=0,IF(3=Element_Stiffness!$C$40,Element_Stiffness!T62,IF(3=Element_Stiffness!$E$40,Element_Stiffness!Z62,0)),IF(Element_Stiffness!$E$40=0,IF(3=Element_Stiffness!$C$40,Element_Stiffness!T68,IF(3=Element_Stiffness!$E$40,Element_Stiffness!Z68,0)),0)),0)+IF(Element_Stiffness!$C$76,IF(Element_Stiffness!$C$75=0,IF(3=Element_Stiffness!$C$75,Element_Stiffness!T97,IF(3=Element_Stiffness!$E$75,Element_Stiffness!Z97,0)),IF(Element_Stiffness!$E$75=0,IF(3=Element_Stiffness!$C$75,Element_Stiffness!T103,IF(3=Element_Stiffness!$E$75,Element_Stiffness!Z103,0)),0)),0)+IF(Element_Stiffness!$C$111,IF(Element_Stiffness!$C$110=0,IF(3=Element_Stiffness!$C$110,Element_Stiffness!T132,IF(3=Element_Stiffness!$E$110,Element_Stiffness!Z132,0)),IF(Element_Stiffness!$E$110=0,IF(3=Element_Stiffness!$C$110,Element_Stiffness!T138,IF(3=Element_Stiffness!$E$110,Element_Stiffness!Z138,0)),0)),0)+IF(Element_Stiffness!$C$146,IF(Element_Stiffness!$C$145=0,IF(3=Element_Stiffness!$C$145,Element_Stiffness!T167,IF(3=Element_Stiffness!$E$145,Element_Stiffness!Z167,0)),IF(Element_Stiffness!$E$145=0,IF(3=Element_Stiffness!$C$145,Element_Stiffness!T173,IF(3=Element_Stiffness!$E$145,Element_Stiffness!Z173,0)),0)),0)+IF(Element_Stiffness!$C$181,IF(Element_Stiffness!$C$180=0,IF(3=Element_Stiffness!$C$180,Element_Stiffness!T202,IF(3=Element_Stiffness!$E$180,Element_Stiffness!Z202,0)),IF(Element_Stiffness!$E$180=0,IF(3=Element_Stiffness!$C$180,Element_Stiffness!T208,IF(3=Element_Stiffness!$E$180,Element_Stiffness!Z208,0)),0)),0)+IF(Element_Stiffness!$C$216,IF(Element_Stiffness!$C$215=0,IF(3=Element_Stiffness!$C$215,Element_Stiffness!T237,IF(3=Element_Stiffness!$E$215,Element_Stiffness!Z237,0)),IF(Element_Stiffness!$E$215=0,IF(3=Element_Stiffness!$C$215,Element_Stiffness!T243,IF(3=Element_Stiffness!$E$215,Element_Stiffness!Z243,0)),0)),0)</f>
        <v/>
      </c>
      <c r="Z6" s="21">
        <f>IF(Element_Stiffness!$C$6,IF(Element_Stiffness!$C$5=0,IF(3=Element_Stiffness!$C$5,Element_Stiffness!U27,IF(3=Element_Stiffness!$E$5,Element_Stiffness!AA27,0)),IF(Element_Stiffness!$E$5=0,IF(3=Element_Stiffness!$C$5,Element_Stiffness!U33,IF(3=Element_Stiffness!$E$5,Element_Stiffness!AA33,0)),0)),0)+IF(Element_Stiffness!$C$41,IF(Element_Stiffness!$C$40=0,IF(3=Element_Stiffness!$C$40,Element_Stiffness!U62,IF(3=Element_Stiffness!$E$40,Element_Stiffness!AA62,0)),IF(Element_Stiffness!$E$40=0,IF(3=Element_Stiffness!$C$40,Element_Stiffness!U68,IF(3=Element_Stiffness!$E$40,Element_Stiffness!AA68,0)),0)),0)+IF(Element_Stiffness!$C$76,IF(Element_Stiffness!$C$75=0,IF(3=Element_Stiffness!$C$75,Element_Stiffness!U97,IF(3=Element_Stiffness!$E$75,Element_Stiffness!AA97,0)),IF(Element_Stiffness!$E$75=0,IF(3=Element_Stiffness!$C$75,Element_Stiffness!U103,IF(3=Element_Stiffness!$E$75,Element_Stiffness!AA103,0)),0)),0)+IF(Element_Stiffness!$C$111,IF(Element_Stiffness!$C$110=0,IF(3=Element_Stiffness!$C$110,Element_Stiffness!U132,IF(3=Element_Stiffness!$E$110,Element_Stiffness!AA132,0)),IF(Element_Stiffness!$E$110=0,IF(3=Element_Stiffness!$C$110,Element_Stiffness!U138,IF(3=Element_Stiffness!$E$110,Element_Stiffness!AA138,0)),0)),0)+IF(Element_Stiffness!$C$146,IF(Element_Stiffness!$C$145=0,IF(3=Element_Stiffness!$C$145,Element_Stiffness!U167,IF(3=Element_Stiffness!$E$145,Element_Stiffness!AA167,0)),IF(Element_Stiffness!$E$145=0,IF(3=Element_Stiffness!$C$145,Element_Stiffness!U173,IF(3=Element_Stiffness!$E$145,Element_Stiffness!AA173,0)),0)),0)+IF(Element_Stiffness!$C$181,IF(Element_Stiffness!$C$180=0,IF(3=Element_Stiffness!$C$180,Element_Stiffness!U202,IF(3=Element_Stiffness!$E$180,Element_Stiffness!AA202,0)),IF(Element_Stiffness!$E$180=0,IF(3=Element_Stiffness!$C$180,Element_Stiffness!U208,IF(3=Element_Stiffness!$E$180,Element_Stiffness!AA208,0)),0)),0)+IF(Element_Stiffness!$C$216,IF(Element_Stiffness!$C$215=0,IF(3=Element_Stiffness!$C$215,Element_Stiffness!U237,IF(3=Element_Stiffness!$E$215,Element_Stiffness!AA237,0)),IF(Element_Stiffness!$E$215=0,IF(3=Element_Stiffness!$C$215,Element_Stiffness!U243,IF(3=Element_Stiffness!$E$215,Element_Stiffness!AA243,0)),0)),0)</f>
        <v/>
      </c>
      <c r="AA6" s="21">
        <f>IF(Element_Stiffness!$C$6,IF(Element_Stiffness!$C$5=0,IF(4=Element_Stiffness!$C$5,Element_Stiffness!P27,IF(4=Element_Stiffness!$E$5,Element_Stiffness!V27,0)),IF(Element_Stiffness!$E$5=0,IF(4=Element_Stiffness!$C$5,Element_Stiffness!P33,IF(4=Element_Stiffness!$E$5,Element_Stiffness!V33,0)),0)),0)+IF(Element_Stiffness!$C$41,IF(Element_Stiffness!$C$40=0,IF(4=Element_Stiffness!$C$40,Element_Stiffness!P62,IF(4=Element_Stiffness!$E$40,Element_Stiffness!V62,0)),IF(Element_Stiffness!$E$40=0,IF(4=Element_Stiffness!$C$40,Element_Stiffness!P68,IF(4=Element_Stiffness!$E$40,Element_Stiffness!V68,0)),0)),0)+IF(Element_Stiffness!$C$76,IF(Element_Stiffness!$C$75=0,IF(4=Element_Stiffness!$C$75,Element_Stiffness!P97,IF(4=Element_Stiffness!$E$75,Element_Stiffness!V97,0)),IF(Element_Stiffness!$E$75=0,IF(4=Element_Stiffness!$C$75,Element_Stiffness!P103,IF(4=Element_Stiffness!$E$75,Element_Stiffness!V103,0)),0)),0)+IF(Element_Stiffness!$C$111,IF(Element_Stiffness!$C$110=0,IF(4=Element_Stiffness!$C$110,Element_Stiffness!P132,IF(4=Element_Stiffness!$E$110,Element_Stiffness!V132,0)),IF(Element_Stiffness!$E$110=0,IF(4=Element_Stiffness!$C$110,Element_Stiffness!P138,IF(4=Element_Stiffness!$E$110,Element_Stiffness!V138,0)),0)),0)+IF(Element_Stiffness!$C$146,IF(Element_Stiffness!$C$145=0,IF(4=Element_Stiffness!$C$145,Element_Stiffness!P167,IF(4=Element_Stiffness!$E$145,Element_Stiffness!V167,0)),IF(Element_Stiffness!$E$145=0,IF(4=Element_Stiffness!$C$145,Element_Stiffness!P173,IF(4=Element_Stiffness!$E$145,Element_Stiffness!V173,0)),0)),0)+IF(Element_Stiffness!$C$181,IF(Element_Stiffness!$C$180=0,IF(4=Element_Stiffness!$C$180,Element_Stiffness!P202,IF(4=Element_Stiffness!$E$180,Element_Stiffness!V202,0)),IF(Element_Stiffness!$E$180=0,IF(4=Element_Stiffness!$C$180,Element_Stiffness!P208,IF(4=Element_Stiffness!$E$180,Element_Stiffness!V208,0)),0)),0)+IF(Element_Stiffness!$C$216,IF(Element_Stiffness!$C$215=0,IF(4=Element_Stiffness!$C$215,Element_Stiffness!P237,IF(4=Element_Stiffness!$E$215,Element_Stiffness!V237,0)),IF(Element_Stiffness!$E$215=0,IF(4=Element_Stiffness!$C$215,Element_Stiffness!P243,IF(4=Element_Stiffness!$E$215,Element_Stiffness!V243,0)),0)),0)</f>
        <v/>
      </c>
      <c r="AB6" s="21">
        <f>IF(Element_Stiffness!$C$6,IF(Element_Stiffness!$C$5=0,IF(4=Element_Stiffness!$C$5,Element_Stiffness!Q27,IF(4=Element_Stiffness!$E$5,Element_Stiffness!W27,0)),IF(Element_Stiffness!$E$5=0,IF(4=Element_Stiffness!$C$5,Element_Stiffness!Q33,IF(4=Element_Stiffness!$E$5,Element_Stiffness!W33,0)),0)),0)+IF(Element_Stiffness!$C$41,IF(Element_Stiffness!$C$40=0,IF(4=Element_Stiffness!$C$40,Element_Stiffness!Q62,IF(4=Element_Stiffness!$E$40,Element_Stiffness!W62,0)),IF(Element_Stiffness!$E$40=0,IF(4=Element_Stiffness!$C$40,Element_Stiffness!Q68,IF(4=Element_Stiffness!$E$40,Element_Stiffness!W68,0)),0)),0)+IF(Element_Stiffness!$C$76,IF(Element_Stiffness!$C$75=0,IF(4=Element_Stiffness!$C$75,Element_Stiffness!Q97,IF(4=Element_Stiffness!$E$75,Element_Stiffness!W97,0)),IF(Element_Stiffness!$E$75=0,IF(4=Element_Stiffness!$C$75,Element_Stiffness!Q103,IF(4=Element_Stiffness!$E$75,Element_Stiffness!W103,0)),0)),0)+IF(Element_Stiffness!$C$111,IF(Element_Stiffness!$C$110=0,IF(4=Element_Stiffness!$C$110,Element_Stiffness!Q132,IF(4=Element_Stiffness!$E$110,Element_Stiffness!W132,0)),IF(Element_Stiffness!$E$110=0,IF(4=Element_Stiffness!$C$110,Element_Stiffness!Q138,IF(4=Element_Stiffness!$E$110,Element_Stiffness!W138,0)),0)),0)+IF(Element_Stiffness!$C$146,IF(Element_Stiffness!$C$145=0,IF(4=Element_Stiffness!$C$145,Element_Stiffness!Q167,IF(4=Element_Stiffness!$E$145,Element_Stiffness!W167,0)),IF(Element_Stiffness!$E$145=0,IF(4=Element_Stiffness!$C$145,Element_Stiffness!Q173,IF(4=Element_Stiffness!$E$145,Element_Stiffness!W173,0)),0)),0)+IF(Element_Stiffness!$C$181,IF(Element_Stiffness!$C$180=0,IF(4=Element_Stiffness!$C$180,Element_Stiffness!Q202,IF(4=Element_Stiffness!$E$180,Element_Stiffness!W202,0)),IF(Element_Stiffness!$E$180=0,IF(4=Element_Stiffness!$C$180,Element_Stiffness!Q208,IF(4=Element_Stiffness!$E$180,Element_Stiffness!W208,0)),0)),0)+IF(Element_Stiffness!$C$216,IF(Element_Stiffness!$C$215=0,IF(4=Element_Stiffness!$C$215,Element_Stiffness!Q237,IF(4=Element_Stiffness!$E$215,Element_Stiffness!W237,0)),IF(Element_Stiffness!$E$215=0,IF(4=Element_Stiffness!$C$215,Element_Stiffness!Q243,IF(4=Element_Stiffness!$E$215,Element_Stiffness!W243,0)),0)),0)</f>
        <v/>
      </c>
      <c r="AC6" s="21">
        <f>IF(Element_Stiffness!$C$6,IF(Element_Stiffness!$C$5=0,IF(4=Element_Stiffness!$C$5,Element_Stiffness!R27,IF(4=Element_Stiffness!$E$5,Element_Stiffness!X27,0)),IF(Element_Stiffness!$E$5=0,IF(4=Element_Stiffness!$C$5,Element_Stiffness!R33,IF(4=Element_Stiffness!$E$5,Element_Stiffness!X33,0)),0)),0)+IF(Element_Stiffness!$C$41,IF(Element_Stiffness!$C$40=0,IF(4=Element_Stiffness!$C$40,Element_Stiffness!R62,IF(4=Element_Stiffness!$E$40,Element_Stiffness!X62,0)),IF(Element_Stiffness!$E$40=0,IF(4=Element_Stiffness!$C$40,Element_Stiffness!R68,IF(4=Element_Stiffness!$E$40,Element_Stiffness!X68,0)),0)),0)+IF(Element_Stiffness!$C$76,IF(Element_Stiffness!$C$75=0,IF(4=Element_Stiffness!$C$75,Element_Stiffness!R97,IF(4=Element_Stiffness!$E$75,Element_Stiffness!X97,0)),IF(Element_Stiffness!$E$75=0,IF(4=Element_Stiffness!$C$75,Element_Stiffness!R103,IF(4=Element_Stiffness!$E$75,Element_Stiffness!X103,0)),0)),0)+IF(Element_Stiffness!$C$111,IF(Element_Stiffness!$C$110=0,IF(4=Element_Stiffness!$C$110,Element_Stiffness!R132,IF(4=Element_Stiffness!$E$110,Element_Stiffness!X132,0)),IF(Element_Stiffness!$E$110=0,IF(4=Element_Stiffness!$C$110,Element_Stiffness!R138,IF(4=Element_Stiffness!$E$110,Element_Stiffness!X138,0)),0)),0)+IF(Element_Stiffness!$C$146,IF(Element_Stiffness!$C$145=0,IF(4=Element_Stiffness!$C$145,Element_Stiffness!R167,IF(4=Element_Stiffness!$E$145,Element_Stiffness!X167,0)),IF(Element_Stiffness!$E$145=0,IF(4=Element_Stiffness!$C$145,Element_Stiffness!R173,IF(4=Element_Stiffness!$E$145,Element_Stiffness!X173,0)),0)),0)+IF(Element_Stiffness!$C$181,IF(Element_Stiffness!$C$180=0,IF(4=Element_Stiffness!$C$180,Element_Stiffness!R202,IF(4=Element_Stiffness!$E$180,Element_Stiffness!X202,0)),IF(Element_Stiffness!$E$180=0,IF(4=Element_Stiffness!$C$180,Element_Stiffness!R208,IF(4=Element_Stiffness!$E$180,Element_Stiffness!X208,0)),0)),0)+IF(Element_Stiffness!$C$216,IF(Element_Stiffness!$C$215=0,IF(4=Element_Stiffness!$C$215,Element_Stiffness!R237,IF(4=Element_Stiffness!$E$215,Element_Stiffness!X237,0)),IF(Element_Stiffness!$E$215=0,IF(4=Element_Stiffness!$C$215,Element_Stiffness!R243,IF(4=Element_Stiffness!$E$215,Element_Stiffness!X243,0)),0)),0)</f>
        <v/>
      </c>
      <c r="AD6" s="21">
        <f>IF(Element_Stiffness!$C$6,IF(Element_Stiffness!$C$5=0,IF(4=Element_Stiffness!$C$5,Element_Stiffness!S27,IF(4=Element_Stiffness!$E$5,Element_Stiffness!Y27,0)),IF(Element_Stiffness!$E$5=0,IF(4=Element_Stiffness!$C$5,Element_Stiffness!S33,IF(4=Element_Stiffness!$E$5,Element_Stiffness!Y33,0)),0)),0)+IF(Element_Stiffness!$C$41,IF(Element_Stiffness!$C$40=0,IF(4=Element_Stiffness!$C$40,Element_Stiffness!S62,IF(4=Element_Stiffness!$E$40,Element_Stiffness!Y62,0)),IF(Element_Stiffness!$E$40=0,IF(4=Element_Stiffness!$C$40,Element_Stiffness!S68,IF(4=Element_Stiffness!$E$40,Element_Stiffness!Y68,0)),0)),0)+IF(Element_Stiffness!$C$76,IF(Element_Stiffness!$C$75=0,IF(4=Element_Stiffness!$C$75,Element_Stiffness!S97,IF(4=Element_Stiffness!$E$75,Element_Stiffness!Y97,0)),IF(Element_Stiffness!$E$75=0,IF(4=Element_Stiffness!$C$75,Element_Stiffness!S103,IF(4=Element_Stiffness!$E$75,Element_Stiffness!Y103,0)),0)),0)+IF(Element_Stiffness!$C$111,IF(Element_Stiffness!$C$110=0,IF(4=Element_Stiffness!$C$110,Element_Stiffness!S132,IF(4=Element_Stiffness!$E$110,Element_Stiffness!Y132,0)),IF(Element_Stiffness!$E$110=0,IF(4=Element_Stiffness!$C$110,Element_Stiffness!S138,IF(4=Element_Stiffness!$E$110,Element_Stiffness!Y138,0)),0)),0)+IF(Element_Stiffness!$C$146,IF(Element_Stiffness!$C$145=0,IF(4=Element_Stiffness!$C$145,Element_Stiffness!S167,IF(4=Element_Stiffness!$E$145,Element_Stiffness!Y167,0)),IF(Element_Stiffness!$E$145=0,IF(4=Element_Stiffness!$C$145,Element_Stiffness!S173,IF(4=Element_Stiffness!$E$145,Element_Stiffness!Y173,0)),0)),0)+IF(Element_Stiffness!$C$181,IF(Element_Stiffness!$C$180=0,IF(4=Element_Stiffness!$C$180,Element_Stiffness!S202,IF(4=Element_Stiffness!$E$180,Element_Stiffness!Y202,0)),IF(Element_Stiffness!$E$180=0,IF(4=Element_Stiffness!$C$180,Element_Stiffness!S208,IF(4=Element_Stiffness!$E$180,Element_Stiffness!Y208,0)),0)),0)+IF(Element_Stiffness!$C$216,IF(Element_Stiffness!$C$215=0,IF(4=Element_Stiffness!$C$215,Element_Stiffness!S237,IF(4=Element_Stiffness!$E$215,Element_Stiffness!Y237,0)),IF(Element_Stiffness!$E$215=0,IF(4=Element_Stiffness!$C$215,Element_Stiffness!S243,IF(4=Element_Stiffness!$E$215,Element_Stiffness!Y243,0)),0)),0)</f>
        <v/>
      </c>
      <c r="AE6" s="21">
        <f>IF(Element_Stiffness!$C$6,IF(Element_Stiffness!$C$5=0,IF(4=Element_Stiffness!$C$5,Element_Stiffness!T27,IF(4=Element_Stiffness!$E$5,Element_Stiffness!Z27,0)),IF(Element_Stiffness!$E$5=0,IF(4=Element_Stiffness!$C$5,Element_Stiffness!T33,IF(4=Element_Stiffness!$E$5,Element_Stiffness!Z33,0)),0)),0)+IF(Element_Stiffness!$C$41,IF(Element_Stiffness!$C$40=0,IF(4=Element_Stiffness!$C$40,Element_Stiffness!T62,IF(4=Element_Stiffness!$E$40,Element_Stiffness!Z62,0)),IF(Element_Stiffness!$E$40=0,IF(4=Element_Stiffness!$C$40,Element_Stiffness!T68,IF(4=Element_Stiffness!$E$40,Element_Stiffness!Z68,0)),0)),0)+IF(Element_Stiffness!$C$76,IF(Element_Stiffness!$C$75=0,IF(4=Element_Stiffness!$C$75,Element_Stiffness!T97,IF(4=Element_Stiffness!$E$75,Element_Stiffness!Z97,0)),IF(Element_Stiffness!$E$75=0,IF(4=Element_Stiffness!$C$75,Element_Stiffness!T103,IF(4=Element_Stiffness!$E$75,Element_Stiffness!Z103,0)),0)),0)+IF(Element_Stiffness!$C$111,IF(Element_Stiffness!$C$110=0,IF(4=Element_Stiffness!$C$110,Element_Stiffness!T132,IF(4=Element_Stiffness!$E$110,Element_Stiffness!Z132,0)),IF(Element_Stiffness!$E$110=0,IF(4=Element_Stiffness!$C$110,Element_Stiffness!T138,IF(4=Element_Stiffness!$E$110,Element_Stiffness!Z138,0)),0)),0)+IF(Element_Stiffness!$C$146,IF(Element_Stiffness!$C$145=0,IF(4=Element_Stiffness!$C$145,Element_Stiffness!T167,IF(4=Element_Stiffness!$E$145,Element_Stiffness!Z167,0)),IF(Element_Stiffness!$E$145=0,IF(4=Element_Stiffness!$C$145,Element_Stiffness!T173,IF(4=Element_Stiffness!$E$145,Element_Stiffness!Z173,0)),0)),0)+IF(Element_Stiffness!$C$181,IF(Element_Stiffness!$C$180=0,IF(4=Element_Stiffness!$C$180,Element_Stiffness!T202,IF(4=Element_Stiffness!$E$180,Element_Stiffness!Z202,0)),IF(Element_Stiffness!$E$180=0,IF(4=Element_Stiffness!$C$180,Element_Stiffness!T208,IF(4=Element_Stiffness!$E$180,Element_Stiffness!Z208,0)),0)),0)+IF(Element_Stiffness!$C$216,IF(Element_Stiffness!$C$215=0,IF(4=Element_Stiffness!$C$215,Element_Stiffness!T237,IF(4=Element_Stiffness!$E$215,Element_Stiffness!Z237,0)),IF(Element_Stiffness!$E$215=0,IF(4=Element_Stiffness!$C$215,Element_Stiffness!T243,IF(4=Element_Stiffness!$E$215,Element_Stiffness!Z243,0)),0)),0)</f>
        <v/>
      </c>
      <c r="AF6" s="21">
        <f>IF(Element_Stiffness!$C$6,IF(Element_Stiffness!$C$5=0,IF(4=Element_Stiffness!$C$5,Element_Stiffness!U27,IF(4=Element_Stiffness!$E$5,Element_Stiffness!AA27,0)),IF(Element_Stiffness!$E$5=0,IF(4=Element_Stiffness!$C$5,Element_Stiffness!U33,IF(4=Element_Stiffness!$E$5,Element_Stiffness!AA33,0)),0)),0)+IF(Element_Stiffness!$C$41,IF(Element_Stiffness!$C$40=0,IF(4=Element_Stiffness!$C$40,Element_Stiffness!U62,IF(4=Element_Stiffness!$E$40,Element_Stiffness!AA62,0)),IF(Element_Stiffness!$E$40=0,IF(4=Element_Stiffness!$C$40,Element_Stiffness!U68,IF(4=Element_Stiffness!$E$40,Element_Stiffness!AA68,0)),0)),0)+IF(Element_Stiffness!$C$76,IF(Element_Stiffness!$C$75=0,IF(4=Element_Stiffness!$C$75,Element_Stiffness!U97,IF(4=Element_Stiffness!$E$75,Element_Stiffness!AA97,0)),IF(Element_Stiffness!$E$75=0,IF(4=Element_Stiffness!$C$75,Element_Stiffness!U103,IF(4=Element_Stiffness!$E$75,Element_Stiffness!AA103,0)),0)),0)+IF(Element_Stiffness!$C$111,IF(Element_Stiffness!$C$110=0,IF(4=Element_Stiffness!$C$110,Element_Stiffness!U132,IF(4=Element_Stiffness!$E$110,Element_Stiffness!AA132,0)),IF(Element_Stiffness!$E$110=0,IF(4=Element_Stiffness!$C$110,Element_Stiffness!U138,IF(4=Element_Stiffness!$E$110,Element_Stiffness!AA138,0)),0)),0)+IF(Element_Stiffness!$C$146,IF(Element_Stiffness!$C$145=0,IF(4=Element_Stiffness!$C$145,Element_Stiffness!U167,IF(4=Element_Stiffness!$E$145,Element_Stiffness!AA167,0)),IF(Element_Stiffness!$E$145=0,IF(4=Element_Stiffness!$C$145,Element_Stiffness!U173,IF(4=Element_Stiffness!$E$145,Element_Stiffness!AA173,0)),0)),0)+IF(Element_Stiffness!$C$181,IF(Element_Stiffness!$C$180=0,IF(4=Element_Stiffness!$C$180,Element_Stiffness!U202,IF(4=Element_Stiffness!$E$180,Element_Stiffness!AA202,0)),IF(Element_Stiffness!$E$180=0,IF(4=Element_Stiffness!$C$180,Element_Stiffness!U208,IF(4=Element_Stiffness!$E$180,Element_Stiffness!AA208,0)),0)),0)+IF(Element_Stiffness!$C$216,IF(Element_Stiffness!$C$215=0,IF(4=Element_Stiffness!$C$215,Element_Stiffness!U237,IF(4=Element_Stiffness!$E$215,Element_Stiffness!AA237,0)),IF(Element_Stiffness!$E$215=0,IF(4=Element_Stiffness!$C$215,Element_Stiffness!U243,IF(4=Element_Stiffness!$E$215,Element_Stiffness!AA243,0)),0)),0)</f>
        <v/>
      </c>
      <c r="AG6" s="21">
        <f>IF(Element_Stiffness!$C$6,IF(Element_Stiffness!$C$5=0,IF(5=Element_Stiffness!$C$5,Element_Stiffness!P27,IF(5=Element_Stiffness!$E$5,Element_Stiffness!V27,0)),IF(Element_Stiffness!$E$5=0,IF(5=Element_Stiffness!$C$5,Element_Stiffness!P33,IF(5=Element_Stiffness!$E$5,Element_Stiffness!V33,0)),0)),0)+IF(Element_Stiffness!$C$41,IF(Element_Stiffness!$C$40=0,IF(5=Element_Stiffness!$C$40,Element_Stiffness!P62,IF(5=Element_Stiffness!$E$40,Element_Stiffness!V62,0)),IF(Element_Stiffness!$E$40=0,IF(5=Element_Stiffness!$C$40,Element_Stiffness!P68,IF(5=Element_Stiffness!$E$40,Element_Stiffness!V68,0)),0)),0)+IF(Element_Stiffness!$C$76,IF(Element_Stiffness!$C$75=0,IF(5=Element_Stiffness!$C$75,Element_Stiffness!P97,IF(5=Element_Stiffness!$E$75,Element_Stiffness!V97,0)),IF(Element_Stiffness!$E$75=0,IF(5=Element_Stiffness!$C$75,Element_Stiffness!P103,IF(5=Element_Stiffness!$E$75,Element_Stiffness!V103,0)),0)),0)+IF(Element_Stiffness!$C$111,IF(Element_Stiffness!$C$110=0,IF(5=Element_Stiffness!$C$110,Element_Stiffness!P132,IF(5=Element_Stiffness!$E$110,Element_Stiffness!V132,0)),IF(Element_Stiffness!$E$110=0,IF(5=Element_Stiffness!$C$110,Element_Stiffness!P138,IF(5=Element_Stiffness!$E$110,Element_Stiffness!V138,0)),0)),0)+IF(Element_Stiffness!$C$146,IF(Element_Stiffness!$C$145=0,IF(5=Element_Stiffness!$C$145,Element_Stiffness!P167,IF(5=Element_Stiffness!$E$145,Element_Stiffness!V167,0)),IF(Element_Stiffness!$E$145=0,IF(5=Element_Stiffness!$C$145,Element_Stiffness!P173,IF(5=Element_Stiffness!$E$145,Element_Stiffness!V173,0)),0)),0)+IF(Element_Stiffness!$C$181,IF(Element_Stiffness!$C$180=0,IF(5=Element_Stiffness!$C$180,Element_Stiffness!P202,IF(5=Element_Stiffness!$E$180,Element_Stiffness!V202,0)),IF(Element_Stiffness!$E$180=0,IF(5=Element_Stiffness!$C$180,Element_Stiffness!P208,IF(5=Element_Stiffness!$E$180,Element_Stiffness!V208,0)),0)),0)+IF(Element_Stiffness!$C$216,IF(Element_Stiffness!$C$215=0,IF(5=Element_Stiffness!$C$215,Element_Stiffness!P237,IF(5=Element_Stiffness!$E$215,Element_Stiffness!V237,0)),IF(Element_Stiffness!$E$215=0,IF(5=Element_Stiffness!$C$215,Element_Stiffness!P243,IF(5=Element_Stiffness!$E$215,Element_Stiffness!V243,0)),0)),0)</f>
        <v/>
      </c>
      <c r="AH6" s="21">
        <f>IF(Element_Stiffness!$C$6,IF(Element_Stiffness!$C$5=0,IF(5=Element_Stiffness!$C$5,Element_Stiffness!Q27,IF(5=Element_Stiffness!$E$5,Element_Stiffness!W27,0)),IF(Element_Stiffness!$E$5=0,IF(5=Element_Stiffness!$C$5,Element_Stiffness!Q33,IF(5=Element_Stiffness!$E$5,Element_Stiffness!W33,0)),0)),0)+IF(Element_Stiffness!$C$41,IF(Element_Stiffness!$C$40=0,IF(5=Element_Stiffness!$C$40,Element_Stiffness!Q62,IF(5=Element_Stiffness!$E$40,Element_Stiffness!W62,0)),IF(Element_Stiffness!$E$40=0,IF(5=Element_Stiffness!$C$40,Element_Stiffness!Q68,IF(5=Element_Stiffness!$E$40,Element_Stiffness!W68,0)),0)),0)+IF(Element_Stiffness!$C$76,IF(Element_Stiffness!$C$75=0,IF(5=Element_Stiffness!$C$75,Element_Stiffness!Q97,IF(5=Element_Stiffness!$E$75,Element_Stiffness!W97,0)),IF(Element_Stiffness!$E$75=0,IF(5=Element_Stiffness!$C$75,Element_Stiffness!Q103,IF(5=Element_Stiffness!$E$75,Element_Stiffness!W103,0)),0)),0)+IF(Element_Stiffness!$C$111,IF(Element_Stiffness!$C$110=0,IF(5=Element_Stiffness!$C$110,Element_Stiffness!Q132,IF(5=Element_Stiffness!$E$110,Element_Stiffness!W132,0)),IF(Element_Stiffness!$E$110=0,IF(5=Element_Stiffness!$C$110,Element_Stiffness!Q138,IF(5=Element_Stiffness!$E$110,Element_Stiffness!W138,0)),0)),0)+IF(Element_Stiffness!$C$146,IF(Element_Stiffness!$C$145=0,IF(5=Element_Stiffness!$C$145,Element_Stiffness!Q167,IF(5=Element_Stiffness!$E$145,Element_Stiffness!W167,0)),IF(Element_Stiffness!$E$145=0,IF(5=Element_Stiffness!$C$145,Element_Stiffness!Q173,IF(5=Element_Stiffness!$E$145,Element_Stiffness!W173,0)),0)),0)+IF(Element_Stiffness!$C$181,IF(Element_Stiffness!$C$180=0,IF(5=Element_Stiffness!$C$180,Element_Stiffness!Q202,IF(5=Element_Stiffness!$E$180,Element_Stiffness!W202,0)),IF(Element_Stiffness!$E$180=0,IF(5=Element_Stiffness!$C$180,Element_Stiffness!Q208,IF(5=Element_Stiffness!$E$180,Element_Stiffness!W208,0)),0)),0)+IF(Element_Stiffness!$C$216,IF(Element_Stiffness!$C$215=0,IF(5=Element_Stiffness!$C$215,Element_Stiffness!Q237,IF(5=Element_Stiffness!$E$215,Element_Stiffness!W237,0)),IF(Element_Stiffness!$E$215=0,IF(5=Element_Stiffness!$C$215,Element_Stiffness!Q243,IF(5=Element_Stiffness!$E$215,Element_Stiffness!W243,0)),0)),0)</f>
        <v/>
      </c>
      <c r="AI6" s="21">
        <f>IF(Element_Stiffness!$C$6,IF(Element_Stiffness!$C$5=0,IF(5=Element_Stiffness!$C$5,Element_Stiffness!R27,IF(5=Element_Stiffness!$E$5,Element_Stiffness!X27,0)),IF(Element_Stiffness!$E$5=0,IF(5=Element_Stiffness!$C$5,Element_Stiffness!R33,IF(5=Element_Stiffness!$E$5,Element_Stiffness!X33,0)),0)),0)+IF(Element_Stiffness!$C$41,IF(Element_Stiffness!$C$40=0,IF(5=Element_Stiffness!$C$40,Element_Stiffness!R62,IF(5=Element_Stiffness!$E$40,Element_Stiffness!X62,0)),IF(Element_Stiffness!$E$40=0,IF(5=Element_Stiffness!$C$40,Element_Stiffness!R68,IF(5=Element_Stiffness!$E$40,Element_Stiffness!X68,0)),0)),0)+IF(Element_Stiffness!$C$76,IF(Element_Stiffness!$C$75=0,IF(5=Element_Stiffness!$C$75,Element_Stiffness!R97,IF(5=Element_Stiffness!$E$75,Element_Stiffness!X97,0)),IF(Element_Stiffness!$E$75=0,IF(5=Element_Stiffness!$C$75,Element_Stiffness!R103,IF(5=Element_Stiffness!$E$75,Element_Stiffness!X103,0)),0)),0)+IF(Element_Stiffness!$C$111,IF(Element_Stiffness!$C$110=0,IF(5=Element_Stiffness!$C$110,Element_Stiffness!R132,IF(5=Element_Stiffness!$E$110,Element_Stiffness!X132,0)),IF(Element_Stiffness!$E$110=0,IF(5=Element_Stiffness!$C$110,Element_Stiffness!R138,IF(5=Element_Stiffness!$E$110,Element_Stiffness!X138,0)),0)),0)+IF(Element_Stiffness!$C$146,IF(Element_Stiffness!$C$145=0,IF(5=Element_Stiffness!$C$145,Element_Stiffness!R167,IF(5=Element_Stiffness!$E$145,Element_Stiffness!X167,0)),IF(Element_Stiffness!$E$145=0,IF(5=Element_Stiffness!$C$145,Element_Stiffness!R173,IF(5=Element_Stiffness!$E$145,Element_Stiffness!X173,0)),0)),0)+IF(Element_Stiffness!$C$181,IF(Element_Stiffness!$C$180=0,IF(5=Element_Stiffness!$C$180,Element_Stiffness!R202,IF(5=Element_Stiffness!$E$180,Element_Stiffness!X202,0)),IF(Element_Stiffness!$E$180=0,IF(5=Element_Stiffness!$C$180,Element_Stiffness!R208,IF(5=Element_Stiffness!$E$180,Element_Stiffness!X208,0)),0)),0)+IF(Element_Stiffness!$C$216,IF(Element_Stiffness!$C$215=0,IF(5=Element_Stiffness!$C$215,Element_Stiffness!R237,IF(5=Element_Stiffness!$E$215,Element_Stiffness!X237,0)),IF(Element_Stiffness!$E$215=0,IF(5=Element_Stiffness!$C$215,Element_Stiffness!R243,IF(5=Element_Stiffness!$E$215,Element_Stiffness!X243,0)),0)),0)</f>
        <v/>
      </c>
      <c r="AJ6" s="21">
        <f>IF(Element_Stiffness!$C$6,IF(Element_Stiffness!$C$5=0,IF(5=Element_Stiffness!$C$5,Element_Stiffness!S27,IF(5=Element_Stiffness!$E$5,Element_Stiffness!Y27,0)),IF(Element_Stiffness!$E$5=0,IF(5=Element_Stiffness!$C$5,Element_Stiffness!S33,IF(5=Element_Stiffness!$E$5,Element_Stiffness!Y33,0)),0)),0)+IF(Element_Stiffness!$C$41,IF(Element_Stiffness!$C$40=0,IF(5=Element_Stiffness!$C$40,Element_Stiffness!S62,IF(5=Element_Stiffness!$E$40,Element_Stiffness!Y62,0)),IF(Element_Stiffness!$E$40=0,IF(5=Element_Stiffness!$C$40,Element_Stiffness!S68,IF(5=Element_Stiffness!$E$40,Element_Stiffness!Y68,0)),0)),0)+IF(Element_Stiffness!$C$76,IF(Element_Stiffness!$C$75=0,IF(5=Element_Stiffness!$C$75,Element_Stiffness!S97,IF(5=Element_Stiffness!$E$75,Element_Stiffness!Y97,0)),IF(Element_Stiffness!$E$75=0,IF(5=Element_Stiffness!$C$75,Element_Stiffness!S103,IF(5=Element_Stiffness!$E$75,Element_Stiffness!Y103,0)),0)),0)+IF(Element_Stiffness!$C$111,IF(Element_Stiffness!$C$110=0,IF(5=Element_Stiffness!$C$110,Element_Stiffness!S132,IF(5=Element_Stiffness!$E$110,Element_Stiffness!Y132,0)),IF(Element_Stiffness!$E$110=0,IF(5=Element_Stiffness!$C$110,Element_Stiffness!S138,IF(5=Element_Stiffness!$E$110,Element_Stiffness!Y138,0)),0)),0)+IF(Element_Stiffness!$C$146,IF(Element_Stiffness!$C$145=0,IF(5=Element_Stiffness!$C$145,Element_Stiffness!S167,IF(5=Element_Stiffness!$E$145,Element_Stiffness!Y167,0)),IF(Element_Stiffness!$E$145=0,IF(5=Element_Stiffness!$C$145,Element_Stiffness!S173,IF(5=Element_Stiffness!$E$145,Element_Stiffness!Y173,0)),0)),0)+IF(Element_Stiffness!$C$181,IF(Element_Stiffness!$C$180=0,IF(5=Element_Stiffness!$C$180,Element_Stiffness!S202,IF(5=Element_Stiffness!$E$180,Element_Stiffness!Y202,0)),IF(Element_Stiffness!$E$180=0,IF(5=Element_Stiffness!$C$180,Element_Stiffness!S208,IF(5=Element_Stiffness!$E$180,Element_Stiffness!Y208,0)),0)),0)+IF(Element_Stiffness!$C$216,IF(Element_Stiffness!$C$215=0,IF(5=Element_Stiffness!$C$215,Element_Stiffness!S237,IF(5=Element_Stiffness!$E$215,Element_Stiffness!Y237,0)),IF(Element_Stiffness!$E$215=0,IF(5=Element_Stiffness!$C$215,Element_Stiffness!S243,IF(5=Element_Stiffness!$E$215,Element_Stiffness!Y243,0)),0)),0)</f>
        <v/>
      </c>
      <c r="AK6" s="21">
        <f>IF(Element_Stiffness!$C$6,IF(Element_Stiffness!$C$5=0,IF(5=Element_Stiffness!$C$5,Element_Stiffness!T27,IF(5=Element_Stiffness!$E$5,Element_Stiffness!Z27,0)),IF(Element_Stiffness!$E$5=0,IF(5=Element_Stiffness!$C$5,Element_Stiffness!T33,IF(5=Element_Stiffness!$E$5,Element_Stiffness!Z33,0)),0)),0)+IF(Element_Stiffness!$C$41,IF(Element_Stiffness!$C$40=0,IF(5=Element_Stiffness!$C$40,Element_Stiffness!T62,IF(5=Element_Stiffness!$E$40,Element_Stiffness!Z62,0)),IF(Element_Stiffness!$E$40=0,IF(5=Element_Stiffness!$C$40,Element_Stiffness!T68,IF(5=Element_Stiffness!$E$40,Element_Stiffness!Z68,0)),0)),0)+IF(Element_Stiffness!$C$76,IF(Element_Stiffness!$C$75=0,IF(5=Element_Stiffness!$C$75,Element_Stiffness!T97,IF(5=Element_Stiffness!$E$75,Element_Stiffness!Z97,0)),IF(Element_Stiffness!$E$75=0,IF(5=Element_Stiffness!$C$75,Element_Stiffness!T103,IF(5=Element_Stiffness!$E$75,Element_Stiffness!Z103,0)),0)),0)+IF(Element_Stiffness!$C$111,IF(Element_Stiffness!$C$110=0,IF(5=Element_Stiffness!$C$110,Element_Stiffness!T132,IF(5=Element_Stiffness!$E$110,Element_Stiffness!Z132,0)),IF(Element_Stiffness!$E$110=0,IF(5=Element_Stiffness!$C$110,Element_Stiffness!T138,IF(5=Element_Stiffness!$E$110,Element_Stiffness!Z138,0)),0)),0)+IF(Element_Stiffness!$C$146,IF(Element_Stiffness!$C$145=0,IF(5=Element_Stiffness!$C$145,Element_Stiffness!T167,IF(5=Element_Stiffness!$E$145,Element_Stiffness!Z167,0)),IF(Element_Stiffness!$E$145=0,IF(5=Element_Stiffness!$C$145,Element_Stiffness!T173,IF(5=Element_Stiffness!$E$145,Element_Stiffness!Z173,0)),0)),0)+IF(Element_Stiffness!$C$181,IF(Element_Stiffness!$C$180=0,IF(5=Element_Stiffness!$C$180,Element_Stiffness!T202,IF(5=Element_Stiffness!$E$180,Element_Stiffness!Z202,0)),IF(Element_Stiffness!$E$180=0,IF(5=Element_Stiffness!$C$180,Element_Stiffness!T208,IF(5=Element_Stiffness!$E$180,Element_Stiffness!Z208,0)),0)),0)+IF(Element_Stiffness!$C$216,IF(Element_Stiffness!$C$215=0,IF(5=Element_Stiffness!$C$215,Element_Stiffness!T237,IF(5=Element_Stiffness!$E$215,Element_Stiffness!Z237,0)),IF(Element_Stiffness!$E$215=0,IF(5=Element_Stiffness!$C$215,Element_Stiffness!T243,IF(5=Element_Stiffness!$E$215,Element_Stiffness!Z243,0)),0)),0)</f>
        <v/>
      </c>
      <c r="AL6" s="21">
        <f>IF(Element_Stiffness!$C$6,IF(Element_Stiffness!$C$5=0,IF(5=Element_Stiffness!$C$5,Element_Stiffness!U27,IF(5=Element_Stiffness!$E$5,Element_Stiffness!AA27,0)),IF(Element_Stiffness!$E$5=0,IF(5=Element_Stiffness!$C$5,Element_Stiffness!U33,IF(5=Element_Stiffness!$E$5,Element_Stiffness!AA33,0)),0)),0)+IF(Element_Stiffness!$C$41,IF(Element_Stiffness!$C$40=0,IF(5=Element_Stiffness!$C$40,Element_Stiffness!U62,IF(5=Element_Stiffness!$E$40,Element_Stiffness!AA62,0)),IF(Element_Stiffness!$E$40=0,IF(5=Element_Stiffness!$C$40,Element_Stiffness!U68,IF(5=Element_Stiffness!$E$40,Element_Stiffness!AA68,0)),0)),0)+IF(Element_Stiffness!$C$76,IF(Element_Stiffness!$C$75=0,IF(5=Element_Stiffness!$C$75,Element_Stiffness!U97,IF(5=Element_Stiffness!$E$75,Element_Stiffness!AA97,0)),IF(Element_Stiffness!$E$75=0,IF(5=Element_Stiffness!$C$75,Element_Stiffness!U103,IF(5=Element_Stiffness!$E$75,Element_Stiffness!AA103,0)),0)),0)+IF(Element_Stiffness!$C$111,IF(Element_Stiffness!$C$110=0,IF(5=Element_Stiffness!$C$110,Element_Stiffness!U132,IF(5=Element_Stiffness!$E$110,Element_Stiffness!AA132,0)),IF(Element_Stiffness!$E$110=0,IF(5=Element_Stiffness!$C$110,Element_Stiffness!U138,IF(5=Element_Stiffness!$E$110,Element_Stiffness!AA138,0)),0)),0)+IF(Element_Stiffness!$C$146,IF(Element_Stiffness!$C$145=0,IF(5=Element_Stiffness!$C$145,Element_Stiffness!U167,IF(5=Element_Stiffness!$E$145,Element_Stiffness!AA167,0)),IF(Element_Stiffness!$E$145=0,IF(5=Element_Stiffness!$C$145,Element_Stiffness!U173,IF(5=Element_Stiffness!$E$145,Element_Stiffness!AA173,0)),0)),0)+IF(Element_Stiffness!$C$181,IF(Element_Stiffness!$C$180=0,IF(5=Element_Stiffness!$C$180,Element_Stiffness!U202,IF(5=Element_Stiffness!$E$180,Element_Stiffness!AA202,0)),IF(Element_Stiffness!$E$180=0,IF(5=Element_Stiffness!$C$180,Element_Stiffness!U208,IF(5=Element_Stiffness!$E$180,Element_Stiffness!AA208,0)),0)),0)+IF(Element_Stiffness!$C$216,IF(Element_Stiffness!$C$215=0,IF(5=Element_Stiffness!$C$215,Element_Stiffness!U237,IF(5=Element_Stiffness!$E$215,Element_Stiffness!AA237,0)),IF(Element_Stiffness!$E$215=0,IF(5=Element_Stiffness!$C$215,Element_Stiffness!U243,IF(5=Element_Stiffness!$E$215,Element_Stiffness!AA243,0)),0)),0)</f>
        <v/>
      </c>
      <c r="AM6" s="21">
        <f>IF(Element_Stiffness!$C$6,IF(Element_Stiffness!$C$5=0,IF(6=Element_Stiffness!$C$5,Element_Stiffness!P27,IF(6=Element_Stiffness!$E$5,Element_Stiffness!V27,0)),IF(Element_Stiffness!$E$5=0,IF(6=Element_Stiffness!$C$5,Element_Stiffness!P33,IF(6=Element_Stiffness!$E$5,Element_Stiffness!V33,0)),0)),0)+IF(Element_Stiffness!$C$41,IF(Element_Stiffness!$C$40=0,IF(6=Element_Stiffness!$C$40,Element_Stiffness!P62,IF(6=Element_Stiffness!$E$40,Element_Stiffness!V62,0)),IF(Element_Stiffness!$E$40=0,IF(6=Element_Stiffness!$C$40,Element_Stiffness!P68,IF(6=Element_Stiffness!$E$40,Element_Stiffness!V68,0)),0)),0)+IF(Element_Stiffness!$C$76,IF(Element_Stiffness!$C$75=0,IF(6=Element_Stiffness!$C$75,Element_Stiffness!P97,IF(6=Element_Stiffness!$E$75,Element_Stiffness!V97,0)),IF(Element_Stiffness!$E$75=0,IF(6=Element_Stiffness!$C$75,Element_Stiffness!P103,IF(6=Element_Stiffness!$E$75,Element_Stiffness!V103,0)),0)),0)+IF(Element_Stiffness!$C$111,IF(Element_Stiffness!$C$110=0,IF(6=Element_Stiffness!$C$110,Element_Stiffness!P132,IF(6=Element_Stiffness!$E$110,Element_Stiffness!V132,0)),IF(Element_Stiffness!$E$110=0,IF(6=Element_Stiffness!$C$110,Element_Stiffness!P138,IF(6=Element_Stiffness!$E$110,Element_Stiffness!V138,0)),0)),0)+IF(Element_Stiffness!$C$146,IF(Element_Stiffness!$C$145=0,IF(6=Element_Stiffness!$C$145,Element_Stiffness!P167,IF(6=Element_Stiffness!$E$145,Element_Stiffness!V167,0)),IF(Element_Stiffness!$E$145=0,IF(6=Element_Stiffness!$C$145,Element_Stiffness!P173,IF(6=Element_Stiffness!$E$145,Element_Stiffness!V173,0)),0)),0)+IF(Element_Stiffness!$C$181,IF(Element_Stiffness!$C$180=0,IF(6=Element_Stiffness!$C$180,Element_Stiffness!P202,IF(6=Element_Stiffness!$E$180,Element_Stiffness!V202,0)),IF(Element_Stiffness!$E$180=0,IF(6=Element_Stiffness!$C$180,Element_Stiffness!P208,IF(6=Element_Stiffness!$E$180,Element_Stiffness!V208,0)),0)),0)+IF(Element_Stiffness!$C$216,IF(Element_Stiffness!$C$215=0,IF(6=Element_Stiffness!$C$215,Element_Stiffness!P237,IF(6=Element_Stiffness!$E$215,Element_Stiffness!V237,0)),IF(Element_Stiffness!$E$215=0,IF(6=Element_Stiffness!$C$215,Element_Stiffness!P243,IF(6=Element_Stiffness!$E$215,Element_Stiffness!V243,0)),0)),0)</f>
        <v/>
      </c>
      <c r="AN6" s="21">
        <f>IF(Element_Stiffness!$C$6,IF(Element_Stiffness!$C$5=0,IF(6=Element_Stiffness!$C$5,Element_Stiffness!Q27,IF(6=Element_Stiffness!$E$5,Element_Stiffness!W27,0)),IF(Element_Stiffness!$E$5=0,IF(6=Element_Stiffness!$C$5,Element_Stiffness!Q33,IF(6=Element_Stiffness!$E$5,Element_Stiffness!W33,0)),0)),0)+IF(Element_Stiffness!$C$41,IF(Element_Stiffness!$C$40=0,IF(6=Element_Stiffness!$C$40,Element_Stiffness!Q62,IF(6=Element_Stiffness!$E$40,Element_Stiffness!W62,0)),IF(Element_Stiffness!$E$40=0,IF(6=Element_Stiffness!$C$40,Element_Stiffness!Q68,IF(6=Element_Stiffness!$E$40,Element_Stiffness!W68,0)),0)),0)+IF(Element_Stiffness!$C$76,IF(Element_Stiffness!$C$75=0,IF(6=Element_Stiffness!$C$75,Element_Stiffness!Q97,IF(6=Element_Stiffness!$E$75,Element_Stiffness!W97,0)),IF(Element_Stiffness!$E$75=0,IF(6=Element_Stiffness!$C$75,Element_Stiffness!Q103,IF(6=Element_Stiffness!$E$75,Element_Stiffness!W103,0)),0)),0)+IF(Element_Stiffness!$C$111,IF(Element_Stiffness!$C$110=0,IF(6=Element_Stiffness!$C$110,Element_Stiffness!Q132,IF(6=Element_Stiffness!$E$110,Element_Stiffness!W132,0)),IF(Element_Stiffness!$E$110=0,IF(6=Element_Stiffness!$C$110,Element_Stiffness!Q138,IF(6=Element_Stiffness!$E$110,Element_Stiffness!W138,0)),0)),0)+IF(Element_Stiffness!$C$146,IF(Element_Stiffness!$C$145=0,IF(6=Element_Stiffness!$C$145,Element_Stiffness!Q167,IF(6=Element_Stiffness!$E$145,Element_Stiffness!W167,0)),IF(Element_Stiffness!$E$145=0,IF(6=Element_Stiffness!$C$145,Element_Stiffness!Q173,IF(6=Element_Stiffness!$E$145,Element_Stiffness!W173,0)),0)),0)+IF(Element_Stiffness!$C$181,IF(Element_Stiffness!$C$180=0,IF(6=Element_Stiffness!$C$180,Element_Stiffness!Q202,IF(6=Element_Stiffness!$E$180,Element_Stiffness!W202,0)),IF(Element_Stiffness!$E$180=0,IF(6=Element_Stiffness!$C$180,Element_Stiffness!Q208,IF(6=Element_Stiffness!$E$180,Element_Stiffness!W208,0)),0)),0)+IF(Element_Stiffness!$C$216,IF(Element_Stiffness!$C$215=0,IF(6=Element_Stiffness!$C$215,Element_Stiffness!Q237,IF(6=Element_Stiffness!$E$215,Element_Stiffness!W237,0)),IF(Element_Stiffness!$E$215=0,IF(6=Element_Stiffness!$C$215,Element_Stiffness!Q243,IF(6=Element_Stiffness!$E$215,Element_Stiffness!W243,0)),0)),0)</f>
        <v/>
      </c>
      <c r="AO6" s="21">
        <f>IF(Element_Stiffness!$C$6,IF(Element_Stiffness!$C$5=0,IF(6=Element_Stiffness!$C$5,Element_Stiffness!R27,IF(6=Element_Stiffness!$E$5,Element_Stiffness!X27,0)),IF(Element_Stiffness!$E$5=0,IF(6=Element_Stiffness!$C$5,Element_Stiffness!R33,IF(6=Element_Stiffness!$E$5,Element_Stiffness!X33,0)),0)),0)+IF(Element_Stiffness!$C$41,IF(Element_Stiffness!$C$40=0,IF(6=Element_Stiffness!$C$40,Element_Stiffness!R62,IF(6=Element_Stiffness!$E$40,Element_Stiffness!X62,0)),IF(Element_Stiffness!$E$40=0,IF(6=Element_Stiffness!$C$40,Element_Stiffness!R68,IF(6=Element_Stiffness!$E$40,Element_Stiffness!X68,0)),0)),0)+IF(Element_Stiffness!$C$76,IF(Element_Stiffness!$C$75=0,IF(6=Element_Stiffness!$C$75,Element_Stiffness!R97,IF(6=Element_Stiffness!$E$75,Element_Stiffness!X97,0)),IF(Element_Stiffness!$E$75=0,IF(6=Element_Stiffness!$C$75,Element_Stiffness!R103,IF(6=Element_Stiffness!$E$75,Element_Stiffness!X103,0)),0)),0)+IF(Element_Stiffness!$C$111,IF(Element_Stiffness!$C$110=0,IF(6=Element_Stiffness!$C$110,Element_Stiffness!R132,IF(6=Element_Stiffness!$E$110,Element_Stiffness!X132,0)),IF(Element_Stiffness!$E$110=0,IF(6=Element_Stiffness!$C$110,Element_Stiffness!R138,IF(6=Element_Stiffness!$E$110,Element_Stiffness!X138,0)),0)),0)+IF(Element_Stiffness!$C$146,IF(Element_Stiffness!$C$145=0,IF(6=Element_Stiffness!$C$145,Element_Stiffness!R167,IF(6=Element_Stiffness!$E$145,Element_Stiffness!X167,0)),IF(Element_Stiffness!$E$145=0,IF(6=Element_Stiffness!$C$145,Element_Stiffness!R173,IF(6=Element_Stiffness!$E$145,Element_Stiffness!X173,0)),0)),0)+IF(Element_Stiffness!$C$181,IF(Element_Stiffness!$C$180=0,IF(6=Element_Stiffness!$C$180,Element_Stiffness!R202,IF(6=Element_Stiffness!$E$180,Element_Stiffness!X202,0)),IF(Element_Stiffness!$E$180=0,IF(6=Element_Stiffness!$C$180,Element_Stiffness!R208,IF(6=Element_Stiffness!$E$180,Element_Stiffness!X208,0)),0)),0)+IF(Element_Stiffness!$C$216,IF(Element_Stiffness!$C$215=0,IF(6=Element_Stiffness!$C$215,Element_Stiffness!R237,IF(6=Element_Stiffness!$E$215,Element_Stiffness!X237,0)),IF(Element_Stiffness!$E$215=0,IF(6=Element_Stiffness!$C$215,Element_Stiffness!R243,IF(6=Element_Stiffness!$E$215,Element_Stiffness!X243,0)),0)),0)</f>
        <v/>
      </c>
      <c r="AP6" s="21">
        <f>IF(Element_Stiffness!$C$6,IF(Element_Stiffness!$C$5=0,IF(6=Element_Stiffness!$C$5,Element_Stiffness!S27,IF(6=Element_Stiffness!$E$5,Element_Stiffness!Y27,0)),IF(Element_Stiffness!$E$5=0,IF(6=Element_Stiffness!$C$5,Element_Stiffness!S33,IF(6=Element_Stiffness!$E$5,Element_Stiffness!Y33,0)),0)),0)+IF(Element_Stiffness!$C$41,IF(Element_Stiffness!$C$40=0,IF(6=Element_Stiffness!$C$40,Element_Stiffness!S62,IF(6=Element_Stiffness!$E$40,Element_Stiffness!Y62,0)),IF(Element_Stiffness!$E$40=0,IF(6=Element_Stiffness!$C$40,Element_Stiffness!S68,IF(6=Element_Stiffness!$E$40,Element_Stiffness!Y68,0)),0)),0)+IF(Element_Stiffness!$C$76,IF(Element_Stiffness!$C$75=0,IF(6=Element_Stiffness!$C$75,Element_Stiffness!S97,IF(6=Element_Stiffness!$E$75,Element_Stiffness!Y97,0)),IF(Element_Stiffness!$E$75=0,IF(6=Element_Stiffness!$C$75,Element_Stiffness!S103,IF(6=Element_Stiffness!$E$75,Element_Stiffness!Y103,0)),0)),0)+IF(Element_Stiffness!$C$111,IF(Element_Stiffness!$C$110=0,IF(6=Element_Stiffness!$C$110,Element_Stiffness!S132,IF(6=Element_Stiffness!$E$110,Element_Stiffness!Y132,0)),IF(Element_Stiffness!$E$110=0,IF(6=Element_Stiffness!$C$110,Element_Stiffness!S138,IF(6=Element_Stiffness!$E$110,Element_Stiffness!Y138,0)),0)),0)+IF(Element_Stiffness!$C$146,IF(Element_Stiffness!$C$145=0,IF(6=Element_Stiffness!$C$145,Element_Stiffness!S167,IF(6=Element_Stiffness!$E$145,Element_Stiffness!Y167,0)),IF(Element_Stiffness!$E$145=0,IF(6=Element_Stiffness!$C$145,Element_Stiffness!S173,IF(6=Element_Stiffness!$E$145,Element_Stiffness!Y173,0)),0)),0)+IF(Element_Stiffness!$C$181,IF(Element_Stiffness!$C$180=0,IF(6=Element_Stiffness!$C$180,Element_Stiffness!S202,IF(6=Element_Stiffness!$E$180,Element_Stiffness!Y202,0)),IF(Element_Stiffness!$E$180=0,IF(6=Element_Stiffness!$C$180,Element_Stiffness!S208,IF(6=Element_Stiffness!$E$180,Element_Stiffness!Y208,0)),0)),0)+IF(Element_Stiffness!$C$216,IF(Element_Stiffness!$C$215=0,IF(6=Element_Stiffness!$C$215,Element_Stiffness!S237,IF(6=Element_Stiffness!$E$215,Element_Stiffness!Y237,0)),IF(Element_Stiffness!$E$215=0,IF(6=Element_Stiffness!$C$215,Element_Stiffness!S243,IF(6=Element_Stiffness!$E$215,Element_Stiffness!Y243,0)),0)),0)</f>
        <v/>
      </c>
      <c r="AQ6" s="21">
        <f>IF(Element_Stiffness!$C$6,IF(Element_Stiffness!$C$5=0,IF(6=Element_Stiffness!$C$5,Element_Stiffness!T27,IF(6=Element_Stiffness!$E$5,Element_Stiffness!Z27,0)),IF(Element_Stiffness!$E$5=0,IF(6=Element_Stiffness!$C$5,Element_Stiffness!T33,IF(6=Element_Stiffness!$E$5,Element_Stiffness!Z33,0)),0)),0)+IF(Element_Stiffness!$C$41,IF(Element_Stiffness!$C$40=0,IF(6=Element_Stiffness!$C$40,Element_Stiffness!T62,IF(6=Element_Stiffness!$E$40,Element_Stiffness!Z62,0)),IF(Element_Stiffness!$E$40=0,IF(6=Element_Stiffness!$C$40,Element_Stiffness!T68,IF(6=Element_Stiffness!$E$40,Element_Stiffness!Z68,0)),0)),0)+IF(Element_Stiffness!$C$76,IF(Element_Stiffness!$C$75=0,IF(6=Element_Stiffness!$C$75,Element_Stiffness!T97,IF(6=Element_Stiffness!$E$75,Element_Stiffness!Z97,0)),IF(Element_Stiffness!$E$75=0,IF(6=Element_Stiffness!$C$75,Element_Stiffness!T103,IF(6=Element_Stiffness!$E$75,Element_Stiffness!Z103,0)),0)),0)+IF(Element_Stiffness!$C$111,IF(Element_Stiffness!$C$110=0,IF(6=Element_Stiffness!$C$110,Element_Stiffness!T132,IF(6=Element_Stiffness!$E$110,Element_Stiffness!Z132,0)),IF(Element_Stiffness!$E$110=0,IF(6=Element_Stiffness!$C$110,Element_Stiffness!T138,IF(6=Element_Stiffness!$E$110,Element_Stiffness!Z138,0)),0)),0)+IF(Element_Stiffness!$C$146,IF(Element_Stiffness!$C$145=0,IF(6=Element_Stiffness!$C$145,Element_Stiffness!T167,IF(6=Element_Stiffness!$E$145,Element_Stiffness!Z167,0)),IF(Element_Stiffness!$E$145=0,IF(6=Element_Stiffness!$C$145,Element_Stiffness!T173,IF(6=Element_Stiffness!$E$145,Element_Stiffness!Z173,0)),0)),0)+IF(Element_Stiffness!$C$181,IF(Element_Stiffness!$C$180=0,IF(6=Element_Stiffness!$C$180,Element_Stiffness!T202,IF(6=Element_Stiffness!$E$180,Element_Stiffness!Z202,0)),IF(Element_Stiffness!$E$180=0,IF(6=Element_Stiffness!$C$180,Element_Stiffness!T208,IF(6=Element_Stiffness!$E$180,Element_Stiffness!Z208,0)),0)),0)+IF(Element_Stiffness!$C$216,IF(Element_Stiffness!$C$215=0,IF(6=Element_Stiffness!$C$215,Element_Stiffness!T237,IF(6=Element_Stiffness!$E$215,Element_Stiffness!Z237,0)),IF(Element_Stiffness!$E$215=0,IF(6=Element_Stiffness!$C$215,Element_Stiffness!T243,IF(6=Element_Stiffness!$E$215,Element_Stiffness!Z243,0)),0)),0)</f>
        <v/>
      </c>
      <c r="AR6" s="21">
        <f>IF(Element_Stiffness!$C$6,IF(Element_Stiffness!$C$5=0,IF(6=Element_Stiffness!$C$5,Element_Stiffness!U27,IF(6=Element_Stiffness!$E$5,Element_Stiffness!AA27,0)),IF(Element_Stiffness!$E$5=0,IF(6=Element_Stiffness!$C$5,Element_Stiffness!U33,IF(6=Element_Stiffness!$E$5,Element_Stiffness!AA33,0)),0)),0)+IF(Element_Stiffness!$C$41,IF(Element_Stiffness!$C$40=0,IF(6=Element_Stiffness!$C$40,Element_Stiffness!U62,IF(6=Element_Stiffness!$E$40,Element_Stiffness!AA62,0)),IF(Element_Stiffness!$E$40=0,IF(6=Element_Stiffness!$C$40,Element_Stiffness!U68,IF(6=Element_Stiffness!$E$40,Element_Stiffness!AA68,0)),0)),0)+IF(Element_Stiffness!$C$76,IF(Element_Stiffness!$C$75=0,IF(6=Element_Stiffness!$C$75,Element_Stiffness!U97,IF(6=Element_Stiffness!$E$75,Element_Stiffness!AA97,0)),IF(Element_Stiffness!$E$75=0,IF(6=Element_Stiffness!$C$75,Element_Stiffness!U103,IF(6=Element_Stiffness!$E$75,Element_Stiffness!AA103,0)),0)),0)+IF(Element_Stiffness!$C$111,IF(Element_Stiffness!$C$110=0,IF(6=Element_Stiffness!$C$110,Element_Stiffness!U132,IF(6=Element_Stiffness!$E$110,Element_Stiffness!AA132,0)),IF(Element_Stiffness!$E$110=0,IF(6=Element_Stiffness!$C$110,Element_Stiffness!U138,IF(6=Element_Stiffness!$E$110,Element_Stiffness!AA138,0)),0)),0)+IF(Element_Stiffness!$C$146,IF(Element_Stiffness!$C$145=0,IF(6=Element_Stiffness!$C$145,Element_Stiffness!U167,IF(6=Element_Stiffness!$E$145,Element_Stiffness!AA167,0)),IF(Element_Stiffness!$E$145=0,IF(6=Element_Stiffness!$C$145,Element_Stiffness!U173,IF(6=Element_Stiffness!$E$145,Element_Stiffness!AA173,0)),0)),0)+IF(Element_Stiffness!$C$181,IF(Element_Stiffness!$C$180=0,IF(6=Element_Stiffness!$C$180,Element_Stiffness!U202,IF(6=Element_Stiffness!$E$180,Element_Stiffness!AA202,0)),IF(Element_Stiffness!$E$180=0,IF(6=Element_Stiffness!$C$180,Element_Stiffness!U208,IF(6=Element_Stiffness!$E$180,Element_Stiffness!AA208,0)),0)),0)+IF(Element_Stiffness!$C$216,IF(Element_Stiffness!$C$215=0,IF(6=Element_Stiffness!$C$215,Element_Stiffness!U237,IF(6=Element_Stiffness!$E$215,Element_Stiffness!AA237,0)),IF(Element_Stiffness!$E$215=0,IF(6=Element_Stiffness!$C$215,Element_Stiffness!U243,IF(6=Element_Stiffness!$E$215,Element_Stiffness!AA243,0)),0)),0)</f>
        <v/>
      </c>
      <c r="AS6" s="21">
        <f>IF(Element_Stiffness!$C$6,IF(Element_Stiffness!$C$5=0,IF(7=Element_Stiffness!$C$5,Element_Stiffness!P27,IF(7=Element_Stiffness!$E$5,Element_Stiffness!V27,0)),IF(Element_Stiffness!$E$5=0,IF(7=Element_Stiffness!$C$5,Element_Stiffness!P33,IF(7=Element_Stiffness!$E$5,Element_Stiffness!V33,0)),0)),0)+IF(Element_Stiffness!$C$41,IF(Element_Stiffness!$C$40=0,IF(7=Element_Stiffness!$C$40,Element_Stiffness!P62,IF(7=Element_Stiffness!$E$40,Element_Stiffness!V62,0)),IF(Element_Stiffness!$E$40=0,IF(7=Element_Stiffness!$C$40,Element_Stiffness!P68,IF(7=Element_Stiffness!$E$40,Element_Stiffness!V68,0)),0)),0)+IF(Element_Stiffness!$C$76,IF(Element_Stiffness!$C$75=0,IF(7=Element_Stiffness!$C$75,Element_Stiffness!P97,IF(7=Element_Stiffness!$E$75,Element_Stiffness!V97,0)),IF(Element_Stiffness!$E$75=0,IF(7=Element_Stiffness!$C$75,Element_Stiffness!P103,IF(7=Element_Stiffness!$E$75,Element_Stiffness!V103,0)),0)),0)+IF(Element_Stiffness!$C$111,IF(Element_Stiffness!$C$110=0,IF(7=Element_Stiffness!$C$110,Element_Stiffness!P132,IF(7=Element_Stiffness!$E$110,Element_Stiffness!V132,0)),IF(Element_Stiffness!$E$110=0,IF(7=Element_Stiffness!$C$110,Element_Stiffness!P138,IF(7=Element_Stiffness!$E$110,Element_Stiffness!V138,0)),0)),0)+IF(Element_Stiffness!$C$146,IF(Element_Stiffness!$C$145=0,IF(7=Element_Stiffness!$C$145,Element_Stiffness!P167,IF(7=Element_Stiffness!$E$145,Element_Stiffness!V167,0)),IF(Element_Stiffness!$E$145=0,IF(7=Element_Stiffness!$C$145,Element_Stiffness!P173,IF(7=Element_Stiffness!$E$145,Element_Stiffness!V173,0)),0)),0)+IF(Element_Stiffness!$C$181,IF(Element_Stiffness!$C$180=0,IF(7=Element_Stiffness!$C$180,Element_Stiffness!P202,IF(7=Element_Stiffness!$E$180,Element_Stiffness!V202,0)),IF(Element_Stiffness!$E$180=0,IF(7=Element_Stiffness!$C$180,Element_Stiffness!P208,IF(7=Element_Stiffness!$E$180,Element_Stiffness!V208,0)),0)),0)+IF(Element_Stiffness!$C$216,IF(Element_Stiffness!$C$215=0,IF(7=Element_Stiffness!$C$215,Element_Stiffness!P237,IF(7=Element_Stiffness!$E$215,Element_Stiffness!V237,0)),IF(Element_Stiffness!$E$215=0,IF(7=Element_Stiffness!$C$215,Element_Stiffness!P243,IF(7=Element_Stiffness!$E$215,Element_Stiffness!V243,0)),0)),0)</f>
        <v/>
      </c>
      <c r="AT6" s="21">
        <f>IF(Element_Stiffness!$C$6,IF(Element_Stiffness!$C$5=0,IF(7=Element_Stiffness!$C$5,Element_Stiffness!Q27,IF(7=Element_Stiffness!$E$5,Element_Stiffness!W27,0)),IF(Element_Stiffness!$E$5=0,IF(7=Element_Stiffness!$C$5,Element_Stiffness!Q33,IF(7=Element_Stiffness!$E$5,Element_Stiffness!W33,0)),0)),0)+IF(Element_Stiffness!$C$41,IF(Element_Stiffness!$C$40=0,IF(7=Element_Stiffness!$C$40,Element_Stiffness!Q62,IF(7=Element_Stiffness!$E$40,Element_Stiffness!W62,0)),IF(Element_Stiffness!$E$40=0,IF(7=Element_Stiffness!$C$40,Element_Stiffness!Q68,IF(7=Element_Stiffness!$E$40,Element_Stiffness!W68,0)),0)),0)+IF(Element_Stiffness!$C$76,IF(Element_Stiffness!$C$75=0,IF(7=Element_Stiffness!$C$75,Element_Stiffness!Q97,IF(7=Element_Stiffness!$E$75,Element_Stiffness!W97,0)),IF(Element_Stiffness!$E$75=0,IF(7=Element_Stiffness!$C$75,Element_Stiffness!Q103,IF(7=Element_Stiffness!$E$75,Element_Stiffness!W103,0)),0)),0)+IF(Element_Stiffness!$C$111,IF(Element_Stiffness!$C$110=0,IF(7=Element_Stiffness!$C$110,Element_Stiffness!Q132,IF(7=Element_Stiffness!$E$110,Element_Stiffness!W132,0)),IF(Element_Stiffness!$E$110=0,IF(7=Element_Stiffness!$C$110,Element_Stiffness!Q138,IF(7=Element_Stiffness!$E$110,Element_Stiffness!W138,0)),0)),0)+IF(Element_Stiffness!$C$146,IF(Element_Stiffness!$C$145=0,IF(7=Element_Stiffness!$C$145,Element_Stiffness!Q167,IF(7=Element_Stiffness!$E$145,Element_Stiffness!W167,0)),IF(Element_Stiffness!$E$145=0,IF(7=Element_Stiffness!$C$145,Element_Stiffness!Q173,IF(7=Element_Stiffness!$E$145,Element_Stiffness!W173,0)),0)),0)+IF(Element_Stiffness!$C$181,IF(Element_Stiffness!$C$180=0,IF(7=Element_Stiffness!$C$180,Element_Stiffness!Q202,IF(7=Element_Stiffness!$E$180,Element_Stiffness!W202,0)),IF(Element_Stiffness!$E$180=0,IF(7=Element_Stiffness!$C$180,Element_Stiffness!Q208,IF(7=Element_Stiffness!$E$180,Element_Stiffness!W208,0)),0)),0)+IF(Element_Stiffness!$C$216,IF(Element_Stiffness!$C$215=0,IF(7=Element_Stiffness!$C$215,Element_Stiffness!Q237,IF(7=Element_Stiffness!$E$215,Element_Stiffness!W237,0)),IF(Element_Stiffness!$E$215=0,IF(7=Element_Stiffness!$C$215,Element_Stiffness!Q243,IF(7=Element_Stiffness!$E$215,Element_Stiffness!W243,0)),0)),0)</f>
        <v/>
      </c>
      <c r="AU6" s="21">
        <f>IF(Element_Stiffness!$C$6,IF(Element_Stiffness!$C$5=0,IF(7=Element_Stiffness!$C$5,Element_Stiffness!R27,IF(7=Element_Stiffness!$E$5,Element_Stiffness!X27,0)),IF(Element_Stiffness!$E$5=0,IF(7=Element_Stiffness!$C$5,Element_Stiffness!R33,IF(7=Element_Stiffness!$E$5,Element_Stiffness!X33,0)),0)),0)+IF(Element_Stiffness!$C$41,IF(Element_Stiffness!$C$40=0,IF(7=Element_Stiffness!$C$40,Element_Stiffness!R62,IF(7=Element_Stiffness!$E$40,Element_Stiffness!X62,0)),IF(Element_Stiffness!$E$40=0,IF(7=Element_Stiffness!$C$40,Element_Stiffness!R68,IF(7=Element_Stiffness!$E$40,Element_Stiffness!X68,0)),0)),0)+IF(Element_Stiffness!$C$76,IF(Element_Stiffness!$C$75=0,IF(7=Element_Stiffness!$C$75,Element_Stiffness!R97,IF(7=Element_Stiffness!$E$75,Element_Stiffness!X97,0)),IF(Element_Stiffness!$E$75=0,IF(7=Element_Stiffness!$C$75,Element_Stiffness!R103,IF(7=Element_Stiffness!$E$75,Element_Stiffness!X103,0)),0)),0)+IF(Element_Stiffness!$C$111,IF(Element_Stiffness!$C$110=0,IF(7=Element_Stiffness!$C$110,Element_Stiffness!R132,IF(7=Element_Stiffness!$E$110,Element_Stiffness!X132,0)),IF(Element_Stiffness!$E$110=0,IF(7=Element_Stiffness!$C$110,Element_Stiffness!R138,IF(7=Element_Stiffness!$E$110,Element_Stiffness!X138,0)),0)),0)+IF(Element_Stiffness!$C$146,IF(Element_Stiffness!$C$145=0,IF(7=Element_Stiffness!$C$145,Element_Stiffness!R167,IF(7=Element_Stiffness!$E$145,Element_Stiffness!X167,0)),IF(Element_Stiffness!$E$145=0,IF(7=Element_Stiffness!$C$145,Element_Stiffness!R173,IF(7=Element_Stiffness!$E$145,Element_Stiffness!X173,0)),0)),0)+IF(Element_Stiffness!$C$181,IF(Element_Stiffness!$C$180=0,IF(7=Element_Stiffness!$C$180,Element_Stiffness!R202,IF(7=Element_Stiffness!$E$180,Element_Stiffness!X202,0)),IF(Element_Stiffness!$E$180=0,IF(7=Element_Stiffness!$C$180,Element_Stiffness!R208,IF(7=Element_Stiffness!$E$180,Element_Stiffness!X208,0)),0)),0)+IF(Element_Stiffness!$C$216,IF(Element_Stiffness!$C$215=0,IF(7=Element_Stiffness!$C$215,Element_Stiffness!R237,IF(7=Element_Stiffness!$E$215,Element_Stiffness!X237,0)),IF(Element_Stiffness!$E$215=0,IF(7=Element_Stiffness!$C$215,Element_Stiffness!R243,IF(7=Element_Stiffness!$E$215,Element_Stiffness!X243,0)),0)),0)</f>
        <v/>
      </c>
      <c r="AV6" s="21">
        <f>IF(Element_Stiffness!$C$6,IF(Element_Stiffness!$C$5=0,IF(7=Element_Stiffness!$C$5,Element_Stiffness!S27,IF(7=Element_Stiffness!$E$5,Element_Stiffness!Y27,0)),IF(Element_Stiffness!$E$5=0,IF(7=Element_Stiffness!$C$5,Element_Stiffness!S33,IF(7=Element_Stiffness!$E$5,Element_Stiffness!Y33,0)),0)),0)+IF(Element_Stiffness!$C$41,IF(Element_Stiffness!$C$40=0,IF(7=Element_Stiffness!$C$40,Element_Stiffness!S62,IF(7=Element_Stiffness!$E$40,Element_Stiffness!Y62,0)),IF(Element_Stiffness!$E$40=0,IF(7=Element_Stiffness!$C$40,Element_Stiffness!S68,IF(7=Element_Stiffness!$E$40,Element_Stiffness!Y68,0)),0)),0)+IF(Element_Stiffness!$C$76,IF(Element_Stiffness!$C$75=0,IF(7=Element_Stiffness!$C$75,Element_Stiffness!S97,IF(7=Element_Stiffness!$E$75,Element_Stiffness!Y97,0)),IF(Element_Stiffness!$E$75=0,IF(7=Element_Stiffness!$C$75,Element_Stiffness!S103,IF(7=Element_Stiffness!$E$75,Element_Stiffness!Y103,0)),0)),0)+IF(Element_Stiffness!$C$111,IF(Element_Stiffness!$C$110=0,IF(7=Element_Stiffness!$C$110,Element_Stiffness!S132,IF(7=Element_Stiffness!$E$110,Element_Stiffness!Y132,0)),IF(Element_Stiffness!$E$110=0,IF(7=Element_Stiffness!$C$110,Element_Stiffness!S138,IF(7=Element_Stiffness!$E$110,Element_Stiffness!Y138,0)),0)),0)+IF(Element_Stiffness!$C$146,IF(Element_Stiffness!$C$145=0,IF(7=Element_Stiffness!$C$145,Element_Stiffness!S167,IF(7=Element_Stiffness!$E$145,Element_Stiffness!Y167,0)),IF(Element_Stiffness!$E$145=0,IF(7=Element_Stiffness!$C$145,Element_Stiffness!S173,IF(7=Element_Stiffness!$E$145,Element_Stiffness!Y173,0)),0)),0)+IF(Element_Stiffness!$C$181,IF(Element_Stiffness!$C$180=0,IF(7=Element_Stiffness!$C$180,Element_Stiffness!S202,IF(7=Element_Stiffness!$E$180,Element_Stiffness!Y202,0)),IF(Element_Stiffness!$E$180=0,IF(7=Element_Stiffness!$C$180,Element_Stiffness!S208,IF(7=Element_Stiffness!$E$180,Element_Stiffness!Y208,0)),0)),0)+IF(Element_Stiffness!$C$216,IF(Element_Stiffness!$C$215=0,IF(7=Element_Stiffness!$C$215,Element_Stiffness!S237,IF(7=Element_Stiffness!$E$215,Element_Stiffness!Y237,0)),IF(Element_Stiffness!$E$215=0,IF(7=Element_Stiffness!$C$215,Element_Stiffness!S243,IF(7=Element_Stiffness!$E$215,Element_Stiffness!Y243,0)),0)),0)</f>
        <v/>
      </c>
      <c r="AW6" s="21">
        <f>IF(Element_Stiffness!$C$6,IF(Element_Stiffness!$C$5=0,IF(7=Element_Stiffness!$C$5,Element_Stiffness!T27,IF(7=Element_Stiffness!$E$5,Element_Stiffness!Z27,0)),IF(Element_Stiffness!$E$5=0,IF(7=Element_Stiffness!$C$5,Element_Stiffness!T33,IF(7=Element_Stiffness!$E$5,Element_Stiffness!Z33,0)),0)),0)+IF(Element_Stiffness!$C$41,IF(Element_Stiffness!$C$40=0,IF(7=Element_Stiffness!$C$40,Element_Stiffness!T62,IF(7=Element_Stiffness!$E$40,Element_Stiffness!Z62,0)),IF(Element_Stiffness!$E$40=0,IF(7=Element_Stiffness!$C$40,Element_Stiffness!T68,IF(7=Element_Stiffness!$E$40,Element_Stiffness!Z68,0)),0)),0)+IF(Element_Stiffness!$C$76,IF(Element_Stiffness!$C$75=0,IF(7=Element_Stiffness!$C$75,Element_Stiffness!T97,IF(7=Element_Stiffness!$E$75,Element_Stiffness!Z97,0)),IF(Element_Stiffness!$E$75=0,IF(7=Element_Stiffness!$C$75,Element_Stiffness!T103,IF(7=Element_Stiffness!$E$75,Element_Stiffness!Z103,0)),0)),0)+IF(Element_Stiffness!$C$111,IF(Element_Stiffness!$C$110=0,IF(7=Element_Stiffness!$C$110,Element_Stiffness!T132,IF(7=Element_Stiffness!$E$110,Element_Stiffness!Z132,0)),IF(Element_Stiffness!$E$110=0,IF(7=Element_Stiffness!$C$110,Element_Stiffness!T138,IF(7=Element_Stiffness!$E$110,Element_Stiffness!Z138,0)),0)),0)+IF(Element_Stiffness!$C$146,IF(Element_Stiffness!$C$145=0,IF(7=Element_Stiffness!$C$145,Element_Stiffness!T167,IF(7=Element_Stiffness!$E$145,Element_Stiffness!Z167,0)),IF(Element_Stiffness!$E$145=0,IF(7=Element_Stiffness!$C$145,Element_Stiffness!T173,IF(7=Element_Stiffness!$E$145,Element_Stiffness!Z173,0)),0)),0)+IF(Element_Stiffness!$C$181,IF(Element_Stiffness!$C$180=0,IF(7=Element_Stiffness!$C$180,Element_Stiffness!T202,IF(7=Element_Stiffness!$E$180,Element_Stiffness!Z202,0)),IF(Element_Stiffness!$E$180=0,IF(7=Element_Stiffness!$C$180,Element_Stiffness!T208,IF(7=Element_Stiffness!$E$180,Element_Stiffness!Z208,0)),0)),0)+IF(Element_Stiffness!$C$216,IF(Element_Stiffness!$C$215=0,IF(7=Element_Stiffness!$C$215,Element_Stiffness!T237,IF(7=Element_Stiffness!$E$215,Element_Stiffness!Z237,0)),IF(Element_Stiffness!$E$215=0,IF(7=Element_Stiffness!$C$215,Element_Stiffness!T243,IF(7=Element_Stiffness!$E$215,Element_Stiffness!Z243,0)),0)),0)</f>
        <v/>
      </c>
      <c r="AX6" s="21">
        <f>IF(Element_Stiffness!$C$6,IF(Element_Stiffness!$C$5=0,IF(7=Element_Stiffness!$C$5,Element_Stiffness!U27,IF(7=Element_Stiffness!$E$5,Element_Stiffness!AA27,0)),IF(Element_Stiffness!$E$5=0,IF(7=Element_Stiffness!$C$5,Element_Stiffness!U33,IF(7=Element_Stiffness!$E$5,Element_Stiffness!AA33,0)),0)),0)+IF(Element_Stiffness!$C$41,IF(Element_Stiffness!$C$40=0,IF(7=Element_Stiffness!$C$40,Element_Stiffness!U62,IF(7=Element_Stiffness!$E$40,Element_Stiffness!AA62,0)),IF(Element_Stiffness!$E$40=0,IF(7=Element_Stiffness!$C$40,Element_Stiffness!U68,IF(7=Element_Stiffness!$E$40,Element_Stiffness!AA68,0)),0)),0)+IF(Element_Stiffness!$C$76,IF(Element_Stiffness!$C$75=0,IF(7=Element_Stiffness!$C$75,Element_Stiffness!U97,IF(7=Element_Stiffness!$E$75,Element_Stiffness!AA97,0)),IF(Element_Stiffness!$E$75=0,IF(7=Element_Stiffness!$C$75,Element_Stiffness!U103,IF(7=Element_Stiffness!$E$75,Element_Stiffness!AA103,0)),0)),0)+IF(Element_Stiffness!$C$111,IF(Element_Stiffness!$C$110=0,IF(7=Element_Stiffness!$C$110,Element_Stiffness!U132,IF(7=Element_Stiffness!$E$110,Element_Stiffness!AA132,0)),IF(Element_Stiffness!$E$110=0,IF(7=Element_Stiffness!$C$110,Element_Stiffness!U138,IF(7=Element_Stiffness!$E$110,Element_Stiffness!AA138,0)),0)),0)+IF(Element_Stiffness!$C$146,IF(Element_Stiffness!$C$145=0,IF(7=Element_Stiffness!$C$145,Element_Stiffness!U167,IF(7=Element_Stiffness!$E$145,Element_Stiffness!AA167,0)),IF(Element_Stiffness!$E$145=0,IF(7=Element_Stiffness!$C$145,Element_Stiffness!U173,IF(7=Element_Stiffness!$E$145,Element_Stiffness!AA173,0)),0)),0)+IF(Element_Stiffness!$C$181,IF(Element_Stiffness!$C$180=0,IF(7=Element_Stiffness!$C$180,Element_Stiffness!U202,IF(7=Element_Stiffness!$E$180,Element_Stiffness!AA202,0)),IF(Element_Stiffness!$E$180=0,IF(7=Element_Stiffness!$C$180,Element_Stiffness!U208,IF(7=Element_Stiffness!$E$180,Element_Stiffness!AA208,0)),0)),0)+IF(Element_Stiffness!$C$216,IF(Element_Stiffness!$C$215=0,IF(7=Element_Stiffness!$C$215,Element_Stiffness!U237,IF(7=Element_Stiffness!$E$215,Element_Stiffness!AA237,0)),IF(Element_Stiffness!$E$215=0,IF(7=Element_Stiffness!$C$215,Element_Stiffness!U243,IF(7=Element_Stiffness!$E$215,Element_Stiffness!AA243,0)),0)),0)</f>
        <v/>
      </c>
      <c r="AY6" s="21" t="n">
        <v>0</v>
      </c>
      <c r="AZ6" s="21">
        <f>IF(Element_Stiffness!$C$6,IF(Element_Stiffness!$C$5=0,Element_Stiffness!C27,IF(Element_Stiffness!$E$5=0,Element_Stiffness!C33,0)),0)+IF(Element_Stiffness!$C$41,IF(Element_Stiffness!$C$40=0,Element_Stiffness!C62,IF(Element_Stiffness!$E$40=0,Element_Stiffness!C68,0)),0)+IF(Element_Stiffness!$C$76,IF(Element_Stiffness!$C$75=0,Element_Stiffness!C97,IF(Element_Stiffness!$E$75=0,Element_Stiffness!C103,0)),0)+IF(Element_Stiffness!$C$111,IF(Element_Stiffness!$C$110=0,Element_Stiffness!C132,IF(Element_Stiffness!$E$110=0,Element_Stiffness!C138,0)),0)+IF(Element_Stiffness!$C$146,IF(Element_Stiffness!$C$145=0,Element_Stiffness!C167,IF(Element_Stiffness!$E$145=0,Element_Stiffness!C173,0)),0)+IF(Element_Stiffness!$C$181,IF(Element_Stiffness!$C$180=0,Element_Stiffness!C202,IF(Element_Stiffness!$E$180=0,Element_Stiffness!C208,0)),0)+IF(Element_Stiffness!$C$216,IF(Element_Stiffness!$C$215=0,Element_Stiffness!C237,IF(Element_Stiffness!$E$215=0,Element_Stiffness!C243,0)),0)</f>
        <v/>
      </c>
      <c r="BB6" s="28">
        <f>INDEX(MMULT(MINVERSE(C5:AX52), AY5:AY52), 2, 1)</f>
        <v/>
      </c>
      <c r="BC6" s="28">
        <f>INDEX(MMULT(MINVERSE(C5:AX52), AZ5:AZ52), 2, 1)</f>
        <v/>
      </c>
    </row>
    <row r="7">
      <c r="B7" s="27" t="inlineStr">
        <is>
          <t>N0_tz</t>
        </is>
      </c>
      <c r="C7" s="21">
        <f>IF(Element_Stiffness!$C$6,IF(Element_Stiffness!$C$5=0,IF(0=Element_Stiffness!$C$5,Element_Stiffness!P28,IF(0=Element_Stiffness!$E$5,Element_Stiffness!V28,0)),IF(Element_Stiffness!$E$5=0,IF(0=Element_Stiffness!$C$5,Element_Stiffness!P34,IF(0=Element_Stiffness!$E$5,Element_Stiffness!V34,0)),0)),0)+IF(Element_Stiffness!$C$41,IF(Element_Stiffness!$C$40=0,IF(0=Element_Stiffness!$C$40,Element_Stiffness!P63,IF(0=Element_Stiffness!$E$40,Element_Stiffness!V63,0)),IF(Element_Stiffness!$E$40=0,IF(0=Element_Stiffness!$C$40,Element_Stiffness!P69,IF(0=Element_Stiffness!$E$40,Element_Stiffness!V69,0)),0)),0)+IF(Element_Stiffness!$C$76,IF(Element_Stiffness!$C$75=0,IF(0=Element_Stiffness!$C$75,Element_Stiffness!P98,IF(0=Element_Stiffness!$E$75,Element_Stiffness!V98,0)),IF(Element_Stiffness!$E$75=0,IF(0=Element_Stiffness!$C$75,Element_Stiffness!P104,IF(0=Element_Stiffness!$E$75,Element_Stiffness!V104,0)),0)),0)+IF(Element_Stiffness!$C$111,IF(Element_Stiffness!$C$110=0,IF(0=Element_Stiffness!$C$110,Element_Stiffness!P133,IF(0=Element_Stiffness!$E$110,Element_Stiffness!V133,0)),IF(Element_Stiffness!$E$110=0,IF(0=Element_Stiffness!$C$110,Element_Stiffness!P139,IF(0=Element_Stiffness!$E$110,Element_Stiffness!V139,0)),0)),0)+IF(Element_Stiffness!$C$146,IF(Element_Stiffness!$C$145=0,IF(0=Element_Stiffness!$C$145,Element_Stiffness!P168,IF(0=Element_Stiffness!$E$145,Element_Stiffness!V168,0)),IF(Element_Stiffness!$E$145=0,IF(0=Element_Stiffness!$C$145,Element_Stiffness!P174,IF(0=Element_Stiffness!$E$145,Element_Stiffness!V174,0)),0)),0)+IF(Element_Stiffness!$C$181,IF(Element_Stiffness!$C$180=0,IF(0=Element_Stiffness!$C$180,Element_Stiffness!P203,IF(0=Element_Stiffness!$E$180,Element_Stiffness!V203,0)),IF(Element_Stiffness!$E$180=0,IF(0=Element_Stiffness!$C$180,Element_Stiffness!P209,IF(0=Element_Stiffness!$E$180,Element_Stiffness!V209,0)),0)),0)+IF(Element_Stiffness!$C$216,IF(Element_Stiffness!$C$215=0,IF(0=Element_Stiffness!$C$215,Element_Stiffness!P238,IF(0=Element_Stiffness!$E$215,Element_Stiffness!V238,0)),IF(Element_Stiffness!$E$215=0,IF(0=Element_Stiffness!$C$215,Element_Stiffness!P244,IF(0=Element_Stiffness!$E$215,Element_Stiffness!V244,0)),0)),0)</f>
        <v/>
      </c>
      <c r="D7" s="21">
        <f>IF(Element_Stiffness!$C$6,IF(Element_Stiffness!$C$5=0,IF(0=Element_Stiffness!$C$5,Element_Stiffness!Q28,IF(0=Element_Stiffness!$E$5,Element_Stiffness!W28,0)),IF(Element_Stiffness!$E$5=0,IF(0=Element_Stiffness!$C$5,Element_Stiffness!Q34,IF(0=Element_Stiffness!$E$5,Element_Stiffness!W34,0)),0)),0)+IF(Element_Stiffness!$C$41,IF(Element_Stiffness!$C$40=0,IF(0=Element_Stiffness!$C$40,Element_Stiffness!Q63,IF(0=Element_Stiffness!$E$40,Element_Stiffness!W63,0)),IF(Element_Stiffness!$E$40=0,IF(0=Element_Stiffness!$C$40,Element_Stiffness!Q69,IF(0=Element_Stiffness!$E$40,Element_Stiffness!W69,0)),0)),0)+IF(Element_Stiffness!$C$76,IF(Element_Stiffness!$C$75=0,IF(0=Element_Stiffness!$C$75,Element_Stiffness!Q98,IF(0=Element_Stiffness!$E$75,Element_Stiffness!W98,0)),IF(Element_Stiffness!$E$75=0,IF(0=Element_Stiffness!$C$75,Element_Stiffness!Q104,IF(0=Element_Stiffness!$E$75,Element_Stiffness!W104,0)),0)),0)+IF(Element_Stiffness!$C$111,IF(Element_Stiffness!$C$110=0,IF(0=Element_Stiffness!$C$110,Element_Stiffness!Q133,IF(0=Element_Stiffness!$E$110,Element_Stiffness!W133,0)),IF(Element_Stiffness!$E$110=0,IF(0=Element_Stiffness!$C$110,Element_Stiffness!Q139,IF(0=Element_Stiffness!$E$110,Element_Stiffness!W139,0)),0)),0)+IF(Element_Stiffness!$C$146,IF(Element_Stiffness!$C$145=0,IF(0=Element_Stiffness!$C$145,Element_Stiffness!Q168,IF(0=Element_Stiffness!$E$145,Element_Stiffness!W168,0)),IF(Element_Stiffness!$E$145=0,IF(0=Element_Stiffness!$C$145,Element_Stiffness!Q174,IF(0=Element_Stiffness!$E$145,Element_Stiffness!W174,0)),0)),0)+IF(Element_Stiffness!$C$181,IF(Element_Stiffness!$C$180=0,IF(0=Element_Stiffness!$C$180,Element_Stiffness!Q203,IF(0=Element_Stiffness!$E$180,Element_Stiffness!W203,0)),IF(Element_Stiffness!$E$180=0,IF(0=Element_Stiffness!$C$180,Element_Stiffness!Q209,IF(0=Element_Stiffness!$E$180,Element_Stiffness!W209,0)),0)),0)+IF(Element_Stiffness!$C$216,IF(Element_Stiffness!$C$215=0,IF(0=Element_Stiffness!$C$215,Element_Stiffness!Q238,IF(0=Element_Stiffness!$E$215,Element_Stiffness!W238,0)),IF(Element_Stiffness!$E$215=0,IF(0=Element_Stiffness!$C$215,Element_Stiffness!Q244,IF(0=Element_Stiffness!$E$215,Element_Stiffness!W244,0)),0)),0)</f>
        <v/>
      </c>
      <c r="E7" s="21">
        <f>IF(Element_Stiffness!$C$6,IF(Element_Stiffness!$C$5=0,IF(0=Element_Stiffness!$C$5,Element_Stiffness!R28,IF(0=Element_Stiffness!$E$5,Element_Stiffness!X28,0)),IF(Element_Stiffness!$E$5=0,IF(0=Element_Stiffness!$C$5,Element_Stiffness!R34,IF(0=Element_Stiffness!$E$5,Element_Stiffness!X34,0)),0)),0)+IF(Element_Stiffness!$C$41,IF(Element_Stiffness!$C$40=0,IF(0=Element_Stiffness!$C$40,Element_Stiffness!R63,IF(0=Element_Stiffness!$E$40,Element_Stiffness!X63,0)),IF(Element_Stiffness!$E$40=0,IF(0=Element_Stiffness!$C$40,Element_Stiffness!R69,IF(0=Element_Stiffness!$E$40,Element_Stiffness!X69,0)),0)),0)+IF(Element_Stiffness!$C$76,IF(Element_Stiffness!$C$75=0,IF(0=Element_Stiffness!$C$75,Element_Stiffness!R98,IF(0=Element_Stiffness!$E$75,Element_Stiffness!X98,0)),IF(Element_Stiffness!$E$75=0,IF(0=Element_Stiffness!$C$75,Element_Stiffness!R104,IF(0=Element_Stiffness!$E$75,Element_Stiffness!X104,0)),0)),0)+IF(Element_Stiffness!$C$111,IF(Element_Stiffness!$C$110=0,IF(0=Element_Stiffness!$C$110,Element_Stiffness!R133,IF(0=Element_Stiffness!$E$110,Element_Stiffness!X133,0)),IF(Element_Stiffness!$E$110=0,IF(0=Element_Stiffness!$C$110,Element_Stiffness!R139,IF(0=Element_Stiffness!$E$110,Element_Stiffness!X139,0)),0)),0)+IF(Element_Stiffness!$C$146,IF(Element_Stiffness!$C$145=0,IF(0=Element_Stiffness!$C$145,Element_Stiffness!R168,IF(0=Element_Stiffness!$E$145,Element_Stiffness!X168,0)),IF(Element_Stiffness!$E$145=0,IF(0=Element_Stiffness!$C$145,Element_Stiffness!R174,IF(0=Element_Stiffness!$E$145,Element_Stiffness!X174,0)),0)),0)+IF(Element_Stiffness!$C$181,IF(Element_Stiffness!$C$180=0,IF(0=Element_Stiffness!$C$180,Element_Stiffness!R203,IF(0=Element_Stiffness!$E$180,Element_Stiffness!X203,0)),IF(Element_Stiffness!$E$180=0,IF(0=Element_Stiffness!$C$180,Element_Stiffness!R209,IF(0=Element_Stiffness!$E$180,Element_Stiffness!X209,0)),0)),0)+IF(Element_Stiffness!$C$216,IF(Element_Stiffness!$C$215=0,IF(0=Element_Stiffness!$C$215,Element_Stiffness!R238,IF(0=Element_Stiffness!$E$215,Element_Stiffness!X238,0)),IF(Element_Stiffness!$E$215=0,IF(0=Element_Stiffness!$C$215,Element_Stiffness!R244,IF(0=Element_Stiffness!$E$215,Element_Stiffness!X244,0)),0)),0)+IF(Inputs!E40=TRUE,1E15,IF(ISNUMBER(Inputs!E40),Inputs!E40,0))</f>
        <v/>
      </c>
      <c r="F7" s="21">
        <f>IF(Element_Stiffness!$C$6,IF(Element_Stiffness!$C$5=0,IF(0=Element_Stiffness!$C$5,Element_Stiffness!S28,IF(0=Element_Stiffness!$E$5,Element_Stiffness!Y28,0)),IF(Element_Stiffness!$E$5=0,IF(0=Element_Stiffness!$C$5,Element_Stiffness!S34,IF(0=Element_Stiffness!$E$5,Element_Stiffness!Y34,0)),0)),0)+IF(Element_Stiffness!$C$41,IF(Element_Stiffness!$C$40=0,IF(0=Element_Stiffness!$C$40,Element_Stiffness!S63,IF(0=Element_Stiffness!$E$40,Element_Stiffness!Y63,0)),IF(Element_Stiffness!$E$40=0,IF(0=Element_Stiffness!$C$40,Element_Stiffness!S69,IF(0=Element_Stiffness!$E$40,Element_Stiffness!Y69,0)),0)),0)+IF(Element_Stiffness!$C$76,IF(Element_Stiffness!$C$75=0,IF(0=Element_Stiffness!$C$75,Element_Stiffness!S98,IF(0=Element_Stiffness!$E$75,Element_Stiffness!Y98,0)),IF(Element_Stiffness!$E$75=0,IF(0=Element_Stiffness!$C$75,Element_Stiffness!S104,IF(0=Element_Stiffness!$E$75,Element_Stiffness!Y104,0)),0)),0)+IF(Element_Stiffness!$C$111,IF(Element_Stiffness!$C$110=0,IF(0=Element_Stiffness!$C$110,Element_Stiffness!S133,IF(0=Element_Stiffness!$E$110,Element_Stiffness!Y133,0)),IF(Element_Stiffness!$E$110=0,IF(0=Element_Stiffness!$C$110,Element_Stiffness!S139,IF(0=Element_Stiffness!$E$110,Element_Stiffness!Y139,0)),0)),0)+IF(Element_Stiffness!$C$146,IF(Element_Stiffness!$C$145=0,IF(0=Element_Stiffness!$C$145,Element_Stiffness!S168,IF(0=Element_Stiffness!$E$145,Element_Stiffness!Y168,0)),IF(Element_Stiffness!$E$145=0,IF(0=Element_Stiffness!$C$145,Element_Stiffness!S174,IF(0=Element_Stiffness!$E$145,Element_Stiffness!Y174,0)),0)),0)+IF(Element_Stiffness!$C$181,IF(Element_Stiffness!$C$180=0,IF(0=Element_Stiffness!$C$180,Element_Stiffness!S203,IF(0=Element_Stiffness!$E$180,Element_Stiffness!Y203,0)),IF(Element_Stiffness!$E$180=0,IF(0=Element_Stiffness!$C$180,Element_Stiffness!S209,IF(0=Element_Stiffness!$E$180,Element_Stiffness!Y209,0)),0)),0)+IF(Element_Stiffness!$C$216,IF(Element_Stiffness!$C$215=0,IF(0=Element_Stiffness!$C$215,Element_Stiffness!S238,IF(0=Element_Stiffness!$E$215,Element_Stiffness!Y238,0)),IF(Element_Stiffness!$E$215=0,IF(0=Element_Stiffness!$C$215,Element_Stiffness!S244,IF(0=Element_Stiffness!$E$215,Element_Stiffness!Y244,0)),0)),0)</f>
        <v/>
      </c>
      <c r="G7" s="21">
        <f>IF(Element_Stiffness!$C$6,IF(Element_Stiffness!$C$5=0,IF(0=Element_Stiffness!$C$5,Element_Stiffness!T28,IF(0=Element_Stiffness!$E$5,Element_Stiffness!Z28,0)),IF(Element_Stiffness!$E$5=0,IF(0=Element_Stiffness!$C$5,Element_Stiffness!T34,IF(0=Element_Stiffness!$E$5,Element_Stiffness!Z34,0)),0)),0)+IF(Element_Stiffness!$C$41,IF(Element_Stiffness!$C$40=0,IF(0=Element_Stiffness!$C$40,Element_Stiffness!T63,IF(0=Element_Stiffness!$E$40,Element_Stiffness!Z63,0)),IF(Element_Stiffness!$E$40=0,IF(0=Element_Stiffness!$C$40,Element_Stiffness!T69,IF(0=Element_Stiffness!$E$40,Element_Stiffness!Z69,0)),0)),0)+IF(Element_Stiffness!$C$76,IF(Element_Stiffness!$C$75=0,IF(0=Element_Stiffness!$C$75,Element_Stiffness!T98,IF(0=Element_Stiffness!$E$75,Element_Stiffness!Z98,0)),IF(Element_Stiffness!$E$75=0,IF(0=Element_Stiffness!$C$75,Element_Stiffness!T104,IF(0=Element_Stiffness!$E$75,Element_Stiffness!Z104,0)),0)),0)+IF(Element_Stiffness!$C$111,IF(Element_Stiffness!$C$110=0,IF(0=Element_Stiffness!$C$110,Element_Stiffness!T133,IF(0=Element_Stiffness!$E$110,Element_Stiffness!Z133,0)),IF(Element_Stiffness!$E$110=0,IF(0=Element_Stiffness!$C$110,Element_Stiffness!T139,IF(0=Element_Stiffness!$E$110,Element_Stiffness!Z139,0)),0)),0)+IF(Element_Stiffness!$C$146,IF(Element_Stiffness!$C$145=0,IF(0=Element_Stiffness!$C$145,Element_Stiffness!T168,IF(0=Element_Stiffness!$E$145,Element_Stiffness!Z168,0)),IF(Element_Stiffness!$E$145=0,IF(0=Element_Stiffness!$C$145,Element_Stiffness!T174,IF(0=Element_Stiffness!$E$145,Element_Stiffness!Z174,0)),0)),0)+IF(Element_Stiffness!$C$181,IF(Element_Stiffness!$C$180=0,IF(0=Element_Stiffness!$C$180,Element_Stiffness!T203,IF(0=Element_Stiffness!$E$180,Element_Stiffness!Z203,0)),IF(Element_Stiffness!$E$180=0,IF(0=Element_Stiffness!$C$180,Element_Stiffness!T209,IF(0=Element_Stiffness!$E$180,Element_Stiffness!Z209,0)),0)),0)+IF(Element_Stiffness!$C$216,IF(Element_Stiffness!$C$215=0,IF(0=Element_Stiffness!$C$215,Element_Stiffness!T238,IF(0=Element_Stiffness!$E$215,Element_Stiffness!Z238,0)),IF(Element_Stiffness!$E$215=0,IF(0=Element_Stiffness!$C$215,Element_Stiffness!T244,IF(0=Element_Stiffness!$E$215,Element_Stiffness!Z244,0)),0)),0)</f>
        <v/>
      </c>
      <c r="H7" s="21">
        <f>IF(Element_Stiffness!$C$6,IF(Element_Stiffness!$C$5=0,IF(0=Element_Stiffness!$C$5,Element_Stiffness!U28,IF(0=Element_Stiffness!$E$5,Element_Stiffness!AA28,0)),IF(Element_Stiffness!$E$5=0,IF(0=Element_Stiffness!$C$5,Element_Stiffness!U34,IF(0=Element_Stiffness!$E$5,Element_Stiffness!AA34,0)),0)),0)+IF(Element_Stiffness!$C$41,IF(Element_Stiffness!$C$40=0,IF(0=Element_Stiffness!$C$40,Element_Stiffness!U63,IF(0=Element_Stiffness!$E$40,Element_Stiffness!AA63,0)),IF(Element_Stiffness!$E$40=0,IF(0=Element_Stiffness!$C$40,Element_Stiffness!U69,IF(0=Element_Stiffness!$E$40,Element_Stiffness!AA69,0)),0)),0)+IF(Element_Stiffness!$C$76,IF(Element_Stiffness!$C$75=0,IF(0=Element_Stiffness!$C$75,Element_Stiffness!U98,IF(0=Element_Stiffness!$E$75,Element_Stiffness!AA98,0)),IF(Element_Stiffness!$E$75=0,IF(0=Element_Stiffness!$C$75,Element_Stiffness!U104,IF(0=Element_Stiffness!$E$75,Element_Stiffness!AA104,0)),0)),0)+IF(Element_Stiffness!$C$111,IF(Element_Stiffness!$C$110=0,IF(0=Element_Stiffness!$C$110,Element_Stiffness!U133,IF(0=Element_Stiffness!$E$110,Element_Stiffness!AA133,0)),IF(Element_Stiffness!$E$110=0,IF(0=Element_Stiffness!$C$110,Element_Stiffness!U139,IF(0=Element_Stiffness!$E$110,Element_Stiffness!AA139,0)),0)),0)+IF(Element_Stiffness!$C$146,IF(Element_Stiffness!$C$145=0,IF(0=Element_Stiffness!$C$145,Element_Stiffness!U168,IF(0=Element_Stiffness!$E$145,Element_Stiffness!AA168,0)),IF(Element_Stiffness!$E$145=0,IF(0=Element_Stiffness!$C$145,Element_Stiffness!U174,IF(0=Element_Stiffness!$E$145,Element_Stiffness!AA174,0)),0)),0)+IF(Element_Stiffness!$C$181,IF(Element_Stiffness!$C$180=0,IF(0=Element_Stiffness!$C$180,Element_Stiffness!U203,IF(0=Element_Stiffness!$E$180,Element_Stiffness!AA203,0)),IF(Element_Stiffness!$E$180=0,IF(0=Element_Stiffness!$C$180,Element_Stiffness!U209,IF(0=Element_Stiffness!$E$180,Element_Stiffness!AA209,0)),0)),0)+IF(Element_Stiffness!$C$216,IF(Element_Stiffness!$C$215=0,IF(0=Element_Stiffness!$C$215,Element_Stiffness!U238,IF(0=Element_Stiffness!$E$215,Element_Stiffness!AA238,0)),IF(Element_Stiffness!$E$215=0,IF(0=Element_Stiffness!$C$215,Element_Stiffness!U244,IF(0=Element_Stiffness!$E$215,Element_Stiffness!AA244,0)),0)),0)</f>
        <v/>
      </c>
      <c r="I7" s="21">
        <f>IF(Element_Stiffness!$C$6,IF(Element_Stiffness!$C$5=0,IF(1=Element_Stiffness!$C$5,Element_Stiffness!P28,IF(1=Element_Stiffness!$E$5,Element_Stiffness!V28,0)),IF(Element_Stiffness!$E$5=0,IF(1=Element_Stiffness!$C$5,Element_Stiffness!P34,IF(1=Element_Stiffness!$E$5,Element_Stiffness!V34,0)),0)),0)+IF(Element_Stiffness!$C$41,IF(Element_Stiffness!$C$40=0,IF(1=Element_Stiffness!$C$40,Element_Stiffness!P63,IF(1=Element_Stiffness!$E$40,Element_Stiffness!V63,0)),IF(Element_Stiffness!$E$40=0,IF(1=Element_Stiffness!$C$40,Element_Stiffness!P69,IF(1=Element_Stiffness!$E$40,Element_Stiffness!V69,0)),0)),0)+IF(Element_Stiffness!$C$76,IF(Element_Stiffness!$C$75=0,IF(1=Element_Stiffness!$C$75,Element_Stiffness!P98,IF(1=Element_Stiffness!$E$75,Element_Stiffness!V98,0)),IF(Element_Stiffness!$E$75=0,IF(1=Element_Stiffness!$C$75,Element_Stiffness!P104,IF(1=Element_Stiffness!$E$75,Element_Stiffness!V104,0)),0)),0)+IF(Element_Stiffness!$C$111,IF(Element_Stiffness!$C$110=0,IF(1=Element_Stiffness!$C$110,Element_Stiffness!P133,IF(1=Element_Stiffness!$E$110,Element_Stiffness!V133,0)),IF(Element_Stiffness!$E$110=0,IF(1=Element_Stiffness!$C$110,Element_Stiffness!P139,IF(1=Element_Stiffness!$E$110,Element_Stiffness!V139,0)),0)),0)+IF(Element_Stiffness!$C$146,IF(Element_Stiffness!$C$145=0,IF(1=Element_Stiffness!$C$145,Element_Stiffness!P168,IF(1=Element_Stiffness!$E$145,Element_Stiffness!V168,0)),IF(Element_Stiffness!$E$145=0,IF(1=Element_Stiffness!$C$145,Element_Stiffness!P174,IF(1=Element_Stiffness!$E$145,Element_Stiffness!V174,0)),0)),0)+IF(Element_Stiffness!$C$181,IF(Element_Stiffness!$C$180=0,IF(1=Element_Stiffness!$C$180,Element_Stiffness!P203,IF(1=Element_Stiffness!$E$180,Element_Stiffness!V203,0)),IF(Element_Stiffness!$E$180=0,IF(1=Element_Stiffness!$C$180,Element_Stiffness!P209,IF(1=Element_Stiffness!$E$180,Element_Stiffness!V209,0)),0)),0)+IF(Element_Stiffness!$C$216,IF(Element_Stiffness!$C$215=0,IF(1=Element_Stiffness!$C$215,Element_Stiffness!P238,IF(1=Element_Stiffness!$E$215,Element_Stiffness!V238,0)),IF(Element_Stiffness!$E$215=0,IF(1=Element_Stiffness!$C$215,Element_Stiffness!P244,IF(1=Element_Stiffness!$E$215,Element_Stiffness!V244,0)),0)),0)</f>
        <v/>
      </c>
      <c r="J7" s="21">
        <f>IF(Element_Stiffness!$C$6,IF(Element_Stiffness!$C$5=0,IF(1=Element_Stiffness!$C$5,Element_Stiffness!Q28,IF(1=Element_Stiffness!$E$5,Element_Stiffness!W28,0)),IF(Element_Stiffness!$E$5=0,IF(1=Element_Stiffness!$C$5,Element_Stiffness!Q34,IF(1=Element_Stiffness!$E$5,Element_Stiffness!W34,0)),0)),0)+IF(Element_Stiffness!$C$41,IF(Element_Stiffness!$C$40=0,IF(1=Element_Stiffness!$C$40,Element_Stiffness!Q63,IF(1=Element_Stiffness!$E$40,Element_Stiffness!W63,0)),IF(Element_Stiffness!$E$40=0,IF(1=Element_Stiffness!$C$40,Element_Stiffness!Q69,IF(1=Element_Stiffness!$E$40,Element_Stiffness!W69,0)),0)),0)+IF(Element_Stiffness!$C$76,IF(Element_Stiffness!$C$75=0,IF(1=Element_Stiffness!$C$75,Element_Stiffness!Q98,IF(1=Element_Stiffness!$E$75,Element_Stiffness!W98,0)),IF(Element_Stiffness!$E$75=0,IF(1=Element_Stiffness!$C$75,Element_Stiffness!Q104,IF(1=Element_Stiffness!$E$75,Element_Stiffness!W104,0)),0)),0)+IF(Element_Stiffness!$C$111,IF(Element_Stiffness!$C$110=0,IF(1=Element_Stiffness!$C$110,Element_Stiffness!Q133,IF(1=Element_Stiffness!$E$110,Element_Stiffness!W133,0)),IF(Element_Stiffness!$E$110=0,IF(1=Element_Stiffness!$C$110,Element_Stiffness!Q139,IF(1=Element_Stiffness!$E$110,Element_Stiffness!W139,0)),0)),0)+IF(Element_Stiffness!$C$146,IF(Element_Stiffness!$C$145=0,IF(1=Element_Stiffness!$C$145,Element_Stiffness!Q168,IF(1=Element_Stiffness!$E$145,Element_Stiffness!W168,0)),IF(Element_Stiffness!$E$145=0,IF(1=Element_Stiffness!$C$145,Element_Stiffness!Q174,IF(1=Element_Stiffness!$E$145,Element_Stiffness!W174,0)),0)),0)+IF(Element_Stiffness!$C$181,IF(Element_Stiffness!$C$180=0,IF(1=Element_Stiffness!$C$180,Element_Stiffness!Q203,IF(1=Element_Stiffness!$E$180,Element_Stiffness!W203,0)),IF(Element_Stiffness!$E$180=0,IF(1=Element_Stiffness!$C$180,Element_Stiffness!Q209,IF(1=Element_Stiffness!$E$180,Element_Stiffness!W209,0)),0)),0)+IF(Element_Stiffness!$C$216,IF(Element_Stiffness!$C$215=0,IF(1=Element_Stiffness!$C$215,Element_Stiffness!Q238,IF(1=Element_Stiffness!$E$215,Element_Stiffness!W238,0)),IF(Element_Stiffness!$E$215=0,IF(1=Element_Stiffness!$C$215,Element_Stiffness!Q244,IF(1=Element_Stiffness!$E$215,Element_Stiffness!W244,0)),0)),0)</f>
        <v/>
      </c>
      <c r="K7" s="21">
        <f>IF(Element_Stiffness!$C$6,IF(Element_Stiffness!$C$5=0,IF(1=Element_Stiffness!$C$5,Element_Stiffness!R28,IF(1=Element_Stiffness!$E$5,Element_Stiffness!X28,0)),IF(Element_Stiffness!$E$5=0,IF(1=Element_Stiffness!$C$5,Element_Stiffness!R34,IF(1=Element_Stiffness!$E$5,Element_Stiffness!X34,0)),0)),0)+IF(Element_Stiffness!$C$41,IF(Element_Stiffness!$C$40=0,IF(1=Element_Stiffness!$C$40,Element_Stiffness!R63,IF(1=Element_Stiffness!$E$40,Element_Stiffness!X63,0)),IF(Element_Stiffness!$E$40=0,IF(1=Element_Stiffness!$C$40,Element_Stiffness!R69,IF(1=Element_Stiffness!$E$40,Element_Stiffness!X69,0)),0)),0)+IF(Element_Stiffness!$C$76,IF(Element_Stiffness!$C$75=0,IF(1=Element_Stiffness!$C$75,Element_Stiffness!R98,IF(1=Element_Stiffness!$E$75,Element_Stiffness!X98,0)),IF(Element_Stiffness!$E$75=0,IF(1=Element_Stiffness!$C$75,Element_Stiffness!R104,IF(1=Element_Stiffness!$E$75,Element_Stiffness!X104,0)),0)),0)+IF(Element_Stiffness!$C$111,IF(Element_Stiffness!$C$110=0,IF(1=Element_Stiffness!$C$110,Element_Stiffness!R133,IF(1=Element_Stiffness!$E$110,Element_Stiffness!X133,0)),IF(Element_Stiffness!$E$110=0,IF(1=Element_Stiffness!$C$110,Element_Stiffness!R139,IF(1=Element_Stiffness!$E$110,Element_Stiffness!X139,0)),0)),0)+IF(Element_Stiffness!$C$146,IF(Element_Stiffness!$C$145=0,IF(1=Element_Stiffness!$C$145,Element_Stiffness!R168,IF(1=Element_Stiffness!$E$145,Element_Stiffness!X168,0)),IF(Element_Stiffness!$E$145=0,IF(1=Element_Stiffness!$C$145,Element_Stiffness!R174,IF(1=Element_Stiffness!$E$145,Element_Stiffness!X174,0)),0)),0)+IF(Element_Stiffness!$C$181,IF(Element_Stiffness!$C$180=0,IF(1=Element_Stiffness!$C$180,Element_Stiffness!R203,IF(1=Element_Stiffness!$E$180,Element_Stiffness!X203,0)),IF(Element_Stiffness!$E$180=0,IF(1=Element_Stiffness!$C$180,Element_Stiffness!R209,IF(1=Element_Stiffness!$E$180,Element_Stiffness!X209,0)),0)),0)+IF(Element_Stiffness!$C$216,IF(Element_Stiffness!$C$215=0,IF(1=Element_Stiffness!$C$215,Element_Stiffness!R238,IF(1=Element_Stiffness!$E$215,Element_Stiffness!X238,0)),IF(Element_Stiffness!$E$215=0,IF(1=Element_Stiffness!$C$215,Element_Stiffness!R244,IF(1=Element_Stiffness!$E$215,Element_Stiffness!X244,0)),0)),0)</f>
        <v/>
      </c>
      <c r="L7" s="21">
        <f>IF(Element_Stiffness!$C$6,IF(Element_Stiffness!$C$5=0,IF(1=Element_Stiffness!$C$5,Element_Stiffness!S28,IF(1=Element_Stiffness!$E$5,Element_Stiffness!Y28,0)),IF(Element_Stiffness!$E$5=0,IF(1=Element_Stiffness!$C$5,Element_Stiffness!S34,IF(1=Element_Stiffness!$E$5,Element_Stiffness!Y34,0)),0)),0)+IF(Element_Stiffness!$C$41,IF(Element_Stiffness!$C$40=0,IF(1=Element_Stiffness!$C$40,Element_Stiffness!S63,IF(1=Element_Stiffness!$E$40,Element_Stiffness!Y63,0)),IF(Element_Stiffness!$E$40=0,IF(1=Element_Stiffness!$C$40,Element_Stiffness!S69,IF(1=Element_Stiffness!$E$40,Element_Stiffness!Y69,0)),0)),0)+IF(Element_Stiffness!$C$76,IF(Element_Stiffness!$C$75=0,IF(1=Element_Stiffness!$C$75,Element_Stiffness!S98,IF(1=Element_Stiffness!$E$75,Element_Stiffness!Y98,0)),IF(Element_Stiffness!$E$75=0,IF(1=Element_Stiffness!$C$75,Element_Stiffness!S104,IF(1=Element_Stiffness!$E$75,Element_Stiffness!Y104,0)),0)),0)+IF(Element_Stiffness!$C$111,IF(Element_Stiffness!$C$110=0,IF(1=Element_Stiffness!$C$110,Element_Stiffness!S133,IF(1=Element_Stiffness!$E$110,Element_Stiffness!Y133,0)),IF(Element_Stiffness!$E$110=0,IF(1=Element_Stiffness!$C$110,Element_Stiffness!S139,IF(1=Element_Stiffness!$E$110,Element_Stiffness!Y139,0)),0)),0)+IF(Element_Stiffness!$C$146,IF(Element_Stiffness!$C$145=0,IF(1=Element_Stiffness!$C$145,Element_Stiffness!S168,IF(1=Element_Stiffness!$E$145,Element_Stiffness!Y168,0)),IF(Element_Stiffness!$E$145=0,IF(1=Element_Stiffness!$C$145,Element_Stiffness!S174,IF(1=Element_Stiffness!$E$145,Element_Stiffness!Y174,0)),0)),0)+IF(Element_Stiffness!$C$181,IF(Element_Stiffness!$C$180=0,IF(1=Element_Stiffness!$C$180,Element_Stiffness!S203,IF(1=Element_Stiffness!$E$180,Element_Stiffness!Y203,0)),IF(Element_Stiffness!$E$180=0,IF(1=Element_Stiffness!$C$180,Element_Stiffness!S209,IF(1=Element_Stiffness!$E$180,Element_Stiffness!Y209,0)),0)),0)+IF(Element_Stiffness!$C$216,IF(Element_Stiffness!$C$215=0,IF(1=Element_Stiffness!$C$215,Element_Stiffness!S238,IF(1=Element_Stiffness!$E$215,Element_Stiffness!Y238,0)),IF(Element_Stiffness!$E$215=0,IF(1=Element_Stiffness!$C$215,Element_Stiffness!S244,IF(1=Element_Stiffness!$E$215,Element_Stiffness!Y244,0)),0)),0)</f>
        <v/>
      </c>
      <c r="M7" s="21">
        <f>IF(Element_Stiffness!$C$6,IF(Element_Stiffness!$C$5=0,IF(1=Element_Stiffness!$C$5,Element_Stiffness!T28,IF(1=Element_Stiffness!$E$5,Element_Stiffness!Z28,0)),IF(Element_Stiffness!$E$5=0,IF(1=Element_Stiffness!$C$5,Element_Stiffness!T34,IF(1=Element_Stiffness!$E$5,Element_Stiffness!Z34,0)),0)),0)+IF(Element_Stiffness!$C$41,IF(Element_Stiffness!$C$40=0,IF(1=Element_Stiffness!$C$40,Element_Stiffness!T63,IF(1=Element_Stiffness!$E$40,Element_Stiffness!Z63,0)),IF(Element_Stiffness!$E$40=0,IF(1=Element_Stiffness!$C$40,Element_Stiffness!T69,IF(1=Element_Stiffness!$E$40,Element_Stiffness!Z69,0)),0)),0)+IF(Element_Stiffness!$C$76,IF(Element_Stiffness!$C$75=0,IF(1=Element_Stiffness!$C$75,Element_Stiffness!T98,IF(1=Element_Stiffness!$E$75,Element_Stiffness!Z98,0)),IF(Element_Stiffness!$E$75=0,IF(1=Element_Stiffness!$C$75,Element_Stiffness!T104,IF(1=Element_Stiffness!$E$75,Element_Stiffness!Z104,0)),0)),0)+IF(Element_Stiffness!$C$111,IF(Element_Stiffness!$C$110=0,IF(1=Element_Stiffness!$C$110,Element_Stiffness!T133,IF(1=Element_Stiffness!$E$110,Element_Stiffness!Z133,0)),IF(Element_Stiffness!$E$110=0,IF(1=Element_Stiffness!$C$110,Element_Stiffness!T139,IF(1=Element_Stiffness!$E$110,Element_Stiffness!Z139,0)),0)),0)+IF(Element_Stiffness!$C$146,IF(Element_Stiffness!$C$145=0,IF(1=Element_Stiffness!$C$145,Element_Stiffness!T168,IF(1=Element_Stiffness!$E$145,Element_Stiffness!Z168,0)),IF(Element_Stiffness!$E$145=0,IF(1=Element_Stiffness!$C$145,Element_Stiffness!T174,IF(1=Element_Stiffness!$E$145,Element_Stiffness!Z174,0)),0)),0)+IF(Element_Stiffness!$C$181,IF(Element_Stiffness!$C$180=0,IF(1=Element_Stiffness!$C$180,Element_Stiffness!T203,IF(1=Element_Stiffness!$E$180,Element_Stiffness!Z203,0)),IF(Element_Stiffness!$E$180=0,IF(1=Element_Stiffness!$C$180,Element_Stiffness!T209,IF(1=Element_Stiffness!$E$180,Element_Stiffness!Z209,0)),0)),0)+IF(Element_Stiffness!$C$216,IF(Element_Stiffness!$C$215=0,IF(1=Element_Stiffness!$C$215,Element_Stiffness!T238,IF(1=Element_Stiffness!$E$215,Element_Stiffness!Z238,0)),IF(Element_Stiffness!$E$215=0,IF(1=Element_Stiffness!$C$215,Element_Stiffness!T244,IF(1=Element_Stiffness!$E$215,Element_Stiffness!Z244,0)),0)),0)</f>
        <v/>
      </c>
      <c r="N7" s="21">
        <f>IF(Element_Stiffness!$C$6,IF(Element_Stiffness!$C$5=0,IF(1=Element_Stiffness!$C$5,Element_Stiffness!U28,IF(1=Element_Stiffness!$E$5,Element_Stiffness!AA28,0)),IF(Element_Stiffness!$E$5=0,IF(1=Element_Stiffness!$C$5,Element_Stiffness!U34,IF(1=Element_Stiffness!$E$5,Element_Stiffness!AA34,0)),0)),0)+IF(Element_Stiffness!$C$41,IF(Element_Stiffness!$C$40=0,IF(1=Element_Stiffness!$C$40,Element_Stiffness!U63,IF(1=Element_Stiffness!$E$40,Element_Stiffness!AA63,0)),IF(Element_Stiffness!$E$40=0,IF(1=Element_Stiffness!$C$40,Element_Stiffness!U69,IF(1=Element_Stiffness!$E$40,Element_Stiffness!AA69,0)),0)),0)+IF(Element_Stiffness!$C$76,IF(Element_Stiffness!$C$75=0,IF(1=Element_Stiffness!$C$75,Element_Stiffness!U98,IF(1=Element_Stiffness!$E$75,Element_Stiffness!AA98,0)),IF(Element_Stiffness!$E$75=0,IF(1=Element_Stiffness!$C$75,Element_Stiffness!U104,IF(1=Element_Stiffness!$E$75,Element_Stiffness!AA104,0)),0)),0)+IF(Element_Stiffness!$C$111,IF(Element_Stiffness!$C$110=0,IF(1=Element_Stiffness!$C$110,Element_Stiffness!U133,IF(1=Element_Stiffness!$E$110,Element_Stiffness!AA133,0)),IF(Element_Stiffness!$E$110=0,IF(1=Element_Stiffness!$C$110,Element_Stiffness!U139,IF(1=Element_Stiffness!$E$110,Element_Stiffness!AA139,0)),0)),0)+IF(Element_Stiffness!$C$146,IF(Element_Stiffness!$C$145=0,IF(1=Element_Stiffness!$C$145,Element_Stiffness!U168,IF(1=Element_Stiffness!$E$145,Element_Stiffness!AA168,0)),IF(Element_Stiffness!$E$145=0,IF(1=Element_Stiffness!$C$145,Element_Stiffness!U174,IF(1=Element_Stiffness!$E$145,Element_Stiffness!AA174,0)),0)),0)+IF(Element_Stiffness!$C$181,IF(Element_Stiffness!$C$180=0,IF(1=Element_Stiffness!$C$180,Element_Stiffness!U203,IF(1=Element_Stiffness!$E$180,Element_Stiffness!AA203,0)),IF(Element_Stiffness!$E$180=0,IF(1=Element_Stiffness!$C$180,Element_Stiffness!U209,IF(1=Element_Stiffness!$E$180,Element_Stiffness!AA209,0)),0)),0)+IF(Element_Stiffness!$C$216,IF(Element_Stiffness!$C$215=0,IF(1=Element_Stiffness!$C$215,Element_Stiffness!U238,IF(1=Element_Stiffness!$E$215,Element_Stiffness!AA238,0)),IF(Element_Stiffness!$E$215=0,IF(1=Element_Stiffness!$C$215,Element_Stiffness!U244,IF(1=Element_Stiffness!$E$215,Element_Stiffness!AA244,0)),0)),0)</f>
        <v/>
      </c>
      <c r="O7" s="21">
        <f>IF(Element_Stiffness!$C$6,IF(Element_Stiffness!$C$5=0,IF(2=Element_Stiffness!$C$5,Element_Stiffness!P28,IF(2=Element_Stiffness!$E$5,Element_Stiffness!V28,0)),IF(Element_Stiffness!$E$5=0,IF(2=Element_Stiffness!$C$5,Element_Stiffness!P34,IF(2=Element_Stiffness!$E$5,Element_Stiffness!V34,0)),0)),0)+IF(Element_Stiffness!$C$41,IF(Element_Stiffness!$C$40=0,IF(2=Element_Stiffness!$C$40,Element_Stiffness!P63,IF(2=Element_Stiffness!$E$40,Element_Stiffness!V63,0)),IF(Element_Stiffness!$E$40=0,IF(2=Element_Stiffness!$C$40,Element_Stiffness!P69,IF(2=Element_Stiffness!$E$40,Element_Stiffness!V69,0)),0)),0)+IF(Element_Stiffness!$C$76,IF(Element_Stiffness!$C$75=0,IF(2=Element_Stiffness!$C$75,Element_Stiffness!P98,IF(2=Element_Stiffness!$E$75,Element_Stiffness!V98,0)),IF(Element_Stiffness!$E$75=0,IF(2=Element_Stiffness!$C$75,Element_Stiffness!P104,IF(2=Element_Stiffness!$E$75,Element_Stiffness!V104,0)),0)),0)+IF(Element_Stiffness!$C$111,IF(Element_Stiffness!$C$110=0,IF(2=Element_Stiffness!$C$110,Element_Stiffness!P133,IF(2=Element_Stiffness!$E$110,Element_Stiffness!V133,0)),IF(Element_Stiffness!$E$110=0,IF(2=Element_Stiffness!$C$110,Element_Stiffness!P139,IF(2=Element_Stiffness!$E$110,Element_Stiffness!V139,0)),0)),0)+IF(Element_Stiffness!$C$146,IF(Element_Stiffness!$C$145=0,IF(2=Element_Stiffness!$C$145,Element_Stiffness!P168,IF(2=Element_Stiffness!$E$145,Element_Stiffness!V168,0)),IF(Element_Stiffness!$E$145=0,IF(2=Element_Stiffness!$C$145,Element_Stiffness!P174,IF(2=Element_Stiffness!$E$145,Element_Stiffness!V174,0)),0)),0)+IF(Element_Stiffness!$C$181,IF(Element_Stiffness!$C$180=0,IF(2=Element_Stiffness!$C$180,Element_Stiffness!P203,IF(2=Element_Stiffness!$E$180,Element_Stiffness!V203,0)),IF(Element_Stiffness!$E$180=0,IF(2=Element_Stiffness!$C$180,Element_Stiffness!P209,IF(2=Element_Stiffness!$E$180,Element_Stiffness!V209,0)),0)),0)+IF(Element_Stiffness!$C$216,IF(Element_Stiffness!$C$215=0,IF(2=Element_Stiffness!$C$215,Element_Stiffness!P238,IF(2=Element_Stiffness!$E$215,Element_Stiffness!V238,0)),IF(Element_Stiffness!$E$215=0,IF(2=Element_Stiffness!$C$215,Element_Stiffness!P244,IF(2=Element_Stiffness!$E$215,Element_Stiffness!V244,0)),0)),0)</f>
        <v/>
      </c>
      <c r="P7" s="21">
        <f>IF(Element_Stiffness!$C$6,IF(Element_Stiffness!$C$5=0,IF(2=Element_Stiffness!$C$5,Element_Stiffness!Q28,IF(2=Element_Stiffness!$E$5,Element_Stiffness!W28,0)),IF(Element_Stiffness!$E$5=0,IF(2=Element_Stiffness!$C$5,Element_Stiffness!Q34,IF(2=Element_Stiffness!$E$5,Element_Stiffness!W34,0)),0)),0)+IF(Element_Stiffness!$C$41,IF(Element_Stiffness!$C$40=0,IF(2=Element_Stiffness!$C$40,Element_Stiffness!Q63,IF(2=Element_Stiffness!$E$40,Element_Stiffness!W63,0)),IF(Element_Stiffness!$E$40=0,IF(2=Element_Stiffness!$C$40,Element_Stiffness!Q69,IF(2=Element_Stiffness!$E$40,Element_Stiffness!W69,0)),0)),0)+IF(Element_Stiffness!$C$76,IF(Element_Stiffness!$C$75=0,IF(2=Element_Stiffness!$C$75,Element_Stiffness!Q98,IF(2=Element_Stiffness!$E$75,Element_Stiffness!W98,0)),IF(Element_Stiffness!$E$75=0,IF(2=Element_Stiffness!$C$75,Element_Stiffness!Q104,IF(2=Element_Stiffness!$E$75,Element_Stiffness!W104,0)),0)),0)+IF(Element_Stiffness!$C$111,IF(Element_Stiffness!$C$110=0,IF(2=Element_Stiffness!$C$110,Element_Stiffness!Q133,IF(2=Element_Stiffness!$E$110,Element_Stiffness!W133,0)),IF(Element_Stiffness!$E$110=0,IF(2=Element_Stiffness!$C$110,Element_Stiffness!Q139,IF(2=Element_Stiffness!$E$110,Element_Stiffness!W139,0)),0)),0)+IF(Element_Stiffness!$C$146,IF(Element_Stiffness!$C$145=0,IF(2=Element_Stiffness!$C$145,Element_Stiffness!Q168,IF(2=Element_Stiffness!$E$145,Element_Stiffness!W168,0)),IF(Element_Stiffness!$E$145=0,IF(2=Element_Stiffness!$C$145,Element_Stiffness!Q174,IF(2=Element_Stiffness!$E$145,Element_Stiffness!W174,0)),0)),0)+IF(Element_Stiffness!$C$181,IF(Element_Stiffness!$C$180=0,IF(2=Element_Stiffness!$C$180,Element_Stiffness!Q203,IF(2=Element_Stiffness!$E$180,Element_Stiffness!W203,0)),IF(Element_Stiffness!$E$180=0,IF(2=Element_Stiffness!$C$180,Element_Stiffness!Q209,IF(2=Element_Stiffness!$E$180,Element_Stiffness!W209,0)),0)),0)+IF(Element_Stiffness!$C$216,IF(Element_Stiffness!$C$215=0,IF(2=Element_Stiffness!$C$215,Element_Stiffness!Q238,IF(2=Element_Stiffness!$E$215,Element_Stiffness!W238,0)),IF(Element_Stiffness!$E$215=0,IF(2=Element_Stiffness!$C$215,Element_Stiffness!Q244,IF(2=Element_Stiffness!$E$215,Element_Stiffness!W244,0)),0)),0)</f>
        <v/>
      </c>
      <c r="Q7" s="21">
        <f>IF(Element_Stiffness!$C$6,IF(Element_Stiffness!$C$5=0,IF(2=Element_Stiffness!$C$5,Element_Stiffness!R28,IF(2=Element_Stiffness!$E$5,Element_Stiffness!X28,0)),IF(Element_Stiffness!$E$5=0,IF(2=Element_Stiffness!$C$5,Element_Stiffness!R34,IF(2=Element_Stiffness!$E$5,Element_Stiffness!X34,0)),0)),0)+IF(Element_Stiffness!$C$41,IF(Element_Stiffness!$C$40=0,IF(2=Element_Stiffness!$C$40,Element_Stiffness!R63,IF(2=Element_Stiffness!$E$40,Element_Stiffness!X63,0)),IF(Element_Stiffness!$E$40=0,IF(2=Element_Stiffness!$C$40,Element_Stiffness!R69,IF(2=Element_Stiffness!$E$40,Element_Stiffness!X69,0)),0)),0)+IF(Element_Stiffness!$C$76,IF(Element_Stiffness!$C$75=0,IF(2=Element_Stiffness!$C$75,Element_Stiffness!R98,IF(2=Element_Stiffness!$E$75,Element_Stiffness!X98,0)),IF(Element_Stiffness!$E$75=0,IF(2=Element_Stiffness!$C$75,Element_Stiffness!R104,IF(2=Element_Stiffness!$E$75,Element_Stiffness!X104,0)),0)),0)+IF(Element_Stiffness!$C$111,IF(Element_Stiffness!$C$110=0,IF(2=Element_Stiffness!$C$110,Element_Stiffness!R133,IF(2=Element_Stiffness!$E$110,Element_Stiffness!X133,0)),IF(Element_Stiffness!$E$110=0,IF(2=Element_Stiffness!$C$110,Element_Stiffness!R139,IF(2=Element_Stiffness!$E$110,Element_Stiffness!X139,0)),0)),0)+IF(Element_Stiffness!$C$146,IF(Element_Stiffness!$C$145=0,IF(2=Element_Stiffness!$C$145,Element_Stiffness!R168,IF(2=Element_Stiffness!$E$145,Element_Stiffness!X168,0)),IF(Element_Stiffness!$E$145=0,IF(2=Element_Stiffness!$C$145,Element_Stiffness!R174,IF(2=Element_Stiffness!$E$145,Element_Stiffness!X174,0)),0)),0)+IF(Element_Stiffness!$C$181,IF(Element_Stiffness!$C$180=0,IF(2=Element_Stiffness!$C$180,Element_Stiffness!R203,IF(2=Element_Stiffness!$E$180,Element_Stiffness!X203,0)),IF(Element_Stiffness!$E$180=0,IF(2=Element_Stiffness!$C$180,Element_Stiffness!R209,IF(2=Element_Stiffness!$E$180,Element_Stiffness!X209,0)),0)),0)+IF(Element_Stiffness!$C$216,IF(Element_Stiffness!$C$215=0,IF(2=Element_Stiffness!$C$215,Element_Stiffness!R238,IF(2=Element_Stiffness!$E$215,Element_Stiffness!X238,0)),IF(Element_Stiffness!$E$215=0,IF(2=Element_Stiffness!$C$215,Element_Stiffness!R244,IF(2=Element_Stiffness!$E$215,Element_Stiffness!X244,0)),0)),0)</f>
        <v/>
      </c>
      <c r="R7" s="21">
        <f>IF(Element_Stiffness!$C$6,IF(Element_Stiffness!$C$5=0,IF(2=Element_Stiffness!$C$5,Element_Stiffness!S28,IF(2=Element_Stiffness!$E$5,Element_Stiffness!Y28,0)),IF(Element_Stiffness!$E$5=0,IF(2=Element_Stiffness!$C$5,Element_Stiffness!S34,IF(2=Element_Stiffness!$E$5,Element_Stiffness!Y34,0)),0)),0)+IF(Element_Stiffness!$C$41,IF(Element_Stiffness!$C$40=0,IF(2=Element_Stiffness!$C$40,Element_Stiffness!S63,IF(2=Element_Stiffness!$E$40,Element_Stiffness!Y63,0)),IF(Element_Stiffness!$E$40=0,IF(2=Element_Stiffness!$C$40,Element_Stiffness!S69,IF(2=Element_Stiffness!$E$40,Element_Stiffness!Y69,0)),0)),0)+IF(Element_Stiffness!$C$76,IF(Element_Stiffness!$C$75=0,IF(2=Element_Stiffness!$C$75,Element_Stiffness!S98,IF(2=Element_Stiffness!$E$75,Element_Stiffness!Y98,0)),IF(Element_Stiffness!$E$75=0,IF(2=Element_Stiffness!$C$75,Element_Stiffness!S104,IF(2=Element_Stiffness!$E$75,Element_Stiffness!Y104,0)),0)),0)+IF(Element_Stiffness!$C$111,IF(Element_Stiffness!$C$110=0,IF(2=Element_Stiffness!$C$110,Element_Stiffness!S133,IF(2=Element_Stiffness!$E$110,Element_Stiffness!Y133,0)),IF(Element_Stiffness!$E$110=0,IF(2=Element_Stiffness!$C$110,Element_Stiffness!S139,IF(2=Element_Stiffness!$E$110,Element_Stiffness!Y139,0)),0)),0)+IF(Element_Stiffness!$C$146,IF(Element_Stiffness!$C$145=0,IF(2=Element_Stiffness!$C$145,Element_Stiffness!S168,IF(2=Element_Stiffness!$E$145,Element_Stiffness!Y168,0)),IF(Element_Stiffness!$E$145=0,IF(2=Element_Stiffness!$C$145,Element_Stiffness!S174,IF(2=Element_Stiffness!$E$145,Element_Stiffness!Y174,0)),0)),0)+IF(Element_Stiffness!$C$181,IF(Element_Stiffness!$C$180=0,IF(2=Element_Stiffness!$C$180,Element_Stiffness!S203,IF(2=Element_Stiffness!$E$180,Element_Stiffness!Y203,0)),IF(Element_Stiffness!$E$180=0,IF(2=Element_Stiffness!$C$180,Element_Stiffness!S209,IF(2=Element_Stiffness!$E$180,Element_Stiffness!Y209,0)),0)),0)+IF(Element_Stiffness!$C$216,IF(Element_Stiffness!$C$215=0,IF(2=Element_Stiffness!$C$215,Element_Stiffness!S238,IF(2=Element_Stiffness!$E$215,Element_Stiffness!Y238,0)),IF(Element_Stiffness!$E$215=0,IF(2=Element_Stiffness!$C$215,Element_Stiffness!S244,IF(2=Element_Stiffness!$E$215,Element_Stiffness!Y244,0)),0)),0)</f>
        <v/>
      </c>
      <c r="S7" s="21">
        <f>IF(Element_Stiffness!$C$6,IF(Element_Stiffness!$C$5=0,IF(2=Element_Stiffness!$C$5,Element_Stiffness!T28,IF(2=Element_Stiffness!$E$5,Element_Stiffness!Z28,0)),IF(Element_Stiffness!$E$5=0,IF(2=Element_Stiffness!$C$5,Element_Stiffness!T34,IF(2=Element_Stiffness!$E$5,Element_Stiffness!Z34,0)),0)),0)+IF(Element_Stiffness!$C$41,IF(Element_Stiffness!$C$40=0,IF(2=Element_Stiffness!$C$40,Element_Stiffness!T63,IF(2=Element_Stiffness!$E$40,Element_Stiffness!Z63,0)),IF(Element_Stiffness!$E$40=0,IF(2=Element_Stiffness!$C$40,Element_Stiffness!T69,IF(2=Element_Stiffness!$E$40,Element_Stiffness!Z69,0)),0)),0)+IF(Element_Stiffness!$C$76,IF(Element_Stiffness!$C$75=0,IF(2=Element_Stiffness!$C$75,Element_Stiffness!T98,IF(2=Element_Stiffness!$E$75,Element_Stiffness!Z98,0)),IF(Element_Stiffness!$E$75=0,IF(2=Element_Stiffness!$C$75,Element_Stiffness!T104,IF(2=Element_Stiffness!$E$75,Element_Stiffness!Z104,0)),0)),0)+IF(Element_Stiffness!$C$111,IF(Element_Stiffness!$C$110=0,IF(2=Element_Stiffness!$C$110,Element_Stiffness!T133,IF(2=Element_Stiffness!$E$110,Element_Stiffness!Z133,0)),IF(Element_Stiffness!$E$110=0,IF(2=Element_Stiffness!$C$110,Element_Stiffness!T139,IF(2=Element_Stiffness!$E$110,Element_Stiffness!Z139,0)),0)),0)+IF(Element_Stiffness!$C$146,IF(Element_Stiffness!$C$145=0,IF(2=Element_Stiffness!$C$145,Element_Stiffness!T168,IF(2=Element_Stiffness!$E$145,Element_Stiffness!Z168,0)),IF(Element_Stiffness!$E$145=0,IF(2=Element_Stiffness!$C$145,Element_Stiffness!T174,IF(2=Element_Stiffness!$E$145,Element_Stiffness!Z174,0)),0)),0)+IF(Element_Stiffness!$C$181,IF(Element_Stiffness!$C$180=0,IF(2=Element_Stiffness!$C$180,Element_Stiffness!T203,IF(2=Element_Stiffness!$E$180,Element_Stiffness!Z203,0)),IF(Element_Stiffness!$E$180=0,IF(2=Element_Stiffness!$C$180,Element_Stiffness!T209,IF(2=Element_Stiffness!$E$180,Element_Stiffness!Z209,0)),0)),0)+IF(Element_Stiffness!$C$216,IF(Element_Stiffness!$C$215=0,IF(2=Element_Stiffness!$C$215,Element_Stiffness!T238,IF(2=Element_Stiffness!$E$215,Element_Stiffness!Z238,0)),IF(Element_Stiffness!$E$215=0,IF(2=Element_Stiffness!$C$215,Element_Stiffness!T244,IF(2=Element_Stiffness!$E$215,Element_Stiffness!Z244,0)),0)),0)</f>
        <v/>
      </c>
      <c r="T7" s="21">
        <f>IF(Element_Stiffness!$C$6,IF(Element_Stiffness!$C$5=0,IF(2=Element_Stiffness!$C$5,Element_Stiffness!U28,IF(2=Element_Stiffness!$E$5,Element_Stiffness!AA28,0)),IF(Element_Stiffness!$E$5=0,IF(2=Element_Stiffness!$C$5,Element_Stiffness!U34,IF(2=Element_Stiffness!$E$5,Element_Stiffness!AA34,0)),0)),0)+IF(Element_Stiffness!$C$41,IF(Element_Stiffness!$C$40=0,IF(2=Element_Stiffness!$C$40,Element_Stiffness!U63,IF(2=Element_Stiffness!$E$40,Element_Stiffness!AA63,0)),IF(Element_Stiffness!$E$40=0,IF(2=Element_Stiffness!$C$40,Element_Stiffness!U69,IF(2=Element_Stiffness!$E$40,Element_Stiffness!AA69,0)),0)),0)+IF(Element_Stiffness!$C$76,IF(Element_Stiffness!$C$75=0,IF(2=Element_Stiffness!$C$75,Element_Stiffness!U98,IF(2=Element_Stiffness!$E$75,Element_Stiffness!AA98,0)),IF(Element_Stiffness!$E$75=0,IF(2=Element_Stiffness!$C$75,Element_Stiffness!U104,IF(2=Element_Stiffness!$E$75,Element_Stiffness!AA104,0)),0)),0)+IF(Element_Stiffness!$C$111,IF(Element_Stiffness!$C$110=0,IF(2=Element_Stiffness!$C$110,Element_Stiffness!U133,IF(2=Element_Stiffness!$E$110,Element_Stiffness!AA133,0)),IF(Element_Stiffness!$E$110=0,IF(2=Element_Stiffness!$C$110,Element_Stiffness!U139,IF(2=Element_Stiffness!$E$110,Element_Stiffness!AA139,0)),0)),0)+IF(Element_Stiffness!$C$146,IF(Element_Stiffness!$C$145=0,IF(2=Element_Stiffness!$C$145,Element_Stiffness!U168,IF(2=Element_Stiffness!$E$145,Element_Stiffness!AA168,0)),IF(Element_Stiffness!$E$145=0,IF(2=Element_Stiffness!$C$145,Element_Stiffness!U174,IF(2=Element_Stiffness!$E$145,Element_Stiffness!AA174,0)),0)),0)+IF(Element_Stiffness!$C$181,IF(Element_Stiffness!$C$180=0,IF(2=Element_Stiffness!$C$180,Element_Stiffness!U203,IF(2=Element_Stiffness!$E$180,Element_Stiffness!AA203,0)),IF(Element_Stiffness!$E$180=0,IF(2=Element_Stiffness!$C$180,Element_Stiffness!U209,IF(2=Element_Stiffness!$E$180,Element_Stiffness!AA209,0)),0)),0)+IF(Element_Stiffness!$C$216,IF(Element_Stiffness!$C$215=0,IF(2=Element_Stiffness!$C$215,Element_Stiffness!U238,IF(2=Element_Stiffness!$E$215,Element_Stiffness!AA238,0)),IF(Element_Stiffness!$E$215=0,IF(2=Element_Stiffness!$C$215,Element_Stiffness!U244,IF(2=Element_Stiffness!$E$215,Element_Stiffness!AA244,0)),0)),0)</f>
        <v/>
      </c>
      <c r="U7" s="21">
        <f>IF(Element_Stiffness!$C$6,IF(Element_Stiffness!$C$5=0,IF(3=Element_Stiffness!$C$5,Element_Stiffness!P28,IF(3=Element_Stiffness!$E$5,Element_Stiffness!V28,0)),IF(Element_Stiffness!$E$5=0,IF(3=Element_Stiffness!$C$5,Element_Stiffness!P34,IF(3=Element_Stiffness!$E$5,Element_Stiffness!V34,0)),0)),0)+IF(Element_Stiffness!$C$41,IF(Element_Stiffness!$C$40=0,IF(3=Element_Stiffness!$C$40,Element_Stiffness!P63,IF(3=Element_Stiffness!$E$40,Element_Stiffness!V63,0)),IF(Element_Stiffness!$E$40=0,IF(3=Element_Stiffness!$C$40,Element_Stiffness!P69,IF(3=Element_Stiffness!$E$40,Element_Stiffness!V69,0)),0)),0)+IF(Element_Stiffness!$C$76,IF(Element_Stiffness!$C$75=0,IF(3=Element_Stiffness!$C$75,Element_Stiffness!P98,IF(3=Element_Stiffness!$E$75,Element_Stiffness!V98,0)),IF(Element_Stiffness!$E$75=0,IF(3=Element_Stiffness!$C$75,Element_Stiffness!P104,IF(3=Element_Stiffness!$E$75,Element_Stiffness!V104,0)),0)),0)+IF(Element_Stiffness!$C$111,IF(Element_Stiffness!$C$110=0,IF(3=Element_Stiffness!$C$110,Element_Stiffness!P133,IF(3=Element_Stiffness!$E$110,Element_Stiffness!V133,0)),IF(Element_Stiffness!$E$110=0,IF(3=Element_Stiffness!$C$110,Element_Stiffness!P139,IF(3=Element_Stiffness!$E$110,Element_Stiffness!V139,0)),0)),0)+IF(Element_Stiffness!$C$146,IF(Element_Stiffness!$C$145=0,IF(3=Element_Stiffness!$C$145,Element_Stiffness!P168,IF(3=Element_Stiffness!$E$145,Element_Stiffness!V168,0)),IF(Element_Stiffness!$E$145=0,IF(3=Element_Stiffness!$C$145,Element_Stiffness!P174,IF(3=Element_Stiffness!$E$145,Element_Stiffness!V174,0)),0)),0)+IF(Element_Stiffness!$C$181,IF(Element_Stiffness!$C$180=0,IF(3=Element_Stiffness!$C$180,Element_Stiffness!P203,IF(3=Element_Stiffness!$E$180,Element_Stiffness!V203,0)),IF(Element_Stiffness!$E$180=0,IF(3=Element_Stiffness!$C$180,Element_Stiffness!P209,IF(3=Element_Stiffness!$E$180,Element_Stiffness!V209,0)),0)),0)+IF(Element_Stiffness!$C$216,IF(Element_Stiffness!$C$215=0,IF(3=Element_Stiffness!$C$215,Element_Stiffness!P238,IF(3=Element_Stiffness!$E$215,Element_Stiffness!V238,0)),IF(Element_Stiffness!$E$215=0,IF(3=Element_Stiffness!$C$215,Element_Stiffness!P244,IF(3=Element_Stiffness!$E$215,Element_Stiffness!V244,0)),0)),0)</f>
        <v/>
      </c>
      <c r="V7" s="21">
        <f>IF(Element_Stiffness!$C$6,IF(Element_Stiffness!$C$5=0,IF(3=Element_Stiffness!$C$5,Element_Stiffness!Q28,IF(3=Element_Stiffness!$E$5,Element_Stiffness!W28,0)),IF(Element_Stiffness!$E$5=0,IF(3=Element_Stiffness!$C$5,Element_Stiffness!Q34,IF(3=Element_Stiffness!$E$5,Element_Stiffness!W34,0)),0)),0)+IF(Element_Stiffness!$C$41,IF(Element_Stiffness!$C$40=0,IF(3=Element_Stiffness!$C$40,Element_Stiffness!Q63,IF(3=Element_Stiffness!$E$40,Element_Stiffness!W63,0)),IF(Element_Stiffness!$E$40=0,IF(3=Element_Stiffness!$C$40,Element_Stiffness!Q69,IF(3=Element_Stiffness!$E$40,Element_Stiffness!W69,0)),0)),0)+IF(Element_Stiffness!$C$76,IF(Element_Stiffness!$C$75=0,IF(3=Element_Stiffness!$C$75,Element_Stiffness!Q98,IF(3=Element_Stiffness!$E$75,Element_Stiffness!W98,0)),IF(Element_Stiffness!$E$75=0,IF(3=Element_Stiffness!$C$75,Element_Stiffness!Q104,IF(3=Element_Stiffness!$E$75,Element_Stiffness!W104,0)),0)),0)+IF(Element_Stiffness!$C$111,IF(Element_Stiffness!$C$110=0,IF(3=Element_Stiffness!$C$110,Element_Stiffness!Q133,IF(3=Element_Stiffness!$E$110,Element_Stiffness!W133,0)),IF(Element_Stiffness!$E$110=0,IF(3=Element_Stiffness!$C$110,Element_Stiffness!Q139,IF(3=Element_Stiffness!$E$110,Element_Stiffness!W139,0)),0)),0)+IF(Element_Stiffness!$C$146,IF(Element_Stiffness!$C$145=0,IF(3=Element_Stiffness!$C$145,Element_Stiffness!Q168,IF(3=Element_Stiffness!$E$145,Element_Stiffness!W168,0)),IF(Element_Stiffness!$E$145=0,IF(3=Element_Stiffness!$C$145,Element_Stiffness!Q174,IF(3=Element_Stiffness!$E$145,Element_Stiffness!W174,0)),0)),0)+IF(Element_Stiffness!$C$181,IF(Element_Stiffness!$C$180=0,IF(3=Element_Stiffness!$C$180,Element_Stiffness!Q203,IF(3=Element_Stiffness!$E$180,Element_Stiffness!W203,0)),IF(Element_Stiffness!$E$180=0,IF(3=Element_Stiffness!$C$180,Element_Stiffness!Q209,IF(3=Element_Stiffness!$E$180,Element_Stiffness!W209,0)),0)),0)+IF(Element_Stiffness!$C$216,IF(Element_Stiffness!$C$215=0,IF(3=Element_Stiffness!$C$215,Element_Stiffness!Q238,IF(3=Element_Stiffness!$E$215,Element_Stiffness!W238,0)),IF(Element_Stiffness!$E$215=0,IF(3=Element_Stiffness!$C$215,Element_Stiffness!Q244,IF(3=Element_Stiffness!$E$215,Element_Stiffness!W244,0)),0)),0)</f>
        <v/>
      </c>
      <c r="W7" s="21">
        <f>IF(Element_Stiffness!$C$6,IF(Element_Stiffness!$C$5=0,IF(3=Element_Stiffness!$C$5,Element_Stiffness!R28,IF(3=Element_Stiffness!$E$5,Element_Stiffness!X28,0)),IF(Element_Stiffness!$E$5=0,IF(3=Element_Stiffness!$C$5,Element_Stiffness!R34,IF(3=Element_Stiffness!$E$5,Element_Stiffness!X34,0)),0)),0)+IF(Element_Stiffness!$C$41,IF(Element_Stiffness!$C$40=0,IF(3=Element_Stiffness!$C$40,Element_Stiffness!R63,IF(3=Element_Stiffness!$E$40,Element_Stiffness!X63,0)),IF(Element_Stiffness!$E$40=0,IF(3=Element_Stiffness!$C$40,Element_Stiffness!R69,IF(3=Element_Stiffness!$E$40,Element_Stiffness!X69,0)),0)),0)+IF(Element_Stiffness!$C$76,IF(Element_Stiffness!$C$75=0,IF(3=Element_Stiffness!$C$75,Element_Stiffness!R98,IF(3=Element_Stiffness!$E$75,Element_Stiffness!X98,0)),IF(Element_Stiffness!$E$75=0,IF(3=Element_Stiffness!$C$75,Element_Stiffness!R104,IF(3=Element_Stiffness!$E$75,Element_Stiffness!X104,0)),0)),0)+IF(Element_Stiffness!$C$111,IF(Element_Stiffness!$C$110=0,IF(3=Element_Stiffness!$C$110,Element_Stiffness!R133,IF(3=Element_Stiffness!$E$110,Element_Stiffness!X133,0)),IF(Element_Stiffness!$E$110=0,IF(3=Element_Stiffness!$C$110,Element_Stiffness!R139,IF(3=Element_Stiffness!$E$110,Element_Stiffness!X139,0)),0)),0)+IF(Element_Stiffness!$C$146,IF(Element_Stiffness!$C$145=0,IF(3=Element_Stiffness!$C$145,Element_Stiffness!R168,IF(3=Element_Stiffness!$E$145,Element_Stiffness!X168,0)),IF(Element_Stiffness!$E$145=0,IF(3=Element_Stiffness!$C$145,Element_Stiffness!R174,IF(3=Element_Stiffness!$E$145,Element_Stiffness!X174,0)),0)),0)+IF(Element_Stiffness!$C$181,IF(Element_Stiffness!$C$180=0,IF(3=Element_Stiffness!$C$180,Element_Stiffness!R203,IF(3=Element_Stiffness!$E$180,Element_Stiffness!X203,0)),IF(Element_Stiffness!$E$180=0,IF(3=Element_Stiffness!$C$180,Element_Stiffness!R209,IF(3=Element_Stiffness!$E$180,Element_Stiffness!X209,0)),0)),0)+IF(Element_Stiffness!$C$216,IF(Element_Stiffness!$C$215=0,IF(3=Element_Stiffness!$C$215,Element_Stiffness!R238,IF(3=Element_Stiffness!$E$215,Element_Stiffness!X238,0)),IF(Element_Stiffness!$E$215=0,IF(3=Element_Stiffness!$C$215,Element_Stiffness!R244,IF(3=Element_Stiffness!$E$215,Element_Stiffness!X244,0)),0)),0)</f>
        <v/>
      </c>
      <c r="X7" s="21">
        <f>IF(Element_Stiffness!$C$6,IF(Element_Stiffness!$C$5=0,IF(3=Element_Stiffness!$C$5,Element_Stiffness!S28,IF(3=Element_Stiffness!$E$5,Element_Stiffness!Y28,0)),IF(Element_Stiffness!$E$5=0,IF(3=Element_Stiffness!$C$5,Element_Stiffness!S34,IF(3=Element_Stiffness!$E$5,Element_Stiffness!Y34,0)),0)),0)+IF(Element_Stiffness!$C$41,IF(Element_Stiffness!$C$40=0,IF(3=Element_Stiffness!$C$40,Element_Stiffness!S63,IF(3=Element_Stiffness!$E$40,Element_Stiffness!Y63,0)),IF(Element_Stiffness!$E$40=0,IF(3=Element_Stiffness!$C$40,Element_Stiffness!S69,IF(3=Element_Stiffness!$E$40,Element_Stiffness!Y69,0)),0)),0)+IF(Element_Stiffness!$C$76,IF(Element_Stiffness!$C$75=0,IF(3=Element_Stiffness!$C$75,Element_Stiffness!S98,IF(3=Element_Stiffness!$E$75,Element_Stiffness!Y98,0)),IF(Element_Stiffness!$E$75=0,IF(3=Element_Stiffness!$C$75,Element_Stiffness!S104,IF(3=Element_Stiffness!$E$75,Element_Stiffness!Y104,0)),0)),0)+IF(Element_Stiffness!$C$111,IF(Element_Stiffness!$C$110=0,IF(3=Element_Stiffness!$C$110,Element_Stiffness!S133,IF(3=Element_Stiffness!$E$110,Element_Stiffness!Y133,0)),IF(Element_Stiffness!$E$110=0,IF(3=Element_Stiffness!$C$110,Element_Stiffness!S139,IF(3=Element_Stiffness!$E$110,Element_Stiffness!Y139,0)),0)),0)+IF(Element_Stiffness!$C$146,IF(Element_Stiffness!$C$145=0,IF(3=Element_Stiffness!$C$145,Element_Stiffness!S168,IF(3=Element_Stiffness!$E$145,Element_Stiffness!Y168,0)),IF(Element_Stiffness!$E$145=0,IF(3=Element_Stiffness!$C$145,Element_Stiffness!S174,IF(3=Element_Stiffness!$E$145,Element_Stiffness!Y174,0)),0)),0)+IF(Element_Stiffness!$C$181,IF(Element_Stiffness!$C$180=0,IF(3=Element_Stiffness!$C$180,Element_Stiffness!S203,IF(3=Element_Stiffness!$E$180,Element_Stiffness!Y203,0)),IF(Element_Stiffness!$E$180=0,IF(3=Element_Stiffness!$C$180,Element_Stiffness!S209,IF(3=Element_Stiffness!$E$180,Element_Stiffness!Y209,0)),0)),0)+IF(Element_Stiffness!$C$216,IF(Element_Stiffness!$C$215=0,IF(3=Element_Stiffness!$C$215,Element_Stiffness!S238,IF(3=Element_Stiffness!$E$215,Element_Stiffness!Y238,0)),IF(Element_Stiffness!$E$215=0,IF(3=Element_Stiffness!$C$215,Element_Stiffness!S244,IF(3=Element_Stiffness!$E$215,Element_Stiffness!Y244,0)),0)),0)</f>
        <v/>
      </c>
      <c r="Y7" s="21">
        <f>IF(Element_Stiffness!$C$6,IF(Element_Stiffness!$C$5=0,IF(3=Element_Stiffness!$C$5,Element_Stiffness!T28,IF(3=Element_Stiffness!$E$5,Element_Stiffness!Z28,0)),IF(Element_Stiffness!$E$5=0,IF(3=Element_Stiffness!$C$5,Element_Stiffness!T34,IF(3=Element_Stiffness!$E$5,Element_Stiffness!Z34,0)),0)),0)+IF(Element_Stiffness!$C$41,IF(Element_Stiffness!$C$40=0,IF(3=Element_Stiffness!$C$40,Element_Stiffness!T63,IF(3=Element_Stiffness!$E$40,Element_Stiffness!Z63,0)),IF(Element_Stiffness!$E$40=0,IF(3=Element_Stiffness!$C$40,Element_Stiffness!T69,IF(3=Element_Stiffness!$E$40,Element_Stiffness!Z69,0)),0)),0)+IF(Element_Stiffness!$C$76,IF(Element_Stiffness!$C$75=0,IF(3=Element_Stiffness!$C$75,Element_Stiffness!T98,IF(3=Element_Stiffness!$E$75,Element_Stiffness!Z98,0)),IF(Element_Stiffness!$E$75=0,IF(3=Element_Stiffness!$C$75,Element_Stiffness!T104,IF(3=Element_Stiffness!$E$75,Element_Stiffness!Z104,0)),0)),0)+IF(Element_Stiffness!$C$111,IF(Element_Stiffness!$C$110=0,IF(3=Element_Stiffness!$C$110,Element_Stiffness!T133,IF(3=Element_Stiffness!$E$110,Element_Stiffness!Z133,0)),IF(Element_Stiffness!$E$110=0,IF(3=Element_Stiffness!$C$110,Element_Stiffness!T139,IF(3=Element_Stiffness!$E$110,Element_Stiffness!Z139,0)),0)),0)+IF(Element_Stiffness!$C$146,IF(Element_Stiffness!$C$145=0,IF(3=Element_Stiffness!$C$145,Element_Stiffness!T168,IF(3=Element_Stiffness!$E$145,Element_Stiffness!Z168,0)),IF(Element_Stiffness!$E$145=0,IF(3=Element_Stiffness!$C$145,Element_Stiffness!T174,IF(3=Element_Stiffness!$E$145,Element_Stiffness!Z174,0)),0)),0)+IF(Element_Stiffness!$C$181,IF(Element_Stiffness!$C$180=0,IF(3=Element_Stiffness!$C$180,Element_Stiffness!T203,IF(3=Element_Stiffness!$E$180,Element_Stiffness!Z203,0)),IF(Element_Stiffness!$E$180=0,IF(3=Element_Stiffness!$C$180,Element_Stiffness!T209,IF(3=Element_Stiffness!$E$180,Element_Stiffness!Z209,0)),0)),0)+IF(Element_Stiffness!$C$216,IF(Element_Stiffness!$C$215=0,IF(3=Element_Stiffness!$C$215,Element_Stiffness!T238,IF(3=Element_Stiffness!$E$215,Element_Stiffness!Z238,0)),IF(Element_Stiffness!$E$215=0,IF(3=Element_Stiffness!$C$215,Element_Stiffness!T244,IF(3=Element_Stiffness!$E$215,Element_Stiffness!Z244,0)),0)),0)</f>
        <v/>
      </c>
      <c r="Z7" s="21">
        <f>IF(Element_Stiffness!$C$6,IF(Element_Stiffness!$C$5=0,IF(3=Element_Stiffness!$C$5,Element_Stiffness!U28,IF(3=Element_Stiffness!$E$5,Element_Stiffness!AA28,0)),IF(Element_Stiffness!$E$5=0,IF(3=Element_Stiffness!$C$5,Element_Stiffness!U34,IF(3=Element_Stiffness!$E$5,Element_Stiffness!AA34,0)),0)),0)+IF(Element_Stiffness!$C$41,IF(Element_Stiffness!$C$40=0,IF(3=Element_Stiffness!$C$40,Element_Stiffness!U63,IF(3=Element_Stiffness!$E$40,Element_Stiffness!AA63,0)),IF(Element_Stiffness!$E$40=0,IF(3=Element_Stiffness!$C$40,Element_Stiffness!U69,IF(3=Element_Stiffness!$E$40,Element_Stiffness!AA69,0)),0)),0)+IF(Element_Stiffness!$C$76,IF(Element_Stiffness!$C$75=0,IF(3=Element_Stiffness!$C$75,Element_Stiffness!U98,IF(3=Element_Stiffness!$E$75,Element_Stiffness!AA98,0)),IF(Element_Stiffness!$E$75=0,IF(3=Element_Stiffness!$C$75,Element_Stiffness!U104,IF(3=Element_Stiffness!$E$75,Element_Stiffness!AA104,0)),0)),0)+IF(Element_Stiffness!$C$111,IF(Element_Stiffness!$C$110=0,IF(3=Element_Stiffness!$C$110,Element_Stiffness!U133,IF(3=Element_Stiffness!$E$110,Element_Stiffness!AA133,0)),IF(Element_Stiffness!$E$110=0,IF(3=Element_Stiffness!$C$110,Element_Stiffness!U139,IF(3=Element_Stiffness!$E$110,Element_Stiffness!AA139,0)),0)),0)+IF(Element_Stiffness!$C$146,IF(Element_Stiffness!$C$145=0,IF(3=Element_Stiffness!$C$145,Element_Stiffness!U168,IF(3=Element_Stiffness!$E$145,Element_Stiffness!AA168,0)),IF(Element_Stiffness!$E$145=0,IF(3=Element_Stiffness!$C$145,Element_Stiffness!U174,IF(3=Element_Stiffness!$E$145,Element_Stiffness!AA174,0)),0)),0)+IF(Element_Stiffness!$C$181,IF(Element_Stiffness!$C$180=0,IF(3=Element_Stiffness!$C$180,Element_Stiffness!U203,IF(3=Element_Stiffness!$E$180,Element_Stiffness!AA203,0)),IF(Element_Stiffness!$E$180=0,IF(3=Element_Stiffness!$C$180,Element_Stiffness!U209,IF(3=Element_Stiffness!$E$180,Element_Stiffness!AA209,0)),0)),0)+IF(Element_Stiffness!$C$216,IF(Element_Stiffness!$C$215=0,IF(3=Element_Stiffness!$C$215,Element_Stiffness!U238,IF(3=Element_Stiffness!$E$215,Element_Stiffness!AA238,0)),IF(Element_Stiffness!$E$215=0,IF(3=Element_Stiffness!$C$215,Element_Stiffness!U244,IF(3=Element_Stiffness!$E$215,Element_Stiffness!AA244,0)),0)),0)</f>
        <v/>
      </c>
      <c r="AA7" s="21">
        <f>IF(Element_Stiffness!$C$6,IF(Element_Stiffness!$C$5=0,IF(4=Element_Stiffness!$C$5,Element_Stiffness!P28,IF(4=Element_Stiffness!$E$5,Element_Stiffness!V28,0)),IF(Element_Stiffness!$E$5=0,IF(4=Element_Stiffness!$C$5,Element_Stiffness!P34,IF(4=Element_Stiffness!$E$5,Element_Stiffness!V34,0)),0)),0)+IF(Element_Stiffness!$C$41,IF(Element_Stiffness!$C$40=0,IF(4=Element_Stiffness!$C$40,Element_Stiffness!P63,IF(4=Element_Stiffness!$E$40,Element_Stiffness!V63,0)),IF(Element_Stiffness!$E$40=0,IF(4=Element_Stiffness!$C$40,Element_Stiffness!P69,IF(4=Element_Stiffness!$E$40,Element_Stiffness!V69,0)),0)),0)+IF(Element_Stiffness!$C$76,IF(Element_Stiffness!$C$75=0,IF(4=Element_Stiffness!$C$75,Element_Stiffness!P98,IF(4=Element_Stiffness!$E$75,Element_Stiffness!V98,0)),IF(Element_Stiffness!$E$75=0,IF(4=Element_Stiffness!$C$75,Element_Stiffness!P104,IF(4=Element_Stiffness!$E$75,Element_Stiffness!V104,0)),0)),0)+IF(Element_Stiffness!$C$111,IF(Element_Stiffness!$C$110=0,IF(4=Element_Stiffness!$C$110,Element_Stiffness!P133,IF(4=Element_Stiffness!$E$110,Element_Stiffness!V133,0)),IF(Element_Stiffness!$E$110=0,IF(4=Element_Stiffness!$C$110,Element_Stiffness!P139,IF(4=Element_Stiffness!$E$110,Element_Stiffness!V139,0)),0)),0)+IF(Element_Stiffness!$C$146,IF(Element_Stiffness!$C$145=0,IF(4=Element_Stiffness!$C$145,Element_Stiffness!P168,IF(4=Element_Stiffness!$E$145,Element_Stiffness!V168,0)),IF(Element_Stiffness!$E$145=0,IF(4=Element_Stiffness!$C$145,Element_Stiffness!P174,IF(4=Element_Stiffness!$E$145,Element_Stiffness!V174,0)),0)),0)+IF(Element_Stiffness!$C$181,IF(Element_Stiffness!$C$180=0,IF(4=Element_Stiffness!$C$180,Element_Stiffness!P203,IF(4=Element_Stiffness!$E$180,Element_Stiffness!V203,0)),IF(Element_Stiffness!$E$180=0,IF(4=Element_Stiffness!$C$180,Element_Stiffness!P209,IF(4=Element_Stiffness!$E$180,Element_Stiffness!V209,0)),0)),0)+IF(Element_Stiffness!$C$216,IF(Element_Stiffness!$C$215=0,IF(4=Element_Stiffness!$C$215,Element_Stiffness!P238,IF(4=Element_Stiffness!$E$215,Element_Stiffness!V238,0)),IF(Element_Stiffness!$E$215=0,IF(4=Element_Stiffness!$C$215,Element_Stiffness!P244,IF(4=Element_Stiffness!$E$215,Element_Stiffness!V244,0)),0)),0)</f>
        <v/>
      </c>
      <c r="AB7" s="21">
        <f>IF(Element_Stiffness!$C$6,IF(Element_Stiffness!$C$5=0,IF(4=Element_Stiffness!$C$5,Element_Stiffness!Q28,IF(4=Element_Stiffness!$E$5,Element_Stiffness!W28,0)),IF(Element_Stiffness!$E$5=0,IF(4=Element_Stiffness!$C$5,Element_Stiffness!Q34,IF(4=Element_Stiffness!$E$5,Element_Stiffness!W34,0)),0)),0)+IF(Element_Stiffness!$C$41,IF(Element_Stiffness!$C$40=0,IF(4=Element_Stiffness!$C$40,Element_Stiffness!Q63,IF(4=Element_Stiffness!$E$40,Element_Stiffness!W63,0)),IF(Element_Stiffness!$E$40=0,IF(4=Element_Stiffness!$C$40,Element_Stiffness!Q69,IF(4=Element_Stiffness!$E$40,Element_Stiffness!W69,0)),0)),0)+IF(Element_Stiffness!$C$76,IF(Element_Stiffness!$C$75=0,IF(4=Element_Stiffness!$C$75,Element_Stiffness!Q98,IF(4=Element_Stiffness!$E$75,Element_Stiffness!W98,0)),IF(Element_Stiffness!$E$75=0,IF(4=Element_Stiffness!$C$75,Element_Stiffness!Q104,IF(4=Element_Stiffness!$E$75,Element_Stiffness!W104,0)),0)),0)+IF(Element_Stiffness!$C$111,IF(Element_Stiffness!$C$110=0,IF(4=Element_Stiffness!$C$110,Element_Stiffness!Q133,IF(4=Element_Stiffness!$E$110,Element_Stiffness!W133,0)),IF(Element_Stiffness!$E$110=0,IF(4=Element_Stiffness!$C$110,Element_Stiffness!Q139,IF(4=Element_Stiffness!$E$110,Element_Stiffness!W139,0)),0)),0)+IF(Element_Stiffness!$C$146,IF(Element_Stiffness!$C$145=0,IF(4=Element_Stiffness!$C$145,Element_Stiffness!Q168,IF(4=Element_Stiffness!$E$145,Element_Stiffness!W168,0)),IF(Element_Stiffness!$E$145=0,IF(4=Element_Stiffness!$C$145,Element_Stiffness!Q174,IF(4=Element_Stiffness!$E$145,Element_Stiffness!W174,0)),0)),0)+IF(Element_Stiffness!$C$181,IF(Element_Stiffness!$C$180=0,IF(4=Element_Stiffness!$C$180,Element_Stiffness!Q203,IF(4=Element_Stiffness!$E$180,Element_Stiffness!W203,0)),IF(Element_Stiffness!$E$180=0,IF(4=Element_Stiffness!$C$180,Element_Stiffness!Q209,IF(4=Element_Stiffness!$E$180,Element_Stiffness!W209,0)),0)),0)+IF(Element_Stiffness!$C$216,IF(Element_Stiffness!$C$215=0,IF(4=Element_Stiffness!$C$215,Element_Stiffness!Q238,IF(4=Element_Stiffness!$E$215,Element_Stiffness!W238,0)),IF(Element_Stiffness!$E$215=0,IF(4=Element_Stiffness!$C$215,Element_Stiffness!Q244,IF(4=Element_Stiffness!$E$215,Element_Stiffness!W244,0)),0)),0)</f>
        <v/>
      </c>
      <c r="AC7" s="21">
        <f>IF(Element_Stiffness!$C$6,IF(Element_Stiffness!$C$5=0,IF(4=Element_Stiffness!$C$5,Element_Stiffness!R28,IF(4=Element_Stiffness!$E$5,Element_Stiffness!X28,0)),IF(Element_Stiffness!$E$5=0,IF(4=Element_Stiffness!$C$5,Element_Stiffness!R34,IF(4=Element_Stiffness!$E$5,Element_Stiffness!X34,0)),0)),0)+IF(Element_Stiffness!$C$41,IF(Element_Stiffness!$C$40=0,IF(4=Element_Stiffness!$C$40,Element_Stiffness!R63,IF(4=Element_Stiffness!$E$40,Element_Stiffness!X63,0)),IF(Element_Stiffness!$E$40=0,IF(4=Element_Stiffness!$C$40,Element_Stiffness!R69,IF(4=Element_Stiffness!$E$40,Element_Stiffness!X69,0)),0)),0)+IF(Element_Stiffness!$C$76,IF(Element_Stiffness!$C$75=0,IF(4=Element_Stiffness!$C$75,Element_Stiffness!R98,IF(4=Element_Stiffness!$E$75,Element_Stiffness!X98,0)),IF(Element_Stiffness!$E$75=0,IF(4=Element_Stiffness!$C$75,Element_Stiffness!R104,IF(4=Element_Stiffness!$E$75,Element_Stiffness!X104,0)),0)),0)+IF(Element_Stiffness!$C$111,IF(Element_Stiffness!$C$110=0,IF(4=Element_Stiffness!$C$110,Element_Stiffness!R133,IF(4=Element_Stiffness!$E$110,Element_Stiffness!X133,0)),IF(Element_Stiffness!$E$110=0,IF(4=Element_Stiffness!$C$110,Element_Stiffness!R139,IF(4=Element_Stiffness!$E$110,Element_Stiffness!X139,0)),0)),0)+IF(Element_Stiffness!$C$146,IF(Element_Stiffness!$C$145=0,IF(4=Element_Stiffness!$C$145,Element_Stiffness!R168,IF(4=Element_Stiffness!$E$145,Element_Stiffness!X168,0)),IF(Element_Stiffness!$E$145=0,IF(4=Element_Stiffness!$C$145,Element_Stiffness!R174,IF(4=Element_Stiffness!$E$145,Element_Stiffness!X174,0)),0)),0)+IF(Element_Stiffness!$C$181,IF(Element_Stiffness!$C$180=0,IF(4=Element_Stiffness!$C$180,Element_Stiffness!R203,IF(4=Element_Stiffness!$E$180,Element_Stiffness!X203,0)),IF(Element_Stiffness!$E$180=0,IF(4=Element_Stiffness!$C$180,Element_Stiffness!R209,IF(4=Element_Stiffness!$E$180,Element_Stiffness!X209,0)),0)),0)+IF(Element_Stiffness!$C$216,IF(Element_Stiffness!$C$215=0,IF(4=Element_Stiffness!$C$215,Element_Stiffness!R238,IF(4=Element_Stiffness!$E$215,Element_Stiffness!X238,0)),IF(Element_Stiffness!$E$215=0,IF(4=Element_Stiffness!$C$215,Element_Stiffness!R244,IF(4=Element_Stiffness!$E$215,Element_Stiffness!X244,0)),0)),0)</f>
        <v/>
      </c>
      <c r="AD7" s="21">
        <f>IF(Element_Stiffness!$C$6,IF(Element_Stiffness!$C$5=0,IF(4=Element_Stiffness!$C$5,Element_Stiffness!S28,IF(4=Element_Stiffness!$E$5,Element_Stiffness!Y28,0)),IF(Element_Stiffness!$E$5=0,IF(4=Element_Stiffness!$C$5,Element_Stiffness!S34,IF(4=Element_Stiffness!$E$5,Element_Stiffness!Y34,0)),0)),0)+IF(Element_Stiffness!$C$41,IF(Element_Stiffness!$C$40=0,IF(4=Element_Stiffness!$C$40,Element_Stiffness!S63,IF(4=Element_Stiffness!$E$40,Element_Stiffness!Y63,0)),IF(Element_Stiffness!$E$40=0,IF(4=Element_Stiffness!$C$40,Element_Stiffness!S69,IF(4=Element_Stiffness!$E$40,Element_Stiffness!Y69,0)),0)),0)+IF(Element_Stiffness!$C$76,IF(Element_Stiffness!$C$75=0,IF(4=Element_Stiffness!$C$75,Element_Stiffness!S98,IF(4=Element_Stiffness!$E$75,Element_Stiffness!Y98,0)),IF(Element_Stiffness!$E$75=0,IF(4=Element_Stiffness!$C$75,Element_Stiffness!S104,IF(4=Element_Stiffness!$E$75,Element_Stiffness!Y104,0)),0)),0)+IF(Element_Stiffness!$C$111,IF(Element_Stiffness!$C$110=0,IF(4=Element_Stiffness!$C$110,Element_Stiffness!S133,IF(4=Element_Stiffness!$E$110,Element_Stiffness!Y133,0)),IF(Element_Stiffness!$E$110=0,IF(4=Element_Stiffness!$C$110,Element_Stiffness!S139,IF(4=Element_Stiffness!$E$110,Element_Stiffness!Y139,0)),0)),0)+IF(Element_Stiffness!$C$146,IF(Element_Stiffness!$C$145=0,IF(4=Element_Stiffness!$C$145,Element_Stiffness!S168,IF(4=Element_Stiffness!$E$145,Element_Stiffness!Y168,0)),IF(Element_Stiffness!$E$145=0,IF(4=Element_Stiffness!$C$145,Element_Stiffness!S174,IF(4=Element_Stiffness!$E$145,Element_Stiffness!Y174,0)),0)),0)+IF(Element_Stiffness!$C$181,IF(Element_Stiffness!$C$180=0,IF(4=Element_Stiffness!$C$180,Element_Stiffness!S203,IF(4=Element_Stiffness!$E$180,Element_Stiffness!Y203,0)),IF(Element_Stiffness!$E$180=0,IF(4=Element_Stiffness!$C$180,Element_Stiffness!S209,IF(4=Element_Stiffness!$E$180,Element_Stiffness!Y209,0)),0)),0)+IF(Element_Stiffness!$C$216,IF(Element_Stiffness!$C$215=0,IF(4=Element_Stiffness!$C$215,Element_Stiffness!S238,IF(4=Element_Stiffness!$E$215,Element_Stiffness!Y238,0)),IF(Element_Stiffness!$E$215=0,IF(4=Element_Stiffness!$C$215,Element_Stiffness!S244,IF(4=Element_Stiffness!$E$215,Element_Stiffness!Y244,0)),0)),0)</f>
        <v/>
      </c>
      <c r="AE7" s="21">
        <f>IF(Element_Stiffness!$C$6,IF(Element_Stiffness!$C$5=0,IF(4=Element_Stiffness!$C$5,Element_Stiffness!T28,IF(4=Element_Stiffness!$E$5,Element_Stiffness!Z28,0)),IF(Element_Stiffness!$E$5=0,IF(4=Element_Stiffness!$C$5,Element_Stiffness!T34,IF(4=Element_Stiffness!$E$5,Element_Stiffness!Z34,0)),0)),0)+IF(Element_Stiffness!$C$41,IF(Element_Stiffness!$C$40=0,IF(4=Element_Stiffness!$C$40,Element_Stiffness!T63,IF(4=Element_Stiffness!$E$40,Element_Stiffness!Z63,0)),IF(Element_Stiffness!$E$40=0,IF(4=Element_Stiffness!$C$40,Element_Stiffness!T69,IF(4=Element_Stiffness!$E$40,Element_Stiffness!Z69,0)),0)),0)+IF(Element_Stiffness!$C$76,IF(Element_Stiffness!$C$75=0,IF(4=Element_Stiffness!$C$75,Element_Stiffness!T98,IF(4=Element_Stiffness!$E$75,Element_Stiffness!Z98,0)),IF(Element_Stiffness!$E$75=0,IF(4=Element_Stiffness!$C$75,Element_Stiffness!T104,IF(4=Element_Stiffness!$E$75,Element_Stiffness!Z104,0)),0)),0)+IF(Element_Stiffness!$C$111,IF(Element_Stiffness!$C$110=0,IF(4=Element_Stiffness!$C$110,Element_Stiffness!T133,IF(4=Element_Stiffness!$E$110,Element_Stiffness!Z133,0)),IF(Element_Stiffness!$E$110=0,IF(4=Element_Stiffness!$C$110,Element_Stiffness!T139,IF(4=Element_Stiffness!$E$110,Element_Stiffness!Z139,0)),0)),0)+IF(Element_Stiffness!$C$146,IF(Element_Stiffness!$C$145=0,IF(4=Element_Stiffness!$C$145,Element_Stiffness!T168,IF(4=Element_Stiffness!$E$145,Element_Stiffness!Z168,0)),IF(Element_Stiffness!$E$145=0,IF(4=Element_Stiffness!$C$145,Element_Stiffness!T174,IF(4=Element_Stiffness!$E$145,Element_Stiffness!Z174,0)),0)),0)+IF(Element_Stiffness!$C$181,IF(Element_Stiffness!$C$180=0,IF(4=Element_Stiffness!$C$180,Element_Stiffness!T203,IF(4=Element_Stiffness!$E$180,Element_Stiffness!Z203,0)),IF(Element_Stiffness!$E$180=0,IF(4=Element_Stiffness!$C$180,Element_Stiffness!T209,IF(4=Element_Stiffness!$E$180,Element_Stiffness!Z209,0)),0)),0)+IF(Element_Stiffness!$C$216,IF(Element_Stiffness!$C$215=0,IF(4=Element_Stiffness!$C$215,Element_Stiffness!T238,IF(4=Element_Stiffness!$E$215,Element_Stiffness!Z238,0)),IF(Element_Stiffness!$E$215=0,IF(4=Element_Stiffness!$C$215,Element_Stiffness!T244,IF(4=Element_Stiffness!$E$215,Element_Stiffness!Z244,0)),0)),0)</f>
        <v/>
      </c>
      <c r="AF7" s="21">
        <f>IF(Element_Stiffness!$C$6,IF(Element_Stiffness!$C$5=0,IF(4=Element_Stiffness!$C$5,Element_Stiffness!U28,IF(4=Element_Stiffness!$E$5,Element_Stiffness!AA28,0)),IF(Element_Stiffness!$E$5=0,IF(4=Element_Stiffness!$C$5,Element_Stiffness!U34,IF(4=Element_Stiffness!$E$5,Element_Stiffness!AA34,0)),0)),0)+IF(Element_Stiffness!$C$41,IF(Element_Stiffness!$C$40=0,IF(4=Element_Stiffness!$C$40,Element_Stiffness!U63,IF(4=Element_Stiffness!$E$40,Element_Stiffness!AA63,0)),IF(Element_Stiffness!$E$40=0,IF(4=Element_Stiffness!$C$40,Element_Stiffness!U69,IF(4=Element_Stiffness!$E$40,Element_Stiffness!AA69,0)),0)),0)+IF(Element_Stiffness!$C$76,IF(Element_Stiffness!$C$75=0,IF(4=Element_Stiffness!$C$75,Element_Stiffness!U98,IF(4=Element_Stiffness!$E$75,Element_Stiffness!AA98,0)),IF(Element_Stiffness!$E$75=0,IF(4=Element_Stiffness!$C$75,Element_Stiffness!U104,IF(4=Element_Stiffness!$E$75,Element_Stiffness!AA104,0)),0)),0)+IF(Element_Stiffness!$C$111,IF(Element_Stiffness!$C$110=0,IF(4=Element_Stiffness!$C$110,Element_Stiffness!U133,IF(4=Element_Stiffness!$E$110,Element_Stiffness!AA133,0)),IF(Element_Stiffness!$E$110=0,IF(4=Element_Stiffness!$C$110,Element_Stiffness!U139,IF(4=Element_Stiffness!$E$110,Element_Stiffness!AA139,0)),0)),0)+IF(Element_Stiffness!$C$146,IF(Element_Stiffness!$C$145=0,IF(4=Element_Stiffness!$C$145,Element_Stiffness!U168,IF(4=Element_Stiffness!$E$145,Element_Stiffness!AA168,0)),IF(Element_Stiffness!$E$145=0,IF(4=Element_Stiffness!$C$145,Element_Stiffness!U174,IF(4=Element_Stiffness!$E$145,Element_Stiffness!AA174,0)),0)),0)+IF(Element_Stiffness!$C$181,IF(Element_Stiffness!$C$180=0,IF(4=Element_Stiffness!$C$180,Element_Stiffness!U203,IF(4=Element_Stiffness!$E$180,Element_Stiffness!AA203,0)),IF(Element_Stiffness!$E$180=0,IF(4=Element_Stiffness!$C$180,Element_Stiffness!U209,IF(4=Element_Stiffness!$E$180,Element_Stiffness!AA209,0)),0)),0)+IF(Element_Stiffness!$C$216,IF(Element_Stiffness!$C$215=0,IF(4=Element_Stiffness!$C$215,Element_Stiffness!U238,IF(4=Element_Stiffness!$E$215,Element_Stiffness!AA238,0)),IF(Element_Stiffness!$E$215=0,IF(4=Element_Stiffness!$C$215,Element_Stiffness!U244,IF(4=Element_Stiffness!$E$215,Element_Stiffness!AA244,0)),0)),0)</f>
        <v/>
      </c>
      <c r="AG7" s="21">
        <f>IF(Element_Stiffness!$C$6,IF(Element_Stiffness!$C$5=0,IF(5=Element_Stiffness!$C$5,Element_Stiffness!P28,IF(5=Element_Stiffness!$E$5,Element_Stiffness!V28,0)),IF(Element_Stiffness!$E$5=0,IF(5=Element_Stiffness!$C$5,Element_Stiffness!P34,IF(5=Element_Stiffness!$E$5,Element_Stiffness!V34,0)),0)),0)+IF(Element_Stiffness!$C$41,IF(Element_Stiffness!$C$40=0,IF(5=Element_Stiffness!$C$40,Element_Stiffness!P63,IF(5=Element_Stiffness!$E$40,Element_Stiffness!V63,0)),IF(Element_Stiffness!$E$40=0,IF(5=Element_Stiffness!$C$40,Element_Stiffness!P69,IF(5=Element_Stiffness!$E$40,Element_Stiffness!V69,0)),0)),0)+IF(Element_Stiffness!$C$76,IF(Element_Stiffness!$C$75=0,IF(5=Element_Stiffness!$C$75,Element_Stiffness!P98,IF(5=Element_Stiffness!$E$75,Element_Stiffness!V98,0)),IF(Element_Stiffness!$E$75=0,IF(5=Element_Stiffness!$C$75,Element_Stiffness!P104,IF(5=Element_Stiffness!$E$75,Element_Stiffness!V104,0)),0)),0)+IF(Element_Stiffness!$C$111,IF(Element_Stiffness!$C$110=0,IF(5=Element_Stiffness!$C$110,Element_Stiffness!P133,IF(5=Element_Stiffness!$E$110,Element_Stiffness!V133,0)),IF(Element_Stiffness!$E$110=0,IF(5=Element_Stiffness!$C$110,Element_Stiffness!P139,IF(5=Element_Stiffness!$E$110,Element_Stiffness!V139,0)),0)),0)+IF(Element_Stiffness!$C$146,IF(Element_Stiffness!$C$145=0,IF(5=Element_Stiffness!$C$145,Element_Stiffness!P168,IF(5=Element_Stiffness!$E$145,Element_Stiffness!V168,0)),IF(Element_Stiffness!$E$145=0,IF(5=Element_Stiffness!$C$145,Element_Stiffness!P174,IF(5=Element_Stiffness!$E$145,Element_Stiffness!V174,0)),0)),0)+IF(Element_Stiffness!$C$181,IF(Element_Stiffness!$C$180=0,IF(5=Element_Stiffness!$C$180,Element_Stiffness!P203,IF(5=Element_Stiffness!$E$180,Element_Stiffness!V203,0)),IF(Element_Stiffness!$E$180=0,IF(5=Element_Stiffness!$C$180,Element_Stiffness!P209,IF(5=Element_Stiffness!$E$180,Element_Stiffness!V209,0)),0)),0)+IF(Element_Stiffness!$C$216,IF(Element_Stiffness!$C$215=0,IF(5=Element_Stiffness!$C$215,Element_Stiffness!P238,IF(5=Element_Stiffness!$E$215,Element_Stiffness!V238,0)),IF(Element_Stiffness!$E$215=0,IF(5=Element_Stiffness!$C$215,Element_Stiffness!P244,IF(5=Element_Stiffness!$E$215,Element_Stiffness!V244,0)),0)),0)</f>
        <v/>
      </c>
      <c r="AH7" s="21">
        <f>IF(Element_Stiffness!$C$6,IF(Element_Stiffness!$C$5=0,IF(5=Element_Stiffness!$C$5,Element_Stiffness!Q28,IF(5=Element_Stiffness!$E$5,Element_Stiffness!W28,0)),IF(Element_Stiffness!$E$5=0,IF(5=Element_Stiffness!$C$5,Element_Stiffness!Q34,IF(5=Element_Stiffness!$E$5,Element_Stiffness!W34,0)),0)),0)+IF(Element_Stiffness!$C$41,IF(Element_Stiffness!$C$40=0,IF(5=Element_Stiffness!$C$40,Element_Stiffness!Q63,IF(5=Element_Stiffness!$E$40,Element_Stiffness!W63,0)),IF(Element_Stiffness!$E$40=0,IF(5=Element_Stiffness!$C$40,Element_Stiffness!Q69,IF(5=Element_Stiffness!$E$40,Element_Stiffness!W69,0)),0)),0)+IF(Element_Stiffness!$C$76,IF(Element_Stiffness!$C$75=0,IF(5=Element_Stiffness!$C$75,Element_Stiffness!Q98,IF(5=Element_Stiffness!$E$75,Element_Stiffness!W98,0)),IF(Element_Stiffness!$E$75=0,IF(5=Element_Stiffness!$C$75,Element_Stiffness!Q104,IF(5=Element_Stiffness!$E$75,Element_Stiffness!W104,0)),0)),0)+IF(Element_Stiffness!$C$111,IF(Element_Stiffness!$C$110=0,IF(5=Element_Stiffness!$C$110,Element_Stiffness!Q133,IF(5=Element_Stiffness!$E$110,Element_Stiffness!W133,0)),IF(Element_Stiffness!$E$110=0,IF(5=Element_Stiffness!$C$110,Element_Stiffness!Q139,IF(5=Element_Stiffness!$E$110,Element_Stiffness!W139,0)),0)),0)+IF(Element_Stiffness!$C$146,IF(Element_Stiffness!$C$145=0,IF(5=Element_Stiffness!$C$145,Element_Stiffness!Q168,IF(5=Element_Stiffness!$E$145,Element_Stiffness!W168,0)),IF(Element_Stiffness!$E$145=0,IF(5=Element_Stiffness!$C$145,Element_Stiffness!Q174,IF(5=Element_Stiffness!$E$145,Element_Stiffness!W174,0)),0)),0)+IF(Element_Stiffness!$C$181,IF(Element_Stiffness!$C$180=0,IF(5=Element_Stiffness!$C$180,Element_Stiffness!Q203,IF(5=Element_Stiffness!$E$180,Element_Stiffness!W203,0)),IF(Element_Stiffness!$E$180=0,IF(5=Element_Stiffness!$C$180,Element_Stiffness!Q209,IF(5=Element_Stiffness!$E$180,Element_Stiffness!W209,0)),0)),0)+IF(Element_Stiffness!$C$216,IF(Element_Stiffness!$C$215=0,IF(5=Element_Stiffness!$C$215,Element_Stiffness!Q238,IF(5=Element_Stiffness!$E$215,Element_Stiffness!W238,0)),IF(Element_Stiffness!$E$215=0,IF(5=Element_Stiffness!$C$215,Element_Stiffness!Q244,IF(5=Element_Stiffness!$E$215,Element_Stiffness!W244,0)),0)),0)</f>
        <v/>
      </c>
      <c r="AI7" s="21">
        <f>IF(Element_Stiffness!$C$6,IF(Element_Stiffness!$C$5=0,IF(5=Element_Stiffness!$C$5,Element_Stiffness!R28,IF(5=Element_Stiffness!$E$5,Element_Stiffness!X28,0)),IF(Element_Stiffness!$E$5=0,IF(5=Element_Stiffness!$C$5,Element_Stiffness!R34,IF(5=Element_Stiffness!$E$5,Element_Stiffness!X34,0)),0)),0)+IF(Element_Stiffness!$C$41,IF(Element_Stiffness!$C$40=0,IF(5=Element_Stiffness!$C$40,Element_Stiffness!R63,IF(5=Element_Stiffness!$E$40,Element_Stiffness!X63,0)),IF(Element_Stiffness!$E$40=0,IF(5=Element_Stiffness!$C$40,Element_Stiffness!R69,IF(5=Element_Stiffness!$E$40,Element_Stiffness!X69,0)),0)),0)+IF(Element_Stiffness!$C$76,IF(Element_Stiffness!$C$75=0,IF(5=Element_Stiffness!$C$75,Element_Stiffness!R98,IF(5=Element_Stiffness!$E$75,Element_Stiffness!X98,0)),IF(Element_Stiffness!$E$75=0,IF(5=Element_Stiffness!$C$75,Element_Stiffness!R104,IF(5=Element_Stiffness!$E$75,Element_Stiffness!X104,0)),0)),0)+IF(Element_Stiffness!$C$111,IF(Element_Stiffness!$C$110=0,IF(5=Element_Stiffness!$C$110,Element_Stiffness!R133,IF(5=Element_Stiffness!$E$110,Element_Stiffness!X133,0)),IF(Element_Stiffness!$E$110=0,IF(5=Element_Stiffness!$C$110,Element_Stiffness!R139,IF(5=Element_Stiffness!$E$110,Element_Stiffness!X139,0)),0)),0)+IF(Element_Stiffness!$C$146,IF(Element_Stiffness!$C$145=0,IF(5=Element_Stiffness!$C$145,Element_Stiffness!R168,IF(5=Element_Stiffness!$E$145,Element_Stiffness!X168,0)),IF(Element_Stiffness!$E$145=0,IF(5=Element_Stiffness!$C$145,Element_Stiffness!R174,IF(5=Element_Stiffness!$E$145,Element_Stiffness!X174,0)),0)),0)+IF(Element_Stiffness!$C$181,IF(Element_Stiffness!$C$180=0,IF(5=Element_Stiffness!$C$180,Element_Stiffness!R203,IF(5=Element_Stiffness!$E$180,Element_Stiffness!X203,0)),IF(Element_Stiffness!$E$180=0,IF(5=Element_Stiffness!$C$180,Element_Stiffness!R209,IF(5=Element_Stiffness!$E$180,Element_Stiffness!X209,0)),0)),0)+IF(Element_Stiffness!$C$216,IF(Element_Stiffness!$C$215=0,IF(5=Element_Stiffness!$C$215,Element_Stiffness!R238,IF(5=Element_Stiffness!$E$215,Element_Stiffness!X238,0)),IF(Element_Stiffness!$E$215=0,IF(5=Element_Stiffness!$C$215,Element_Stiffness!R244,IF(5=Element_Stiffness!$E$215,Element_Stiffness!X244,0)),0)),0)</f>
        <v/>
      </c>
      <c r="AJ7" s="21">
        <f>IF(Element_Stiffness!$C$6,IF(Element_Stiffness!$C$5=0,IF(5=Element_Stiffness!$C$5,Element_Stiffness!S28,IF(5=Element_Stiffness!$E$5,Element_Stiffness!Y28,0)),IF(Element_Stiffness!$E$5=0,IF(5=Element_Stiffness!$C$5,Element_Stiffness!S34,IF(5=Element_Stiffness!$E$5,Element_Stiffness!Y34,0)),0)),0)+IF(Element_Stiffness!$C$41,IF(Element_Stiffness!$C$40=0,IF(5=Element_Stiffness!$C$40,Element_Stiffness!S63,IF(5=Element_Stiffness!$E$40,Element_Stiffness!Y63,0)),IF(Element_Stiffness!$E$40=0,IF(5=Element_Stiffness!$C$40,Element_Stiffness!S69,IF(5=Element_Stiffness!$E$40,Element_Stiffness!Y69,0)),0)),0)+IF(Element_Stiffness!$C$76,IF(Element_Stiffness!$C$75=0,IF(5=Element_Stiffness!$C$75,Element_Stiffness!S98,IF(5=Element_Stiffness!$E$75,Element_Stiffness!Y98,0)),IF(Element_Stiffness!$E$75=0,IF(5=Element_Stiffness!$C$75,Element_Stiffness!S104,IF(5=Element_Stiffness!$E$75,Element_Stiffness!Y104,0)),0)),0)+IF(Element_Stiffness!$C$111,IF(Element_Stiffness!$C$110=0,IF(5=Element_Stiffness!$C$110,Element_Stiffness!S133,IF(5=Element_Stiffness!$E$110,Element_Stiffness!Y133,0)),IF(Element_Stiffness!$E$110=0,IF(5=Element_Stiffness!$C$110,Element_Stiffness!S139,IF(5=Element_Stiffness!$E$110,Element_Stiffness!Y139,0)),0)),0)+IF(Element_Stiffness!$C$146,IF(Element_Stiffness!$C$145=0,IF(5=Element_Stiffness!$C$145,Element_Stiffness!S168,IF(5=Element_Stiffness!$E$145,Element_Stiffness!Y168,0)),IF(Element_Stiffness!$E$145=0,IF(5=Element_Stiffness!$C$145,Element_Stiffness!S174,IF(5=Element_Stiffness!$E$145,Element_Stiffness!Y174,0)),0)),0)+IF(Element_Stiffness!$C$181,IF(Element_Stiffness!$C$180=0,IF(5=Element_Stiffness!$C$180,Element_Stiffness!S203,IF(5=Element_Stiffness!$E$180,Element_Stiffness!Y203,0)),IF(Element_Stiffness!$E$180=0,IF(5=Element_Stiffness!$C$180,Element_Stiffness!S209,IF(5=Element_Stiffness!$E$180,Element_Stiffness!Y209,0)),0)),0)+IF(Element_Stiffness!$C$216,IF(Element_Stiffness!$C$215=0,IF(5=Element_Stiffness!$C$215,Element_Stiffness!S238,IF(5=Element_Stiffness!$E$215,Element_Stiffness!Y238,0)),IF(Element_Stiffness!$E$215=0,IF(5=Element_Stiffness!$C$215,Element_Stiffness!S244,IF(5=Element_Stiffness!$E$215,Element_Stiffness!Y244,0)),0)),0)</f>
        <v/>
      </c>
      <c r="AK7" s="21">
        <f>IF(Element_Stiffness!$C$6,IF(Element_Stiffness!$C$5=0,IF(5=Element_Stiffness!$C$5,Element_Stiffness!T28,IF(5=Element_Stiffness!$E$5,Element_Stiffness!Z28,0)),IF(Element_Stiffness!$E$5=0,IF(5=Element_Stiffness!$C$5,Element_Stiffness!T34,IF(5=Element_Stiffness!$E$5,Element_Stiffness!Z34,0)),0)),0)+IF(Element_Stiffness!$C$41,IF(Element_Stiffness!$C$40=0,IF(5=Element_Stiffness!$C$40,Element_Stiffness!T63,IF(5=Element_Stiffness!$E$40,Element_Stiffness!Z63,0)),IF(Element_Stiffness!$E$40=0,IF(5=Element_Stiffness!$C$40,Element_Stiffness!T69,IF(5=Element_Stiffness!$E$40,Element_Stiffness!Z69,0)),0)),0)+IF(Element_Stiffness!$C$76,IF(Element_Stiffness!$C$75=0,IF(5=Element_Stiffness!$C$75,Element_Stiffness!T98,IF(5=Element_Stiffness!$E$75,Element_Stiffness!Z98,0)),IF(Element_Stiffness!$E$75=0,IF(5=Element_Stiffness!$C$75,Element_Stiffness!T104,IF(5=Element_Stiffness!$E$75,Element_Stiffness!Z104,0)),0)),0)+IF(Element_Stiffness!$C$111,IF(Element_Stiffness!$C$110=0,IF(5=Element_Stiffness!$C$110,Element_Stiffness!T133,IF(5=Element_Stiffness!$E$110,Element_Stiffness!Z133,0)),IF(Element_Stiffness!$E$110=0,IF(5=Element_Stiffness!$C$110,Element_Stiffness!T139,IF(5=Element_Stiffness!$E$110,Element_Stiffness!Z139,0)),0)),0)+IF(Element_Stiffness!$C$146,IF(Element_Stiffness!$C$145=0,IF(5=Element_Stiffness!$C$145,Element_Stiffness!T168,IF(5=Element_Stiffness!$E$145,Element_Stiffness!Z168,0)),IF(Element_Stiffness!$E$145=0,IF(5=Element_Stiffness!$C$145,Element_Stiffness!T174,IF(5=Element_Stiffness!$E$145,Element_Stiffness!Z174,0)),0)),0)+IF(Element_Stiffness!$C$181,IF(Element_Stiffness!$C$180=0,IF(5=Element_Stiffness!$C$180,Element_Stiffness!T203,IF(5=Element_Stiffness!$E$180,Element_Stiffness!Z203,0)),IF(Element_Stiffness!$E$180=0,IF(5=Element_Stiffness!$C$180,Element_Stiffness!T209,IF(5=Element_Stiffness!$E$180,Element_Stiffness!Z209,0)),0)),0)+IF(Element_Stiffness!$C$216,IF(Element_Stiffness!$C$215=0,IF(5=Element_Stiffness!$C$215,Element_Stiffness!T238,IF(5=Element_Stiffness!$E$215,Element_Stiffness!Z238,0)),IF(Element_Stiffness!$E$215=0,IF(5=Element_Stiffness!$C$215,Element_Stiffness!T244,IF(5=Element_Stiffness!$E$215,Element_Stiffness!Z244,0)),0)),0)</f>
        <v/>
      </c>
      <c r="AL7" s="21">
        <f>IF(Element_Stiffness!$C$6,IF(Element_Stiffness!$C$5=0,IF(5=Element_Stiffness!$C$5,Element_Stiffness!U28,IF(5=Element_Stiffness!$E$5,Element_Stiffness!AA28,0)),IF(Element_Stiffness!$E$5=0,IF(5=Element_Stiffness!$C$5,Element_Stiffness!U34,IF(5=Element_Stiffness!$E$5,Element_Stiffness!AA34,0)),0)),0)+IF(Element_Stiffness!$C$41,IF(Element_Stiffness!$C$40=0,IF(5=Element_Stiffness!$C$40,Element_Stiffness!U63,IF(5=Element_Stiffness!$E$40,Element_Stiffness!AA63,0)),IF(Element_Stiffness!$E$40=0,IF(5=Element_Stiffness!$C$40,Element_Stiffness!U69,IF(5=Element_Stiffness!$E$40,Element_Stiffness!AA69,0)),0)),0)+IF(Element_Stiffness!$C$76,IF(Element_Stiffness!$C$75=0,IF(5=Element_Stiffness!$C$75,Element_Stiffness!U98,IF(5=Element_Stiffness!$E$75,Element_Stiffness!AA98,0)),IF(Element_Stiffness!$E$75=0,IF(5=Element_Stiffness!$C$75,Element_Stiffness!U104,IF(5=Element_Stiffness!$E$75,Element_Stiffness!AA104,0)),0)),0)+IF(Element_Stiffness!$C$111,IF(Element_Stiffness!$C$110=0,IF(5=Element_Stiffness!$C$110,Element_Stiffness!U133,IF(5=Element_Stiffness!$E$110,Element_Stiffness!AA133,0)),IF(Element_Stiffness!$E$110=0,IF(5=Element_Stiffness!$C$110,Element_Stiffness!U139,IF(5=Element_Stiffness!$E$110,Element_Stiffness!AA139,0)),0)),0)+IF(Element_Stiffness!$C$146,IF(Element_Stiffness!$C$145=0,IF(5=Element_Stiffness!$C$145,Element_Stiffness!U168,IF(5=Element_Stiffness!$E$145,Element_Stiffness!AA168,0)),IF(Element_Stiffness!$E$145=0,IF(5=Element_Stiffness!$C$145,Element_Stiffness!U174,IF(5=Element_Stiffness!$E$145,Element_Stiffness!AA174,0)),0)),0)+IF(Element_Stiffness!$C$181,IF(Element_Stiffness!$C$180=0,IF(5=Element_Stiffness!$C$180,Element_Stiffness!U203,IF(5=Element_Stiffness!$E$180,Element_Stiffness!AA203,0)),IF(Element_Stiffness!$E$180=0,IF(5=Element_Stiffness!$C$180,Element_Stiffness!U209,IF(5=Element_Stiffness!$E$180,Element_Stiffness!AA209,0)),0)),0)+IF(Element_Stiffness!$C$216,IF(Element_Stiffness!$C$215=0,IF(5=Element_Stiffness!$C$215,Element_Stiffness!U238,IF(5=Element_Stiffness!$E$215,Element_Stiffness!AA238,0)),IF(Element_Stiffness!$E$215=0,IF(5=Element_Stiffness!$C$215,Element_Stiffness!U244,IF(5=Element_Stiffness!$E$215,Element_Stiffness!AA244,0)),0)),0)</f>
        <v/>
      </c>
      <c r="AM7" s="21">
        <f>IF(Element_Stiffness!$C$6,IF(Element_Stiffness!$C$5=0,IF(6=Element_Stiffness!$C$5,Element_Stiffness!P28,IF(6=Element_Stiffness!$E$5,Element_Stiffness!V28,0)),IF(Element_Stiffness!$E$5=0,IF(6=Element_Stiffness!$C$5,Element_Stiffness!P34,IF(6=Element_Stiffness!$E$5,Element_Stiffness!V34,0)),0)),0)+IF(Element_Stiffness!$C$41,IF(Element_Stiffness!$C$40=0,IF(6=Element_Stiffness!$C$40,Element_Stiffness!P63,IF(6=Element_Stiffness!$E$40,Element_Stiffness!V63,0)),IF(Element_Stiffness!$E$40=0,IF(6=Element_Stiffness!$C$40,Element_Stiffness!P69,IF(6=Element_Stiffness!$E$40,Element_Stiffness!V69,0)),0)),0)+IF(Element_Stiffness!$C$76,IF(Element_Stiffness!$C$75=0,IF(6=Element_Stiffness!$C$75,Element_Stiffness!P98,IF(6=Element_Stiffness!$E$75,Element_Stiffness!V98,0)),IF(Element_Stiffness!$E$75=0,IF(6=Element_Stiffness!$C$75,Element_Stiffness!P104,IF(6=Element_Stiffness!$E$75,Element_Stiffness!V104,0)),0)),0)+IF(Element_Stiffness!$C$111,IF(Element_Stiffness!$C$110=0,IF(6=Element_Stiffness!$C$110,Element_Stiffness!P133,IF(6=Element_Stiffness!$E$110,Element_Stiffness!V133,0)),IF(Element_Stiffness!$E$110=0,IF(6=Element_Stiffness!$C$110,Element_Stiffness!P139,IF(6=Element_Stiffness!$E$110,Element_Stiffness!V139,0)),0)),0)+IF(Element_Stiffness!$C$146,IF(Element_Stiffness!$C$145=0,IF(6=Element_Stiffness!$C$145,Element_Stiffness!P168,IF(6=Element_Stiffness!$E$145,Element_Stiffness!V168,0)),IF(Element_Stiffness!$E$145=0,IF(6=Element_Stiffness!$C$145,Element_Stiffness!P174,IF(6=Element_Stiffness!$E$145,Element_Stiffness!V174,0)),0)),0)+IF(Element_Stiffness!$C$181,IF(Element_Stiffness!$C$180=0,IF(6=Element_Stiffness!$C$180,Element_Stiffness!P203,IF(6=Element_Stiffness!$E$180,Element_Stiffness!V203,0)),IF(Element_Stiffness!$E$180=0,IF(6=Element_Stiffness!$C$180,Element_Stiffness!P209,IF(6=Element_Stiffness!$E$180,Element_Stiffness!V209,0)),0)),0)+IF(Element_Stiffness!$C$216,IF(Element_Stiffness!$C$215=0,IF(6=Element_Stiffness!$C$215,Element_Stiffness!P238,IF(6=Element_Stiffness!$E$215,Element_Stiffness!V238,0)),IF(Element_Stiffness!$E$215=0,IF(6=Element_Stiffness!$C$215,Element_Stiffness!P244,IF(6=Element_Stiffness!$E$215,Element_Stiffness!V244,0)),0)),0)</f>
        <v/>
      </c>
      <c r="AN7" s="21">
        <f>IF(Element_Stiffness!$C$6,IF(Element_Stiffness!$C$5=0,IF(6=Element_Stiffness!$C$5,Element_Stiffness!Q28,IF(6=Element_Stiffness!$E$5,Element_Stiffness!W28,0)),IF(Element_Stiffness!$E$5=0,IF(6=Element_Stiffness!$C$5,Element_Stiffness!Q34,IF(6=Element_Stiffness!$E$5,Element_Stiffness!W34,0)),0)),0)+IF(Element_Stiffness!$C$41,IF(Element_Stiffness!$C$40=0,IF(6=Element_Stiffness!$C$40,Element_Stiffness!Q63,IF(6=Element_Stiffness!$E$40,Element_Stiffness!W63,0)),IF(Element_Stiffness!$E$40=0,IF(6=Element_Stiffness!$C$40,Element_Stiffness!Q69,IF(6=Element_Stiffness!$E$40,Element_Stiffness!W69,0)),0)),0)+IF(Element_Stiffness!$C$76,IF(Element_Stiffness!$C$75=0,IF(6=Element_Stiffness!$C$75,Element_Stiffness!Q98,IF(6=Element_Stiffness!$E$75,Element_Stiffness!W98,0)),IF(Element_Stiffness!$E$75=0,IF(6=Element_Stiffness!$C$75,Element_Stiffness!Q104,IF(6=Element_Stiffness!$E$75,Element_Stiffness!W104,0)),0)),0)+IF(Element_Stiffness!$C$111,IF(Element_Stiffness!$C$110=0,IF(6=Element_Stiffness!$C$110,Element_Stiffness!Q133,IF(6=Element_Stiffness!$E$110,Element_Stiffness!W133,0)),IF(Element_Stiffness!$E$110=0,IF(6=Element_Stiffness!$C$110,Element_Stiffness!Q139,IF(6=Element_Stiffness!$E$110,Element_Stiffness!W139,0)),0)),0)+IF(Element_Stiffness!$C$146,IF(Element_Stiffness!$C$145=0,IF(6=Element_Stiffness!$C$145,Element_Stiffness!Q168,IF(6=Element_Stiffness!$E$145,Element_Stiffness!W168,0)),IF(Element_Stiffness!$E$145=0,IF(6=Element_Stiffness!$C$145,Element_Stiffness!Q174,IF(6=Element_Stiffness!$E$145,Element_Stiffness!W174,0)),0)),0)+IF(Element_Stiffness!$C$181,IF(Element_Stiffness!$C$180=0,IF(6=Element_Stiffness!$C$180,Element_Stiffness!Q203,IF(6=Element_Stiffness!$E$180,Element_Stiffness!W203,0)),IF(Element_Stiffness!$E$180=0,IF(6=Element_Stiffness!$C$180,Element_Stiffness!Q209,IF(6=Element_Stiffness!$E$180,Element_Stiffness!W209,0)),0)),0)+IF(Element_Stiffness!$C$216,IF(Element_Stiffness!$C$215=0,IF(6=Element_Stiffness!$C$215,Element_Stiffness!Q238,IF(6=Element_Stiffness!$E$215,Element_Stiffness!W238,0)),IF(Element_Stiffness!$E$215=0,IF(6=Element_Stiffness!$C$215,Element_Stiffness!Q244,IF(6=Element_Stiffness!$E$215,Element_Stiffness!W244,0)),0)),0)</f>
        <v/>
      </c>
      <c r="AO7" s="21">
        <f>IF(Element_Stiffness!$C$6,IF(Element_Stiffness!$C$5=0,IF(6=Element_Stiffness!$C$5,Element_Stiffness!R28,IF(6=Element_Stiffness!$E$5,Element_Stiffness!X28,0)),IF(Element_Stiffness!$E$5=0,IF(6=Element_Stiffness!$C$5,Element_Stiffness!R34,IF(6=Element_Stiffness!$E$5,Element_Stiffness!X34,0)),0)),0)+IF(Element_Stiffness!$C$41,IF(Element_Stiffness!$C$40=0,IF(6=Element_Stiffness!$C$40,Element_Stiffness!R63,IF(6=Element_Stiffness!$E$40,Element_Stiffness!X63,0)),IF(Element_Stiffness!$E$40=0,IF(6=Element_Stiffness!$C$40,Element_Stiffness!R69,IF(6=Element_Stiffness!$E$40,Element_Stiffness!X69,0)),0)),0)+IF(Element_Stiffness!$C$76,IF(Element_Stiffness!$C$75=0,IF(6=Element_Stiffness!$C$75,Element_Stiffness!R98,IF(6=Element_Stiffness!$E$75,Element_Stiffness!X98,0)),IF(Element_Stiffness!$E$75=0,IF(6=Element_Stiffness!$C$75,Element_Stiffness!R104,IF(6=Element_Stiffness!$E$75,Element_Stiffness!X104,0)),0)),0)+IF(Element_Stiffness!$C$111,IF(Element_Stiffness!$C$110=0,IF(6=Element_Stiffness!$C$110,Element_Stiffness!R133,IF(6=Element_Stiffness!$E$110,Element_Stiffness!X133,0)),IF(Element_Stiffness!$E$110=0,IF(6=Element_Stiffness!$C$110,Element_Stiffness!R139,IF(6=Element_Stiffness!$E$110,Element_Stiffness!X139,0)),0)),0)+IF(Element_Stiffness!$C$146,IF(Element_Stiffness!$C$145=0,IF(6=Element_Stiffness!$C$145,Element_Stiffness!R168,IF(6=Element_Stiffness!$E$145,Element_Stiffness!X168,0)),IF(Element_Stiffness!$E$145=0,IF(6=Element_Stiffness!$C$145,Element_Stiffness!R174,IF(6=Element_Stiffness!$E$145,Element_Stiffness!X174,0)),0)),0)+IF(Element_Stiffness!$C$181,IF(Element_Stiffness!$C$180=0,IF(6=Element_Stiffness!$C$180,Element_Stiffness!R203,IF(6=Element_Stiffness!$E$180,Element_Stiffness!X203,0)),IF(Element_Stiffness!$E$180=0,IF(6=Element_Stiffness!$C$180,Element_Stiffness!R209,IF(6=Element_Stiffness!$E$180,Element_Stiffness!X209,0)),0)),0)+IF(Element_Stiffness!$C$216,IF(Element_Stiffness!$C$215=0,IF(6=Element_Stiffness!$C$215,Element_Stiffness!R238,IF(6=Element_Stiffness!$E$215,Element_Stiffness!X238,0)),IF(Element_Stiffness!$E$215=0,IF(6=Element_Stiffness!$C$215,Element_Stiffness!R244,IF(6=Element_Stiffness!$E$215,Element_Stiffness!X244,0)),0)),0)</f>
        <v/>
      </c>
      <c r="AP7" s="21">
        <f>IF(Element_Stiffness!$C$6,IF(Element_Stiffness!$C$5=0,IF(6=Element_Stiffness!$C$5,Element_Stiffness!S28,IF(6=Element_Stiffness!$E$5,Element_Stiffness!Y28,0)),IF(Element_Stiffness!$E$5=0,IF(6=Element_Stiffness!$C$5,Element_Stiffness!S34,IF(6=Element_Stiffness!$E$5,Element_Stiffness!Y34,0)),0)),0)+IF(Element_Stiffness!$C$41,IF(Element_Stiffness!$C$40=0,IF(6=Element_Stiffness!$C$40,Element_Stiffness!S63,IF(6=Element_Stiffness!$E$40,Element_Stiffness!Y63,0)),IF(Element_Stiffness!$E$40=0,IF(6=Element_Stiffness!$C$40,Element_Stiffness!S69,IF(6=Element_Stiffness!$E$40,Element_Stiffness!Y69,0)),0)),0)+IF(Element_Stiffness!$C$76,IF(Element_Stiffness!$C$75=0,IF(6=Element_Stiffness!$C$75,Element_Stiffness!S98,IF(6=Element_Stiffness!$E$75,Element_Stiffness!Y98,0)),IF(Element_Stiffness!$E$75=0,IF(6=Element_Stiffness!$C$75,Element_Stiffness!S104,IF(6=Element_Stiffness!$E$75,Element_Stiffness!Y104,0)),0)),0)+IF(Element_Stiffness!$C$111,IF(Element_Stiffness!$C$110=0,IF(6=Element_Stiffness!$C$110,Element_Stiffness!S133,IF(6=Element_Stiffness!$E$110,Element_Stiffness!Y133,0)),IF(Element_Stiffness!$E$110=0,IF(6=Element_Stiffness!$C$110,Element_Stiffness!S139,IF(6=Element_Stiffness!$E$110,Element_Stiffness!Y139,0)),0)),0)+IF(Element_Stiffness!$C$146,IF(Element_Stiffness!$C$145=0,IF(6=Element_Stiffness!$C$145,Element_Stiffness!S168,IF(6=Element_Stiffness!$E$145,Element_Stiffness!Y168,0)),IF(Element_Stiffness!$E$145=0,IF(6=Element_Stiffness!$C$145,Element_Stiffness!S174,IF(6=Element_Stiffness!$E$145,Element_Stiffness!Y174,0)),0)),0)+IF(Element_Stiffness!$C$181,IF(Element_Stiffness!$C$180=0,IF(6=Element_Stiffness!$C$180,Element_Stiffness!S203,IF(6=Element_Stiffness!$E$180,Element_Stiffness!Y203,0)),IF(Element_Stiffness!$E$180=0,IF(6=Element_Stiffness!$C$180,Element_Stiffness!S209,IF(6=Element_Stiffness!$E$180,Element_Stiffness!Y209,0)),0)),0)+IF(Element_Stiffness!$C$216,IF(Element_Stiffness!$C$215=0,IF(6=Element_Stiffness!$C$215,Element_Stiffness!S238,IF(6=Element_Stiffness!$E$215,Element_Stiffness!Y238,0)),IF(Element_Stiffness!$E$215=0,IF(6=Element_Stiffness!$C$215,Element_Stiffness!S244,IF(6=Element_Stiffness!$E$215,Element_Stiffness!Y244,0)),0)),0)</f>
        <v/>
      </c>
      <c r="AQ7" s="21">
        <f>IF(Element_Stiffness!$C$6,IF(Element_Stiffness!$C$5=0,IF(6=Element_Stiffness!$C$5,Element_Stiffness!T28,IF(6=Element_Stiffness!$E$5,Element_Stiffness!Z28,0)),IF(Element_Stiffness!$E$5=0,IF(6=Element_Stiffness!$C$5,Element_Stiffness!T34,IF(6=Element_Stiffness!$E$5,Element_Stiffness!Z34,0)),0)),0)+IF(Element_Stiffness!$C$41,IF(Element_Stiffness!$C$40=0,IF(6=Element_Stiffness!$C$40,Element_Stiffness!T63,IF(6=Element_Stiffness!$E$40,Element_Stiffness!Z63,0)),IF(Element_Stiffness!$E$40=0,IF(6=Element_Stiffness!$C$40,Element_Stiffness!T69,IF(6=Element_Stiffness!$E$40,Element_Stiffness!Z69,0)),0)),0)+IF(Element_Stiffness!$C$76,IF(Element_Stiffness!$C$75=0,IF(6=Element_Stiffness!$C$75,Element_Stiffness!T98,IF(6=Element_Stiffness!$E$75,Element_Stiffness!Z98,0)),IF(Element_Stiffness!$E$75=0,IF(6=Element_Stiffness!$C$75,Element_Stiffness!T104,IF(6=Element_Stiffness!$E$75,Element_Stiffness!Z104,0)),0)),0)+IF(Element_Stiffness!$C$111,IF(Element_Stiffness!$C$110=0,IF(6=Element_Stiffness!$C$110,Element_Stiffness!T133,IF(6=Element_Stiffness!$E$110,Element_Stiffness!Z133,0)),IF(Element_Stiffness!$E$110=0,IF(6=Element_Stiffness!$C$110,Element_Stiffness!T139,IF(6=Element_Stiffness!$E$110,Element_Stiffness!Z139,0)),0)),0)+IF(Element_Stiffness!$C$146,IF(Element_Stiffness!$C$145=0,IF(6=Element_Stiffness!$C$145,Element_Stiffness!T168,IF(6=Element_Stiffness!$E$145,Element_Stiffness!Z168,0)),IF(Element_Stiffness!$E$145=0,IF(6=Element_Stiffness!$C$145,Element_Stiffness!T174,IF(6=Element_Stiffness!$E$145,Element_Stiffness!Z174,0)),0)),0)+IF(Element_Stiffness!$C$181,IF(Element_Stiffness!$C$180=0,IF(6=Element_Stiffness!$C$180,Element_Stiffness!T203,IF(6=Element_Stiffness!$E$180,Element_Stiffness!Z203,0)),IF(Element_Stiffness!$E$180=0,IF(6=Element_Stiffness!$C$180,Element_Stiffness!T209,IF(6=Element_Stiffness!$E$180,Element_Stiffness!Z209,0)),0)),0)+IF(Element_Stiffness!$C$216,IF(Element_Stiffness!$C$215=0,IF(6=Element_Stiffness!$C$215,Element_Stiffness!T238,IF(6=Element_Stiffness!$E$215,Element_Stiffness!Z238,0)),IF(Element_Stiffness!$E$215=0,IF(6=Element_Stiffness!$C$215,Element_Stiffness!T244,IF(6=Element_Stiffness!$E$215,Element_Stiffness!Z244,0)),0)),0)</f>
        <v/>
      </c>
      <c r="AR7" s="21">
        <f>IF(Element_Stiffness!$C$6,IF(Element_Stiffness!$C$5=0,IF(6=Element_Stiffness!$C$5,Element_Stiffness!U28,IF(6=Element_Stiffness!$E$5,Element_Stiffness!AA28,0)),IF(Element_Stiffness!$E$5=0,IF(6=Element_Stiffness!$C$5,Element_Stiffness!U34,IF(6=Element_Stiffness!$E$5,Element_Stiffness!AA34,0)),0)),0)+IF(Element_Stiffness!$C$41,IF(Element_Stiffness!$C$40=0,IF(6=Element_Stiffness!$C$40,Element_Stiffness!U63,IF(6=Element_Stiffness!$E$40,Element_Stiffness!AA63,0)),IF(Element_Stiffness!$E$40=0,IF(6=Element_Stiffness!$C$40,Element_Stiffness!U69,IF(6=Element_Stiffness!$E$40,Element_Stiffness!AA69,0)),0)),0)+IF(Element_Stiffness!$C$76,IF(Element_Stiffness!$C$75=0,IF(6=Element_Stiffness!$C$75,Element_Stiffness!U98,IF(6=Element_Stiffness!$E$75,Element_Stiffness!AA98,0)),IF(Element_Stiffness!$E$75=0,IF(6=Element_Stiffness!$C$75,Element_Stiffness!U104,IF(6=Element_Stiffness!$E$75,Element_Stiffness!AA104,0)),0)),0)+IF(Element_Stiffness!$C$111,IF(Element_Stiffness!$C$110=0,IF(6=Element_Stiffness!$C$110,Element_Stiffness!U133,IF(6=Element_Stiffness!$E$110,Element_Stiffness!AA133,0)),IF(Element_Stiffness!$E$110=0,IF(6=Element_Stiffness!$C$110,Element_Stiffness!U139,IF(6=Element_Stiffness!$E$110,Element_Stiffness!AA139,0)),0)),0)+IF(Element_Stiffness!$C$146,IF(Element_Stiffness!$C$145=0,IF(6=Element_Stiffness!$C$145,Element_Stiffness!U168,IF(6=Element_Stiffness!$E$145,Element_Stiffness!AA168,0)),IF(Element_Stiffness!$E$145=0,IF(6=Element_Stiffness!$C$145,Element_Stiffness!U174,IF(6=Element_Stiffness!$E$145,Element_Stiffness!AA174,0)),0)),0)+IF(Element_Stiffness!$C$181,IF(Element_Stiffness!$C$180=0,IF(6=Element_Stiffness!$C$180,Element_Stiffness!U203,IF(6=Element_Stiffness!$E$180,Element_Stiffness!AA203,0)),IF(Element_Stiffness!$E$180=0,IF(6=Element_Stiffness!$C$180,Element_Stiffness!U209,IF(6=Element_Stiffness!$E$180,Element_Stiffness!AA209,0)),0)),0)+IF(Element_Stiffness!$C$216,IF(Element_Stiffness!$C$215=0,IF(6=Element_Stiffness!$C$215,Element_Stiffness!U238,IF(6=Element_Stiffness!$E$215,Element_Stiffness!AA238,0)),IF(Element_Stiffness!$E$215=0,IF(6=Element_Stiffness!$C$215,Element_Stiffness!U244,IF(6=Element_Stiffness!$E$215,Element_Stiffness!AA244,0)),0)),0)</f>
        <v/>
      </c>
      <c r="AS7" s="21">
        <f>IF(Element_Stiffness!$C$6,IF(Element_Stiffness!$C$5=0,IF(7=Element_Stiffness!$C$5,Element_Stiffness!P28,IF(7=Element_Stiffness!$E$5,Element_Stiffness!V28,0)),IF(Element_Stiffness!$E$5=0,IF(7=Element_Stiffness!$C$5,Element_Stiffness!P34,IF(7=Element_Stiffness!$E$5,Element_Stiffness!V34,0)),0)),0)+IF(Element_Stiffness!$C$41,IF(Element_Stiffness!$C$40=0,IF(7=Element_Stiffness!$C$40,Element_Stiffness!P63,IF(7=Element_Stiffness!$E$40,Element_Stiffness!V63,0)),IF(Element_Stiffness!$E$40=0,IF(7=Element_Stiffness!$C$40,Element_Stiffness!P69,IF(7=Element_Stiffness!$E$40,Element_Stiffness!V69,0)),0)),0)+IF(Element_Stiffness!$C$76,IF(Element_Stiffness!$C$75=0,IF(7=Element_Stiffness!$C$75,Element_Stiffness!P98,IF(7=Element_Stiffness!$E$75,Element_Stiffness!V98,0)),IF(Element_Stiffness!$E$75=0,IF(7=Element_Stiffness!$C$75,Element_Stiffness!P104,IF(7=Element_Stiffness!$E$75,Element_Stiffness!V104,0)),0)),0)+IF(Element_Stiffness!$C$111,IF(Element_Stiffness!$C$110=0,IF(7=Element_Stiffness!$C$110,Element_Stiffness!P133,IF(7=Element_Stiffness!$E$110,Element_Stiffness!V133,0)),IF(Element_Stiffness!$E$110=0,IF(7=Element_Stiffness!$C$110,Element_Stiffness!P139,IF(7=Element_Stiffness!$E$110,Element_Stiffness!V139,0)),0)),0)+IF(Element_Stiffness!$C$146,IF(Element_Stiffness!$C$145=0,IF(7=Element_Stiffness!$C$145,Element_Stiffness!P168,IF(7=Element_Stiffness!$E$145,Element_Stiffness!V168,0)),IF(Element_Stiffness!$E$145=0,IF(7=Element_Stiffness!$C$145,Element_Stiffness!P174,IF(7=Element_Stiffness!$E$145,Element_Stiffness!V174,0)),0)),0)+IF(Element_Stiffness!$C$181,IF(Element_Stiffness!$C$180=0,IF(7=Element_Stiffness!$C$180,Element_Stiffness!P203,IF(7=Element_Stiffness!$E$180,Element_Stiffness!V203,0)),IF(Element_Stiffness!$E$180=0,IF(7=Element_Stiffness!$C$180,Element_Stiffness!P209,IF(7=Element_Stiffness!$E$180,Element_Stiffness!V209,0)),0)),0)+IF(Element_Stiffness!$C$216,IF(Element_Stiffness!$C$215=0,IF(7=Element_Stiffness!$C$215,Element_Stiffness!P238,IF(7=Element_Stiffness!$E$215,Element_Stiffness!V238,0)),IF(Element_Stiffness!$E$215=0,IF(7=Element_Stiffness!$C$215,Element_Stiffness!P244,IF(7=Element_Stiffness!$E$215,Element_Stiffness!V244,0)),0)),0)</f>
        <v/>
      </c>
      <c r="AT7" s="21">
        <f>IF(Element_Stiffness!$C$6,IF(Element_Stiffness!$C$5=0,IF(7=Element_Stiffness!$C$5,Element_Stiffness!Q28,IF(7=Element_Stiffness!$E$5,Element_Stiffness!W28,0)),IF(Element_Stiffness!$E$5=0,IF(7=Element_Stiffness!$C$5,Element_Stiffness!Q34,IF(7=Element_Stiffness!$E$5,Element_Stiffness!W34,0)),0)),0)+IF(Element_Stiffness!$C$41,IF(Element_Stiffness!$C$40=0,IF(7=Element_Stiffness!$C$40,Element_Stiffness!Q63,IF(7=Element_Stiffness!$E$40,Element_Stiffness!W63,0)),IF(Element_Stiffness!$E$40=0,IF(7=Element_Stiffness!$C$40,Element_Stiffness!Q69,IF(7=Element_Stiffness!$E$40,Element_Stiffness!W69,0)),0)),0)+IF(Element_Stiffness!$C$76,IF(Element_Stiffness!$C$75=0,IF(7=Element_Stiffness!$C$75,Element_Stiffness!Q98,IF(7=Element_Stiffness!$E$75,Element_Stiffness!W98,0)),IF(Element_Stiffness!$E$75=0,IF(7=Element_Stiffness!$C$75,Element_Stiffness!Q104,IF(7=Element_Stiffness!$E$75,Element_Stiffness!W104,0)),0)),0)+IF(Element_Stiffness!$C$111,IF(Element_Stiffness!$C$110=0,IF(7=Element_Stiffness!$C$110,Element_Stiffness!Q133,IF(7=Element_Stiffness!$E$110,Element_Stiffness!W133,0)),IF(Element_Stiffness!$E$110=0,IF(7=Element_Stiffness!$C$110,Element_Stiffness!Q139,IF(7=Element_Stiffness!$E$110,Element_Stiffness!W139,0)),0)),0)+IF(Element_Stiffness!$C$146,IF(Element_Stiffness!$C$145=0,IF(7=Element_Stiffness!$C$145,Element_Stiffness!Q168,IF(7=Element_Stiffness!$E$145,Element_Stiffness!W168,0)),IF(Element_Stiffness!$E$145=0,IF(7=Element_Stiffness!$C$145,Element_Stiffness!Q174,IF(7=Element_Stiffness!$E$145,Element_Stiffness!W174,0)),0)),0)+IF(Element_Stiffness!$C$181,IF(Element_Stiffness!$C$180=0,IF(7=Element_Stiffness!$C$180,Element_Stiffness!Q203,IF(7=Element_Stiffness!$E$180,Element_Stiffness!W203,0)),IF(Element_Stiffness!$E$180=0,IF(7=Element_Stiffness!$C$180,Element_Stiffness!Q209,IF(7=Element_Stiffness!$E$180,Element_Stiffness!W209,0)),0)),0)+IF(Element_Stiffness!$C$216,IF(Element_Stiffness!$C$215=0,IF(7=Element_Stiffness!$C$215,Element_Stiffness!Q238,IF(7=Element_Stiffness!$E$215,Element_Stiffness!W238,0)),IF(Element_Stiffness!$E$215=0,IF(7=Element_Stiffness!$C$215,Element_Stiffness!Q244,IF(7=Element_Stiffness!$E$215,Element_Stiffness!W244,0)),0)),0)</f>
        <v/>
      </c>
      <c r="AU7" s="21">
        <f>IF(Element_Stiffness!$C$6,IF(Element_Stiffness!$C$5=0,IF(7=Element_Stiffness!$C$5,Element_Stiffness!R28,IF(7=Element_Stiffness!$E$5,Element_Stiffness!X28,0)),IF(Element_Stiffness!$E$5=0,IF(7=Element_Stiffness!$C$5,Element_Stiffness!R34,IF(7=Element_Stiffness!$E$5,Element_Stiffness!X34,0)),0)),0)+IF(Element_Stiffness!$C$41,IF(Element_Stiffness!$C$40=0,IF(7=Element_Stiffness!$C$40,Element_Stiffness!R63,IF(7=Element_Stiffness!$E$40,Element_Stiffness!X63,0)),IF(Element_Stiffness!$E$40=0,IF(7=Element_Stiffness!$C$40,Element_Stiffness!R69,IF(7=Element_Stiffness!$E$40,Element_Stiffness!X69,0)),0)),0)+IF(Element_Stiffness!$C$76,IF(Element_Stiffness!$C$75=0,IF(7=Element_Stiffness!$C$75,Element_Stiffness!R98,IF(7=Element_Stiffness!$E$75,Element_Stiffness!X98,0)),IF(Element_Stiffness!$E$75=0,IF(7=Element_Stiffness!$C$75,Element_Stiffness!R104,IF(7=Element_Stiffness!$E$75,Element_Stiffness!X104,0)),0)),0)+IF(Element_Stiffness!$C$111,IF(Element_Stiffness!$C$110=0,IF(7=Element_Stiffness!$C$110,Element_Stiffness!R133,IF(7=Element_Stiffness!$E$110,Element_Stiffness!X133,0)),IF(Element_Stiffness!$E$110=0,IF(7=Element_Stiffness!$C$110,Element_Stiffness!R139,IF(7=Element_Stiffness!$E$110,Element_Stiffness!X139,0)),0)),0)+IF(Element_Stiffness!$C$146,IF(Element_Stiffness!$C$145=0,IF(7=Element_Stiffness!$C$145,Element_Stiffness!R168,IF(7=Element_Stiffness!$E$145,Element_Stiffness!X168,0)),IF(Element_Stiffness!$E$145=0,IF(7=Element_Stiffness!$C$145,Element_Stiffness!R174,IF(7=Element_Stiffness!$E$145,Element_Stiffness!X174,0)),0)),0)+IF(Element_Stiffness!$C$181,IF(Element_Stiffness!$C$180=0,IF(7=Element_Stiffness!$C$180,Element_Stiffness!R203,IF(7=Element_Stiffness!$E$180,Element_Stiffness!X203,0)),IF(Element_Stiffness!$E$180=0,IF(7=Element_Stiffness!$C$180,Element_Stiffness!R209,IF(7=Element_Stiffness!$E$180,Element_Stiffness!X209,0)),0)),0)+IF(Element_Stiffness!$C$216,IF(Element_Stiffness!$C$215=0,IF(7=Element_Stiffness!$C$215,Element_Stiffness!R238,IF(7=Element_Stiffness!$E$215,Element_Stiffness!X238,0)),IF(Element_Stiffness!$E$215=0,IF(7=Element_Stiffness!$C$215,Element_Stiffness!R244,IF(7=Element_Stiffness!$E$215,Element_Stiffness!X244,0)),0)),0)</f>
        <v/>
      </c>
      <c r="AV7" s="21">
        <f>IF(Element_Stiffness!$C$6,IF(Element_Stiffness!$C$5=0,IF(7=Element_Stiffness!$C$5,Element_Stiffness!S28,IF(7=Element_Stiffness!$E$5,Element_Stiffness!Y28,0)),IF(Element_Stiffness!$E$5=0,IF(7=Element_Stiffness!$C$5,Element_Stiffness!S34,IF(7=Element_Stiffness!$E$5,Element_Stiffness!Y34,0)),0)),0)+IF(Element_Stiffness!$C$41,IF(Element_Stiffness!$C$40=0,IF(7=Element_Stiffness!$C$40,Element_Stiffness!S63,IF(7=Element_Stiffness!$E$40,Element_Stiffness!Y63,0)),IF(Element_Stiffness!$E$40=0,IF(7=Element_Stiffness!$C$40,Element_Stiffness!S69,IF(7=Element_Stiffness!$E$40,Element_Stiffness!Y69,0)),0)),0)+IF(Element_Stiffness!$C$76,IF(Element_Stiffness!$C$75=0,IF(7=Element_Stiffness!$C$75,Element_Stiffness!S98,IF(7=Element_Stiffness!$E$75,Element_Stiffness!Y98,0)),IF(Element_Stiffness!$E$75=0,IF(7=Element_Stiffness!$C$75,Element_Stiffness!S104,IF(7=Element_Stiffness!$E$75,Element_Stiffness!Y104,0)),0)),0)+IF(Element_Stiffness!$C$111,IF(Element_Stiffness!$C$110=0,IF(7=Element_Stiffness!$C$110,Element_Stiffness!S133,IF(7=Element_Stiffness!$E$110,Element_Stiffness!Y133,0)),IF(Element_Stiffness!$E$110=0,IF(7=Element_Stiffness!$C$110,Element_Stiffness!S139,IF(7=Element_Stiffness!$E$110,Element_Stiffness!Y139,0)),0)),0)+IF(Element_Stiffness!$C$146,IF(Element_Stiffness!$C$145=0,IF(7=Element_Stiffness!$C$145,Element_Stiffness!S168,IF(7=Element_Stiffness!$E$145,Element_Stiffness!Y168,0)),IF(Element_Stiffness!$E$145=0,IF(7=Element_Stiffness!$C$145,Element_Stiffness!S174,IF(7=Element_Stiffness!$E$145,Element_Stiffness!Y174,0)),0)),0)+IF(Element_Stiffness!$C$181,IF(Element_Stiffness!$C$180=0,IF(7=Element_Stiffness!$C$180,Element_Stiffness!S203,IF(7=Element_Stiffness!$E$180,Element_Stiffness!Y203,0)),IF(Element_Stiffness!$E$180=0,IF(7=Element_Stiffness!$C$180,Element_Stiffness!S209,IF(7=Element_Stiffness!$E$180,Element_Stiffness!Y209,0)),0)),0)+IF(Element_Stiffness!$C$216,IF(Element_Stiffness!$C$215=0,IF(7=Element_Stiffness!$C$215,Element_Stiffness!S238,IF(7=Element_Stiffness!$E$215,Element_Stiffness!Y238,0)),IF(Element_Stiffness!$E$215=0,IF(7=Element_Stiffness!$C$215,Element_Stiffness!S244,IF(7=Element_Stiffness!$E$215,Element_Stiffness!Y244,0)),0)),0)</f>
        <v/>
      </c>
      <c r="AW7" s="21">
        <f>IF(Element_Stiffness!$C$6,IF(Element_Stiffness!$C$5=0,IF(7=Element_Stiffness!$C$5,Element_Stiffness!T28,IF(7=Element_Stiffness!$E$5,Element_Stiffness!Z28,0)),IF(Element_Stiffness!$E$5=0,IF(7=Element_Stiffness!$C$5,Element_Stiffness!T34,IF(7=Element_Stiffness!$E$5,Element_Stiffness!Z34,0)),0)),0)+IF(Element_Stiffness!$C$41,IF(Element_Stiffness!$C$40=0,IF(7=Element_Stiffness!$C$40,Element_Stiffness!T63,IF(7=Element_Stiffness!$E$40,Element_Stiffness!Z63,0)),IF(Element_Stiffness!$E$40=0,IF(7=Element_Stiffness!$C$40,Element_Stiffness!T69,IF(7=Element_Stiffness!$E$40,Element_Stiffness!Z69,0)),0)),0)+IF(Element_Stiffness!$C$76,IF(Element_Stiffness!$C$75=0,IF(7=Element_Stiffness!$C$75,Element_Stiffness!T98,IF(7=Element_Stiffness!$E$75,Element_Stiffness!Z98,0)),IF(Element_Stiffness!$E$75=0,IF(7=Element_Stiffness!$C$75,Element_Stiffness!T104,IF(7=Element_Stiffness!$E$75,Element_Stiffness!Z104,0)),0)),0)+IF(Element_Stiffness!$C$111,IF(Element_Stiffness!$C$110=0,IF(7=Element_Stiffness!$C$110,Element_Stiffness!T133,IF(7=Element_Stiffness!$E$110,Element_Stiffness!Z133,0)),IF(Element_Stiffness!$E$110=0,IF(7=Element_Stiffness!$C$110,Element_Stiffness!T139,IF(7=Element_Stiffness!$E$110,Element_Stiffness!Z139,0)),0)),0)+IF(Element_Stiffness!$C$146,IF(Element_Stiffness!$C$145=0,IF(7=Element_Stiffness!$C$145,Element_Stiffness!T168,IF(7=Element_Stiffness!$E$145,Element_Stiffness!Z168,0)),IF(Element_Stiffness!$E$145=0,IF(7=Element_Stiffness!$C$145,Element_Stiffness!T174,IF(7=Element_Stiffness!$E$145,Element_Stiffness!Z174,0)),0)),0)+IF(Element_Stiffness!$C$181,IF(Element_Stiffness!$C$180=0,IF(7=Element_Stiffness!$C$180,Element_Stiffness!T203,IF(7=Element_Stiffness!$E$180,Element_Stiffness!Z203,0)),IF(Element_Stiffness!$E$180=0,IF(7=Element_Stiffness!$C$180,Element_Stiffness!T209,IF(7=Element_Stiffness!$E$180,Element_Stiffness!Z209,0)),0)),0)+IF(Element_Stiffness!$C$216,IF(Element_Stiffness!$C$215=0,IF(7=Element_Stiffness!$C$215,Element_Stiffness!T238,IF(7=Element_Stiffness!$E$215,Element_Stiffness!Z238,0)),IF(Element_Stiffness!$E$215=0,IF(7=Element_Stiffness!$C$215,Element_Stiffness!T244,IF(7=Element_Stiffness!$E$215,Element_Stiffness!Z244,0)),0)),0)</f>
        <v/>
      </c>
      <c r="AX7" s="21">
        <f>IF(Element_Stiffness!$C$6,IF(Element_Stiffness!$C$5=0,IF(7=Element_Stiffness!$C$5,Element_Stiffness!U28,IF(7=Element_Stiffness!$E$5,Element_Stiffness!AA28,0)),IF(Element_Stiffness!$E$5=0,IF(7=Element_Stiffness!$C$5,Element_Stiffness!U34,IF(7=Element_Stiffness!$E$5,Element_Stiffness!AA34,0)),0)),0)+IF(Element_Stiffness!$C$41,IF(Element_Stiffness!$C$40=0,IF(7=Element_Stiffness!$C$40,Element_Stiffness!U63,IF(7=Element_Stiffness!$E$40,Element_Stiffness!AA63,0)),IF(Element_Stiffness!$E$40=0,IF(7=Element_Stiffness!$C$40,Element_Stiffness!U69,IF(7=Element_Stiffness!$E$40,Element_Stiffness!AA69,0)),0)),0)+IF(Element_Stiffness!$C$76,IF(Element_Stiffness!$C$75=0,IF(7=Element_Stiffness!$C$75,Element_Stiffness!U98,IF(7=Element_Stiffness!$E$75,Element_Stiffness!AA98,0)),IF(Element_Stiffness!$E$75=0,IF(7=Element_Stiffness!$C$75,Element_Stiffness!U104,IF(7=Element_Stiffness!$E$75,Element_Stiffness!AA104,0)),0)),0)+IF(Element_Stiffness!$C$111,IF(Element_Stiffness!$C$110=0,IF(7=Element_Stiffness!$C$110,Element_Stiffness!U133,IF(7=Element_Stiffness!$E$110,Element_Stiffness!AA133,0)),IF(Element_Stiffness!$E$110=0,IF(7=Element_Stiffness!$C$110,Element_Stiffness!U139,IF(7=Element_Stiffness!$E$110,Element_Stiffness!AA139,0)),0)),0)+IF(Element_Stiffness!$C$146,IF(Element_Stiffness!$C$145=0,IF(7=Element_Stiffness!$C$145,Element_Stiffness!U168,IF(7=Element_Stiffness!$E$145,Element_Stiffness!AA168,0)),IF(Element_Stiffness!$E$145=0,IF(7=Element_Stiffness!$C$145,Element_Stiffness!U174,IF(7=Element_Stiffness!$E$145,Element_Stiffness!AA174,0)),0)),0)+IF(Element_Stiffness!$C$181,IF(Element_Stiffness!$C$180=0,IF(7=Element_Stiffness!$C$180,Element_Stiffness!U203,IF(7=Element_Stiffness!$E$180,Element_Stiffness!AA203,0)),IF(Element_Stiffness!$E$180=0,IF(7=Element_Stiffness!$C$180,Element_Stiffness!U209,IF(7=Element_Stiffness!$E$180,Element_Stiffness!AA209,0)),0)),0)+IF(Element_Stiffness!$C$216,IF(Element_Stiffness!$C$215=0,IF(7=Element_Stiffness!$C$215,Element_Stiffness!U238,IF(7=Element_Stiffness!$E$215,Element_Stiffness!AA238,0)),IF(Element_Stiffness!$E$215=0,IF(7=Element_Stiffness!$C$215,Element_Stiffness!U244,IF(7=Element_Stiffness!$E$215,Element_Stiffness!AA244,0)),0)),0)</f>
        <v/>
      </c>
      <c r="AY7" s="21" t="n">
        <v>0</v>
      </c>
      <c r="AZ7" s="21">
        <f>IF(Element_Stiffness!$C$6,IF(Element_Stiffness!$C$5=0,Element_Stiffness!C28,IF(Element_Stiffness!$E$5=0,Element_Stiffness!C34,0)),0)+IF(Element_Stiffness!$C$41,IF(Element_Stiffness!$C$40=0,Element_Stiffness!C63,IF(Element_Stiffness!$E$40=0,Element_Stiffness!C69,0)),0)+IF(Element_Stiffness!$C$76,IF(Element_Stiffness!$C$75=0,Element_Stiffness!C98,IF(Element_Stiffness!$E$75=0,Element_Stiffness!C104,0)),0)+IF(Element_Stiffness!$C$111,IF(Element_Stiffness!$C$110=0,Element_Stiffness!C133,IF(Element_Stiffness!$E$110=0,Element_Stiffness!C139,0)),0)+IF(Element_Stiffness!$C$146,IF(Element_Stiffness!$C$145=0,Element_Stiffness!C168,IF(Element_Stiffness!$E$145=0,Element_Stiffness!C174,0)),0)+IF(Element_Stiffness!$C$181,IF(Element_Stiffness!$C$180=0,Element_Stiffness!C203,IF(Element_Stiffness!$E$180=0,Element_Stiffness!C209,0)),0)+IF(Element_Stiffness!$C$216,IF(Element_Stiffness!$C$215=0,Element_Stiffness!C238,IF(Element_Stiffness!$E$215=0,Element_Stiffness!C244,0)),0)</f>
        <v/>
      </c>
      <c r="BB7" s="28">
        <f>INDEX(MMULT(MINVERSE(C5:AX52), AY5:AY52), 3, 1)</f>
        <v/>
      </c>
      <c r="BC7" s="28">
        <f>INDEX(MMULT(MINVERSE(C5:AX52), AZ5:AZ52), 3, 1)</f>
        <v/>
      </c>
    </row>
    <row r="8">
      <c r="B8" s="27" t="inlineStr">
        <is>
          <t>N0_rx</t>
        </is>
      </c>
      <c r="C8" s="21">
        <f>IF(Element_Stiffness!$C$6,IF(Element_Stiffness!$C$5=0,IF(0=Element_Stiffness!$C$5,Element_Stiffness!P29,IF(0=Element_Stiffness!$E$5,Element_Stiffness!V29,0)),IF(Element_Stiffness!$E$5=0,IF(0=Element_Stiffness!$C$5,Element_Stiffness!P35,IF(0=Element_Stiffness!$E$5,Element_Stiffness!V35,0)),0)),0)+IF(Element_Stiffness!$C$41,IF(Element_Stiffness!$C$40=0,IF(0=Element_Stiffness!$C$40,Element_Stiffness!P64,IF(0=Element_Stiffness!$E$40,Element_Stiffness!V64,0)),IF(Element_Stiffness!$E$40=0,IF(0=Element_Stiffness!$C$40,Element_Stiffness!P70,IF(0=Element_Stiffness!$E$40,Element_Stiffness!V70,0)),0)),0)+IF(Element_Stiffness!$C$76,IF(Element_Stiffness!$C$75=0,IF(0=Element_Stiffness!$C$75,Element_Stiffness!P99,IF(0=Element_Stiffness!$E$75,Element_Stiffness!V99,0)),IF(Element_Stiffness!$E$75=0,IF(0=Element_Stiffness!$C$75,Element_Stiffness!P105,IF(0=Element_Stiffness!$E$75,Element_Stiffness!V105,0)),0)),0)+IF(Element_Stiffness!$C$111,IF(Element_Stiffness!$C$110=0,IF(0=Element_Stiffness!$C$110,Element_Stiffness!P134,IF(0=Element_Stiffness!$E$110,Element_Stiffness!V134,0)),IF(Element_Stiffness!$E$110=0,IF(0=Element_Stiffness!$C$110,Element_Stiffness!P140,IF(0=Element_Stiffness!$E$110,Element_Stiffness!V140,0)),0)),0)+IF(Element_Stiffness!$C$146,IF(Element_Stiffness!$C$145=0,IF(0=Element_Stiffness!$C$145,Element_Stiffness!P169,IF(0=Element_Stiffness!$E$145,Element_Stiffness!V169,0)),IF(Element_Stiffness!$E$145=0,IF(0=Element_Stiffness!$C$145,Element_Stiffness!P175,IF(0=Element_Stiffness!$E$145,Element_Stiffness!V175,0)),0)),0)+IF(Element_Stiffness!$C$181,IF(Element_Stiffness!$C$180=0,IF(0=Element_Stiffness!$C$180,Element_Stiffness!P204,IF(0=Element_Stiffness!$E$180,Element_Stiffness!V204,0)),IF(Element_Stiffness!$E$180=0,IF(0=Element_Stiffness!$C$180,Element_Stiffness!P210,IF(0=Element_Stiffness!$E$180,Element_Stiffness!V210,0)),0)),0)+IF(Element_Stiffness!$C$216,IF(Element_Stiffness!$C$215=0,IF(0=Element_Stiffness!$C$215,Element_Stiffness!P239,IF(0=Element_Stiffness!$E$215,Element_Stiffness!V239,0)),IF(Element_Stiffness!$E$215=0,IF(0=Element_Stiffness!$C$215,Element_Stiffness!P245,IF(0=Element_Stiffness!$E$215,Element_Stiffness!V245,0)),0)),0)</f>
        <v/>
      </c>
      <c r="D8" s="21">
        <f>IF(Element_Stiffness!$C$6,IF(Element_Stiffness!$C$5=0,IF(0=Element_Stiffness!$C$5,Element_Stiffness!Q29,IF(0=Element_Stiffness!$E$5,Element_Stiffness!W29,0)),IF(Element_Stiffness!$E$5=0,IF(0=Element_Stiffness!$C$5,Element_Stiffness!Q35,IF(0=Element_Stiffness!$E$5,Element_Stiffness!W35,0)),0)),0)+IF(Element_Stiffness!$C$41,IF(Element_Stiffness!$C$40=0,IF(0=Element_Stiffness!$C$40,Element_Stiffness!Q64,IF(0=Element_Stiffness!$E$40,Element_Stiffness!W64,0)),IF(Element_Stiffness!$E$40=0,IF(0=Element_Stiffness!$C$40,Element_Stiffness!Q70,IF(0=Element_Stiffness!$E$40,Element_Stiffness!W70,0)),0)),0)+IF(Element_Stiffness!$C$76,IF(Element_Stiffness!$C$75=0,IF(0=Element_Stiffness!$C$75,Element_Stiffness!Q99,IF(0=Element_Stiffness!$E$75,Element_Stiffness!W99,0)),IF(Element_Stiffness!$E$75=0,IF(0=Element_Stiffness!$C$75,Element_Stiffness!Q105,IF(0=Element_Stiffness!$E$75,Element_Stiffness!W105,0)),0)),0)+IF(Element_Stiffness!$C$111,IF(Element_Stiffness!$C$110=0,IF(0=Element_Stiffness!$C$110,Element_Stiffness!Q134,IF(0=Element_Stiffness!$E$110,Element_Stiffness!W134,0)),IF(Element_Stiffness!$E$110=0,IF(0=Element_Stiffness!$C$110,Element_Stiffness!Q140,IF(0=Element_Stiffness!$E$110,Element_Stiffness!W140,0)),0)),0)+IF(Element_Stiffness!$C$146,IF(Element_Stiffness!$C$145=0,IF(0=Element_Stiffness!$C$145,Element_Stiffness!Q169,IF(0=Element_Stiffness!$E$145,Element_Stiffness!W169,0)),IF(Element_Stiffness!$E$145=0,IF(0=Element_Stiffness!$C$145,Element_Stiffness!Q175,IF(0=Element_Stiffness!$E$145,Element_Stiffness!W175,0)),0)),0)+IF(Element_Stiffness!$C$181,IF(Element_Stiffness!$C$180=0,IF(0=Element_Stiffness!$C$180,Element_Stiffness!Q204,IF(0=Element_Stiffness!$E$180,Element_Stiffness!W204,0)),IF(Element_Stiffness!$E$180=0,IF(0=Element_Stiffness!$C$180,Element_Stiffness!Q210,IF(0=Element_Stiffness!$E$180,Element_Stiffness!W210,0)),0)),0)+IF(Element_Stiffness!$C$216,IF(Element_Stiffness!$C$215=0,IF(0=Element_Stiffness!$C$215,Element_Stiffness!Q239,IF(0=Element_Stiffness!$E$215,Element_Stiffness!W239,0)),IF(Element_Stiffness!$E$215=0,IF(0=Element_Stiffness!$C$215,Element_Stiffness!Q245,IF(0=Element_Stiffness!$E$215,Element_Stiffness!W245,0)),0)),0)</f>
        <v/>
      </c>
      <c r="E8" s="21">
        <f>IF(Element_Stiffness!$C$6,IF(Element_Stiffness!$C$5=0,IF(0=Element_Stiffness!$C$5,Element_Stiffness!R29,IF(0=Element_Stiffness!$E$5,Element_Stiffness!X29,0)),IF(Element_Stiffness!$E$5=0,IF(0=Element_Stiffness!$C$5,Element_Stiffness!R35,IF(0=Element_Stiffness!$E$5,Element_Stiffness!X35,0)),0)),0)+IF(Element_Stiffness!$C$41,IF(Element_Stiffness!$C$40=0,IF(0=Element_Stiffness!$C$40,Element_Stiffness!R64,IF(0=Element_Stiffness!$E$40,Element_Stiffness!X64,0)),IF(Element_Stiffness!$E$40=0,IF(0=Element_Stiffness!$C$40,Element_Stiffness!R70,IF(0=Element_Stiffness!$E$40,Element_Stiffness!X70,0)),0)),0)+IF(Element_Stiffness!$C$76,IF(Element_Stiffness!$C$75=0,IF(0=Element_Stiffness!$C$75,Element_Stiffness!R99,IF(0=Element_Stiffness!$E$75,Element_Stiffness!X99,0)),IF(Element_Stiffness!$E$75=0,IF(0=Element_Stiffness!$C$75,Element_Stiffness!R105,IF(0=Element_Stiffness!$E$75,Element_Stiffness!X105,0)),0)),0)+IF(Element_Stiffness!$C$111,IF(Element_Stiffness!$C$110=0,IF(0=Element_Stiffness!$C$110,Element_Stiffness!R134,IF(0=Element_Stiffness!$E$110,Element_Stiffness!X134,0)),IF(Element_Stiffness!$E$110=0,IF(0=Element_Stiffness!$C$110,Element_Stiffness!R140,IF(0=Element_Stiffness!$E$110,Element_Stiffness!X140,0)),0)),0)+IF(Element_Stiffness!$C$146,IF(Element_Stiffness!$C$145=0,IF(0=Element_Stiffness!$C$145,Element_Stiffness!R169,IF(0=Element_Stiffness!$E$145,Element_Stiffness!X169,0)),IF(Element_Stiffness!$E$145=0,IF(0=Element_Stiffness!$C$145,Element_Stiffness!R175,IF(0=Element_Stiffness!$E$145,Element_Stiffness!X175,0)),0)),0)+IF(Element_Stiffness!$C$181,IF(Element_Stiffness!$C$180=0,IF(0=Element_Stiffness!$C$180,Element_Stiffness!R204,IF(0=Element_Stiffness!$E$180,Element_Stiffness!X204,0)),IF(Element_Stiffness!$E$180=0,IF(0=Element_Stiffness!$C$180,Element_Stiffness!R210,IF(0=Element_Stiffness!$E$180,Element_Stiffness!X210,0)),0)),0)+IF(Element_Stiffness!$C$216,IF(Element_Stiffness!$C$215=0,IF(0=Element_Stiffness!$C$215,Element_Stiffness!R239,IF(0=Element_Stiffness!$E$215,Element_Stiffness!X239,0)),IF(Element_Stiffness!$E$215=0,IF(0=Element_Stiffness!$C$215,Element_Stiffness!R245,IF(0=Element_Stiffness!$E$215,Element_Stiffness!X245,0)),0)),0)</f>
        <v/>
      </c>
      <c r="F8" s="21">
        <f>IF(Element_Stiffness!$C$6,IF(Element_Stiffness!$C$5=0,IF(0=Element_Stiffness!$C$5,Element_Stiffness!S29,IF(0=Element_Stiffness!$E$5,Element_Stiffness!Y29,0)),IF(Element_Stiffness!$E$5=0,IF(0=Element_Stiffness!$C$5,Element_Stiffness!S35,IF(0=Element_Stiffness!$E$5,Element_Stiffness!Y35,0)),0)),0)+IF(Element_Stiffness!$C$41,IF(Element_Stiffness!$C$40=0,IF(0=Element_Stiffness!$C$40,Element_Stiffness!S64,IF(0=Element_Stiffness!$E$40,Element_Stiffness!Y64,0)),IF(Element_Stiffness!$E$40=0,IF(0=Element_Stiffness!$C$40,Element_Stiffness!S70,IF(0=Element_Stiffness!$E$40,Element_Stiffness!Y70,0)),0)),0)+IF(Element_Stiffness!$C$76,IF(Element_Stiffness!$C$75=0,IF(0=Element_Stiffness!$C$75,Element_Stiffness!S99,IF(0=Element_Stiffness!$E$75,Element_Stiffness!Y99,0)),IF(Element_Stiffness!$E$75=0,IF(0=Element_Stiffness!$C$75,Element_Stiffness!S105,IF(0=Element_Stiffness!$E$75,Element_Stiffness!Y105,0)),0)),0)+IF(Element_Stiffness!$C$111,IF(Element_Stiffness!$C$110=0,IF(0=Element_Stiffness!$C$110,Element_Stiffness!S134,IF(0=Element_Stiffness!$E$110,Element_Stiffness!Y134,0)),IF(Element_Stiffness!$E$110=0,IF(0=Element_Stiffness!$C$110,Element_Stiffness!S140,IF(0=Element_Stiffness!$E$110,Element_Stiffness!Y140,0)),0)),0)+IF(Element_Stiffness!$C$146,IF(Element_Stiffness!$C$145=0,IF(0=Element_Stiffness!$C$145,Element_Stiffness!S169,IF(0=Element_Stiffness!$E$145,Element_Stiffness!Y169,0)),IF(Element_Stiffness!$E$145=0,IF(0=Element_Stiffness!$C$145,Element_Stiffness!S175,IF(0=Element_Stiffness!$E$145,Element_Stiffness!Y175,0)),0)),0)+IF(Element_Stiffness!$C$181,IF(Element_Stiffness!$C$180=0,IF(0=Element_Stiffness!$C$180,Element_Stiffness!S204,IF(0=Element_Stiffness!$E$180,Element_Stiffness!Y204,0)),IF(Element_Stiffness!$E$180=0,IF(0=Element_Stiffness!$C$180,Element_Stiffness!S210,IF(0=Element_Stiffness!$E$180,Element_Stiffness!Y210,0)),0)),0)+IF(Element_Stiffness!$C$216,IF(Element_Stiffness!$C$215=0,IF(0=Element_Stiffness!$C$215,Element_Stiffness!S239,IF(0=Element_Stiffness!$E$215,Element_Stiffness!Y239,0)),IF(Element_Stiffness!$E$215=0,IF(0=Element_Stiffness!$C$215,Element_Stiffness!S245,IF(0=Element_Stiffness!$E$215,Element_Stiffness!Y245,0)),0)),0)+IF(Inputs!F40=TRUE,1E15,IF(ISNUMBER(Inputs!F40),Inputs!F40,0))</f>
        <v/>
      </c>
      <c r="G8" s="21">
        <f>IF(Element_Stiffness!$C$6,IF(Element_Stiffness!$C$5=0,IF(0=Element_Stiffness!$C$5,Element_Stiffness!T29,IF(0=Element_Stiffness!$E$5,Element_Stiffness!Z29,0)),IF(Element_Stiffness!$E$5=0,IF(0=Element_Stiffness!$C$5,Element_Stiffness!T35,IF(0=Element_Stiffness!$E$5,Element_Stiffness!Z35,0)),0)),0)+IF(Element_Stiffness!$C$41,IF(Element_Stiffness!$C$40=0,IF(0=Element_Stiffness!$C$40,Element_Stiffness!T64,IF(0=Element_Stiffness!$E$40,Element_Stiffness!Z64,0)),IF(Element_Stiffness!$E$40=0,IF(0=Element_Stiffness!$C$40,Element_Stiffness!T70,IF(0=Element_Stiffness!$E$40,Element_Stiffness!Z70,0)),0)),0)+IF(Element_Stiffness!$C$76,IF(Element_Stiffness!$C$75=0,IF(0=Element_Stiffness!$C$75,Element_Stiffness!T99,IF(0=Element_Stiffness!$E$75,Element_Stiffness!Z99,0)),IF(Element_Stiffness!$E$75=0,IF(0=Element_Stiffness!$C$75,Element_Stiffness!T105,IF(0=Element_Stiffness!$E$75,Element_Stiffness!Z105,0)),0)),0)+IF(Element_Stiffness!$C$111,IF(Element_Stiffness!$C$110=0,IF(0=Element_Stiffness!$C$110,Element_Stiffness!T134,IF(0=Element_Stiffness!$E$110,Element_Stiffness!Z134,0)),IF(Element_Stiffness!$E$110=0,IF(0=Element_Stiffness!$C$110,Element_Stiffness!T140,IF(0=Element_Stiffness!$E$110,Element_Stiffness!Z140,0)),0)),0)+IF(Element_Stiffness!$C$146,IF(Element_Stiffness!$C$145=0,IF(0=Element_Stiffness!$C$145,Element_Stiffness!T169,IF(0=Element_Stiffness!$E$145,Element_Stiffness!Z169,0)),IF(Element_Stiffness!$E$145=0,IF(0=Element_Stiffness!$C$145,Element_Stiffness!T175,IF(0=Element_Stiffness!$E$145,Element_Stiffness!Z175,0)),0)),0)+IF(Element_Stiffness!$C$181,IF(Element_Stiffness!$C$180=0,IF(0=Element_Stiffness!$C$180,Element_Stiffness!T204,IF(0=Element_Stiffness!$E$180,Element_Stiffness!Z204,0)),IF(Element_Stiffness!$E$180=0,IF(0=Element_Stiffness!$C$180,Element_Stiffness!T210,IF(0=Element_Stiffness!$E$180,Element_Stiffness!Z210,0)),0)),0)+IF(Element_Stiffness!$C$216,IF(Element_Stiffness!$C$215=0,IF(0=Element_Stiffness!$C$215,Element_Stiffness!T239,IF(0=Element_Stiffness!$E$215,Element_Stiffness!Z239,0)),IF(Element_Stiffness!$E$215=0,IF(0=Element_Stiffness!$C$215,Element_Stiffness!T245,IF(0=Element_Stiffness!$E$215,Element_Stiffness!Z245,0)),0)),0)</f>
        <v/>
      </c>
      <c r="H8" s="21">
        <f>IF(Element_Stiffness!$C$6,IF(Element_Stiffness!$C$5=0,IF(0=Element_Stiffness!$C$5,Element_Stiffness!U29,IF(0=Element_Stiffness!$E$5,Element_Stiffness!AA29,0)),IF(Element_Stiffness!$E$5=0,IF(0=Element_Stiffness!$C$5,Element_Stiffness!U35,IF(0=Element_Stiffness!$E$5,Element_Stiffness!AA35,0)),0)),0)+IF(Element_Stiffness!$C$41,IF(Element_Stiffness!$C$40=0,IF(0=Element_Stiffness!$C$40,Element_Stiffness!U64,IF(0=Element_Stiffness!$E$40,Element_Stiffness!AA64,0)),IF(Element_Stiffness!$E$40=0,IF(0=Element_Stiffness!$C$40,Element_Stiffness!U70,IF(0=Element_Stiffness!$E$40,Element_Stiffness!AA70,0)),0)),0)+IF(Element_Stiffness!$C$76,IF(Element_Stiffness!$C$75=0,IF(0=Element_Stiffness!$C$75,Element_Stiffness!U99,IF(0=Element_Stiffness!$E$75,Element_Stiffness!AA99,0)),IF(Element_Stiffness!$E$75=0,IF(0=Element_Stiffness!$C$75,Element_Stiffness!U105,IF(0=Element_Stiffness!$E$75,Element_Stiffness!AA105,0)),0)),0)+IF(Element_Stiffness!$C$111,IF(Element_Stiffness!$C$110=0,IF(0=Element_Stiffness!$C$110,Element_Stiffness!U134,IF(0=Element_Stiffness!$E$110,Element_Stiffness!AA134,0)),IF(Element_Stiffness!$E$110=0,IF(0=Element_Stiffness!$C$110,Element_Stiffness!U140,IF(0=Element_Stiffness!$E$110,Element_Stiffness!AA140,0)),0)),0)+IF(Element_Stiffness!$C$146,IF(Element_Stiffness!$C$145=0,IF(0=Element_Stiffness!$C$145,Element_Stiffness!U169,IF(0=Element_Stiffness!$E$145,Element_Stiffness!AA169,0)),IF(Element_Stiffness!$E$145=0,IF(0=Element_Stiffness!$C$145,Element_Stiffness!U175,IF(0=Element_Stiffness!$E$145,Element_Stiffness!AA175,0)),0)),0)+IF(Element_Stiffness!$C$181,IF(Element_Stiffness!$C$180=0,IF(0=Element_Stiffness!$C$180,Element_Stiffness!U204,IF(0=Element_Stiffness!$E$180,Element_Stiffness!AA204,0)),IF(Element_Stiffness!$E$180=0,IF(0=Element_Stiffness!$C$180,Element_Stiffness!U210,IF(0=Element_Stiffness!$E$180,Element_Stiffness!AA210,0)),0)),0)+IF(Element_Stiffness!$C$216,IF(Element_Stiffness!$C$215=0,IF(0=Element_Stiffness!$C$215,Element_Stiffness!U239,IF(0=Element_Stiffness!$E$215,Element_Stiffness!AA239,0)),IF(Element_Stiffness!$E$215=0,IF(0=Element_Stiffness!$C$215,Element_Stiffness!U245,IF(0=Element_Stiffness!$E$215,Element_Stiffness!AA245,0)),0)),0)</f>
        <v/>
      </c>
      <c r="I8" s="21">
        <f>IF(Element_Stiffness!$C$6,IF(Element_Stiffness!$C$5=0,IF(1=Element_Stiffness!$C$5,Element_Stiffness!P29,IF(1=Element_Stiffness!$E$5,Element_Stiffness!V29,0)),IF(Element_Stiffness!$E$5=0,IF(1=Element_Stiffness!$C$5,Element_Stiffness!P35,IF(1=Element_Stiffness!$E$5,Element_Stiffness!V35,0)),0)),0)+IF(Element_Stiffness!$C$41,IF(Element_Stiffness!$C$40=0,IF(1=Element_Stiffness!$C$40,Element_Stiffness!P64,IF(1=Element_Stiffness!$E$40,Element_Stiffness!V64,0)),IF(Element_Stiffness!$E$40=0,IF(1=Element_Stiffness!$C$40,Element_Stiffness!P70,IF(1=Element_Stiffness!$E$40,Element_Stiffness!V70,0)),0)),0)+IF(Element_Stiffness!$C$76,IF(Element_Stiffness!$C$75=0,IF(1=Element_Stiffness!$C$75,Element_Stiffness!P99,IF(1=Element_Stiffness!$E$75,Element_Stiffness!V99,0)),IF(Element_Stiffness!$E$75=0,IF(1=Element_Stiffness!$C$75,Element_Stiffness!P105,IF(1=Element_Stiffness!$E$75,Element_Stiffness!V105,0)),0)),0)+IF(Element_Stiffness!$C$111,IF(Element_Stiffness!$C$110=0,IF(1=Element_Stiffness!$C$110,Element_Stiffness!P134,IF(1=Element_Stiffness!$E$110,Element_Stiffness!V134,0)),IF(Element_Stiffness!$E$110=0,IF(1=Element_Stiffness!$C$110,Element_Stiffness!P140,IF(1=Element_Stiffness!$E$110,Element_Stiffness!V140,0)),0)),0)+IF(Element_Stiffness!$C$146,IF(Element_Stiffness!$C$145=0,IF(1=Element_Stiffness!$C$145,Element_Stiffness!P169,IF(1=Element_Stiffness!$E$145,Element_Stiffness!V169,0)),IF(Element_Stiffness!$E$145=0,IF(1=Element_Stiffness!$C$145,Element_Stiffness!P175,IF(1=Element_Stiffness!$E$145,Element_Stiffness!V175,0)),0)),0)+IF(Element_Stiffness!$C$181,IF(Element_Stiffness!$C$180=0,IF(1=Element_Stiffness!$C$180,Element_Stiffness!P204,IF(1=Element_Stiffness!$E$180,Element_Stiffness!V204,0)),IF(Element_Stiffness!$E$180=0,IF(1=Element_Stiffness!$C$180,Element_Stiffness!P210,IF(1=Element_Stiffness!$E$180,Element_Stiffness!V210,0)),0)),0)+IF(Element_Stiffness!$C$216,IF(Element_Stiffness!$C$215=0,IF(1=Element_Stiffness!$C$215,Element_Stiffness!P239,IF(1=Element_Stiffness!$E$215,Element_Stiffness!V239,0)),IF(Element_Stiffness!$E$215=0,IF(1=Element_Stiffness!$C$215,Element_Stiffness!P245,IF(1=Element_Stiffness!$E$215,Element_Stiffness!V245,0)),0)),0)</f>
        <v/>
      </c>
      <c r="J8" s="21">
        <f>IF(Element_Stiffness!$C$6,IF(Element_Stiffness!$C$5=0,IF(1=Element_Stiffness!$C$5,Element_Stiffness!Q29,IF(1=Element_Stiffness!$E$5,Element_Stiffness!W29,0)),IF(Element_Stiffness!$E$5=0,IF(1=Element_Stiffness!$C$5,Element_Stiffness!Q35,IF(1=Element_Stiffness!$E$5,Element_Stiffness!W35,0)),0)),0)+IF(Element_Stiffness!$C$41,IF(Element_Stiffness!$C$40=0,IF(1=Element_Stiffness!$C$40,Element_Stiffness!Q64,IF(1=Element_Stiffness!$E$40,Element_Stiffness!W64,0)),IF(Element_Stiffness!$E$40=0,IF(1=Element_Stiffness!$C$40,Element_Stiffness!Q70,IF(1=Element_Stiffness!$E$40,Element_Stiffness!W70,0)),0)),0)+IF(Element_Stiffness!$C$76,IF(Element_Stiffness!$C$75=0,IF(1=Element_Stiffness!$C$75,Element_Stiffness!Q99,IF(1=Element_Stiffness!$E$75,Element_Stiffness!W99,0)),IF(Element_Stiffness!$E$75=0,IF(1=Element_Stiffness!$C$75,Element_Stiffness!Q105,IF(1=Element_Stiffness!$E$75,Element_Stiffness!W105,0)),0)),0)+IF(Element_Stiffness!$C$111,IF(Element_Stiffness!$C$110=0,IF(1=Element_Stiffness!$C$110,Element_Stiffness!Q134,IF(1=Element_Stiffness!$E$110,Element_Stiffness!W134,0)),IF(Element_Stiffness!$E$110=0,IF(1=Element_Stiffness!$C$110,Element_Stiffness!Q140,IF(1=Element_Stiffness!$E$110,Element_Stiffness!W140,0)),0)),0)+IF(Element_Stiffness!$C$146,IF(Element_Stiffness!$C$145=0,IF(1=Element_Stiffness!$C$145,Element_Stiffness!Q169,IF(1=Element_Stiffness!$E$145,Element_Stiffness!W169,0)),IF(Element_Stiffness!$E$145=0,IF(1=Element_Stiffness!$C$145,Element_Stiffness!Q175,IF(1=Element_Stiffness!$E$145,Element_Stiffness!W175,0)),0)),0)+IF(Element_Stiffness!$C$181,IF(Element_Stiffness!$C$180=0,IF(1=Element_Stiffness!$C$180,Element_Stiffness!Q204,IF(1=Element_Stiffness!$E$180,Element_Stiffness!W204,0)),IF(Element_Stiffness!$E$180=0,IF(1=Element_Stiffness!$C$180,Element_Stiffness!Q210,IF(1=Element_Stiffness!$E$180,Element_Stiffness!W210,0)),0)),0)+IF(Element_Stiffness!$C$216,IF(Element_Stiffness!$C$215=0,IF(1=Element_Stiffness!$C$215,Element_Stiffness!Q239,IF(1=Element_Stiffness!$E$215,Element_Stiffness!W239,0)),IF(Element_Stiffness!$E$215=0,IF(1=Element_Stiffness!$C$215,Element_Stiffness!Q245,IF(1=Element_Stiffness!$E$215,Element_Stiffness!W245,0)),0)),0)</f>
        <v/>
      </c>
      <c r="K8" s="21">
        <f>IF(Element_Stiffness!$C$6,IF(Element_Stiffness!$C$5=0,IF(1=Element_Stiffness!$C$5,Element_Stiffness!R29,IF(1=Element_Stiffness!$E$5,Element_Stiffness!X29,0)),IF(Element_Stiffness!$E$5=0,IF(1=Element_Stiffness!$C$5,Element_Stiffness!R35,IF(1=Element_Stiffness!$E$5,Element_Stiffness!X35,0)),0)),0)+IF(Element_Stiffness!$C$41,IF(Element_Stiffness!$C$40=0,IF(1=Element_Stiffness!$C$40,Element_Stiffness!R64,IF(1=Element_Stiffness!$E$40,Element_Stiffness!X64,0)),IF(Element_Stiffness!$E$40=0,IF(1=Element_Stiffness!$C$40,Element_Stiffness!R70,IF(1=Element_Stiffness!$E$40,Element_Stiffness!X70,0)),0)),0)+IF(Element_Stiffness!$C$76,IF(Element_Stiffness!$C$75=0,IF(1=Element_Stiffness!$C$75,Element_Stiffness!R99,IF(1=Element_Stiffness!$E$75,Element_Stiffness!X99,0)),IF(Element_Stiffness!$E$75=0,IF(1=Element_Stiffness!$C$75,Element_Stiffness!R105,IF(1=Element_Stiffness!$E$75,Element_Stiffness!X105,0)),0)),0)+IF(Element_Stiffness!$C$111,IF(Element_Stiffness!$C$110=0,IF(1=Element_Stiffness!$C$110,Element_Stiffness!R134,IF(1=Element_Stiffness!$E$110,Element_Stiffness!X134,0)),IF(Element_Stiffness!$E$110=0,IF(1=Element_Stiffness!$C$110,Element_Stiffness!R140,IF(1=Element_Stiffness!$E$110,Element_Stiffness!X140,0)),0)),0)+IF(Element_Stiffness!$C$146,IF(Element_Stiffness!$C$145=0,IF(1=Element_Stiffness!$C$145,Element_Stiffness!R169,IF(1=Element_Stiffness!$E$145,Element_Stiffness!X169,0)),IF(Element_Stiffness!$E$145=0,IF(1=Element_Stiffness!$C$145,Element_Stiffness!R175,IF(1=Element_Stiffness!$E$145,Element_Stiffness!X175,0)),0)),0)+IF(Element_Stiffness!$C$181,IF(Element_Stiffness!$C$180=0,IF(1=Element_Stiffness!$C$180,Element_Stiffness!R204,IF(1=Element_Stiffness!$E$180,Element_Stiffness!X204,0)),IF(Element_Stiffness!$E$180=0,IF(1=Element_Stiffness!$C$180,Element_Stiffness!R210,IF(1=Element_Stiffness!$E$180,Element_Stiffness!X210,0)),0)),0)+IF(Element_Stiffness!$C$216,IF(Element_Stiffness!$C$215=0,IF(1=Element_Stiffness!$C$215,Element_Stiffness!R239,IF(1=Element_Stiffness!$E$215,Element_Stiffness!X239,0)),IF(Element_Stiffness!$E$215=0,IF(1=Element_Stiffness!$C$215,Element_Stiffness!R245,IF(1=Element_Stiffness!$E$215,Element_Stiffness!X245,0)),0)),0)</f>
        <v/>
      </c>
      <c r="L8" s="21">
        <f>IF(Element_Stiffness!$C$6,IF(Element_Stiffness!$C$5=0,IF(1=Element_Stiffness!$C$5,Element_Stiffness!S29,IF(1=Element_Stiffness!$E$5,Element_Stiffness!Y29,0)),IF(Element_Stiffness!$E$5=0,IF(1=Element_Stiffness!$C$5,Element_Stiffness!S35,IF(1=Element_Stiffness!$E$5,Element_Stiffness!Y35,0)),0)),0)+IF(Element_Stiffness!$C$41,IF(Element_Stiffness!$C$40=0,IF(1=Element_Stiffness!$C$40,Element_Stiffness!S64,IF(1=Element_Stiffness!$E$40,Element_Stiffness!Y64,0)),IF(Element_Stiffness!$E$40=0,IF(1=Element_Stiffness!$C$40,Element_Stiffness!S70,IF(1=Element_Stiffness!$E$40,Element_Stiffness!Y70,0)),0)),0)+IF(Element_Stiffness!$C$76,IF(Element_Stiffness!$C$75=0,IF(1=Element_Stiffness!$C$75,Element_Stiffness!S99,IF(1=Element_Stiffness!$E$75,Element_Stiffness!Y99,0)),IF(Element_Stiffness!$E$75=0,IF(1=Element_Stiffness!$C$75,Element_Stiffness!S105,IF(1=Element_Stiffness!$E$75,Element_Stiffness!Y105,0)),0)),0)+IF(Element_Stiffness!$C$111,IF(Element_Stiffness!$C$110=0,IF(1=Element_Stiffness!$C$110,Element_Stiffness!S134,IF(1=Element_Stiffness!$E$110,Element_Stiffness!Y134,0)),IF(Element_Stiffness!$E$110=0,IF(1=Element_Stiffness!$C$110,Element_Stiffness!S140,IF(1=Element_Stiffness!$E$110,Element_Stiffness!Y140,0)),0)),0)+IF(Element_Stiffness!$C$146,IF(Element_Stiffness!$C$145=0,IF(1=Element_Stiffness!$C$145,Element_Stiffness!S169,IF(1=Element_Stiffness!$E$145,Element_Stiffness!Y169,0)),IF(Element_Stiffness!$E$145=0,IF(1=Element_Stiffness!$C$145,Element_Stiffness!S175,IF(1=Element_Stiffness!$E$145,Element_Stiffness!Y175,0)),0)),0)+IF(Element_Stiffness!$C$181,IF(Element_Stiffness!$C$180=0,IF(1=Element_Stiffness!$C$180,Element_Stiffness!S204,IF(1=Element_Stiffness!$E$180,Element_Stiffness!Y204,0)),IF(Element_Stiffness!$E$180=0,IF(1=Element_Stiffness!$C$180,Element_Stiffness!S210,IF(1=Element_Stiffness!$E$180,Element_Stiffness!Y210,0)),0)),0)+IF(Element_Stiffness!$C$216,IF(Element_Stiffness!$C$215=0,IF(1=Element_Stiffness!$C$215,Element_Stiffness!S239,IF(1=Element_Stiffness!$E$215,Element_Stiffness!Y239,0)),IF(Element_Stiffness!$E$215=0,IF(1=Element_Stiffness!$C$215,Element_Stiffness!S245,IF(1=Element_Stiffness!$E$215,Element_Stiffness!Y245,0)),0)),0)</f>
        <v/>
      </c>
      <c r="M8" s="21">
        <f>IF(Element_Stiffness!$C$6,IF(Element_Stiffness!$C$5=0,IF(1=Element_Stiffness!$C$5,Element_Stiffness!T29,IF(1=Element_Stiffness!$E$5,Element_Stiffness!Z29,0)),IF(Element_Stiffness!$E$5=0,IF(1=Element_Stiffness!$C$5,Element_Stiffness!T35,IF(1=Element_Stiffness!$E$5,Element_Stiffness!Z35,0)),0)),0)+IF(Element_Stiffness!$C$41,IF(Element_Stiffness!$C$40=0,IF(1=Element_Stiffness!$C$40,Element_Stiffness!T64,IF(1=Element_Stiffness!$E$40,Element_Stiffness!Z64,0)),IF(Element_Stiffness!$E$40=0,IF(1=Element_Stiffness!$C$40,Element_Stiffness!T70,IF(1=Element_Stiffness!$E$40,Element_Stiffness!Z70,0)),0)),0)+IF(Element_Stiffness!$C$76,IF(Element_Stiffness!$C$75=0,IF(1=Element_Stiffness!$C$75,Element_Stiffness!T99,IF(1=Element_Stiffness!$E$75,Element_Stiffness!Z99,0)),IF(Element_Stiffness!$E$75=0,IF(1=Element_Stiffness!$C$75,Element_Stiffness!T105,IF(1=Element_Stiffness!$E$75,Element_Stiffness!Z105,0)),0)),0)+IF(Element_Stiffness!$C$111,IF(Element_Stiffness!$C$110=0,IF(1=Element_Stiffness!$C$110,Element_Stiffness!T134,IF(1=Element_Stiffness!$E$110,Element_Stiffness!Z134,0)),IF(Element_Stiffness!$E$110=0,IF(1=Element_Stiffness!$C$110,Element_Stiffness!T140,IF(1=Element_Stiffness!$E$110,Element_Stiffness!Z140,0)),0)),0)+IF(Element_Stiffness!$C$146,IF(Element_Stiffness!$C$145=0,IF(1=Element_Stiffness!$C$145,Element_Stiffness!T169,IF(1=Element_Stiffness!$E$145,Element_Stiffness!Z169,0)),IF(Element_Stiffness!$E$145=0,IF(1=Element_Stiffness!$C$145,Element_Stiffness!T175,IF(1=Element_Stiffness!$E$145,Element_Stiffness!Z175,0)),0)),0)+IF(Element_Stiffness!$C$181,IF(Element_Stiffness!$C$180=0,IF(1=Element_Stiffness!$C$180,Element_Stiffness!T204,IF(1=Element_Stiffness!$E$180,Element_Stiffness!Z204,0)),IF(Element_Stiffness!$E$180=0,IF(1=Element_Stiffness!$C$180,Element_Stiffness!T210,IF(1=Element_Stiffness!$E$180,Element_Stiffness!Z210,0)),0)),0)+IF(Element_Stiffness!$C$216,IF(Element_Stiffness!$C$215=0,IF(1=Element_Stiffness!$C$215,Element_Stiffness!T239,IF(1=Element_Stiffness!$E$215,Element_Stiffness!Z239,0)),IF(Element_Stiffness!$E$215=0,IF(1=Element_Stiffness!$C$215,Element_Stiffness!T245,IF(1=Element_Stiffness!$E$215,Element_Stiffness!Z245,0)),0)),0)</f>
        <v/>
      </c>
      <c r="N8" s="21">
        <f>IF(Element_Stiffness!$C$6,IF(Element_Stiffness!$C$5=0,IF(1=Element_Stiffness!$C$5,Element_Stiffness!U29,IF(1=Element_Stiffness!$E$5,Element_Stiffness!AA29,0)),IF(Element_Stiffness!$E$5=0,IF(1=Element_Stiffness!$C$5,Element_Stiffness!U35,IF(1=Element_Stiffness!$E$5,Element_Stiffness!AA35,0)),0)),0)+IF(Element_Stiffness!$C$41,IF(Element_Stiffness!$C$40=0,IF(1=Element_Stiffness!$C$40,Element_Stiffness!U64,IF(1=Element_Stiffness!$E$40,Element_Stiffness!AA64,0)),IF(Element_Stiffness!$E$40=0,IF(1=Element_Stiffness!$C$40,Element_Stiffness!U70,IF(1=Element_Stiffness!$E$40,Element_Stiffness!AA70,0)),0)),0)+IF(Element_Stiffness!$C$76,IF(Element_Stiffness!$C$75=0,IF(1=Element_Stiffness!$C$75,Element_Stiffness!U99,IF(1=Element_Stiffness!$E$75,Element_Stiffness!AA99,0)),IF(Element_Stiffness!$E$75=0,IF(1=Element_Stiffness!$C$75,Element_Stiffness!U105,IF(1=Element_Stiffness!$E$75,Element_Stiffness!AA105,0)),0)),0)+IF(Element_Stiffness!$C$111,IF(Element_Stiffness!$C$110=0,IF(1=Element_Stiffness!$C$110,Element_Stiffness!U134,IF(1=Element_Stiffness!$E$110,Element_Stiffness!AA134,0)),IF(Element_Stiffness!$E$110=0,IF(1=Element_Stiffness!$C$110,Element_Stiffness!U140,IF(1=Element_Stiffness!$E$110,Element_Stiffness!AA140,0)),0)),0)+IF(Element_Stiffness!$C$146,IF(Element_Stiffness!$C$145=0,IF(1=Element_Stiffness!$C$145,Element_Stiffness!U169,IF(1=Element_Stiffness!$E$145,Element_Stiffness!AA169,0)),IF(Element_Stiffness!$E$145=0,IF(1=Element_Stiffness!$C$145,Element_Stiffness!U175,IF(1=Element_Stiffness!$E$145,Element_Stiffness!AA175,0)),0)),0)+IF(Element_Stiffness!$C$181,IF(Element_Stiffness!$C$180=0,IF(1=Element_Stiffness!$C$180,Element_Stiffness!U204,IF(1=Element_Stiffness!$E$180,Element_Stiffness!AA204,0)),IF(Element_Stiffness!$E$180=0,IF(1=Element_Stiffness!$C$180,Element_Stiffness!U210,IF(1=Element_Stiffness!$E$180,Element_Stiffness!AA210,0)),0)),0)+IF(Element_Stiffness!$C$216,IF(Element_Stiffness!$C$215=0,IF(1=Element_Stiffness!$C$215,Element_Stiffness!U239,IF(1=Element_Stiffness!$E$215,Element_Stiffness!AA239,0)),IF(Element_Stiffness!$E$215=0,IF(1=Element_Stiffness!$C$215,Element_Stiffness!U245,IF(1=Element_Stiffness!$E$215,Element_Stiffness!AA245,0)),0)),0)</f>
        <v/>
      </c>
      <c r="O8" s="21">
        <f>IF(Element_Stiffness!$C$6,IF(Element_Stiffness!$C$5=0,IF(2=Element_Stiffness!$C$5,Element_Stiffness!P29,IF(2=Element_Stiffness!$E$5,Element_Stiffness!V29,0)),IF(Element_Stiffness!$E$5=0,IF(2=Element_Stiffness!$C$5,Element_Stiffness!P35,IF(2=Element_Stiffness!$E$5,Element_Stiffness!V35,0)),0)),0)+IF(Element_Stiffness!$C$41,IF(Element_Stiffness!$C$40=0,IF(2=Element_Stiffness!$C$40,Element_Stiffness!P64,IF(2=Element_Stiffness!$E$40,Element_Stiffness!V64,0)),IF(Element_Stiffness!$E$40=0,IF(2=Element_Stiffness!$C$40,Element_Stiffness!P70,IF(2=Element_Stiffness!$E$40,Element_Stiffness!V70,0)),0)),0)+IF(Element_Stiffness!$C$76,IF(Element_Stiffness!$C$75=0,IF(2=Element_Stiffness!$C$75,Element_Stiffness!P99,IF(2=Element_Stiffness!$E$75,Element_Stiffness!V99,0)),IF(Element_Stiffness!$E$75=0,IF(2=Element_Stiffness!$C$75,Element_Stiffness!P105,IF(2=Element_Stiffness!$E$75,Element_Stiffness!V105,0)),0)),0)+IF(Element_Stiffness!$C$111,IF(Element_Stiffness!$C$110=0,IF(2=Element_Stiffness!$C$110,Element_Stiffness!P134,IF(2=Element_Stiffness!$E$110,Element_Stiffness!V134,0)),IF(Element_Stiffness!$E$110=0,IF(2=Element_Stiffness!$C$110,Element_Stiffness!P140,IF(2=Element_Stiffness!$E$110,Element_Stiffness!V140,0)),0)),0)+IF(Element_Stiffness!$C$146,IF(Element_Stiffness!$C$145=0,IF(2=Element_Stiffness!$C$145,Element_Stiffness!P169,IF(2=Element_Stiffness!$E$145,Element_Stiffness!V169,0)),IF(Element_Stiffness!$E$145=0,IF(2=Element_Stiffness!$C$145,Element_Stiffness!P175,IF(2=Element_Stiffness!$E$145,Element_Stiffness!V175,0)),0)),0)+IF(Element_Stiffness!$C$181,IF(Element_Stiffness!$C$180=0,IF(2=Element_Stiffness!$C$180,Element_Stiffness!P204,IF(2=Element_Stiffness!$E$180,Element_Stiffness!V204,0)),IF(Element_Stiffness!$E$180=0,IF(2=Element_Stiffness!$C$180,Element_Stiffness!P210,IF(2=Element_Stiffness!$E$180,Element_Stiffness!V210,0)),0)),0)+IF(Element_Stiffness!$C$216,IF(Element_Stiffness!$C$215=0,IF(2=Element_Stiffness!$C$215,Element_Stiffness!P239,IF(2=Element_Stiffness!$E$215,Element_Stiffness!V239,0)),IF(Element_Stiffness!$E$215=0,IF(2=Element_Stiffness!$C$215,Element_Stiffness!P245,IF(2=Element_Stiffness!$E$215,Element_Stiffness!V245,0)),0)),0)</f>
        <v/>
      </c>
      <c r="P8" s="21">
        <f>IF(Element_Stiffness!$C$6,IF(Element_Stiffness!$C$5=0,IF(2=Element_Stiffness!$C$5,Element_Stiffness!Q29,IF(2=Element_Stiffness!$E$5,Element_Stiffness!W29,0)),IF(Element_Stiffness!$E$5=0,IF(2=Element_Stiffness!$C$5,Element_Stiffness!Q35,IF(2=Element_Stiffness!$E$5,Element_Stiffness!W35,0)),0)),0)+IF(Element_Stiffness!$C$41,IF(Element_Stiffness!$C$40=0,IF(2=Element_Stiffness!$C$40,Element_Stiffness!Q64,IF(2=Element_Stiffness!$E$40,Element_Stiffness!W64,0)),IF(Element_Stiffness!$E$40=0,IF(2=Element_Stiffness!$C$40,Element_Stiffness!Q70,IF(2=Element_Stiffness!$E$40,Element_Stiffness!W70,0)),0)),0)+IF(Element_Stiffness!$C$76,IF(Element_Stiffness!$C$75=0,IF(2=Element_Stiffness!$C$75,Element_Stiffness!Q99,IF(2=Element_Stiffness!$E$75,Element_Stiffness!W99,0)),IF(Element_Stiffness!$E$75=0,IF(2=Element_Stiffness!$C$75,Element_Stiffness!Q105,IF(2=Element_Stiffness!$E$75,Element_Stiffness!W105,0)),0)),0)+IF(Element_Stiffness!$C$111,IF(Element_Stiffness!$C$110=0,IF(2=Element_Stiffness!$C$110,Element_Stiffness!Q134,IF(2=Element_Stiffness!$E$110,Element_Stiffness!W134,0)),IF(Element_Stiffness!$E$110=0,IF(2=Element_Stiffness!$C$110,Element_Stiffness!Q140,IF(2=Element_Stiffness!$E$110,Element_Stiffness!W140,0)),0)),0)+IF(Element_Stiffness!$C$146,IF(Element_Stiffness!$C$145=0,IF(2=Element_Stiffness!$C$145,Element_Stiffness!Q169,IF(2=Element_Stiffness!$E$145,Element_Stiffness!W169,0)),IF(Element_Stiffness!$E$145=0,IF(2=Element_Stiffness!$C$145,Element_Stiffness!Q175,IF(2=Element_Stiffness!$E$145,Element_Stiffness!W175,0)),0)),0)+IF(Element_Stiffness!$C$181,IF(Element_Stiffness!$C$180=0,IF(2=Element_Stiffness!$C$180,Element_Stiffness!Q204,IF(2=Element_Stiffness!$E$180,Element_Stiffness!W204,0)),IF(Element_Stiffness!$E$180=0,IF(2=Element_Stiffness!$C$180,Element_Stiffness!Q210,IF(2=Element_Stiffness!$E$180,Element_Stiffness!W210,0)),0)),0)+IF(Element_Stiffness!$C$216,IF(Element_Stiffness!$C$215=0,IF(2=Element_Stiffness!$C$215,Element_Stiffness!Q239,IF(2=Element_Stiffness!$E$215,Element_Stiffness!W239,0)),IF(Element_Stiffness!$E$215=0,IF(2=Element_Stiffness!$C$215,Element_Stiffness!Q245,IF(2=Element_Stiffness!$E$215,Element_Stiffness!W245,0)),0)),0)</f>
        <v/>
      </c>
      <c r="Q8" s="21">
        <f>IF(Element_Stiffness!$C$6,IF(Element_Stiffness!$C$5=0,IF(2=Element_Stiffness!$C$5,Element_Stiffness!R29,IF(2=Element_Stiffness!$E$5,Element_Stiffness!X29,0)),IF(Element_Stiffness!$E$5=0,IF(2=Element_Stiffness!$C$5,Element_Stiffness!R35,IF(2=Element_Stiffness!$E$5,Element_Stiffness!X35,0)),0)),0)+IF(Element_Stiffness!$C$41,IF(Element_Stiffness!$C$40=0,IF(2=Element_Stiffness!$C$40,Element_Stiffness!R64,IF(2=Element_Stiffness!$E$40,Element_Stiffness!X64,0)),IF(Element_Stiffness!$E$40=0,IF(2=Element_Stiffness!$C$40,Element_Stiffness!R70,IF(2=Element_Stiffness!$E$40,Element_Stiffness!X70,0)),0)),0)+IF(Element_Stiffness!$C$76,IF(Element_Stiffness!$C$75=0,IF(2=Element_Stiffness!$C$75,Element_Stiffness!R99,IF(2=Element_Stiffness!$E$75,Element_Stiffness!X99,0)),IF(Element_Stiffness!$E$75=0,IF(2=Element_Stiffness!$C$75,Element_Stiffness!R105,IF(2=Element_Stiffness!$E$75,Element_Stiffness!X105,0)),0)),0)+IF(Element_Stiffness!$C$111,IF(Element_Stiffness!$C$110=0,IF(2=Element_Stiffness!$C$110,Element_Stiffness!R134,IF(2=Element_Stiffness!$E$110,Element_Stiffness!X134,0)),IF(Element_Stiffness!$E$110=0,IF(2=Element_Stiffness!$C$110,Element_Stiffness!R140,IF(2=Element_Stiffness!$E$110,Element_Stiffness!X140,0)),0)),0)+IF(Element_Stiffness!$C$146,IF(Element_Stiffness!$C$145=0,IF(2=Element_Stiffness!$C$145,Element_Stiffness!R169,IF(2=Element_Stiffness!$E$145,Element_Stiffness!X169,0)),IF(Element_Stiffness!$E$145=0,IF(2=Element_Stiffness!$C$145,Element_Stiffness!R175,IF(2=Element_Stiffness!$E$145,Element_Stiffness!X175,0)),0)),0)+IF(Element_Stiffness!$C$181,IF(Element_Stiffness!$C$180=0,IF(2=Element_Stiffness!$C$180,Element_Stiffness!R204,IF(2=Element_Stiffness!$E$180,Element_Stiffness!X204,0)),IF(Element_Stiffness!$E$180=0,IF(2=Element_Stiffness!$C$180,Element_Stiffness!R210,IF(2=Element_Stiffness!$E$180,Element_Stiffness!X210,0)),0)),0)+IF(Element_Stiffness!$C$216,IF(Element_Stiffness!$C$215=0,IF(2=Element_Stiffness!$C$215,Element_Stiffness!R239,IF(2=Element_Stiffness!$E$215,Element_Stiffness!X239,0)),IF(Element_Stiffness!$E$215=0,IF(2=Element_Stiffness!$C$215,Element_Stiffness!R245,IF(2=Element_Stiffness!$E$215,Element_Stiffness!X245,0)),0)),0)</f>
        <v/>
      </c>
      <c r="R8" s="21">
        <f>IF(Element_Stiffness!$C$6,IF(Element_Stiffness!$C$5=0,IF(2=Element_Stiffness!$C$5,Element_Stiffness!S29,IF(2=Element_Stiffness!$E$5,Element_Stiffness!Y29,0)),IF(Element_Stiffness!$E$5=0,IF(2=Element_Stiffness!$C$5,Element_Stiffness!S35,IF(2=Element_Stiffness!$E$5,Element_Stiffness!Y35,0)),0)),0)+IF(Element_Stiffness!$C$41,IF(Element_Stiffness!$C$40=0,IF(2=Element_Stiffness!$C$40,Element_Stiffness!S64,IF(2=Element_Stiffness!$E$40,Element_Stiffness!Y64,0)),IF(Element_Stiffness!$E$40=0,IF(2=Element_Stiffness!$C$40,Element_Stiffness!S70,IF(2=Element_Stiffness!$E$40,Element_Stiffness!Y70,0)),0)),0)+IF(Element_Stiffness!$C$76,IF(Element_Stiffness!$C$75=0,IF(2=Element_Stiffness!$C$75,Element_Stiffness!S99,IF(2=Element_Stiffness!$E$75,Element_Stiffness!Y99,0)),IF(Element_Stiffness!$E$75=0,IF(2=Element_Stiffness!$C$75,Element_Stiffness!S105,IF(2=Element_Stiffness!$E$75,Element_Stiffness!Y105,0)),0)),0)+IF(Element_Stiffness!$C$111,IF(Element_Stiffness!$C$110=0,IF(2=Element_Stiffness!$C$110,Element_Stiffness!S134,IF(2=Element_Stiffness!$E$110,Element_Stiffness!Y134,0)),IF(Element_Stiffness!$E$110=0,IF(2=Element_Stiffness!$C$110,Element_Stiffness!S140,IF(2=Element_Stiffness!$E$110,Element_Stiffness!Y140,0)),0)),0)+IF(Element_Stiffness!$C$146,IF(Element_Stiffness!$C$145=0,IF(2=Element_Stiffness!$C$145,Element_Stiffness!S169,IF(2=Element_Stiffness!$E$145,Element_Stiffness!Y169,0)),IF(Element_Stiffness!$E$145=0,IF(2=Element_Stiffness!$C$145,Element_Stiffness!S175,IF(2=Element_Stiffness!$E$145,Element_Stiffness!Y175,0)),0)),0)+IF(Element_Stiffness!$C$181,IF(Element_Stiffness!$C$180=0,IF(2=Element_Stiffness!$C$180,Element_Stiffness!S204,IF(2=Element_Stiffness!$E$180,Element_Stiffness!Y204,0)),IF(Element_Stiffness!$E$180=0,IF(2=Element_Stiffness!$C$180,Element_Stiffness!S210,IF(2=Element_Stiffness!$E$180,Element_Stiffness!Y210,0)),0)),0)+IF(Element_Stiffness!$C$216,IF(Element_Stiffness!$C$215=0,IF(2=Element_Stiffness!$C$215,Element_Stiffness!S239,IF(2=Element_Stiffness!$E$215,Element_Stiffness!Y239,0)),IF(Element_Stiffness!$E$215=0,IF(2=Element_Stiffness!$C$215,Element_Stiffness!S245,IF(2=Element_Stiffness!$E$215,Element_Stiffness!Y245,0)),0)),0)</f>
        <v/>
      </c>
      <c r="S8" s="21">
        <f>IF(Element_Stiffness!$C$6,IF(Element_Stiffness!$C$5=0,IF(2=Element_Stiffness!$C$5,Element_Stiffness!T29,IF(2=Element_Stiffness!$E$5,Element_Stiffness!Z29,0)),IF(Element_Stiffness!$E$5=0,IF(2=Element_Stiffness!$C$5,Element_Stiffness!T35,IF(2=Element_Stiffness!$E$5,Element_Stiffness!Z35,0)),0)),0)+IF(Element_Stiffness!$C$41,IF(Element_Stiffness!$C$40=0,IF(2=Element_Stiffness!$C$40,Element_Stiffness!T64,IF(2=Element_Stiffness!$E$40,Element_Stiffness!Z64,0)),IF(Element_Stiffness!$E$40=0,IF(2=Element_Stiffness!$C$40,Element_Stiffness!T70,IF(2=Element_Stiffness!$E$40,Element_Stiffness!Z70,0)),0)),0)+IF(Element_Stiffness!$C$76,IF(Element_Stiffness!$C$75=0,IF(2=Element_Stiffness!$C$75,Element_Stiffness!T99,IF(2=Element_Stiffness!$E$75,Element_Stiffness!Z99,0)),IF(Element_Stiffness!$E$75=0,IF(2=Element_Stiffness!$C$75,Element_Stiffness!T105,IF(2=Element_Stiffness!$E$75,Element_Stiffness!Z105,0)),0)),0)+IF(Element_Stiffness!$C$111,IF(Element_Stiffness!$C$110=0,IF(2=Element_Stiffness!$C$110,Element_Stiffness!T134,IF(2=Element_Stiffness!$E$110,Element_Stiffness!Z134,0)),IF(Element_Stiffness!$E$110=0,IF(2=Element_Stiffness!$C$110,Element_Stiffness!T140,IF(2=Element_Stiffness!$E$110,Element_Stiffness!Z140,0)),0)),0)+IF(Element_Stiffness!$C$146,IF(Element_Stiffness!$C$145=0,IF(2=Element_Stiffness!$C$145,Element_Stiffness!T169,IF(2=Element_Stiffness!$E$145,Element_Stiffness!Z169,0)),IF(Element_Stiffness!$E$145=0,IF(2=Element_Stiffness!$C$145,Element_Stiffness!T175,IF(2=Element_Stiffness!$E$145,Element_Stiffness!Z175,0)),0)),0)+IF(Element_Stiffness!$C$181,IF(Element_Stiffness!$C$180=0,IF(2=Element_Stiffness!$C$180,Element_Stiffness!T204,IF(2=Element_Stiffness!$E$180,Element_Stiffness!Z204,0)),IF(Element_Stiffness!$E$180=0,IF(2=Element_Stiffness!$C$180,Element_Stiffness!T210,IF(2=Element_Stiffness!$E$180,Element_Stiffness!Z210,0)),0)),0)+IF(Element_Stiffness!$C$216,IF(Element_Stiffness!$C$215=0,IF(2=Element_Stiffness!$C$215,Element_Stiffness!T239,IF(2=Element_Stiffness!$E$215,Element_Stiffness!Z239,0)),IF(Element_Stiffness!$E$215=0,IF(2=Element_Stiffness!$C$215,Element_Stiffness!T245,IF(2=Element_Stiffness!$E$215,Element_Stiffness!Z245,0)),0)),0)</f>
        <v/>
      </c>
      <c r="T8" s="21">
        <f>IF(Element_Stiffness!$C$6,IF(Element_Stiffness!$C$5=0,IF(2=Element_Stiffness!$C$5,Element_Stiffness!U29,IF(2=Element_Stiffness!$E$5,Element_Stiffness!AA29,0)),IF(Element_Stiffness!$E$5=0,IF(2=Element_Stiffness!$C$5,Element_Stiffness!U35,IF(2=Element_Stiffness!$E$5,Element_Stiffness!AA35,0)),0)),0)+IF(Element_Stiffness!$C$41,IF(Element_Stiffness!$C$40=0,IF(2=Element_Stiffness!$C$40,Element_Stiffness!U64,IF(2=Element_Stiffness!$E$40,Element_Stiffness!AA64,0)),IF(Element_Stiffness!$E$40=0,IF(2=Element_Stiffness!$C$40,Element_Stiffness!U70,IF(2=Element_Stiffness!$E$40,Element_Stiffness!AA70,0)),0)),0)+IF(Element_Stiffness!$C$76,IF(Element_Stiffness!$C$75=0,IF(2=Element_Stiffness!$C$75,Element_Stiffness!U99,IF(2=Element_Stiffness!$E$75,Element_Stiffness!AA99,0)),IF(Element_Stiffness!$E$75=0,IF(2=Element_Stiffness!$C$75,Element_Stiffness!U105,IF(2=Element_Stiffness!$E$75,Element_Stiffness!AA105,0)),0)),0)+IF(Element_Stiffness!$C$111,IF(Element_Stiffness!$C$110=0,IF(2=Element_Stiffness!$C$110,Element_Stiffness!U134,IF(2=Element_Stiffness!$E$110,Element_Stiffness!AA134,0)),IF(Element_Stiffness!$E$110=0,IF(2=Element_Stiffness!$C$110,Element_Stiffness!U140,IF(2=Element_Stiffness!$E$110,Element_Stiffness!AA140,0)),0)),0)+IF(Element_Stiffness!$C$146,IF(Element_Stiffness!$C$145=0,IF(2=Element_Stiffness!$C$145,Element_Stiffness!U169,IF(2=Element_Stiffness!$E$145,Element_Stiffness!AA169,0)),IF(Element_Stiffness!$E$145=0,IF(2=Element_Stiffness!$C$145,Element_Stiffness!U175,IF(2=Element_Stiffness!$E$145,Element_Stiffness!AA175,0)),0)),0)+IF(Element_Stiffness!$C$181,IF(Element_Stiffness!$C$180=0,IF(2=Element_Stiffness!$C$180,Element_Stiffness!U204,IF(2=Element_Stiffness!$E$180,Element_Stiffness!AA204,0)),IF(Element_Stiffness!$E$180=0,IF(2=Element_Stiffness!$C$180,Element_Stiffness!U210,IF(2=Element_Stiffness!$E$180,Element_Stiffness!AA210,0)),0)),0)+IF(Element_Stiffness!$C$216,IF(Element_Stiffness!$C$215=0,IF(2=Element_Stiffness!$C$215,Element_Stiffness!U239,IF(2=Element_Stiffness!$E$215,Element_Stiffness!AA239,0)),IF(Element_Stiffness!$E$215=0,IF(2=Element_Stiffness!$C$215,Element_Stiffness!U245,IF(2=Element_Stiffness!$E$215,Element_Stiffness!AA245,0)),0)),0)</f>
        <v/>
      </c>
      <c r="U8" s="21">
        <f>IF(Element_Stiffness!$C$6,IF(Element_Stiffness!$C$5=0,IF(3=Element_Stiffness!$C$5,Element_Stiffness!P29,IF(3=Element_Stiffness!$E$5,Element_Stiffness!V29,0)),IF(Element_Stiffness!$E$5=0,IF(3=Element_Stiffness!$C$5,Element_Stiffness!P35,IF(3=Element_Stiffness!$E$5,Element_Stiffness!V35,0)),0)),0)+IF(Element_Stiffness!$C$41,IF(Element_Stiffness!$C$40=0,IF(3=Element_Stiffness!$C$40,Element_Stiffness!P64,IF(3=Element_Stiffness!$E$40,Element_Stiffness!V64,0)),IF(Element_Stiffness!$E$40=0,IF(3=Element_Stiffness!$C$40,Element_Stiffness!P70,IF(3=Element_Stiffness!$E$40,Element_Stiffness!V70,0)),0)),0)+IF(Element_Stiffness!$C$76,IF(Element_Stiffness!$C$75=0,IF(3=Element_Stiffness!$C$75,Element_Stiffness!P99,IF(3=Element_Stiffness!$E$75,Element_Stiffness!V99,0)),IF(Element_Stiffness!$E$75=0,IF(3=Element_Stiffness!$C$75,Element_Stiffness!P105,IF(3=Element_Stiffness!$E$75,Element_Stiffness!V105,0)),0)),0)+IF(Element_Stiffness!$C$111,IF(Element_Stiffness!$C$110=0,IF(3=Element_Stiffness!$C$110,Element_Stiffness!P134,IF(3=Element_Stiffness!$E$110,Element_Stiffness!V134,0)),IF(Element_Stiffness!$E$110=0,IF(3=Element_Stiffness!$C$110,Element_Stiffness!P140,IF(3=Element_Stiffness!$E$110,Element_Stiffness!V140,0)),0)),0)+IF(Element_Stiffness!$C$146,IF(Element_Stiffness!$C$145=0,IF(3=Element_Stiffness!$C$145,Element_Stiffness!P169,IF(3=Element_Stiffness!$E$145,Element_Stiffness!V169,0)),IF(Element_Stiffness!$E$145=0,IF(3=Element_Stiffness!$C$145,Element_Stiffness!P175,IF(3=Element_Stiffness!$E$145,Element_Stiffness!V175,0)),0)),0)+IF(Element_Stiffness!$C$181,IF(Element_Stiffness!$C$180=0,IF(3=Element_Stiffness!$C$180,Element_Stiffness!P204,IF(3=Element_Stiffness!$E$180,Element_Stiffness!V204,0)),IF(Element_Stiffness!$E$180=0,IF(3=Element_Stiffness!$C$180,Element_Stiffness!P210,IF(3=Element_Stiffness!$E$180,Element_Stiffness!V210,0)),0)),0)+IF(Element_Stiffness!$C$216,IF(Element_Stiffness!$C$215=0,IF(3=Element_Stiffness!$C$215,Element_Stiffness!P239,IF(3=Element_Stiffness!$E$215,Element_Stiffness!V239,0)),IF(Element_Stiffness!$E$215=0,IF(3=Element_Stiffness!$C$215,Element_Stiffness!P245,IF(3=Element_Stiffness!$E$215,Element_Stiffness!V245,0)),0)),0)</f>
        <v/>
      </c>
      <c r="V8" s="21">
        <f>IF(Element_Stiffness!$C$6,IF(Element_Stiffness!$C$5=0,IF(3=Element_Stiffness!$C$5,Element_Stiffness!Q29,IF(3=Element_Stiffness!$E$5,Element_Stiffness!W29,0)),IF(Element_Stiffness!$E$5=0,IF(3=Element_Stiffness!$C$5,Element_Stiffness!Q35,IF(3=Element_Stiffness!$E$5,Element_Stiffness!W35,0)),0)),0)+IF(Element_Stiffness!$C$41,IF(Element_Stiffness!$C$40=0,IF(3=Element_Stiffness!$C$40,Element_Stiffness!Q64,IF(3=Element_Stiffness!$E$40,Element_Stiffness!W64,0)),IF(Element_Stiffness!$E$40=0,IF(3=Element_Stiffness!$C$40,Element_Stiffness!Q70,IF(3=Element_Stiffness!$E$40,Element_Stiffness!W70,0)),0)),0)+IF(Element_Stiffness!$C$76,IF(Element_Stiffness!$C$75=0,IF(3=Element_Stiffness!$C$75,Element_Stiffness!Q99,IF(3=Element_Stiffness!$E$75,Element_Stiffness!W99,0)),IF(Element_Stiffness!$E$75=0,IF(3=Element_Stiffness!$C$75,Element_Stiffness!Q105,IF(3=Element_Stiffness!$E$75,Element_Stiffness!W105,0)),0)),0)+IF(Element_Stiffness!$C$111,IF(Element_Stiffness!$C$110=0,IF(3=Element_Stiffness!$C$110,Element_Stiffness!Q134,IF(3=Element_Stiffness!$E$110,Element_Stiffness!W134,0)),IF(Element_Stiffness!$E$110=0,IF(3=Element_Stiffness!$C$110,Element_Stiffness!Q140,IF(3=Element_Stiffness!$E$110,Element_Stiffness!W140,0)),0)),0)+IF(Element_Stiffness!$C$146,IF(Element_Stiffness!$C$145=0,IF(3=Element_Stiffness!$C$145,Element_Stiffness!Q169,IF(3=Element_Stiffness!$E$145,Element_Stiffness!W169,0)),IF(Element_Stiffness!$E$145=0,IF(3=Element_Stiffness!$C$145,Element_Stiffness!Q175,IF(3=Element_Stiffness!$E$145,Element_Stiffness!W175,0)),0)),0)+IF(Element_Stiffness!$C$181,IF(Element_Stiffness!$C$180=0,IF(3=Element_Stiffness!$C$180,Element_Stiffness!Q204,IF(3=Element_Stiffness!$E$180,Element_Stiffness!W204,0)),IF(Element_Stiffness!$E$180=0,IF(3=Element_Stiffness!$C$180,Element_Stiffness!Q210,IF(3=Element_Stiffness!$E$180,Element_Stiffness!W210,0)),0)),0)+IF(Element_Stiffness!$C$216,IF(Element_Stiffness!$C$215=0,IF(3=Element_Stiffness!$C$215,Element_Stiffness!Q239,IF(3=Element_Stiffness!$E$215,Element_Stiffness!W239,0)),IF(Element_Stiffness!$E$215=0,IF(3=Element_Stiffness!$C$215,Element_Stiffness!Q245,IF(3=Element_Stiffness!$E$215,Element_Stiffness!W245,0)),0)),0)</f>
        <v/>
      </c>
      <c r="W8" s="21">
        <f>IF(Element_Stiffness!$C$6,IF(Element_Stiffness!$C$5=0,IF(3=Element_Stiffness!$C$5,Element_Stiffness!R29,IF(3=Element_Stiffness!$E$5,Element_Stiffness!X29,0)),IF(Element_Stiffness!$E$5=0,IF(3=Element_Stiffness!$C$5,Element_Stiffness!R35,IF(3=Element_Stiffness!$E$5,Element_Stiffness!X35,0)),0)),0)+IF(Element_Stiffness!$C$41,IF(Element_Stiffness!$C$40=0,IF(3=Element_Stiffness!$C$40,Element_Stiffness!R64,IF(3=Element_Stiffness!$E$40,Element_Stiffness!X64,0)),IF(Element_Stiffness!$E$40=0,IF(3=Element_Stiffness!$C$40,Element_Stiffness!R70,IF(3=Element_Stiffness!$E$40,Element_Stiffness!X70,0)),0)),0)+IF(Element_Stiffness!$C$76,IF(Element_Stiffness!$C$75=0,IF(3=Element_Stiffness!$C$75,Element_Stiffness!R99,IF(3=Element_Stiffness!$E$75,Element_Stiffness!X99,0)),IF(Element_Stiffness!$E$75=0,IF(3=Element_Stiffness!$C$75,Element_Stiffness!R105,IF(3=Element_Stiffness!$E$75,Element_Stiffness!X105,0)),0)),0)+IF(Element_Stiffness!$C$111,IF(Element_Stiffness!$C$110=0,IF(3=Element_Stiffness!$C$110,Element_Stiffness!R134,IF(3=Element_Stiffness!$E$110,Element_Stiffness!X134,0)),IF(Element_Stiffness!$E$110=0,IF(3=Element_Stiffness!$C$110,Element_Stiffness!R140,IF(3=Element_Stiffness!$E$110,Element_Stiffness!X140,0)),0)),0)+IF(Element_Stiffness!$C$146,IF(Element_Stiffness!$C$145=0,IF(3=Element_Stiffness!$C$145,Element_Stiffness!R169,IF(3=Element_Stiffness!$E$145,Element_Stiffness!X169,0)),IF(Element_Stiffness!$E$145=0,IF(3=Element_Stiffness!$C$145,Element_Stiffness!R175,IF(3=Element_Stiffness!$E$145,Element_Stiffness!X175,0)),0)),0)+IF(Element_Stiffness!$C$181,IF(Element_Stiffness!$C$180=0,IF(3=Element_Stiffness!$C$180,Element_Stiffness!R204,IF(3=Element_Stiffness!$E$180,Element_Stiffness!X204,0)),IF(Element_Stiffness!$E$180=0,IF(3=Element_Stiffness!$C$180,Element_Stiffness!R210,IF(3=Element_Stiffness!$E$180,Element_Stiffness!X210,0)),0)),0)+IF(Element_Stiffness!$C$216,IF(Element_Stiffness!$C$215=0,IF(3=Element_Stiffness!$C$215,Element_Stiffness!R239,IF(3=Element_Stiffness!$E$215,Element_Stiffness!X239,0)),IF(Element_Stiffness!$E$215=0,IF(3=Element_Stiffness!$C$215,Element_Stiffness!R245,IF(3=Element_Stiffness!$E$215,Element_Stiffness!X245,0)),0)),0)</f>
        <v/>
      </c>
      <c r="X8" s="21">
        <f>IF(Element_Stiffness!$C$6,IF(Element_Stiffness!$C$5=0,IF(3=Element_Stiffness!$C$5,Element_Stiffness!S29,IF(3=Element_Stiffness!$E$5,Element_Stiffness!Y29,0)),IF(Element_Stiffness!$E$5=0,IF(3=Element_Stiffness!$C$5,Element_Stiffness!S35,IF(3=Element_Stiffness!$E$5,Element_Stiffness!Y35,0)),0)),0)+IF(Element_Stiffness!$C$41,IF(Element_Stiffness!$C$40=0,IF(3=Element_Stiffness!$C$40,Element_Stiffness!S64,IF(3=Element_Stiffness!$E$40,Element_Stiffness!Y64,0)),IF(Element_Stiffness!$E$40=0,IF(3=Element_Stiffness!$C$40,Element_Stiffness!S70,IF(3=Element_Stiffness!$E$40,Element_Stiffness!Y70,0)),0)),0)+IF(Element_Stiffness!$C$76,IF(Element_Stiffness!$C$75=0,IF(3=Element_Stiffness!$C$75,Element_Stiffness!S99,IF(3=Element_Stiffness!$E$75,Element_Stiffness!Y99,0)),IF(Element_Stiffness!$E$75=0,IF(3=Element_Stiffness!$C$75,Element_Stiffness!S105,IF(3=Element_Stiffness!$E$75,Element_Stiffness!Y105,0)),0)),0)+IF(Element_Stiffness!$C$111,IF(Element_Stiffness!$C$110=0,IF(3=Element_Stiffness!$C$110,Element_Stiffness!S134,IF(3=Element_Stiffness!$E$110,Element_Stiffness!Y134,0)),IF(Element_Stiffness!$E$110=0,IF(3=Element_Stiffness!$C$110,Element_Stiffness!S140,IF(3=Element_Stiffness!$E$110,Element_Stiffness!Y140,0)),0)),0)+IF(Element_Stiffness!$C$146,IF(Element_Stiffness!$C$145=0,IF(3=Element_Stiffness!$C$145,Element_Stiffness!S169,IF(3=Element_Stiffness!$E$145,Element_Stiffness!Y169,0)),IF(Element_Stiffness!$E$145=0,IF(3=Element_Stiffness!$C$145,Element_Stiffness!S175,IF(3=Element_Stiffness!$E$145,Element_Stiffness!Y175,0)),0)),0)+IF(Element_Stiffness!$C$181,IF(Element_Stiffness!$C$180=0,IF(3=Element_Stiffness!$C$180,Element_Stiffness!S204,IF(3=Element_Stiffness!$E$180,Element_Stiffness!Y204,0)),IF(Element_Stiffness!$E$180=0,IF(3=Element_Stiffness!$C$180,Element_Stiffness!S210,IF(3=Element_Stiffness!$E$180,Element_Stiffness!Y210,0)),0)),0)+IF(Element_Stiffness!$C$216,IF(Element_Stiffness!$C$215=0,IF(3=Element_Stiffness!$C$215,Element_Stiffness!S239,IF(3=Element_Stiffness!$E$215,Element_Stiffness!Y239,0)),IF(Element_Stiffness!$E$215=0,IF(3=Element_Stiffness!$C$215,Element_Stiffness!S245,IF(3=Element_Stiffness!$E$215,Element_Stiffness!Y245,0)),0)),0)</f>
        <v/>
      </c>
      <c r="Y8" s="21">
        <f>IF(Element_Stiffness!$C$6,IF(Element_Stiffness!$C$5=0,IF(3=Element_Stiffness!$C$5,Element_Stiffness!T29,IF(3=Element_Stiffness!$E$5,Element_Stiffness!Z29,0)),IF(Element_Stiffness!$E$5=0,IF(3=Element_Stiffness!$C$5,Element_Stiffness!T35,IF(3=Element_Stiffness!$E$5,Element_Stiffness!Z35,0)),0)),0)+IF(Element_Stiffness!$C$41,IF(Element_Stiffness!$C$40=0,IF(3=Element_Stiffness!$C$40,Element_Stiffness!T64,IF(3=Element_Stiffness!$E$40,Element_Stiffness!Z64,0)),IF(Element_Stiffness!$E$40=0,IF(3=Element_Stiffness!$C$40,Element_Stiffness!T70,IF(3=Element_Stiffness!$E$40,Element_Stiffness!Z70,0)),0)),0)+IF(Element_Stiffness!$C$76,IF(Element_Stiffness!$C$75=0,IF(3=Element_Stiffness!$C$75,Element_Stiffness!T99,IF(3=Element_Stiffness!$E$75,Element_Stiffness!Z99,0)),IF(Element_Stiffness!$E$75=0,IF(3=Element_Stiffness!$C$75,Element_Stiffness!T105,IF(3=Element_Stiffness!$E$75,Element_Stiffness!Z105,0)),0)),0)+IF(Element_Stiffness!$C$111,IF(Element_Stiffness!$C$110=0,IF(3=Element_Stiffness!$C$110,Element_Stiffness!T134,IF(3=Element_Stiffness!$E$110,Element_Stiffness!Z134,0)),IF(Element_Stiffness!$E$110=0,IF(3=Element_Stiffness!$C$110,Element_Stiffness!T140,IF(3=Element_Stiffness!$E$110,Element_Stiffness!Z140,0)),0)),0)+IF(Element_Stiffness!$C$146,IF(Element_Stiffness!$C$145=0,IF(3=Element_Stiffness!$C$145,Element_Stiffness!T169,IF(3=Element_Stiffness!$E$145,Element_Stiffness!Z169,0)),IF(Element_Stiffness!$E$145=0,IF(3=Element_Stiffness!$C$145,Element_Stiffness!T175,IF(3=Element_Stiffness!$E$145,Element_Stiffness!Z175,0)),0)),0)+IF(Element_Stiffness!$C$181,IF(Element_Stiffness!$C$180=0,IF(3=Element_Stiffness!$C$180,Element_Stiffness!T204,IF(3=Element_Stiffness!$E$180,Element_Stiffness!Z204,0)),IF(Element_Stiffness!$E$180=0,IF(3=Element_Stiffness!$C$180,Element_Stiffness!T210,IF(3=Element_Stiffness!$E$180,Element_Stiffness!Z210,0)),0)),0)+IF(Element_Stiffness!$C$216,IF(Element_Stiffness!$C$215=0,IF(3=Element_Stiffness!$C$215,Element_Stiffness!T239,IF(3=Element_Stiffness!$E$215,Element_Stiffness!Z239,0)),IF(Element_Stiffness!$E$215=0,IF(3=Element_Stiffness!$C$215,Element_Stiffness!T245,IF(3=Element_Stiffness!$E$215,Element_Stiffness!Z245,0)),0)),0)</f>
        <v/>
      </c>
      <c r="Z8" s="21">
        <f>IF(Element_Stiffness!$C$6,IF(Element_Stiffness!$C$5=0,IF(3=Element_Stiffness!$C$5,Element_Stiffness!U29,IF(3=Element_Stiffness!$E$5,Element_Stiffness!AA29,0)),IF(Element_Stiffness!$E$5=0,IF(3=Element_Stiffness!$C$5,Element_Stiffness!U35,IF(3=Element_Stiffness!$E$5,Element_Stiffness!AA35,0)),0)),0)+IF(Element_Stiffness!$C$41,IF(Element_Stiffness!$C$40=0,IF(3=Element_Stiffness!$C$40,Element_Stiffness!U64,IF(3=Element_Stiffness!$E$40,Element_Stiffness!AA64,0)),IF(Element_Stiffness!$E$40=0,IF(3=Element_Stiffness!$C$40,Element_Stiffness!U70,IF(3=Element_Stiffness!$E$40,Element_Stiffness!AA70,0)),0)),0)+IF(Element_Stiffness!$C$76,IF(Element_Stiffness!$C$75=0,IF(3=Element_Stiffness!$C$75,Element_Stiffness!U99,IF(3=Element_Stiffness!$E$75,Element_Stiffness!AA99,0)),IF(Element_Stiffness!$E$75=0,IF(3=Element_Stiffness!$C$75,Element_Stiffness!U105,IF(3=Element_Stiffness!$E$75,Element_Stiffness!AA105,0)),0)),0)+IF(Element_Stiffness!$C$111,IF(Element_Stiffness!$C$110=0,IF(3=Element_Stiffness!$C$110,Element_Stiffness!U134,IF(3=Element_Stiffness!$E$110,Element_Stiffness!AA134,0)),IF(Element_Stiffness!$E$110=0,IF(3=Element_Stiffness!$C$110,Element_Stiffness!U140,IF(3=Element_Stiffness!$E$110,Element_Stiffness!AA140,0)),0)),0)+IF(Element_Stiffness!$C$146,IF(Element_Stiffness!$C$145=0,IF(3=Element_Stiffness!$C$145,Element_Stiffness!U169,IF(3=Element_Stiffness!$E$145,Element_Stiffness!AA169,0)),IF(Element_Stiffness!$E$145=0,IF(3=Element_Stiffness!$C$145,Element_Stiffness!U175,IF(3=Element_Stiffness!$E$145,Element_Stiffness!AA175,0)),0)),0)+IF(Element_Stiffness!$C$181,IF(Element_Stiffness!$C$180=0,IF(3=Element_Stiffness!$C$180,Element_Stiffness!U204,IF(3=Element_Stiffness!$E$180,Element_Stiffness!AA204,0)),IF(Element_Stiffness!$E$180=0,IF(3=Element_Stiffness!$C$180,Element_Stiffness!U210,IF(3=Element_Stiffness!$E$180,Element_Stiffness!AA210,0)),0)),0)+IF(Element_Stiffness!$C$216,IF(Element_Stiffness!$C$215=0,IF(3=Element_Stiffness!$C$215,Element_Stiffness!U239,IF(3=Element_Stiffness!$E$215,Element_Stiffness!AA239,0)),IF(Element_Stiffness!$E$215=0,IF(3=Element_Stiffness!$C$215,Element_Stiffness!U245,IF(3=Element_Stiffness!$E$215,Element_Stiffness!AA245,0)),0)),0)</f>
        <v/>
      </c>
      <c r="AA8" s="21">
        <f>IF(Element_Stiffness!$C$6,IF(Element_Stiffness!$C$5=0,IF(4=Element_Stiffness!$C$5,Element_Stiffness!P29,IF(4=Element_Stiffness!$E$5,Element_Stiffness!V29,0)),IF(Element_Stiffness!$E$5=0,IF(4=Element_Stiffness!$C$5,Element_Stiffness!P35,IF(4=Element_Stiffness!$E$5,Element_Stiffness!V35,0)),0)),0)+IF(Element_Stiffness!$C$41,IF(Element_Stiffness!$C$40=0,IF(4=Element_Stiffness!$C$40,Element_Stiffness!P64,IF(4=Element_Stiffness!$E$40,Element_Stiffness!V64,0)),IF(Element_Stiffness!$E$40=0,IF(4=Element_Stiffness!$C$40,Element_Stiffness!P70,IF(4=Element_Stiffness!$E$40,Element_Stiffness!V70,0)),0)),0)+IF(Element_Stiffness!$C$76,IF(Element_Stiffness!$C$75=0,IF(4=Element_Stiffness!$C$75,Element_Stiffness!P99,IF(4=Element_Stiffness!$E$75,Element_Stiffness!V99,0)),IF(Element_Stiffness!$E$75=0,IF(4=Element_Stiffness!$C$75,Element_Stiffness!P105,IF(4=Element_Stiffness!$E$75,Element_Stiffness!V105,0)),0)),0)+IF(Element_Stiffness!$C$111,IF(Element_Stiffness!$C$110=0,IF(4=Element_Stiffness!$C$110,Element_Stiffness!P134,IF(4=Element_Stiffness!$E$110,Element_Stiffness!V134,0)),IF(Element_Stiffness!$E$110=0,IF(4=Element_Stiffness!$C$110,Element_Stiffness!P140,IF(4=Element_Stiffness!$E$110,Element_Stiffness!V140,0)),0)),0)+IF(Element_Stiffness!$C$146,IF(Element_Stiffness!$C$145=0,IF(4=Element_Stiffness!$C$145,Element_Stiffness!P169,IF(4=Element_Stiffness!$E$145,Element_Stiffness!V169,0)),IF(Element_Stiffness!$E$145=0,IF(4=Element_Stiffness!$C$145,Element_Stiffness!P175,IF(4=Element_Stiffness!$E$145,Element_Stiffness!V175,0)),0)),0)+IF(Element_Stiffness!$C$181,IF(Element_Stiffness!$C$180=0,IF(4=Element_Stiffness!$C$180,Element_Stiffness!P204,IF(4=Element_Stiffness!$E$180,Element_Stiffness!V204,0)),IF(Element_Stiffness!$E$180=0,IF(4=Element_Stiffness!$C$180,Element_Stiffness!P210,IF(4=Element_Stiffness!$E$180,Element_Stiffness!V210,0)),0)),0)+IF(Element_Stiffness!$C$216,IF(Element_Stiffness!$C$215=0,IF(4=Element_Stiffness!$C$215,Element_Stiffness!P239,IF(4=Element_Stiffness!$E$215,Element_Stiffness!V239,0)),IF(Element_Stiffness!$E$215=0,IF(4=Element_Stiffness!$C$215,Element_Stiffness!P245,IF(4=Element_Stiffness!$E$215,Element_Stiffness!V245,0)),0)),0)</f>
        <v/>
      </c>
      <c r="AB8" s="21">
        <f>IF(Element_Stiffness!$C$6,IF(Element_Stiffness!$C$5=0,IF(4=Element_Stiffness!$C$5,Element_Stiffness!Q29,IF(4=Element_Stiffness!$E$5,Element_Stiffness!W29,0)),IF(Element_Stiffness!$E$5=0,IF(4=Element_Stiffness!$C$5,Element_Stiffness!Q35,IF(4=Element_Stiffness!$E$5,Element_Stiffness!W35,0)),0)),0)+IF(Element_Stiffness!$C$41,IF(Element_Stiffness!$C$40=0,IF(4=Element_Stiffness!$C$40,Element_Stiffness!Q64,IF(4=Element_Stiffness!$E$40,Element_Stiffness!W64,0)),IF(Element_Stiffness!$E$40=0,IF(4=Element_Stiffness!$C$40,Element_Stiffness!Q70,IF(4=Element_Stiffness!$E$40,Element_Stiffness!W70,0)),0)),0)+IF(Element_Stiffness!$C$76,IF(Element_Stiffness!$C$75=0,IF(4=Element_Stiffness!$C$75,Element_Stiffness!Q99,IF(4=Element_Stiffness!$E$75,Element_Stiffness!W99,0)),IF(Element_Stiffness!$E$75=0,IF(4=Element_Stiffness!$C$75,Element_Stiffness!Q105,IF(4=Element_Stiffness!$E$75,Element_Stiffness!W105,0)),0)),0)+IF(Element_Stiffness!$C$111,IF(Element_Stiffness!$C$110=0,IF(4=Element_Stiffness!$C$110,Element_Stiffness!Q134,IF(4=Element_Stiffness!$E$110,Element_Stiffness!W134,0)),IF(Element_Stiffness!$E$110=0,IF(4=Element_Stiffness!$C$110,Element_Stiffness!Q140,IF(4=Element_Stiffness!$E$110,Element_Stiffness!W140,0)),0)),0)+IF(Element_Stiffness!$C$146,IF(Element_Stiffness!$C$145=0,IF(4=Element_Stiffness!$C$145,Element_Stiffness!Q169,IF(4=Element_Stiffness!$E$145,Element_Stiffness!W169,0)),IF(Element_Stiffness!$E$145=0,IF(4=Element_Stiffness!$C$145,Element_Stiffness!Q175,IF(4=Element_Stiffness!$E$145,Element_Stiffness!W175,0)),0)),0)+IF(Element_Stiffness!$C$181,IF(Element_Stiffness!$C$180=0,IF(4=Element_Stiffness!$C$180,Element_Stiffness!Q204,IF(4=Element_Stiffness!$E$180,Element_Stiffness!W204,0)),IF(Element_Stiffness!$E$180=0,IF(4=Element_Stiffness!$C$180,Element_Stiffness!Q210,IF(4=Element_Stiffness!$E$180,Element_Stiffness!W210,0)),0)),0)+IF(Element_Stiffness!$C$216,IF(Element_Stiffness!$C$215=0,IF(4=Element_Stiffness!$C$215,Element_Stiffness!Q239,IF(4=Element_Stiffness!$E$215,Element_Stiffness!W239,0)),IF(Element_Stiffness!$E$215=0,IF(4=Element_Stiffness!$C$215,Element_Stiffness!Q245,IF(4=Element_Stiffness!$E$215,Element_Stiffness!W245,0)),0)),0)</f>
        <v/>
      </c>
      <c r="AC8" s="21">
        <f>IF(Element_Stiffness!$C$6,IF(Element_Stiffness!$C$5=0,IF(4=Element_Stiffness!$C$5,Element_Stiffness!R29,IF(4=Element_Stiffness!$E$5,Element_Stiffness!X29,0)),IF(Element_Stiffness!$E$5=0,IF(4=Element_Stiffness!$C$5,Element_Stiffness!R35,IF(4=Element_Stiffness!$E$5,Element_Stiffness!X35,0)),0)),0)+IF(Element_Stiffness!$C$41,IF(Element_Stiffness!$C$40=0,IF(4=Element_Stiffness!$C$40,Element_Stiffness!R64,IF(4=Element_Stiffness!$E$40,Element_Stiffness!X64,0)),IF(Element_Stiffness!$E$40=0,IF(4=Element_Stiffness!$C$40,Element_Stiffness!R70,IF(4=Element_Stiffness!$E$40,Element_Stiffness!X70,0)),0)),0)+IF(Element_Stiffness!$C$76,IF(Element_Stiffness!$C$75=0,IF(4=Element_Stiffness!$C$75,Element_Stiffness!R99,IF(4=Element_Stiffness!$E$75,Element_Stiffness!X99,0)),IF(Element_Stiffness!$E$75=0,IF(4=Element_Stiffness!$C$75,Element_Stiffness!R105,IF(4=Element_Stiffness!$E$75,Element_Stiffness!X105,0)),0)),0)+IF(Element_Stiffness!$C$111,IF(Element_Stiffness!$C$110=0,IF(4=Element_Stiffness!$C$110,Element_Stiffness!R134,IF(4=Element_Stiffness!$E$110,Element_Stiffness!X134,0)),IF(Element_Stiffness!$E$110=0,IF(4=Element_Stiffness!$C$110,Element_Stiffness!R140,IF(4=Element_Stiffness!$E$110,Element_Stiffness!X140,0)),0)),0)+IF(Element_Stiffness!$C$146,IF(Element_Stiffness!$C$145=0,IF(4=Element_Stiffness!$C$145,Element_Stiffness!R169,IF(4=Element_Stiffness!$E$145,Element_Stiffness!X169,0)),IF(Element_Stiffness!$E$145=0,IF(4=Element_Stiffness!$C$145,Element_Stiffness!R175,IF(4=Element_Stiffness!$E$145,Element_Stiffness!X175,0)),0)),0)+IF(Element_Stiffness!$C$181,IF(Element_Stiffness!$C$180=0,IF(4=Element_Stiffness!$C$180,Element_Stiffness!R204,IF(4=Element_Stiffness!$E$180,Element_Stiffness!X204,0)),IF(Element_Stiffness!$E$180=0,IF(4=Element_Stiffness!$C$180,Element_Stiffness!R210,IF(4=Element_Stiffness!$E$180,Element_Stiffness!X210,0)),0)),0)+IF(Element_Stiffness!$C$216,IF(Element_Stiffness!$C$215=0,IF(4=Element_Stiffness!$C$215,Element_Stiffness!R239,IF(4=Element_Stiffness!$E$215,Element_Stiffness!X239,0)),IF(Element_Stiffness!$E$215=0,IF(4=Element_Stiffness!$C$215,Element_Stiffness!R245,IF(4=Element_Stiffness!$E$215,Element_Stiffness!X245,0)),0)),0)</f>
        <v/>
      </c>
      <c r="AD8" s="21">
        <f>IF(Element_Stiffness!$C$6,IF(Element_Stiffness!$C$5=0,IF(4=Element_Stiffness!$C$5,Element_Stiffness!S29,IF(4=Element_Stiffness!$E$5,Element_Stiffness!Y29,0)),IF(Element_Stiffness!$E$5=0,IF(4=Element_Stiffness!$C$5,Element_Stiffness!S35,IF(4=Element_Stiffness!$E$5,Element_Stiffness!Y35,0)),0)),0)+IF(Element_Stiffness!$C$41,IF(Element_Stiffness!$C$40=0,IF(4=Element_Stiffness!$C$40,Element_Stiffness!S64,IF(4=Element_Stiffness!$E$40,Element_Stiffness!Y64,0)),IF(Element_Stiffness!$E$40=0,IF(4=Element_Stiffness!$C$40,Element_Stiffness!S70,IF(4=Element_Stiffness!$E$40,Element_Stiffness!Y70,0)),0)),0)+IF(Element_Stiffness!$C$76,IF(Element_Stiffness!$C$75=0,IF(4=Element_Stiffness!$C$75,Element_Stiffness!S99,IF(4=Element_Stiffness!$E$75,Element_Stiffness!Y99,0)),IF(Element_Stiffness!$E$75=0,IF(4=Element_Stiffness!$C$75,Element_Stiffness!S105,IF(4=Element_Stiffness!$E$75,Element_Stiffness!Y105,0)),0)),0)+IF(Element_Stiffness!$C$111,IF(Element_Stiffness!$C$110=0,IF(4=Element_Stiffness!$C$110,Element_Stiffness!S134,IF(4=Element_Stiffness!$E$110,Element_Stiffness!Y134,0)),IF(Element_Stiffness!$E$110=0,IF(4=Element_Stiffness!$C$110,Element_Stiffness!S140,IF(4=Element_Stiffness!$E$110,Element_Stiffness!Y140,0)),0)),0)+IF(Element_Stiffness!$C$146,IF(Element_Stiffness!$C$145=0,IF(4=Element_Stiffness!$C$145,Element_Stiffness!S169,IF(4=Element_Stiffness!$E$145,Element_Stiffness!Y169,0)),IF(Element_Stiffness!$E$145=0,IF(4=Element_Stiffness!$C$145,Element_Stiffness!S175,IF(4=Element_Stiffness!$E$145,Element_Stiffness!Y175,0)),0)),0)+IF(Element_Stiffness!$C$181,IF(Element_Stiffness!$C$180=0,IF(4=Element_Stiffness!$C$180,Element_Stiffness!S204,IF(4=Element_Stiffness!$E$180,Element_Stiffness!Y204,0)),IF(Element_Stiffness!$E$180=0,IF(4=Element_Stiffness!$C$180,Element_Stiffness!S210,IF(4=Element_Stiffness!$E$180,Element_Stiffness!Y210,0)),0)),0)+IF(Element_Stiffness!$C$216,IF(Element_Stiffness!$C$215=0,IF(4=Element_Stiffness!$C$215,Element_Stiffness!S239,IF(4=Element_Stiffness!$E$215,Element_Stiffness!Y239,0)),IF(Element_Stiffness!$E$215=0,IF(4=Element_Stiffness!$C$215,Element_Stiffness!S245,IF(4=Element_Stiffness!$E$215,Element_Stiffness!Y245,0)),0)),0)</f>
        <v/>
      </c>
      <c r="AE8" s="21">
        <f>IF(Element_Stiffness!$C$6,IF(Element_Stiffness!$C$5=0,IF(4=Element_Stiffness!$C$5,Element_Stiffness!T29,IF(4=Element_Stiffness!$E$5,Element_Stiffness!Z29,0)),IF(Element_Stiffness!$E$5=0,IF(4=Element_Stiffness!$C$5,Element_Stiffness!T35,IF(4=Element_Stiffness!$E$5,Element_Stiffness!Z35,0)),0)),0)+IF(Element_Stiffness!$C$41,IF(Element_Stiffness!$C$40=0,IF(4=Element_Stiffness!$C$40,Element_Stiffness!T64,IF(4=Element_Stiffness!$E$40,Element_Stiffness!Z64,0)),IF(Element_Stiffness!$E$40=0,IF(4=Element_Stiffness!$C$40,Element_Stiffness!T70,IF(4=Element_Stiffness!$E$40,Element_Stiffness!Z70,0)),0)),0)+IF(Element_Stiffness!$C$76,IF(Element_Stiffness!$C$75=0,IF(4=Element_Stiffness!$C$75,Element_Stiffness!T99,IF(4=Element_Stiffness!$E$75,Element_Stiffness!Z99,0)),IF(Element_Stiffness!$E$75=0,IF(4=Element_Stiffness!$C$75,Element_Stiffness!T105,IF(4=Element_Stiffness!$E$75,Element_Stiffness!Z105,0)),0)),0)+IF(Element_Stiffness!$C$111,IF(Element_Stiffness!$C$110=0,IF(4=Element_Stiffness!$C$110,Element_Stiffness!T134,IF(4=Element_Stiffness!$E$110,Element_Stiffness!Z134,0)),IF(Element_Stiffness!$E$110=0,IF(4=Element_Stiffness!$C$110,Element_Stiffness!T140,IF(4=Element_Stiffness!$E$110,Element_Stiffness!Z140,0)),0)),0)+IF(Element_Stiffness!$C$146,IF(Element_Stiffness!$C$145=0,IF(4=Element_Stiffness!$C$145,Element_Stiffness!T169,IF(4=Element_Stiffness!$E$145,Element_Stiffness!Z169,0)),IF(Element_Stiffness!$E$145=0,IF(4=Element_Stiffness!$C$145,Element_Stiffness!T175,IF(4=Element_Stiffness!$E$145,Element_Stiffness!Z175,0)),0)),0)+IF(Element_Stiffness!$C$181,IF(Element_Stiffness!$C$180=0,IF(4=Element_Stiffness!$C$180,Element_Stiffness!T204,IF(4=Element_Stiffness!$E$180,Element_Stiffness!Z204,0)),IF(Element_Stiffness!$E$180=0,IF(4=Element_Stiffness!$C$180,Element_Stiffness!T210,IF(4=Element_Stiffness!$E$180,Element_Stiffness!Z210,0)),0)),0)+IF(Element_Stiffness!$C$216,IF(Element_Stiffness!$C$215=0,IF(4=Element_Stiffness!$C$215,Element_Stiffness!T239,IF(4=Element_Stiffness!$E$215,Element_Stiffness!Z239,0)),IF(Element_Stiffness!$E$215=0,IF(4=Element_Stiffness!$C$215,Element_Stiffness!T245,IF(4=Element_Stiffness!$E$215,Element_Stiffness!Z245,0)),0)),0)</f>
        <v/>
      </c>
      <c r="AF8" s="21">
        <f>IF(Element_Stiffness!$C$6,IF(Element_Stiffness!$C$5=0,IF(4=Element_Stiffness!$C$5,Element_Stiffness!U29,IF(4=Element_Stiffness!$E$5,Element_Stiffness!AA29,0)),IF(Element_Stiffness!$E$5=0,IF(4=Element_Stiffness!$C$5,Element_Stiffness!U35,IF(4=Element_Stiffness!$E$5,Element_Stiffness!AA35,0)),0)),0)+IF(Element_Stiffness!$C$41,IF(Element_Stiffness!$C$40=0,IF(4=Element_Stiffness!$C$40,Element_Stiffness!U64,IF(4=Element_Stiffness!$E$40,Element_Stiffness!AA64,0)),IF(Element_Stiffness!$E$40=0,IF(4=Element_Stiffness!$C$40,Element_Stiffness!U70,IF(4=Element_Stiffness!$E$40,Element_Stiffness!AA70,0)),0)),0)+IF(Element_Stiffness!$C$76,IF(Element_Stiffness!$C$75=0,IF(4=Element_Stiffness!$C$75,Element_Stiffness!U99,IF(4=Element_Stiffness!$E$75,Element_Stiffness!AA99,0)),IF(Element_Stiffness!$E$75=0,IF(4=Element_Stiffness!$C$75,Element_Stiffness!U105,IF(4=Element_Stiffness!$E$75,Element_Stiffness!AA105,0)),0)),0)+IF(Element_Stiffness!$C$111,IF(Element_Stiffness!$C$110=0,IF(4=Element_Stiffness!$C$110,Element_Stiffness!U134,IF(4=Element_Stiffness!$E$110,Element_Stiffness!AA134,0)),IF(Element_Stiffness!$E$110=0,IF(4=Element_Stiffness!$C$110,Element_Stiffness!U140,IF(4=Element_Stiffness!$E$110,Element_Stiffness!AA140,0)),0)),0)+IF(Element_Stiffness!$C$146,IF(Element_Stiffness!$C$145=0,IF(4=Element_Stiffness!$C$145,Element_Stiffness!U169,IF(4=Element_Stiffness!$E$145,Element_Stiffness!AA169,0)),IF(Element_Stiffness!$E$145=0,IF(4=Element_Stiffness!$C$145,Element_Stiffness!U175,IF(4=Element_Stiffness!$E$145,Element_Stiffness!AA175,0)),0)),0)+IF(Element_Stiffness!$C$181,IF(Element_Stiffness!$C$180=0,IF(4=Element_Stiffness!$C$180,Element_Stiffness!U204,IF(4=Element_Stiffness!$E$180,Element_Stiffness!AA204,0)),IF(Element_Stiffness!$E$180=0,IF(4=Element_Stiffness!$C$180,Element_Stiffness!U210,IF(4=Element_Stiffness!$E$180,Element_Stiffness!AA210,0)),0)),0)+IF(Element_Stiffness!$C$216,IF(Element_Stiffness!$C$215=0,IF(4=Element_Stiffness!$C$215,Element_Stiffness!U239,IF(4=Element_Stiffness!$E$215,Element_Stiffness!AA239,0)),IF(Element_Stiffness!$E$215=0,IF(4=Element_Stiffness!$C$215,Element_Stiffness!U245,IF(4=Element_Stiffness!$E$215,Element_Stiffness!AA245,0)),0)),0)</f>
        <v/>
      </c>
      <c r="AG8" s="21">
        <f>IF(Element_Stiffness!$C$6,IF(Element_Stiffness!$C$5=0,IF(5=Element_Stiffness!$C$5,Element_Stiffness!P29,IF(5=Element_Stiffness!$E$5,Element_Stiffness!V29,0)),IF(Element_Stiffness!$E$5=0,IF(5=Element_Stiffness!$C$5,Element_Stiffness!P35,IF(5=Element_Stiffness!$E$5,Element_Stiffness!V35,0)),0)),0)+IF(Element_Stiffness!$C$41,IF(Element_Stiffness!$C$40=0,IF(5=Element_Stiffness!$C$40,Element_Stiffness!P64,IF(5=Element_Stiffness!$E$40,Element_Stiffness!V64,0)),IF(Element_Stiffness!$E$40=0,IF(5=Element_Stiffness!$C$40,Element_Stiffness!P70,IF(5=Element_Stiffness!$E$40,Element_Stiffness!V70,0)),0)),0)+IF(Element_Stiffness!$C$76,IF(Element_Stiffness!$C$75=0,IF(5=Element_Stiffness!$C$75,Element_Stiffness!P99,IF(5=Element_Stiffness!$E$75,Element_Stiffness!V99,0)),IF(Element_Stiffness!$E$75=0,IF(5=Element_Stiffness!$C$75,Element_Stiffness!P105,IF(5=Element_Stiffness!$E$75,Element_Stiffness!V105,0)),0)),0)+IF(Element_Stiffness!$C$111,IF(Element_Stiffness!$C$110=0,IF(5=Element_Stiffness!$C$110,Element_Stiffness!P134,IF(5=Element_Stiffness!$E$110,Element_Stiffness!V134,0)),IF(Element_Stiffness!$E$110=0,IF(5=Element_Stiffness!$C$110,Element_Stiffness!P140,IF(5=Element_Stiffness!$E$110,Element_Stiffness!V140,0)),0)),0)+IF(Element_Stiffness!$C$146,IF(Element_Stiffness!$C$145=0,IF(5=Element_Stiffness!$C$145,Element_Stiffness!P169,IF(5=Element_Stiffness!$E$145,Element_Stiffness!V169,0)),IF(Element_Stiffness!$E$145=0,IF(5=Element_Stiffness!$C$145,Element_Stiffness!P175,IF(5=Element_Stiffness!$E$145,Element_Stiffness!V175,0)),0)),0)+IF(Element_Stiffness!$C$181,IF(Element_Stiffness!$C$180=0,IF(5=Element_Stiffness!$C$180,Element_Stiffness!P204,IF(5=Element_Stiffness!$E$180,Element_Stiffness!V204,0)),IF(Element_Stiffness!$E$180=0,IF(5=Element_Stiffness!$C$180,Element_Stiffness!P210,IF(5=Element_Stiffness!$E$180,Element_Stiffness!V210,0)),0)),0)+IF(Element_Stiffness!$C$216,IF(Element_Stiffness!$C$215=0,IF(5=Element_Stiffness!$C$215,Element_Stiffness!P239,IF(5=Element_Stiffness!$E$215,Element_Stiffness!V239,0)),IF(Element_Stiffness!$E$215=0,IF(5=Element_Stiffness!$C$215,Element_Stiffness!P245,IF(5=Element_Stiffness!$E$215,Element_Stiffness!V245,0)),0)),0)</f>
        <v/>
      </c>
      <c r="AH8" s="21">
        <f>IF(Element_Stiffness!$C$6,IF(Element_Stiffness!$C$5=0,IF(5=Element_Stiffness!$C$5,Element_Stiffness!Q29,IF(5=Element_Stiffness!$E$5,Element_Stiffness!W29,0)),IF(Element_Stiffness!$E$5=0,IF(5=Element_Stiffness!$C$5,Element_Stiffness!Q35,IF(5=Element_Stiffness!$E$5,Element_Stiffness!W35,0)),0)),0)+IF(Element_Stiffness!$C$41,IF(Element_Stiffness!$C$40=0,IF(5=Element_Stiffness!$C$40,Element_Stiffness!Q64,IF(5=Element_Stiffness!$E$40,Element_Stiffness!W64,0)),IF(Element_Stiffness!$E$40=0,IF(5=Element_Stiffness!$C$40,Element_Stiffness!Q70,IF(5=Element_Stiffness!$E$40,Element_Stiffness!W70,0)),0)),0)+IF(Element_Stiffness!$C$76,IF(Element_Stiffness!$C$75=0,IF(5=Element_Stiffness!$C$75,Element_Stiffness!Q99,IF(5=Element_Stiffness!$E$75,Element_Stiffness!W99,0)),IF(Element_Stiffness!$E$75=0,IF(5=Element_Stiffness!$C$75,Element_Stiffness!Q105,IF(5=Element_Stiffness!$E$75,Element_Stiffness!W105,0)),0)),0)+IF(Element_Stiffness!$C$111,IF(Element_Stiffness!$C$110=0,IF(5=Element_Stiffness!$C$110,Element_Stiffness!Q134,IF(5=Element_Stiffness!$E$110,Element_Stiffness!W134,0)),IF(Element_Stiffness!$E$110=0,IF(5=Element_Stiffness!$C$110,Element_Stiffness!Q140,IF(5=Element_Stiffness!$E$110,Element_Stiffness!W140,0)),0)),0)+IF(Element_Stiffness!$C$146,IF(Element_Stiffness!$C$145=0,IF(5=Element_Stiffness!$C$145,Element_Stiffness!Q169,IF(5=Element_Stiffness!$E$145,Element_Stiffness!W169,0)),IF(Element_Stiffness!$E$145=0,IF(5=Element_Stiffness!$C$145,Element_Stiffness!Q175,IF(5=Element_Stiffness!$E$145,Element_Stiffness!W175,0)),0)),0)+IF(Element_Stiffness!$C$181,IF(Element_Stiffness!$C$180=0,IF(5=Element_Stiffness!$C$180,Element_Stiffness!Q204,IF(5=Element_Stiffness!$E$180,Element_Stiffness!W204,0)),IF(Element_Stiffness!$E$180=0,IF(5=Element_Stiffness!$C$180,Element_Stiffness!Q210,IF(5=Element_Stiffness!$E$180,Element_Stiffness!W210,0)),0)),0)+IF(Element_Stiffness!$C$216,IF(Element_Stiffness!$C$215=0,IF(5=Element_Stiffness!$C$215,Element_Stiffness!Q239,IF(5=Element_Stiffness!$E$215,Element_Stiffness!W239,0)),IF(Element_Stiffness!$E$215=0,IF(5=Element_Stiffness!$C$215,Element_Stiffness!Q245,IF(5=Element_Stiffness!$E$215,Element_Stiffness!W245,0)),0)),0)</f>
        <v/>
      </c>
      <c r="AI8" s="21">
        <f>IF(Element_Stiffness!$C$6,IF(Element_Stiffness!$C$5=0,IF(5=Element_Stiffness!$C$5,Element_Stiffness!R29,IF(5=Element_Stiffness!$E$5,Element_Stiffness!X29,0)),IF(Element_Stiffness!$E$5=0,IF(5=Element_Stiffness!$C$5,Element_Stiffness!R35,IF(5=Element_Stiffness!$E$5,Element_Stiffness!X35,0)),0)),0)+IF(Element_Stiffness!$C$41,IF(Element_Stiffness!$C$40=0,IF(5=Element_Stiffness!$C$40,Element_Stiffness!R64,IF(5=Element_Stiffness!$E$40,Element_Stiffness!X64,0)),IF(Element_Stiffness!$E$40=0,IF(5=Element_Stiffness!$C$40,Element_Stiffness!R70,IF(5=Element_Stiffness!$E$40,Element_Stiffness!X70,0)),0)),0)+IF(Element_Stiffness!$C$76,IF(Element_Stiffness!$C$75=0,IF(5=Element_Stiffness!$C$75,Element_Stiffness!R99,IF(5=Element_Stiffness!$E$75,Element_Stiffness!X99,0)),IF(Element_Stiffness!$E$75=0,IF(5=Element_Stiffness!$C$75,Element_Stiffness!R105,IF(5=Element_Stiffness!$E$75,Element_Stiffness!X105,0)),0)),0)+IF(Element_Stiffness!$C$111,IF(Element_Stiffness!$C$110=0,IF(5=Element_Stiffness!$C$110,Element_Stiffness!R134,IF(5=Element_Stiffness!$E$110,Element_Stiffness!X134,0)),IF(Element_Stiffness!$E$110=0,IF(5=Element_Stiffness!$C$110,Element_Stiffness!R140,IF(5=Element_Stiffness!$E$110,Element_Stiffness!X140,0)),0)),0)+IF(Element_Stiffness!$C$146,IF(Element_Stiffness!$C$145=0,IF(5=Element_Stiffness!$C$145,Element_Stiffness!R169,IF(5=Element_Stiffness!$E$145,Element_Stiffness!X169,0)),IF(Element_Stiffness!$E$145=0,IF(5=Element_Stiffness!$C$145,Element_Stiffness!R175,IF(5=Element_Stiffness!$E$145,Element_Stiffness!X175,0)),0)),0)+IF(Element_Stiffness!$C$181,IF(Element_Stiffness!$C$180=0,IF(5=Element_Stiffness!$C$180,Element_Stiffness!R204,IF(5=Element_Stiffness!$E$180,Element_Stiffness!X204,0)),IF(Element_Stiffness!$E$180=0,IF(5=Element_Stiffness!$C$180,Element_Stiffness!R210,IF(5=Element_Stiffness!$E$180,Element_Stiffness!X210,0)),0)),0)+IF(Element_Stiffness!$C$216,IF(Element_Stiffness!$C$215=0,IF(5=Element_Stiffness!$C$215,Element_Stiffness!R239,IF(5=Element_Stiffness!$E$215,Element_Stiffness!X239,0)),IF(Element_Stiffness!$E$215=0,IF(5=Element_Stiffness!$C$215,Element_Stiffness!R245,IF(5=Element_Stiffness!$E$215,Element_Stiffness!X245,0)),0)),0)</f>
        <v/>
      </c>
      <c r="AJ8" s="21">
        <f>IF(Element_Stiffness!$C$6,IF(Element_Stiffness!$C$5=0,IF(5=Element_Stiffness!$C$5,Element_Stiffness!S29,IF(5=Element_Stiffness!$E$5,Element_Stiffness!Y29,0)),IF(Element_Stiffness!$E$5=0,IF(5=Element_Stiffness!$C$5,Element_Stiffness!S35,IF(5=Element_Stiffness!$E$5,Element_Stiffness!Y35,0)),0)),0)+IF(Element_Stiffness!$C$41,IF(Element_Stiffness!$C$40=0,IF(5=Element_Stiffness!$C$40,Element_Stiffness!S64,IF(5=Element_Stiffness!$E$40,Element_Stiffness!Y64,0)),IF(Element_Stiffness!$E$40=0,IF(5=Element_Stiffness!$C$40,Element_Stiffness!S70,IF(5=Element_Stiffness!$E$40,Element_Stiffness!Y70,0)),0)),0)+IF(Element_Stiffness!$C$76,IF(Element_Stiffness!$C$75=0,IF(5=Element_Stiffness!$C$75,Element_Stiffness!S99,IF(5=Element_Stiffness!$E$75,Element_Stiffness!Y99,0)),IF(Element_Stiffness!$E$75=0,IF(5=Element_Stiffness!$C$75,Element_Stiffness!S105,IF(5=Element_Stiffness!$E$75,Element_Stiffness!Y105,0)),0)),0)+IF(Element_Stiffness!$C$111,IF(Element_Stiffness!$C$110=0,IF(5=Element_Stiffness!$C$110,Element_Stiffness!S134,IF(5=Element_Stiffness!$E$110,Element_Stiffness!Y134,0)),IF(Element_Stiffness!$E$110=0,IF(5=Element_Stiffness!$C$110,Element_Stiffness!S140,IF(5=Element_Stiffness!$E$110,Element_Stiffness!Y140,0)),0)),0)+IF(Element_Stiffness!$C$146,IF(Element_Stiffness!$C$145=0,IF(5=Element_Stiffness!$C$145,Element_Stiffness!S169,IF(5=Element_Stiffness!$E$145,Element_Stiffness!Y169,0)),IF(Element_Stiffness!$E$145=0,IF(5=Element_Stiffness!$C$145,Element_Stiffness!S175,IF(5=Element_Stiffness!$E$145,Element_Stiffness!Y175,0)),0)),0)+IF(Element_Stiffness!$C$181,IF(Element_Stiffness!$C$180=0,IF(5=Element_Stiffness!$C$180,Element_Stiffness!S204,IF(5=Element_Stiffness!$E$180,Element_Stiffness!Y204,0)),IF(Element_Stiffness!$E$180=0,IF(5=Element_Stiffness!$C$180,Element_Stiffness!S210,IF(5=Element_Stiffness!$E$180,Element_Stiffness!Y210,0)),0)),0)+IF(Element_Stiffness!$C$216,IF(Element_Stiffness!$C$215=0,IF(5=Element_Stiffness!$C$215,Element_Stiffness!S239,IF(5=Element_Stiffness!$E$215,Element_Stiffness!Y239,0)),IF(Element_Stiffness!$E$215=0,IF(5=Element_Stiffness!$C$215,Element_Stiffness!S245,IF(5=Element_Stiffness!$E$215,Element_Stiffness!Y245,0)),0)),0)</f>
        <v/>
      </c>
      <c r="AK8" s="21">
        <f>IF(Element_Stiffness!$C$6,IF(Element_Stiffness!$C$5=0,IF(5=Element_Stiffness!$C$5,Element_Stiffness!T29,IF(5=Element_Stiffness!$E$5,Element_Stiffness!Z29,0)),IF(Element_Stiffness!$E$5=0,IF(5=Element_Stiffness!$C$5,Element_Stiffness!T35,IF(5=Element_Stiffness!$E$5,Element_Stiffness!Z35,0)),0)),0)+IF(Element_Stiffness!$C$41,IF(Element_Stiffness!$C$40=0,IF(5=Element_Stiffness!$C$40,Element_Stiffness!T64,IF(5=Element_Stiffness!$E$40,Element_Stiffness!Z64,0)),IF(Element_Stiffness!$E$40=0,IF(5=Element_Stiffness!$C$40,Element_Stiffness!T70,IF(5=Element_Stiffness!$E$40,Element_Stiffness!Z70,0)),0)),0)+IF(Element_Stiffness!$C$76,IF(Element_Stiffness!$C$75=0,IF(5=Element_Stiffness!$C$75,Element_Stiffness!T99,IF(5=Element_Stiffness!$E$75,Element_Stiffness!Z99,0)),IF(Element_Stiffness!$E$75=0,IF(5=Element_Stiffness!$C$75,Element_Stiffness!T105,IF(5=Element_Stiffness!$E$75,Element_Stiffness!Z105,0)),0)),0)+IF(Element_Stiffness!$C$111,IF(Element_Stiffness!$C$110=0,IF(5=Element_Stiffness!$C$110,Element_Stiffness!T134,IF(5=Element_Stiffness!$E$110,Element_Stiffness!Z134,0)),IF(Element_Stiffness!$E$110=0,IF(5=Element_Stiffness!$C$110,Element_Stiffness!T140,IF(5=Element_Stiffness!$E$110,Element_Stiffness!Z140,0)),0)),0)+IF(Element_Stiffness!$C$146,IF(Element_Stiffness!$C$145=0,IF(5=Element_Stiffness!$C$145,Element_Stiffness!T169,IF(5=Element_Stiffness!$E$145,Element_Stiffness!Z169,0)),IF(Element_Stiffness!$E$145=0,IF(5=Element_Stiffness!$C$145,Element_Stiffness!T175,IF(5=Element_Stiffness!$E$145,Element_Stiffness!Z175,0)),0)),0)+IF(Element_Stiffness!$C$181,IF(Element_Stiffness!$C$180=0,IF(5=Element_Stiffness!$C$180,Element_Stiffness!T204,IF(5=Element_Stiffness!$E$180,Element_Stiffness!Z204,0)),IF(Element_Stiffness!$E$180=0,IF(5=Element_Stiffness!$C$180,Element_Stiffness!T210,IF(5=Element_Stiffness!$E$180,Element_Stiffness!Z210,0)),0)),0)+IF(Element_Stiffness!$C$216,IF(Element_Stiffness!$C$215=0,IF(5=Element_Stiffness!$C$215,Element_Stiffness!T239,IF(5=Element_Stiffness!$E$215,Element_Stiffness!Z239,0)),IF(Element_Stiffness!$E$215=0,IF(5=Element_Stiffness!$C$215,Element_Stiffness!T245,IF(5=Element_Stiffness!$E$215,Element_Stiffness!Z245,0)),0)),0)</f>
        <v/>
      </c>
      <c r="AL8" s="21">
        <f>IF(Element_Stiffness!$C$6,IF(Element_Stiffness!$C$5=0,IF(5=Element_Stiffness!$C$5,Element_Stiffness!U29,IF(5=Element_Stiffness!$E$5,Element_Stiffness!AA29,0)),IF(Element_Stiffness!$E$5=0,IF(5=Element_Stiffness!$C$5,Element_Stiffness!U35,IF(5=Element_Stiffness!$E$5,Element_Stiffness!AA35,0)),0)),0)+IF(Element_Stiffness!$C$41,IF(Element_Stiffness!$C$40=0,IF(5=Element_Stiffness!$C$40,Element_Stiffness!U64,IF(5=Element_Stiffness!$E$40,Element_Stiffness!AA64,0)),IF(Element_Stiffness!$E$40=0,IF(5=Element_Stiffness!$C$40,Element_Stiffness!U70,IF(5=Element_Stiffness!$E$40,Element_Stiffness!AA70,0)),0)),0)+IF(Element_Stiffness!$C$76,IF(Element_Stiffness!$C$75=0,IF(5=Element_Stiffness!$C$75,Element_Stiffness!U99,IF(5=Element_Stiffness!$E$75,Element_Stiffness!AA99,0)),IF(Element_Stiffness!$E$75=0,IF(5=Element_Stiffness!$C$75,Element_Stiffness!U105,IF(5=Element_Stiffness!$E$75,Element_Stiffness!AA105,0)),0)),0)+IF(Element_Stiffness!$C$111,IF(Element_Stiffness!$C$110=0,IF(5=Element_Stiffness!$C$110,Element_Stiffness!U134,IF(5=Element_Stiffness!$E$110,Element_Stiffness!AA134,0)),IF(Element_Stiffness!$E$110=0,IF(5=Element_Stiffness!$C$110,Element_Stiffness!U140,IF(5=Element_Stiffness!$E$110,Element_Stiffness!AA140,0)),0)),0)+IF(Element_Stiffness!$C$146,IF(Element_Stiffness!$C$145=0,IF(5=Element_Stiffness!$C$145,Element_Stiffness!U169,IF(5=Element_Stiffness!$E$145,Element_Stiffness!AA169,0)),IF(Element_Stiffness!$E$145=0,IF(5=Element_Stiffness!$C$145,Element_Stiffness!U175,IF(5=Element_Stiffness!$E$145,Element_Stiffness!AA175,0)),0)),0)+IF(Element_Stiffness!$C$181,IF(Element_Stiffness!$C$180=0,IF(5=Element_Stiffness!$C$180,Element_Stiffness!U204,IF(5=Element_Stiffness!$E$180,Element_Stiffness!AA204,0)),IF(Element_Stiffness!$E$180=0,IF(5=Element_Stiffness!$C$180,Element_Stiffness!U210,IF(5=Element_Stiffness!$E$180,Element_Stiffness!AA210,0)),0)),0)+IF(Element_Stiffness!$C$216,IF(Element_Stiffness!$C$215=0,IF(5=Element_Stiffness!$C$215,Element_Stiffness!U239,IF(5=Element_Stiffness!$E$215,Element_Stiffness!AA239,0)),IF(Element_Stiffness!$E$215=0,IF(5=Element_Stiffness!$C$215,Element_Stiffness!U245,IF(5=Element_Stiffness!$E$215,Element_Stiffness!AA245,0)),0)),0)</f>
        <v/>
      </c>
      <c r="AM8" s="21">
        <f>IF(Element_Stiffness!$C$6,IF(Element_Stiffness!$C$5=0,IF(6=Element_Stiffness!$C$5,Element_Stiffness!P29,IF(6=Element_Stiffness!$E$5,Element_Stiffness!V29,0)),IF(Element_Stiffness!$E$5=0,IF(6=Element_Stiffness!$C$5,Element_Stiffness!P35,IF(6=Element_Stiffness!$E$5,Element_Stiffness!V35,0)),0)),0)+IF(Element_Stiffness!$C$41,IF(Element_Stiffness!$C$40=0,IF(6=Element_Stiffness!$C$40,Element_Stiffness!P64,IF(6=Element_Stiffness!$E$40,Element_Stiffness!V64,0)),IF(Element_Stiffness!$E$40=0,IF(6=Element_Stiffness!$C$40,Element_Stiffness!P70,IF(6=Element_Stiffness!$E$40,Element_Stiffness!V70,0)),0)),0)+IF(Element_Stiffness!$C$76,IF(Element_Stiffness!$C$75=0,IF(6=Element_Stiffness!$C$75,Element_Stiffness!P99,IF(6=Element_Stiffness!$E$75,Element_Stiffness!V99,0)),IF(Element_Stiffness!$E$75=0,IF(6=Element_Stiffness!$C$75,Element_Stiffness!P105,IF(6=Element_Stiffness!$E$75,Element_Stiffness!V105,0)),0)),0)+IF(Element_Stiffness!$C$111,IF(Element_Stiffness!$C$110=0,IF(6=Element_Stiffness!$C$110,Element_Stiffness!P134,IF(6=Element_Stiffness!$E$110,Element_Stiffness!V134,0)),IF(Element_Stiffness!$E$110=0,IF(6=Element_Stiffness!$C$110,Element_Stiffness!P140,IF(6=Element_Stiffness!$E$110,Element_Stiffness!V140,0)),0)),0)+IF(Element_Stiffness!$C$146,IF(Element_Stiffness!$C$145=0,IF(6=Element_Stiffness!$C$145,Element_Stiffness!P169,IF(6=Element_Stiffness!$E$145,Element_Stiffness!V169,0)),IF(Element_Stiffness!$E$145=0,IF(6=Element_Stiffness!$C$145,Element_Stiffness!P175,IF(6=Element_Stiffness!$E$145,Element_Stiffness!V175,0)),0)),0)+IF(Element_Stiffness!$C$181,IF(Element_Stiffness!$C$180=0,IF(6=Element_Stiffness!$C$180,Element_Stiffness!P204,IF(6=Element_Stiffness!$E$180,Element_Stiffness!V204,0)),IF(Element_Stiffness!$E$180=0,IF(6=Element_Stiffness!$C$180,Element_Stiffness!P210,IF(6=Element_Stiffness!$E$180,Element_Stiffness!V210,0)),0)),0)+IF(Element_Stiffness!$C$216,IF(Element_Stiffness!$C$215=0,IF(6=Element_Stiffness!$C$215,Element_Stiffness!P239,IF(6=Element_Stiffness!$E$215,Element_Stiffness!V239,0)),IF(Element_Stiffness!$E$215=0,IF(6=Element_Stiffness!$C$215,Element_Stiffness!P245,IF(6=Element_Stiffness!$E$215,Element_Stiffness!V245,0)),0)),0)</f>
        <v/>
      </c>
      <c r="AN8" s="21">
        <f>IF(Element_Stiffness!$C$6,IF(Element_Stiffness!$C$5=0,IF(6=Element_Stiffness!$C$5,Element_Stiffness!Q29,IF(6=Element_Stiffness!$E$5,Element_Stiffness!W29,0)),IF(Element_Stiffness!$E$5=0,IF(6=Element_Stiffness!$C$5,Element_Stiffness!Q35,IF(6=Element_Stiffness!$E$5,Element_Stiffness!W35,0)),0)),0)+IF(Element_Stiffness!$C$41,IF(Element_Stiffness!$C$40=0,IF(6=Element_Stiffness!$C$40,Element_Stiffness!Q64,IF(6=Element_Stiffness!$E$40,Element_Stiffness!W64,0)),IF(Element_Stiffness!$E$40=0,IF(6=Element_Stiffness!$C$40,Element_Stiffness!Q70,IF(6=Element_Stiffness!$E$40,Element_Stiffness!W70,0)),0)),0)+IF(Element_Stiffness!$C$76,IF(Element_Stiffness!$C$75=0,IF(6=Element_Stiffness!$C$75,Element_Stiffness!Q99,IF(6=Element_Stiffness!$E$75,Element_Stiffness!W99,0)),IF(Element_Stiffness!$E$75=0,IF(6=Element_Stiffness!$C$75,Element_Stiffness!Q105,IF(6=Element_Stiffness!$E$75,Element_Stiffness!W105,0)),0)),0)+IF(Element_Stiffness!$C$111,IF(Element_Stiffness!$C$110=0,IF(6=Element_Stiffness!$C$110,Element_Stiffness!Q134,IF(6=Element_Stiffness!$E$110,Element_Stiffness!W134,0)),IF(Element_Stiffness!$E$110=0,IF(6=Element_Stiffness!$C$110,Element_Stiffness!Q140,IF(6=Element_Stiffness!$E$110,Element_Stiffness!W140,0)),0)),0)+IF(Element_Stiffness!$C$146,IF(Element_Stiffness!$C$145=0,IF(6=Element_Stiffness!$C$145,Element_Stiffness!Q169,IF(6=Element_Stiffness!$E$145,Element_Stiffness!W169,0)),IF(Element_Stiffness!$E$145=0,IF(6=Element_Stiffness!$C$145,Element_Stiffness!Q175,IF(6=Element_Stiffness!$E$145,Element_Stiffness!W175,0)),0)),0)+IF(Element_Stiffness!$C$181,IF(Element_Stiffness!$C$180=0,IF(6=Element_Stiffness!$C$180,Element_Stiffness!Q204,IF(6=Element_Stiffness!$E$180,Element_Stiffness!W204,0)),IF(Element_Stiffness!$E$180=0,IF(6=Element_Stiffness!$C$180,Element_Stiffness!Q210,IF(6=Element_Stiffness!$E$180,Element_Stiffness!W210,0)),0)),0)+IF(Element_Stiffness!$C$216,IF(Element_Stiffness!$C$215=0,IF(6=Element_Stiffness!$C$215,Element_Stiffness!Q239,IF(6=Element_Stiffness!$E$215,Element_Stiffness!W239,0)),IF(Element_Stiffness!$E$215=0,IF(6=Element_Stiffness!$C$215,Element_Stiffness!Q245,IF(6=Element_Stiffness!$E$215,Element_Stiffness!W245,0)),0)),0)</f>
        <v/>
      </c>
      <c r="AO8" s="21">
        <f>IF(Element_Stiffness!$C$6,IF(Element_Stiffness!$C$5=0,IF(6=Element_Stiffness!$C$5,Element_Stiffness!R29,IF(6=Element_Stiffness!$E$5,Element_Stiffness!X29,0)),IF(Element_Stiffness!$E$5=0,IF(6=Element_Stiffness!$C$5,Element_Stiffness!R35,IF(6=Element_Stiffness!$E$5,Element_Stiffness!X35,0)),0)),0)+IF(Element_Stiffness!$C$41,IF(Element_Stiffness!$C$40=0,IF(6=Element_Stiffness!$C$40,Element_Stiffness!R64,IF(6=Element_Stiffness!$E$40,Element_Stiffness!X64,0)),IF(Element_Stiffness!$E$40=0,IF(6=Element_Stiffness!$C$40,Element_Stiffness!R70,IF(6=Element_Stiffness!$E$40,Element_Stiffness!X70,0)),0)),0)+IF(Element_Stiffness!$C$76,IF(Element_Stiffness!$C$75=0,IF(6=Element_Stiffness!$C$75,Element_Stiffness!R99,IF(6=Element_Stiffness!$E$75,Element_Stiffness!X99,0)),IF(Element_Stiffness!$E$75=0,IF(6=Element_Stiffness!$C$75,Element_Stiffness!R105,IF(6=Element_Stiffness!$E$75,Element_Stiffness!X105,0)),0)),0)+IF(Element_Stiffness!$C$111,IF(Element_Stiffness!$C$110=0,IF(6=Element_Stiffness!$C$110,Element_Stiffness!R134,IF(6=Element_Stiffness!$E$110,Element_Stiffness!X134,0)),IF(Element_Stiffness!$E$110=0,IF(6=Element_Stiffness!$C$110,Element_Stiffness!R140,IF(6=Element_Stiffness!$E$110,Element_Stiffness!X140,0)),0)),0)+IF(Element_Stiffness!$C$146,IF(Element_Stiffness!$C$145=0,IF(6=Element_Stiffness!$C$145,Element_Stiffness!R169,IF(6=Element_Stiffness!$E$145,Element_Stiffness!X169,0)),IF(Element_Stiffness!$E$145=0,IF(6=Element_Stiffness!$C$145,Element_Stiffness!R175,IF(6=Element_Stiffness!$E$145,Element_Stiffness!X175,0)),0)),0)+IF(Element_Stiffness!$C$181,IF(Element_Stiffness!$C$180=0,IF(6=Element_Stiffness!$C$180,Element_Stiffness!R204,IF(6=Element_Stiffness!$E$180,Element_Stiffness!X204,0)),IF(Element_Stiffness!$E$180=0,IF(6=Element_Stiffness!$C$180,Element_Stiffness!R210,IF(6=Element_Stiffness!$E$180,Element_Stiffness!X210,0)),0)),0)+IF(Element_Stiffness!$C$216,IF(Element_Stiffness!$C$215=0,IF(6=Element_Stiffness!$C$215,Element_Stiffness!R239,IF(6=Element_Stiffness!$E$215,Element_Stiffness!X239,0)),IF(Element_Stiffness!$E$215=0,IF(6=Element_Stiffness!$C$215,Element_Stiffness!R245,IF(6=Element_Stiffness!$E$215,Element_Stiffness!X245,0)),0)),0)</f>
        <v/>
      </c>
      <c r="AP8" s="21">
        <f>IF(Element_Stiffness!$C$6,IF(Element_Stiffness!$C$5=0,IF(6=Element_Stiffness!$C$5,Element_Stiffness!S29,IF(6=Element_Stiffness!$E$5,Element_Stiffness!Y29,0)),IF(Element_Stiffness!$E$5=0,IF(6=Element_Stiffness!$C$5,Element_Stiffness!S35,IF(6=Element_Stiffness!$E$5,Element_Stiffness!Y35,0)),0)),0)+IF(Element_Stiffness!$C$41,IF(Element_Stiffness!$C$40=0,IF(6=Element_Stiffness!$C$40,Element_Stiffness!S64,IF(6=Element_Stiffness!$E$40,Element_Stiffness!Y64,0)),IF(Element_Stiffness!$E$40=0,IF(6=Element_Stiffness!$C$40,Element_Stiffness!S70,IF(6=Element_Stiffness!$E$40,Element_Stiffness!Y70,0)),0)),0)+IF(Element_Stiffness!$C$76,IF(Element_Stiffness!$C$75=0,IF(6=Element_Stiffness!$C$75,Element_Stiffness!S99,IF(6=Element_Stiffness!$E$75,Element_Stiffness!Y99,0)),IF(Element_Stiffness!$E$75=0,IF(6=Element_Stiffness!$C$75,Element_Stiffness!S105,IF(6=Element_Stiffness!$E$75,Element_Stiffness!Y105,0)),0)),0)+IF(Element_Stiffness!$C$111,IF(Element_Stiffness!$C$110=0,IF(6=Element_Stiffness!$C$110,Element_Stiffness!S134,IF(6=Element_Stiffness!$E$110,Element_Stiffness!Y134,0)),IF(Element_Stiffness!$E$110=0,IF(6=Element_Stiffness!$C$110,Element_Stiffness!S140,IF(6=Element_Stiffness!$E$110,Element_Stiffness!Y140,0)),0)),0)+IF(Element_Stiffness!$C$146,IF(Element_Stiffness!$C$145=0,IF(6=Element_Stiffness!$C$145,Element_Stiffness!S169,IF(6=Element_Stiffness!$E$145,Element_Stiffness!Y169,0)),IF(Element_Stiffness!$E$145=0,IF(6=Element_Stiffness!$C$145,Element_Stiffness!S175,IF(6=Element_Stiffness!$E$145,Element_Stiffness!Y175,0)),0)),0)+IF(Element_Stiffness!$C$181,IF(Element_Stiffness!$C$180=0,IF(6=Element_Stiffness!$C$180,Element_Stiffness!S204,IF(6=Element_Stiffness!$E$180,Element_Stiffness!Y204,0)),IF(Element_Stiffness!$E$180=0,IF(6=Element_Stiffness!$C$180,Element_Stiffness!S210,IF(6=Element_Stiffness!$E$180,Element_Stiffness!Y210,0)),0)),0)+IF(Element_Stiffness!$C$216,IF(Element_Stiffness!$C$215=0,IF(6=Element_Stiffness!$C$215,Element_Stiffness!S239,IF(6=Element_Stiffness!$E$215,Element_Stiffness!Y239,0)),IF(Element_Stiffness!$E$215=0,IF(6=Element_Stiffness!$C$215,Element_Stiffness!S245,IF(6=Element_Stiffness!$E$215,Element_Stiffness!Y245,0)),0)),0)</f>
        <v/>
      </c>
      <c r="AQ8" s="21">
        <f>IF(Element_Stiffness!$C$6,IF(Element_Stiffness!$C$5=0,IF(6=Element_Stiffness!$C$5,Element_Stiffness!T29,IF(6=Element_Stiffness!$E$5,Element_Stiffness!Z29,0)),IF(Element_Stiffness!$E$5=0,IF(6=Element_Stiffness!$C$5,Element_Stiffness!T35,IF(6=Element_Stiffness!$E$5,Element_Stiffness!Z35,0)),0)),0)+IF(Element_Stiffness!$C$41,IF(Element_Stiffness!$C$40=0,IF(6=Element_Stiffness!$C$40,Element_Stiffness!T64,IF(6=Element_Stiffness!$E$40,Element_Stiffness!Z64,0)),IF(Element_Stiffness!$E$40=0,IF(6=Element_Stiffness!$C$40,Element_Stiffness!T70,IF(6=Element_Stiffness!$E$40,Element_Stiffness!Z70,0)),0)),0)+IF(Element_Stiffness!$C$76,IF(Element_Stiffness!$C$75=0,IF(6=Element_Stiffness!$C$75,Element_Stiffness!T99,IF(6=Element_Stiffness!$E$75,Element_Stiffness!Z99,0)),IF(Element_Stiffness!$E$75=0,IF(6=Element_Stiffness!$C$75,Element_Stiffness!T105,IF(6=Element_Stiffness!$E$75,Element_Stiffness!Z105,0)),0)),0)+IF(Element_Stiffness!$C$111,IF(Element_Stiffness!$C$110=0,IF(6=Element_Stiffness!$C$110,Element_Stiffness!T134,IF(6=Element_Stiffness!$E$110,Element_Stiffness!Z134,0)),IF(Element_Stiffness!$E$110=0,IF(6=Element_Stiffness!$C$110,Element_Stiffness!T140,IF(6=Element_Stiffness!$E$110,Element_Stiffness!Z140,0)),0)),0)+IF(Element_Stiffness!$C$146,IF(Element_Stiffness!$C$145=0,IF(6=Element_Stiffness!$C$145,Element_Stiffness!T169,IF(6=Element_Stiffness!$E$145,Element_Stiffness!Z169,0)),IF(Element_Stiffness!$E$145=0,IF(6=Element_Stiffness!$C$145,Element_Stiffness!T175,IF(6=Element_Stiffness!$E$145,Element_Stiffness!Z175,0)),0)),0)+IF(Element_Stiffness!$C$181,IF(Element_Stiffness!$C$180=0,IF(6=Element_Stiffness!$C$180,Element_Stiffness!T204,IF(6=Element_Stiffness!$E$180,Element_Stiffness!Z204,0)),IF(Element_Stiffness!$E$180=0,IF(6=Element_Stiffness!$C$180,Element_Stiffness!T210,IF(6=Element_Stiffness!$E$180,Element_Stiffness!Z210,0)),0)),0)+IF(Element_Stiffness!$C$216,IF(Element_Stiffness!$C$215=0,IF(6=Element_Stiffness!$C$215,Element_Stiffness!T239,IF(6=Element_Stiffness!$E$215,Element_Stiffness!Z239,0)),IF(Element_Stiffness!$E$215=0,IF(6=Element_Stiffness!$C$215,Element_Stiffness!T245,IF(6=Element_Stiffness!$E$215,Element_Stiffness!Z245,0)),0)),0)</f>
        <v/>
      </c>
      <c r="AR8" s="21">
        <f>IF(Element_Stiffness!$C$6,IF(Element_Stiffness!$C$5=0,IF(6=Element_Stiffness!$C$5,Element_Stiffness!U29,IF(6=Element_Stiffness!$E$5,Element_Stiffness!AA29,0)),IF(Element_Stiffness!$E$5=0,IF(6=Element_Stiffness!$C$5,Element_Stiffness!U35,IF(6=Element_Stiffness!$E$5,Element_Stiffness!AA35,0)),0)),0)+IF(Element_Stiffness!$C$41,IF(Element_Stiffness!$C$40=0,IF(6=Element_Stiffness!$C$40,Element_Stiffness!U64,IF(6=Element_Stiffness!$E$40,Element_Stiffness!AA64,0)),IF(Element_Stiffness!$E$40=0,IF(6=Element_Stiffness!$C$40,Element_Stiffness!U70,IF(6=Element_Stiffness!$E$40,Element_Stiffness!AA70,0)),0)),0)+IF(Element_Stiffness!$C$76,IF(Element_Stiffness!$C$75=0,IF(6=Element_Stiffness!$C$75,Element_Stiffness!U99,IF(6=Element_Stiffness!$E$75,Element_Stiffness!AA99,0)),IF(Element_Stiffness!$E$75=0,IF(6=Element_Stiffness!$C$75,Element_Stiffness!U105,IF(6=Element_Stiffness!$E$75,Element_Stiffness!AA105,0)),0)),0)+IF(Element_Stiffness!$C$111,IF(Element_Stiffness!$C$110=0,IF(6=Element_Stiffness!$C$110,Element_Stiffness!U134,IF(6=Element_Stiffness!$E$110,Element_Stiffness!AA134,0)),IF(Element_Stiffness!$E$110=0,IF(6=Element_Stiffness!$C$110,Element_Stiffness!U140,IF(6=Element_Stiffness!$E$110,Element_Stiffness!AA140,0)),0)),0)+IF(Element_Stiffness!$C$146,IF(Element_Stiffness!$C$145=0,IF(6=Element_Stiffness!$C$145,Element_Stiffness!U169,IF(6=Element_Stiffness!$E$145,Element_Stiffness!AA169,0)),IF(Element_Stiffness!$E$145=0,IF(6=Element_Stiffness!$C$145,Element_Stiffness!U175,IF(6=Element_Stiffness!$E$145,Element_Stiffness!AA175,0)),0)),0)+IF(Element_Stiffness!$C$181,IF(Element_Stiffness!$C$180=0,IF(6=Element_Stiffness!$C$180,Element_Stiffness!U204,IF(6=Element_Stiffness!$E$180,Element_Stiffness!AA204,0)),IF(Element_Stiffness!$E$180=0,IF(6=Element_Stiffness!$C$180,Element_Stiffness!U210,IF(6=Element_Stiffness!$E$180,Element_Stiffness!AA210,0)),0)),0)+IF(Element_Stiffness!$C$216,IF(Element_Stiffness!$C$215=0,IF(6=Element_Stiffness!$C$215,Element_Stiffness!U239,IF(6=Element_Stiffness!$E$215,Element_Stiffness!AA239,0)),IF(Element_Stiffness!$E$215=0,IF(6=Element_Stiffness!$C$215,Element_Stiffness!U245,IF(6=Element_Stiffness!$E$215,Element_Stiffness!AA245,0)),0)),0)</f>
        <v/>
      </c>
      <c r="AS8" s="21">
        <f>IF(Element_Stiffness!$C$6,IF(Element_Stiffness!$C$5=0,IF(7=Element_Stiffness!$C$5,Element_Stiffness!P29,IF(7=Element_Stiffness!$E$5,Element_Stiffness!V29,0)),IF(Element_Stiffness!$E$5=0,IF(7=Element_Stiffness!$C$5,Element_Stiffness!P35,IF(7=Element_Stiffness!$E$5,Element_Stiffness!V35,0)),0)),0)+IF(Element_Stiffness!$C$41,IF(Element_Stiffness!$C$40=0,IF(7=Element_Stiffness!$C$40,Element_Stiffness!P64,IF(7=Element_Stiffness!$E$40,Element_Stiffness!V64,0)),IF(Element_Stiffness!$E$40=0,IF(7=Element_Stiffness!$C$40,Element_Stiffness!P70,IF(7=Element_Stiffness!$E$40,Element_Stiffness!V70,0)),0)),0)+IF(Element_Stiffness!$C$76,IF(Element_Stiffness!$C$75=0,IF(7=Element_Stiffness!$C$75,Element_Stiffness!P99,IF(7=Element_Stiffness!$E$75,Element_Stiffness!V99,0)),IF(Element_Stiffness!$E$75=0,IF(7=Element_Stiffness!$C$75,Element_Stiffness!P105,IF(7=Element_Stiffness!$E$75,Element_Stiffness!V105,0)),0)),0)+IF(Element_Stiffness!$C$111,IF(Element_Stiffness!$C$110=0,IF(7=Element_Stiffness!$C$110,Element_Stiffness!P134,IF(7=Element_Stiffness!$E$110,Element_Stiffness!V134,0)),IF(Element_Stiffness!$E$110=0,IF(7=Element_Stiffness!$C$110,Element_Stiffness!P140,IF(7=Element_Stiffness!$E$110,Element_Stiffness!V140,0)),0)),0)+IF(Element_Stiffness!$C$146,IF(Element_Stiffness!$C$145=0,IF(7=Element_Stiffness!$C$145,Element_Stiffness!P169,IF(7=Element_Stiffness!$E$145,Element_Stiffness!V169,0)),IF(Element_Stiffness!$E$145=0,IF(7=Element_Stiffness!$C$145,Element_Stiffness!P175,IF(7=Element_Stiffness!$E$145,Element_Stiffness!V175,0)),0)),0)+IF(Element_Stiffness!$C$181,IF(Element_Stiffness!$C$180=0,IF(7=Element_Stiffness!$C$180,Element_Stiffness!P204,IF(7=Element_Stiffness!$E$180,Element_Stiffness!V204,0)),IF(Element_Stiffness!$E$180=0,IF(7=Element_Stiffness!$C$180,Element_Stiffness!P210,IF(7=Element_Stiffness!$E$180,Element_Stiffness!V210,0)),0)),0)+IF(Element_Stiffness!$C$216,IF(Element_Stiffness!$C$215=0,IF(7=Element_Stiffness!$C$215,Element_Stiffness!P239,IF(7=Element_Stiffness!$E$215,Element_Stiffness!V239,0)),IF(Element_Stiffness!$E$215=0,IF(7=Element_Stiffness!$C$215,Element_Stiffness!P245,IF(7=Element_Stiffness!$E$215,Element_Stiffness!V245,0)),0)),0)</f>
        <v/>
      </c>
      <c r="AT8" s="21">
        <f>IF(Element_Stiffness!$C$6,IF(Element_Stiffness!$C$5=0,IF(7=Element_Stiffness!$C$5,Element_Stiffness!Q29,IF(7=Element_Stiffness!$E$5,Element_Stiffness!W29,0)),IF(Element_Stiffness!$E$5=0,IF(7=Element_Stiffness!$C$5,Element_Stiffness!Q35,IF(7=Element_Stiffness!$E$5,Element_Stiffness!W35,0)),0)),0)+IF(Element_Stiffness!$C$41,IF(Element_Stiffness!$C$40=0,IF(7=Element_Stiffness!$C$40,Element_Stiffness!Q64,IF(7=Element_Stiffness!$E$40,Element_Stiffness!W64,0)),IF(Element_Stiffness!$E$40=0,IF(7=Element_Stiffness!$C$40,Element_Stiffness!Q70,IF(7=Element_Stiffness!$E$40,Element_Stiffness!W70,0)),0)),0)+IF(Element_Stiffness!$C$76,IF(Element_Stiffness!$C$75=0,IF(7=Element_Stiffness!$C$75,Element_Stiffness!Q99,IF(7=Element_Stiffness!$E$75,Element_Stiffness!W99,0)),IF(Element_Stiffness!$E$75=0,IF(7=Element_Stiffness!$C$75,Element_Stiffness!Q105,IF(7=Element_Stiffness!$E$75,Element_Stiffness!W105,0)),0)),0)+IF(Element_Stiffness!$C$111,IF(Element_Stiffness!$C$110=0,IF(7=Element_Stiffness!$C$110,Element_Stiffness!Q134,IF(7=Element_Stiffness!$E$110,Element_Stiffness!W134,0)),IF(Element_Stiffness!$E$110=0,IF(7=Element_Stiffness!$C$110,Element_Stiffness!Q140,IF(7=Element_Stiffness!$E$110,Element_Stiffness!W140,0)),0)),0)+IF(Element_Stiffness!$C$146,IF(Element_Stiffness!$C$145=0,IF(7=Element_Stiffness!$C$145,Element_Stiffness!Q169,IF(7=Element_Stiffness!$E$145,Element_Stiffness!W169,0)),IF(Element_Stiffness!$E$145=0,IF(7=Element_Stiffness!$C$145,Element_Stiffness!Q175,IF(7=Element_Stiffness!$E$145,Element_Stiffness!W175,0)),0)),0)+IF(Element_Stiffness!$C$181,IF(Element_Stiffness!$C$180=0,IF(7=Element_Stiffness!$C$180,Element_Stiffness!Q204,IF(7=Element_Stiffness!$E$180,Element_Stiffness!W204,0)),IF(Element_Stiffness!$E$180=0,IF(7=Element_Stiffness!$C$180,Element_Stiffness!Q210,IF(7=Element_Stiffness!$E$180,Element_Stiffness!W210,0)),0)),0)+IF(Element_Stiffness!$C$216,IF(Element_Stiffness!$C$215=0,IF(7=Element_Stiffness!$C$215,Element_Stiffness!Q239,IF(7=Element_Stiffness!$E$215,Element_Stiffness!W239,0)),IF(Element_Stiffness!$E$215=0,IF(7=Element_Stiffness!$C$215,Element_Stiffness!Q245,IF(7=Element_Stiffness!$E$215,Element_Stiffness!W245,0)),0)),0)</f>
        <v/>
      </c>
      <c r="AU8" s="21">
        <f>IF(Element_Stiffness!$C$6,IF(Element_Stiffness!$C$5=0,IF(7=Element_Stiffness!$C$5,Element_Stiffness!R29,IF(7=Element_Stiffness!$E$5,Element_Stiffness!X29,0)),IF(Element_Stiffness!$E$5=0,IF(7=Element_Stiffness!$C$5,Element_Stiffness!R35,IF(7=Element_Stiffness!$E$5,Element_Stiffness!X35,0)),0)),0)+IF(Element_Stiffness!$C$41,IF(Element_Stiffness!$C$40=0,IF(7=Element_Stiffness!$C$40,Element_Stiffness!R64,IF(7=Element_Stiffness!$E$40,Element_Stiffness!X64,0)),IF(Element_Stiffness!$E$40=0,IF(7=Element_Stiffness!$C$40,Element_Stiffness!R70,IF(7=Element_Stiffness!$E$40,Element_Stiffness!X70,0)),0)),0)+IF(Element_Stiffness!$C$76,IF(Element_Stiffness!$C$75=0,IF(7=Element_Stiffness!$C$75,Element_Stiffness!R99,IF(7=Element_Stiffness!$E$75,Element_Stiffness!X99,0)),IF(Element_Stiffness!$E$75=0,IF(7=Element_Stiffness!$C$75,Element_Stiffness!R105,IF(7=Element_Stiffness!$E$75,Element_Stiffness!X105,0)),0)),0)+IF(Element_Stiffness!$C$111,IF(Element_Stiffness!$C$110=0,IF(7=Element_Stiffness!$C$110,Element_Stiffness!R134,IF(7=Element_Stiffness!$E$110,Element_Stiffness!X134,0)),IF(Element_Stiffness!$E$110=0,IF(7=Element_Stiffness!$C$110,Element_Stiffness!R140,IF(7=Element_Stiffness!$E$110,Element_Stiffness!X140,0)),0)),0)+IF(Element_Stiffness!$C$146,IF(Element_Stiffness!$C$145=0,IF(7=Element_Stiffness!$C$145,Element_Stiffness!R169,IF(7=Element_Stiffness!$E$145,Element_Stiffness!X169,0)),IF(Element_Stiffness!$E$145=0,IF(7=Element_Stiffness!$C$145,Element_Stiffness!R175,IF(7=Element_Stiffness!$E$145,Element_Stiffness!X175,0)),0)),0)+IF(Element_Stiffness!$C$181,IF(Element_Stiffness!$C$180=0,IF(7=Element_Stiffness!$C$180,Element_Stiffness!R204,IF(7=Element_Stiffness!$E$180,Element_Stiffness!X204,0)),IF(Element_Stiffness!$E$180=0,IF(7=Element_Stiffness!$C$180,Element_Stiffness!R210,IF(7=Element_Stiffness!$E$180,Element_Stiffness!X210,0)),0)),0)+IF(Element_Stiffness!$C$216,IF(Element_Stiffness!$C$215=0,IF(7=Element_Stiffness!$C$215,Element_Stiffness!R239,IF(7=Element_Stiffness!$E$215,Element_Stiffness!X239,0)),IF(Element_Stiffness!$E$215=0,IF(7=Element_Stiffness!$C$215,Element_Stiffness!R245,IF(7=Element_Stiffness!$E$215,Element_Stiffness!X245,0)),0)),0)</f>
        <v/>
      </c>
      <c r="AV8" s="21">
        <f>IF(Element_Stiffness!$C$6,IF(Element_Stiffness!$C$5=0,IF(7=Element_Stiffness!$C$5,Element_Stiffness!S29,IF(7=Element_Stiffness!$E$5,Element_Stiffness!Y29,0)),IF(Element_Stiffness!$E$5=0,IF(7=Element_Stiffness!$C$5,Element_Stiffness!S35,IF(7=Element_Stiffness!$E$5,Element_Stiffness!Y35,0)),0)),0)+IF(Element_Stiffness!$C$41,IF(Element_Stiffness!$C$40=0,IF(7=Element_Stiffness!$C$40,Element_Stiffness!S64,IF(7=Element_Stiffness!$E$40,Element_Stiffness!Y64,0)),IF(Element_Stiffness!$E$40=0,IF(7=Element_Stiffness!$C$40,Element_Stiffness!S70,IF(7=Element_Stiffness!$E$40,Element_Stiffness!Y70,0)),0)),0)+IF(Element_Stiffness!$C$76,IF(Element_Stiffness!$C$75=0,IF(7=Element_Stiffness!$C$75,Element_Stiffness!S99,IF(7=Element_Stiffness!$E$75,Element_Stiffness!Y99,0)),IF(Element_Stiffness!$E$75=0,IF(7=Element_Stiffness!$C$75,Element_Stiffness!S105,IF(7=Element_Stiffness!$E$75,Element_Stiffness!Y105,0)),0)),0)+IF(Element_Stiffness!$C$111,IF(Element_Stiffness!$C$110=0,IF(7=Element_Stiffness!$C$110,Element_Stiffness!S134,IF(7=Element_Stiffness!$E$110,Element_Stiffness!Y134,0)),IF(Element_Stiffness!$E$110=0,IF(7=Element_Stiffness!$C$110,Element_Stiffness!S140,IF(7=Element_Stiffness!$E$110,Element_Stiffness!Y140,0)),0)),0)+IF(Element_Stiffness!$C$146,IF(Element_Stiffness!$C$145=0,IF(7=Element_Stiffness!$C$145,Element_Stiffness!S169,IF(7=Element_Stiffness!$E$145,Element_Stiffness!Y169,0)),IF(Element_Stiffness!$E$145=0,IF(7=Element_Stiffness!$C$145,Element_Stiffness!S175,IF(7=Element_Stiffness!$E$145,Element_Stiffness!Y175,0)),0)),0)+IF(Element_Stiffness!$C$181,IF(Element_Stiffness!$C$180=0,IF(7=Element_Stiffness!$C$180,Element_Stiffness!S204,IF(7=Element_Stiffness!$E$180,Element_Stiffness!Y204,0)),IF(Element_Stiffness!$E$180=0,IF(7=Element_Stiffness!$C$180,Element_Stiffness!S210,IF(7=Element_Stiffness!$E$180,Element_Stiffness!Y210,0)),0)),0)+IF(Element_Stiffness!$C$216,IF(Element_Stiffness!$C$215=0,IF(7=Element_Stiffness!$C$215,Element_Stiffness!S239,IF(7=Element_Stiffness!$E$215,Element_Stiffness!Y239,0)),IF(Element_Stiffness!$E$215=0,IF(7=Element_Stiffness!$C$215,Element_Stiffness!S245,IF(7=Element_Stiffness!$E$215,Element_Stiffness!Y245,0)),0)),0)</f>
        <v/>
      </c>
      <c r="AW8" s="21">
        <f>IF(Element_Stiffness!$C$6,IF(Element_Stiffness!$C$5=0,IF(7=Element_Stiffness!$C$5,Element_Stiffness!T29,IF(7=Element_Stiffness!$E$5,Element_Stiffness!Z29,0)),IF(Element_Stiffness!$E$5=0,IF(7=Element_Stiffness!$C$5,Element_Stiffness!T35,IF(7=Element_Stiffness!$E$5,Element_Stiffness!Z35,0)),0)),0)+IF(Element_Stiffness!$C$41,IF(Element_Stiffness!$C$40=0,IF(7=Element_Stiffness!$C$40,Element_Stiffness!T64,IF(7=Element_Stiffness!$E$40,Element_Stiffness!Z64,0)),IF(Element_Stiffness!$E$40=0,IF(7=Element_Stiffness!$C$40,Element_Stiffness!T70,IF(7=Element_Stiffness!$E$40,Element_Stiffness!Z70,0)),0)),0)+IF(Element_Stiffness!$C$76,IF(Element_Stiffness!$C$75=0,IF(7=Element_Stiffness!$C$75,Element_Stiffness!T99,IF(7=Element_Stiffness!$E$75,Element_Stiffness!Z99,0)),IF(Element_Stiffness!$E$75=0,IF(7=Element_Stiffness!$C$75,Element_Stiffness!T105,IF(7=Element_Stiffness!$E$75,Element_Stiffness!Z105,0)),0)),0)+IF(Element_Stiffness!$C$111,IF(Element_Stiffness!$C$110=0,IF(7=Element_Stiffness!$C$110,Element_Stiffness!T134,IF(7=Element_Stiffness!$E$110,Element_Stiffness!Z134,0)),IF(Element_Stiffness!$E$110=0,IF(7=Element_Stiffness!$C$110,Element_Stiffness!T140,IF(7=Element_Stiffness!$E$110,Element_Stiffness!Z140,0)),0)),0)+IF(Element_Stiffness!$C$146,IF(Element_Stiffness!$C$145=0,IF(7=Element_Stiffness!$C$145,Element_Stiffness!T169,IF(7=Element_Stiffness!$E$145,Element_Stiffness!Z169,0)),IF(Element_Stiffness!$E$145=0,IF(7=Element_Stiffness!$C$145,Element_Stiffness!T175,IF(7=Element_Stiffness!$E$145,Element_Stiffness!Z175,0)),0)),0)+IF(Element_Stiffness!$C$181,IF(Element_Stiffness!$C$180=0,IF(7=Element_Stiffness!$C$180,Element_Stiffness!T204,IF(7=Element_Stiffness!$E$180,Element_Stiffness!Z204,0)),IF(Element_Stiffness!$E$180=0,IF(7=Element_Stiffness!$C$180,Element_Stiffness!T210,IF(7=Element_Stiffness!$E$180,Element_Stiffness!Z210,0)),0)),0)+IF(Element_Stiffness!$C$216,IF(Element_Stiffness!$C$215=0,IF(7=Element_Stiffness!$C$215,Element_Stiffness!T239,IF(7=Element_Stiffness!$E$215,Element_Stiffness!Z239,0)),IF(Element_Stiffness!$E$215=0,IF(7=Element_Stiffness!$C$215,Element_Stiffness!T245,IF(7=Element_Stiffness!$E$215,Element_Stiffness!Z245,0)),0)),0)</f>
        <v/>
      </c>
      <c r="AX8" s="21">
        <f>IF(Element_Stiffness!$C$6,IF(Element_Stiffness!$C$5=0,IF(7=Element_Stiffness!$C$5,Element_Stiffness!U29,IF(7=Element_Stiffness!$E$5,Element_Stiffness!AA29,0)),IF(Element_Stiffness!$E$5=0,IF(7=Element_Stiffness!$C$5,Element_Stiffness!U35,IF(7=Element_Stiffness!$E$5,Element_Stiffness!AA35,0)),0)),0)+IF(Element_Stiffness!$C$41,IF(Element_Stiffness!$C$40=0,IF(7=Element_Stiffness!$C$40,Element_Stiffness!U64,IF(7=Element_Stiffness!$E$40,Element_Stiffness!AA64,0)),IF(Element_Stiffness!$E$40=0,IF(7=Element_Stiffness!$C$40,Element_Stiffness!U70,IF(7=Element_Stiffness!$E$40,Element_Stiffness!AA70,0)),0)),0)+IF(Element_Stiffness!$C$76,IF(Element_Stiffness!$C$75=0,IF(7=Element_Stiffness!$C$75,Element_Stiffness!U99,IF(7=Element_Stiffness!$E$75,Element_Stiffness!AA99,0)),IF(Element_Stiffness!$E$75=0,IF(7=Element_Stiffness!$C$75,Element_Stiffness!U105,IF(7=Element_Stiffness!$E$75,Element_Stiffness!AA105,0)),0)),0)+IF(Element_Stiffness!$C$111,IF(Element_Stiffness!$C$110=0,IF(7=Element_Stiffness!$C$110,Element_Stiffness!U134,IF(7=Element_Stiffness!$E$110,Element_Stiffness!AA134,0)),IF(Element_Stiffness!$E$110=0,IF(7=Element_Stiffness!$C$110,Element_Stiffness!U140,IF(7=Element_Stiffness!$E$110,Element_Stiffness!AA140,0)),0)),0)+IF(Element_Stiffness!$C$146,IF(Element_Stiffness!$C$145=0,IF(7=Element_Stiffness!$C$145,Element_Stiffness!U169,IF(7=Element_Stiffness!$E$145,Element_Stiffness!AA169,0)),IF(Element_Stiffness!$E$145=0,IF(7=Element_Stiffness!$C$145,Element_Stiffness!U175,IF(7=Element_Stiffness!$E$145,Element_Stiffness!AA175,0)),0)),0)+IF(Element_Stiffness!$C$181,IF(Element_Stiffness!$C$180=0,IF(7=Element_Stiffness!$C$180,Element_Stiffness!U204,IF(7=Element_Stiffness!$E$180,Element_Stiffness!AA204,0)),IF(Element_Stiffness!$E$180=0,IF(7=Element_Stiffness!$C$180,Element_Stiffness!U210,IF(7=Element_Stiffness!$E$180,Element_Stiffness!AA210,0)),0)),0)+IF(Element_Stiffness!$C$216,IF(Element_Stiffness!$C$215=0,IF(7=Element_Stiffness!$C$215,Element_Stiffness!U239,IF(7=Element_Stiffness!$E$215,Element_Stiffness!AA239,0)),IF(Element_Stiffness!$E$215=0,IF(7=Element_Stiffness!$C$215,Element_Stiffness!U245,IF(7=Element_Stiffness!$E$215,Element_Stiffness!AA245,0)),0)),0)</f>
        <v/>
      </c>
      <c r="AY8" s="21" t="n">
        <v>0</v>
      </c>
      <c r="AZ8" s="21">
        <f>IF(Element_Stiffness!$C$6,IF(Element_Stiffness!$C$5=0,Element_Stiffness!C29,IF(Element_Stiffness!$E$5=0,Element_Stiffness!C35,0)),0)+IF(Element_Stiffness!$C$41,IF(Element_Stiffness!$C$40=0,Element_Stiffness!C64,IF(Element_Stiffness!$E$40=0,Element_Stiffness!C70,0)),0)+IF(Element_Stiffness!$C$76,IF(Element_Stiffness!$C$75=0,Element_Stiffness!C99,IF(Element_Stiffness!$E$75=0,Element_Stiffness!C105,0)),0)+IF(Element_Stiffness!$C$111,IF(Element_Stiffness!$C$110=0,Element_Stiffness!C134,IF(Element_Stiffness!$E$110=0,Element_Stiffness!C140,0)),0)+IF(Element_Stiffness!$C$146,IF(Element_Stiffness!$C$145=0,Element_Stiffness!C169,IF(Element_Stiffness!$E$145=0,Element_Stiffness!C175,0)),0)+IF(Element_Stiffness!$C$181,IF(Element_Stiffness!$C$180=0,Element_Stiffness!C204,IF(Element_Stiffness!$E$180=0,Element_Stiffness!C210,0)),0)+IF(Element_Stiffness!$C$216,IF(Element_Stiffness!$C$215=0,Element_Stiffness!C239,IF(Element_Stiffness!$E$215=0,Element_Stiffness!C245,0)),0)</f>
        <v/>
      </c>
      <c r="BB8" s="28">
        <f>INDEX(MMULT(MINVERSE(C5:AX52), AY5:AY52), 4, 1)</f>
        <v/>
      </c>
      <c r="BC8" s="28">
        <f>INDEX(MMULT(MINVERSE(C5:AX52), AZ5:AZ52), 4, 1)</f>
        <v/>
      </c>
    </row>
    <row r="9">
      <c r="B9" s="27" t="inlineStr">
        <is>
          <t>N0_ry</t>
        </is>
      </c>
      <c r="C9" s="21">
        <f>IF(Element_Stiffness!$C$6,IF(Element_Stiffness!$C$5=0,IF(0=Element_Stiffness!$C$5,Element_Stiffness!P30,IF(0=Element_Stiffness!$E$5,Element_Stiffness!V30,0)),IF(Element_Stiffness!$E$5=0,IF(0=Element_Stiffness!$C$5,Element_Stiffness!P36,IF(0=Element_Stiffness!$E$5,Element_Stiffness!V36,0)),0)),0)+IF(Element_Stiffness!$C$41,IF(Element_Stiffness!$C$40=0,IF(0=Element_Stiffness!$C$40,Element_Stiffness!P65,IF(0=Element_Stiffness!$E$40,Element_Stiffness!V65,0)),IF(Element_Stiffness!$E$40=0,IF(0=Element_Stiffness!$C$40,Element_Stiffness!P71,IF(0=Element_Stiffness!$E$40,Element_Stiffness!V71,0)),0)),0)+IF(Element_Stiffness!$C$76,IF(Element_Stiffness!$C$75=0,IF(0=Element_Stiffness!$C$75,Element_Stiffness!P100,IF(0=Element_Stiffness!$E$75,Element_Stiffness!V100,0)),IF(Element_Stiffness!$E$75=0,IF(0=Element_Stiffness!$C$75,Element_Stiffness!P106,IF(0=Element_Stiffness!$E$75,Element_Stiffness!V106,0)),0)),0)+IF(Element_Stiffness!$C$111,IF(Element_Stiffness!$C$110=0,IF(0=Element_Stiffness!$C$110,Element_Stiffness!P135,IF(0=Element_Stiffness!$E$110,Element_Stiffness!V135,0)),IF(Element_Stiffness!$E$110=0,IF(0=Element_Stiffness!$C$110,Element_Stiffness!P141,IF(0=Element_Stiffness!$E$110,Element_Stiffness!V141,0)),0)),0)+IF(Element_Stiffness!$C$146,IF(Element_Stiffness!$C$145=0,IF(0=Element_Stiffness!$C$145,Element_Stiffness!P170,IF(0=Element_Stiffness!$E$145,Element_Stiffness!V170,0)),IF(Element_Stiffness!$E$145=0,IF(0=Element_Stiffness!$C$145,Element_Stiffness!P176,IF(0=Element_Stiffness!$E$145,Element_Stiffness!V176,0)),0)),0)+IF(Element_Stiffness!$C$181,IF(Element_Stiffness!$C$180=0,IF(0=Element_Stiffness!$C$180,Element_Stiffness!P205,IF(0=Element_Stiffness!$E$180,Element_Stiffness!V205,0)),IF(Element_Stiffness!$E$180=0,IF(0=Element_Stiffness!$C$180,Element_Stiffness!P211,IF(0=Element_Stiffness!$E$180,Element_Stiffness!V211,0)),0)),0)+IF(Element_Stiffness!$C$216,IF(Element_Stiffness!$C$215=0,IF(0=Element_Stiffness!$C$215,Element_Stiffness!P240,IF(0=Element_Stiffness!$E$215,Element_Stiffness!V240,0)),IF(Element_Stiffness!$E$215=0,IF(0=Element_Stiffness!$C$215,Element_Stiffness!P246,IF(0=Element_Stiffness!$E$215,Element_Stiffness!V246,0)),0)),0)</f>
        <v/>
      </c>
      <c r="D9" s="21">
        <f>IF(Element_Stiffness!$C$6,IF(Element_Stiffness!$C$5=0,IF(0=Element_Stiffness!$C$5,Element_Stiffness!Q30,IF(0=Element_Stiffness!$E$5,Element_Stiffness!W30,0)),IF(Element_Stiffness!$E$5=0,IF(0=Element_Stiffness!$C$5,Element_Stiffness!Q36,IF(0=Element_Stiffness!$E$5,Element_Stiffness!W36,0)),0)),0)+IF(Element_Stiffness!$C$41,IF(Element_Stiffness!$C$40=0,IF(0=Element_Stiffness!$C$40,Element_Stiffness!Q65,IF(0=Element_Stiffness!$E$40,Element_Stiffness!W65,0)),IF(Element_Stiffness!$E$40=0,IF(0=Element_Stiffness!$C$40,Element_Stiffness!Q71,IF(0=Element_Stiffness!$E$40,Element_Stiffness!W71,0)),0)),0)+IF(Element_Stiffness!$C$76,IF(Element_Stiffness!$C$75=0,IF(0=Element_Stiffness!$C$75,Element_Stiffness!Q100,IF(0=Element_Stiffness!$E$75,Element_Stiffness!W100,0)),IF(Element_Stiffness!$E$75=0,IF(0=Element_Stiffness!$C$75,Element_Stiffness!Q106,IF(0=Element_Stiffness!$E$75,Element_Stiffness!W106,0)),0)),0)+IF(Element_Stiffness!$C$111,IF(Element_Stiffness!$C$110=0,IF(0=Element_Stiffness!$C$110,Element_Stiffness!Q135,IF(0=Element_Stiffness!$E$110,Element_Stiffness!W135,0)),IF(Element_Stiffness!$E$110=0,IF(0=Element_Stiffness!$C$110,Element_Stiffness!Q141,IF(0=Element_Stiffness!$E$110,Element_Stiffness!W141,0)),0)),0)+IF(Element_Stiffness!$C$146,IF(Element_Stiffness!$C$145=0,IF(0=Element_Stiffness!$C$145,Element_Stiffness!Q170,IF(0=Element_Stiffness!$E$145,Element_Stiffness!W170,0)),IF(Element_Stiffness!$E$145=0,IF(0=Element_Stiffness!$C$145,Element_Stiffness!Q176,IF(0=Element_Stiffness!$E$145,Element_Stiffness!W176,0)),0)),0)+IF(Element_Stiffness!$C$181,IF(Element_Stiffness!$C$180=0,IF(0=Element_Stiffness!$C$180,Element_Stiffness!Q205,IF(0=Element_Stiffness!$E$180,Element_Stiffness!W205,0)),IF(Element_Stiffness!$E$180=0,IF(0=Element_Stiffness!$C$180,Element_Stiffness!Q211,IF(0=Element_Stiffness!$E$180,Element_Stiffness!W211,0)),0)),0)+IF(Element_Stiffness!$C$216,IF(Element_Stiffness!$C$215=0,IF(0=Element_Stiffness!$C$215,Element_Stiffness!Q240,IF(0=Element_Stiffness!$E$215,Element_Stiffness!W240,0)),IF(Element_Stiffness!$E$215=0,IF(0=Element_Stiffness!$C$215,Element_Stiffness!Q246,IF(0=Element_Stiffness!$E$215,Element_Stiffness!W246,0)),0)),0)</f>
        <v/>
      </c>
      <c r="E9" s="21">
        <f>IF(Element_Stiffness!$C$6,IF(Element_Stiffness!$C$5=0,IF(0=Element_Stiffness!$C$5,Element_Stiffness!R30,IF(0=Element_Stiffness!$E$5,Element_Stiffness!X30,0)),IF(Element_Stiffness!$E$5=0,IF(0=Element_Stiffness!$C$5,Element_Stiffness!R36,IF(0=Element_Stiffness!$E$5,Element_Stiffness!X36,0)),0)),0)+IF(Element_Stiffness!$C$41,IF(Element_Stiffness!$C$40=0,IF(0=Element_Stiffness!$C$40,Element_Stiffness!R65,IF(0=Element_Stiffness!$E$40,Element_Stiffness!X65,0)),IF(Element_Stiffness!$E$40=0,IF(0=Element_Stiffness!$C$40,Element_Stiffness!R71,IF(0=Element_Stiffness!$E$40,Element_Stiffness!X71,0)),0)),0)+IF(Element_Stiffness!$C$76,IF(Element_Stiffness!$C$75=0,IF(0=Element_Stiffness!$C$75,Element_Stiffness!R100,IF(0=Element_Stiffness!$E$75,Element_Stiffness!X100,0)),IF(Element_Stiffness!$E$75=0,IF(0=Element_Stiffness!$C$75,Element_Stiffness!R106,IF(0=Element_Stiffness!$E$75,Element_Stiffness!X106,0)),0)),0)+IF(Element_Stiffness!$C$111,IF(Element_Stiffness!$C$110=0,IF(0=Element_Stiffness!$C$110,Element_Stiffness!R135,IF(0=Element_Stiffness!$E$110,Element_Stiffness!X135,0)),IF(Element_Stiffness!$E$110=0,IF(0=Element_Stiffness!$C$110,Element_Stiffness!R141,IF(0=Element_Stiffness!$E$110,Element_Stiffness!X141,0)),0)),0)+IF(Element_Stiffness!$C$146,IF(Element_Stiffness!$C$145=0,IF(0=Element_Stiffness!$C$145,Element_Stiffness!R170,IF(0=Element_Stiffness!$E$145,Element_Stiffness!X170,0)),IF(Element_Stiffness!$E$145=0,IF(0=Element_Stiffness!$C$145,Element_Stiffness!R176,IF(0=Element_Stiffness!$E$145,Element_Stiffness!X176,0)),0)),0)+IF(Element_Stiffness!$C$181,IF(Element_Stiffness!$C$180=0,IF(0=Element_Stiffness!$C$180,Element_Stiffness!R205,IF(0=Element_Stiffness!$E$180,Element_Stiffness!X205,0)),IF(Element_Stiffness!$E$180=0,IF(0=Element_Stiffness!$C$180,Element_Stiffness!R211,IF(0=Element_Stiffness!$E$180,Element_Stiffness!X211,0)),0)),0)+IF(Element_Stiffness!$C$216,IF(Element_Stiffness!$C$215=0,IF(0=Element_Stiffness!$C$215,Element_Stiffness!R240,IF(0=Element_Stiffness!$E$215,Element_Stiffness!X240,0)),IF(Element_Stiffness!$E$215=0,IF(0=Element_Stiffness!$C$215,Element_Stiffness!R246,IF(0=Element_Stiffness!$E$215,Element_Stiffness!X246,0)),0)),0)</f>
        <v/>
      </c>
      <c r="F9" s="21">
        <f>IF(Element_Stiffness!$C$6,IF(Element_Stiffness!$C$5=0,IF(0=Element_Stiffness!$C$5,Element_Stiffness!S30,IF(0=Element_Stiffness!$E$5,Element_Stiffness!Y30,0)),IF(Element_Stiffness!$E$5=0,IF(0=Element_Stiffness!$C$5,Element_Stiffness!S36,IF(0=Element_Stiffness!$E$5,Element_Stiffness!Y36,0)),0)),0)+IF(Element_Stiffness!$C$41,IF(Element_Stiffness!$C$40=0,IF(0=Element_Stiffness!$C$40,Element_Stiffness!S65,IF(0=Element_Stiffness!$E$40,Element_Stiffness!Y65,0)),IF(Element_Stiffness!$E$40=0,IF(0=Element_Stiffness!$C$40,Element_Stiffness!S71,IF(0=Element_Stiffness!$E$40,Element_Stiffness!Y71,0)),0)),0)+IF(Element_Stiffness!$C$76,IF(Element_Stiffness!$C$75=0,IF(0=Element_Stiffness!$C$75,Element_Stiffness!S100,IF(0=Element_Stiffness!$E$75,Element_Stiffness!Y100,0)),IF(Element_Stiffness!$E$75=0,IF(0=Element_Stiffness!$C$75,Element_Stiffness!S106,IF(0=Element_Stiffness!$E$75,Element_Stiffness!Y106,0)),0)),0)+IF(Element_Stiffness!$C$111,IF(Element_Stiffness!$C$110=0,IF(0=Element_Stiffness!$C$110,Element_Stiffness!S135,IF(0=Element_Stiffness!$E$110,Element_Stiffness!Y135,0)),IF(Element_Stiffness!$E$110=0,IF(0=Element_Stiffness!$C$110,Element_Stiffness!S141,IF(0=Element_Stiffness!$E$110,Element_Stiffness!Y141,0)),0)),0)+IF(Element_Stiffness!$C$146,IF(Element_Stiffness!$C$145=0,IF(0=Element_Stiffness!$C$145,Element_Stiffness!S170,IF(0=Element_Stiffness!$E$145,Element_Stiffness!Y170,0)),IF(Element_Stiffness!$E$145=0,IF(0=Element_Stiffness!$C$145,Element_Stiffness!S176,IF(0=Element_Stiffness!$E$145,Element_Stiffness!Y176,0)),0)),0)+IF(Element_Stiffness!$C$181,IF(Element_Stiffness!$C$180=0,IF(0=Element_Stiffness!$C$180,Element_Stiffness!S205,IF(0=Element_Stiffness!$E$180,Element_Stiffness!Y205,0)),IF(Element_Stiffness!$E$180=0,IF(0=Element_Stiffness!$C$180,Element_Stiffness!S211,IF(0=Element_Stiffness!$E$180,Element_Stiffness!Y211,0)),0)),0)+IF(Element_Stiffness!$C$216,IF(Element_Stiffness!$C$215=0,IF(0=Element_Stiffness!$C$215,Element_Stiffness!S240,IF(0=Element_Stiffness!$E$215,Element_Stiffness!Y240,0)),IF(Element_Stiffness!$E$215=0,IF(0=Element_Stiffness!$C$215,Element_Stiffness!S246,IF(0=Element_Stiffness!$E$215,Element_Stiffness!Y246,0)),0)),0)</f>
        <v/>
      </c>
      <c r="G9" s="21">
        <f>IF(Element_Stiffness!$C$6,IF(Element_Stiffness!$C$5=0,IF(0=Element_Stiffness!$C$5,Element_Stiffness!T30,IF(0=Element_Stiffness!$E$5,Element_Stiffness!Z30,0)),IF(Element_Stiffness!$E$5=0,IF(0=Element_Stiffness!$C$5,Element_Stiffness!T36,IF(0=Element_Stiffness!$E$5,Element_Stiffness!Z36,0)),0)),0)+IF(Element_Stiffness!$C$41,IF(Element_Stiffness!$C$40=0,IF(0=Element_Stiffness!$C$40,Element_Stiffness!T65,IF(0=Element_Stiffness!$E$40,Element_Stiffness!Z65,0)),IF(Element_Stiffness!$E$40=0,IF(0=Element_Stiffness!$C$40,Element_Stiffness!T71,IF(0=Element_Stiffness!$E$40,Element_Stiffness!Z71,0)),0)),0)+IF(Element_Stiffness!$C$76,IF(Element_Stiffness!$C$75=0,IF(0=Element_Stiffness!$C$75,Element_Stiffness!T100,IF(0=Element_Stiffness!$E$75,Element_Stiffness!Z100,0)),IF(Element_Stiffness!$E$75=0,IF(0=Element_Stiffness!$C$75,Element_Stiffness!T106,IF(0=Element_Stiffness!$E$75,Element_Stiffness!Z106,0)),0)),0)+IF(Element_Stiffness!$C$111,IF(Element_Stiffness!$C$110=0,IF(0=Element_Stiffness!$C$110,Element_Stiffness!T135,IF(0=Element_Stiffness!$E$110,Element_Stiffness!Z135,0)),IF(Element_Stiffness!$E$110=0,IF(0=Element_Stiffness!$C$110,Element_Stiffness!T141,IF(0=Element_Stiffness!$E$110,Element_Stiffness!Z141,0)),0)),0)+IF(Element_Stiffness!$C$146,IF(Element_Stiffness!$C$145=0,IF(0=Element_Stiffness!$C$145,Element_Stiffness!T170,IF(0=Element_Stiffness!$E$145,Element_Stiffness!Z170,0)),IF(Element_Stiffness!$E$145=0,IF(0=Element_Stiffness!$C$145,Element_Stiffness!T176,IF(0=Element_Stiffness!$E$145,Element_Stiffness!Z176,0)),0)),0)+IF(Element_Stiffness!$C$181,IF(Element_Stiffness!$C$180=0,IF(0=Element_Stiffness!$C$180,Element_Stiffness!T205,IF(0=Element_Stiffness!$E$180,Element_Stiffness!Z205,0)),IF(Element_Stiffness!$E$180=0,IF(0=Element_Stiffness!$C$180,Element_Stiffness!T211,IF(0=Element_Stiffness!$E$180,Element_Stiffness!Z211,0)),0)),0)+IF(Element_Stiffness!$C$216,IF(Element_Stiffness!$C$215=0,IF(0=Element_Stiffness!$C$215,Element_Stiffness!T240,IF(0=Element_Stiffness!$E$215,Element_Stiffness!Z240,0)),IF(Element_Stiffness!$E$215=0,IF(0=Element_Stiffness!$C$215,Element_Stiffness!T246,IF(0=Element_Stiffness!$E$215,Element_Stiffness!Z246,0)),0)),0)+IF(Inputs!G40=TRUE,1E15,IF(ISNUMBER(Inputs!G40),Inputs!G40,0))</f>
        <v/>
      </c>
      <c r="H9" s="21">
        <f>IF(Element_Stiffness!$C$6,IF(Element_Stiffness!$C$5=0,IF(0=Element_Stiffness!$C$5,Element_Stiffness!U30,IF(0=Element_Stiffness!$E$5,Element_Stiffness!AA30,0)),IF(Element_Stiffness!$E$5=0,IF(0=Element_Stiffness!$C$5,Element_Stiffness!U36,IF(0=Element_Stiffness!$E$5,Element_Stiffness!AA36,0)),0)),0)+IF(Element_Stiffness!$C$41,IF(Element_Stiffness!$C$40=0,IF(0=Element_Stiffness!$C$40,Element_Stiffness!U65,IF(0=Element_Stiffness!$E$40,Element_Stiffness!AA65,0)),IF(Element_Stiffness!$E$40=0,IF(0=Element_Stiffness!$C$40,Element_Stiffness!U71,IF(0=Element_Stiffness!$E$40,Element_Stiffness!AA71,0)),0)),0)+IF(Element_Stiffness!$C$76,IF(Element_Stiffness!$C$75=0,IF(0=Element_Stiffness!$C$75,Element_Stiffness!U100,IF(0=Element_Stiffness!$E$75,Element_Stiffness!AA100,0)),IF(Element_Stiffness!$E$75=0,IF(0=Element_Stiffness!$C$75,Element_Stiffness!U106,IF(0=Element_Stiffness!$E$75,Element_Stiffness!AA106,0)),0)),0)+IF(Element_Stiffness!$C$111,IF(Element_Stiffness!$C$110=0,IF(0=Element_Stiffness!$C$110,Element_Stiffness!U135,IF(0=Element_Stiffness!$E$110,Element_Stiffness!AA135,0)),IF(Element_Stiffness!$E$110=0,IF(0=Element_Stiffness!$C$110,Element_Stiffness!U141,IF(0=Element_Stiffness!$E$110,Element_Stiffness!AA141,0)),0)),0)+IF(Element_Stiffness!$C$146,IF(Element_Stiffness!$C$145=0,IF(0=Element_Stiffness!$C$145,Element_Stiffness!U170,IF(0=Element_Stiffness!$E$145,Element_Stiffness!AA170,0)),IF(Element_Stiffness!$E$145=0,IF(0=Element_Stiffness!$C$145,Element_Stiffness!U176,IF(0=Element_Stiffness!$E$145,Element_Stiffness!AA176,0)),0)),0)+IF(Element_Stiffness!$C$181,IF(Element_Stiffness!$C$180=0,IF(0=Element_Stiffness!$C$180,Element_Stiffness!U205,IF(0=Element_Stiffness!$E$180,Element_Stiffness!AA205,0)),IF(Element_Stiffness!$E$180=0,IF(0=Element_Stiffness!$C$180,Element_Stiffness!U211,IF(0=Element_Stiffness!$E$180,Element_Stiffness!AA211,0)),0)),0)+IF(Element_Stiffness!$C$216,IF(Element_Stiffness!$C$215=0,IF(0=Element_Stiffness!$C$215,Element_Stiffness!U240,IF(0=Element_Stiffness!$E$215,Element_Stiffness!AA240,0)),IF(Element_Stiffness!$E$215=0,IF(0=Element_Stiffness!$C$215,Element_Stiffness!U246,IF(0=Element_Stiffness!$E$215,Element_Stiffness!AA246,0)),0)),0)</f>
        <v/>
      </c>
      <c r="I9" s="21">
        <f>IF(Element_Stiffness!$C$6,IF(Element_Stiffness!$C$5=0,IF(1=Element_Stiffness!$C$5,Element_Stiffness!P30,IF(1=Element_Stiffness!$E$5,Element_Stiffness!V30,0)),IF(Element_Stiffness!$E$5=0,IF(1=Element_Stiffness!$C$5,Element_Stiffness!P36,IF(1=Element_Stiffness!$E$5,Element_Stiffness!V36,0)),0)),0)+IF(Element_Stiffness!$C$41,IF(Element_Stiffness!$C$40=0,IF(1=Element_Stiffness!$C$40,Element_Stiffness!P65,IF(1=Element_Stiffness!$E$40,Element_Stiffness!V65,0)),IF(Element_Stiffness!$E$40=0,IF(1=Element_Stiffness!$C$40,Element_Stiffness!P71,IF(1=Element_Stiffness!$E$40,Element_Stiffness!V71,0)),0)),0)+IF(Element_Stiffness!$C$76,IF(Element_Stiffness!$C$75=0,IF(1=Element_Stiffness!$C$75,Element_Stiffness!P100,IF(1=Element_Stiffness!$E$75,Element_Stiffness!V100,0)),IF(Element_Stiffness!$E$75=0,IF(1=Element_Stiffness!$C$75,Element_Stiffness!P106,IF(1=Element_Stiffness!$E$75,Element_Stiffness!V106,0)),0)),0)+IF(Element_Stiffness!$C$111,IF(Element_Stiffness!$C$110=0,IF(1=Element_Stiffness!$C$110,Element_Stiffness!P135,IF(1=Element_Stiffness!$E$110,Element_Stiffness!V135,0)),IF(Element_Stiffness!$E$110=0,IF(1=Element_Stiffness!$C$110,Element_Stiffness!P141,IF(1=Element_Stiffness!$E$110,Element_Stiffness!V141,0)),0)),0)+IF(Element_Stiffness!$C$146,IF(Element_Stiffness!$C$145=0,IF(1=Element_Stiffness!$C$145,Element_Stiffness!P170,IF(1=Element_Stiffness!$E$145,Element_Stiffness!V170,0)),IF(Element_Stiffness!$E$145=0,IF(1=Element_Stiffness!$C$145,Element_Stiffness!P176,IF(1=Element_Stiffness!$E$145,Element_Stiffness!V176,0)),0)),0)+IF(Element_Stiffness!$C$181,IF(Element_Stiffness!$C$180=0,IF(1=Element_Stiffness!$C$180,Element_Stiffness!P205,IF(1=Element_Stiffness!$E$180,Element_Stiffness!V205,0)),IF(Element_Stiffness!$E$180=0,IF(1=Element_Stiffness!$C$180,Element_Stiffness!P211,IF(1=Element_Stiffness!$E$180,Element_Stiffness!V211,0)),0)),0)+IF(Element_Stiffness!$C$216,IF(Element_Stiffness!$C$215=0,IF(1=Element_Stiffness!$C$215,Element_Stiffness!P240,IF(1=Element_Stiffness!$E$215,Element_Stiffness!V240,0)),IF(Element_Stiffness!$E$215=0,IF(1=Element_Stiffness!$C$215,Element_Stiffness!P246,IF(1=Element_Stiffness!$E$215,Element_Stiffness!V246,0)),0)),0)</f>
        <v/>
      </c>
      <c r="J9" s="21">
        <f>IF(Element_Stiffness!$C$6,IF(Element_Stiffness!$C$5=0,IF(1=Element_Stiffness!$C$5,Element_Stiffness!Q30,IF(1=Element_Stiffness!$E$5,Element_Stiffness!W30,0)),IF(Element_Stiffness!$E$5=0,IF(1=Element_Stiffness!$C$5,Element_Stiffness!Q36,IF(1=Element_Stiffness!$E$5,Element_Stiffness!W36,0)),0)),0)+IF(Element_Stiffness!$C$41,IF(Element_Stiffness!$C$40=0,IF(1=Element_Stiffness!$C$40,Element_Stiffness!Q65,IF(1=Element_Stiffness!$E$40,Element_Stiffness!W65,0)),IF(Element_Stiffness!$E$40=0,IF(1=Element_Stiffness!$C$40,Element_Stiffness!Q71,IF(1=Element_Stiffness!$E$40,Element_Stiffness!W71,0)),0)),0)+IF(Element_Stiffness!$C$76,IF(Element_Stiffness!$C$75=0,IF(1=Element_Stiffness!$C$75,Element_Stiffness!Q100,IF(1=Element_Stiffness!$E$75,Element_Stiffness!W100,0)),IF(Element_Stiffness!$E$75=0,IF(1=Element_Stiffness!$C$75,Element_Stiffness!Q106,IF(1=Element_Stiffness!$E$75,Element_Stiffness!W106,0)),0)),0)+IF(Element_Stiffness!$C$111,IF(Element_Stiffness!$C$110=0,IF(1=Element_Stiffness!$C$110,Element_Stiffness!Q135,IF(1=Element_Stiffness!$E$110,Element_Stiffness!W135,0)),IF(Element_Stiffness!$E$110=0,IF(1=Element_Stiffness!$C$110,Element_Stiffness!Q141,IF(1=Element_Stiffness!$E$110,Element_Stiffness!W141,0)),0)),0)+IF(Element_Stiffness!$C$146,IF(Element_Stiffness!$C$145=0,IF(1=Element_Stiffness!$C$145,Element_Stiffness!Q170,IF(1=Element_Stiffness!$E$145,Element_Stiffness!W170,0)),IF(Element_Stiffness!$E$145=0,IF(1=Element_Stiffness!$C$145,Element_Stiffness!Q176,IF(1=Element_Stiffness!$E$145,Element_Stiffness!W176,0)),0)),0)+IF(Element_Stiffness!$C$181,IF(Element_Stiffness!$C$180=0,IF(1=Element_Stiffness!$C$180,Element_Stiffness!Q205,IF(1=Element_Stiffness!$E$180,Element_Stiffness!W205,0)),IF(Element_Stiffness!$E$180=0,IF(1=Element_Stiffness!$C$180,Element_Stiffness!Q211,IF(1=Element_Stiffness!$E$180,Element_Stiffness!W211,0)),0)),0)+IF(Element_Stiffness!$C$216,IF(Element_Stiffness!$C$215=0,IF(1=Element_Stiffness!$C$215,Element_Stiffness!Q240,IF(1=Element_Stiffness!$E$215,Element_Stiffness!W240,0)),IF(Element_Stiffness!$E$215=0,IF(1=Element_Stiffness!$C$215,Element_Stiffness!Q246,IF(1=Element_Stiffness!$E$215,Element_Stiffness!W246,0)),0)),0)</f>
        <v/>
      </c>
      <c r="K9" s="21">
        <f>IF(Element_Stiffness!$C$6,IF(Element_Stiffness!$C$5=0,IF(1=Element_Stiffness!$C$5,Element_Stiffness!R30,IF(1=Element_Stiffness!$E$5,Element_Stiffness!X30,0)),IF(Element_Stiffness!$E$5=0,IF(1=Element_Stiffness!$C$5,Element_Stiffness!R36,IF(1=Element_Stiffness!$E$5,Element_Stiffness!X36,0)),0)),0)+IF(Element_Stiffness!$C$41,IF(Element_Stiffness!$C$40=0,IF(1=Element_Stiffness!$C$40,Element_Stiffness!R65,IF(1=Element_Stiffness!$E$40,Element_Stiffness!X65,0)),IF(Element_Stiffness!$E$40=0,IF(1=Element_Stiffness!$C$40,Element_Stiffness!R71,IF(1=Element_Stiffness!$E$40,Element_Stiffness!X71,0)),0)),0)+IF(Element_Stiffness!$C$76,IF(Element_Stiffness!$C$75=0,IF(1=Element_Stiffness!$C$75,Element_Stiffness!R100,IF(1=Element_Stiffness!$E$75,Element_Stiffness!X100,0)),IF(Element_Stiffness!$E$75=0,IF(1=Element_Stiffness!$C$75,Element_Stiffness!R106,IF(1=Element_Stiffness!$E$75,Element_Stiffness!X106,0)),0)),0)+IF(Element_Stiffness!$C$111,IF(Element_Stiffness!$C$110=0,IF(1=Element_Stiffness!$C$110,Element_Stiffness!R135,IF(1=Element_Stiffness!$E$110,Element_Stiffness!X135,0)),IF(Element_Stiffness!$E$110=0,IF(1=Element_Stiffness!$C$110,Element_Stiffness!R141,IF(1=Element_Stiffness!$E$110,Element_Stiffness!X141,0)),0)),0)+IF(Element_Stiffness!$C$146,IF(Element_Stiffness!$C$145=0,IF(1=Element_Stiffness!$C$145,Element_Stiffness!R170,IF(1=Element_Stiffness!$E$145,Element_Stiffness!X170,0)),IF(Element_Stiffness!$E$145=0,IF(1=Element_Stiffness!$C$145,Element_Stiffness!R176,IF(1=Element_Stiffness!$E$145,Element_Stiffness!X176,0)),0)),0)+IF(Element_Stiffness!$C$181,IF(Element_Stiffness!$C$180=0,IF(1=Element_Stiffness!$C$180,Element_Stiffness!R205,IF(1=Element_Stiffness!$E$180,Element_Stiffness!X205,0)),IF(Element_Stiffness!$E$180=0,IF(1=Element_Stiffness!$C$180,Element_Stiffness!R211,IF(1=Element_Stiffness!$E$180,Element_Stiffness!X211,0)),0)),0)+IF(Element_Stiffness!$C$216,IF(Element_Stiffness!$C$215=0,IF(1=Element_Stiffness!$C$215,Element_Stiffness!R240,IF(1=Element_Stiffness!$E$215,Element_Stiffness!X240,0)),IF(Element_Stiffness!$E$215=0,IF(1=Element_Stiffness!$C$215,Element_Stiffness!R246,IF(1=Element_Stiffness!$E$215,Element_Stiffness!X246,0)),0)),0)</f>
        <v/>
      </c>
      <c r="L9" s="21">
        <f>IF(Element_Stiffness!$C$6,IF(Element_Stiffness!$C$5=0,IF(1=Element_Stiffness!$C$5,Element_Stiffness!S30,IF(1=Element_Stiffness!$E$5,Element_Stiffness!Y30,0)),IF(Element_Stiffness!$E$5=0,IF(1=Element_Stiffness!$C$5,Element_Stiffness!S36,IF(1=Element_Stiffness!$E$5,Element_Stiffness!Y36,0)),0)),0)+IF(Element_Stiffness!$C$41,IF(Element_Stiffness!$C$40=0,IF(1=Element_Stiffness!$C$40,Element_Stiffness!S65,IF(1=Element_Stiffness!$E$40,Element_Stiffness!Y65,0)),IF(Element_Stiffness!$E$40=0,IF(1=Element_Stiffness!$C$40,Element_Stiffness!S71,IF(1=Element_Stiffness!$E$40,Element_Stiffness!Y71,0)),0)),0)+IF(Element_Stiffness!$C$76,IF(Element_Stiffness!$C$75=0,IF(1=Element_Stiffness!$C$75,Element_Stiffness!S100,IF(1=Element_Stiffness!$E$75,Element_Stiffness!Y100,0)),IF(Element_Stiffness!$E$75=0,IF(1=Element_Stiffness!$C$75,Element_Stiffness!S106,IF(1=Element_Stiffness!$E$75,Element_Stiffness!Y106,0)),0)),0)+IF(Element_Stiffness!$C$111,IF(Element_Stiffness!$C$110=0,IF(1=Element_Stiffness!$C$110,Element_Stiffness!S135,IF(1=Element_Stiffness!$E$110,Element_Stiffness!Y135,0)),IF(Element_Stiffness!$E$110=0,IF(1=Element_Stiffness!$C$110,Element_Stiffness!S141,IF(1=Element_Stiffness!$E$110,Element_Stiffness!Y141,0)),0)),0)+IF(Element_Stiffness!$C$146,IF(Element_Stiffness!$C$145=0,IF(1=Element_Stiffness!$C$145,Element_Stiffness!S170,IF(1=Element_Stiffness!$E$145,Element_Stiffness!Y170,0)),IF(Element_Stiffness!$E$145=0,IF(1=Element_Stiffness!$C$145,Element_Stiffness!S176,IF(1=Element_Stiffness!$E$145,Element_Stiffness!Y176,0)),0)),0)+IF(Element_Stiffness!$C$181,IF(Element_Stiffness!$C$180=0,IF(1=Element_Stiffness!$C$180,Element_Stiffness!S205,IF(1=Element_Stiffness!$E$180,Element_Stiffness!Y205,0)),IF(Element_Stiffness!$E$180=0,IF(1=Element_Stiffness!$C$180,Element_Stiffness!S211,IF(1=Element_Stiffness!$E$180,Element_Stiffness!Y211,0)),0)),0)+IF(Element_Stiffness!$C$216,IF(Element_Stiffness!$C$215=0,IF(1=Element_Stiffness!$C$215,Element_Stiffness!S240,IF(1=Element_Stiffness!$E$215,Element_Stiffness!Y240,0)),IF(Element_Stiffness!$E$215=0,IF(1=Element_Stiffness!$C$215,Element_Stiffness!S246,IF(1=Element_Stiffness!$E$215,Element_Stiffness!Y246,0)),0)),0)</f>
        <v/>
      </c>
      <c r="M9" s="21">
        <f>IF(Element_Stiffness!$C$6,IF(Element_Stiffness!$C$5=0,IF(1=Element_Stiffness!$C$5,Element_Stiffness!T30,IF(1=Element_Stiffness!$E$5,Element_Stiffness!Z30,0)),IF(Element_Stiffness!$E$5=0,IF(1=Element_Stiffness!$C$5,Element_Stiffness!T36,IF(1=Element_Stiffness!$E$5,Element_Stiffness!Z36,0)),0)),0)+IF(Element_Stiffness!$C$41,IF(Element_Stiffness!$C$40=0,IF(1=Element_Stiffness!$C$40,Element_Stiffness!T65,IF(1=Element_Stiffness!$E$40,Element_Stiffness!Z65,0)),IF(Element_Stiffness!$E$40=0,IF(1=Element_Stiffness!$C$40,Element_Stiffness!T71,IF(1=Element_Stiffness!$E$40,Element_Stiffness!Z71,0)),0)),0)+IF(Element_Stiffness!$C$76,IF(Element_Stiffness!$C$75=0,IF(1=Element_Stiffness!$C$75,Element_Stiffness!T100,IF(1=Element_Stiffness!$E$75,Element_Stiffness!Z100,0)),IF(Element_Stiffness!$E$75=0,IF(1=Element_Stiffness!$C$75,Element_Stiffness!T106,IF(1=Element_Stiffness!$E$75,Element_Stiffness!Z106,0)),0)),0)+IF(Element_Stiffness!$C$111,IF(Element_Stiffness!$C$110=0,IF(1=Element_Stiffness!$C$110,Element_Stiffness!T135,IF(1=Element_Stiffness!$E$110,Element_Stiffness!Z135,0)),IF(Element_Stiffness!$E$110=0,IF(1=Element_Stiffness!$C$110,Element_Stiffness!T141,IF(1=Element_Stiffness!$E$110,Element_Stiffness!Z141,0)),0)),0)+IF(Element_Stiffness!$C$146,IF(Element_Stiffness!$C$145=0,IF(1=Element_Stiffness!$C$145,Element_Stiffness!T170,IF(1=Element_Stiffness!$E$145,Element_Stiffness!Z170,0)),IF(Element_Stiffness!$E$145=0,IF(1=Element_Stiffness!$C$145,Element_Stiffness!T176,IF(1=Element_Stiffness!$E$145,Element_Stiffness!Z176,0)),0)),0)+IF(Element_Stiffness!$C$181,IF(Element_Stiffness!$C$180=0,IF(1=Element_Stiffness!$C$180,Element_Stiffness!T205,IF(1=Element_Stiffness!$E$180,Element_Stiffness!Z205,0)),IF(Element_Stiffness!$E$180=0,IF(1=Element_Stiffness!$C$180,Element_Stiffness!T211,IF(1=Element_Stiffness!$E$180,Element_Stiffness!Z211,0)),0)),0)+IF(Element_Stiffness!$C$216,IF(Element_Stiffness!$C$215=0,IF(1=Element_Stiffness!$C$215,Element_Stiffness!T240,IF(1=Element_Stiffness!$E$215,Element_Stiffness!Z240,0)),IF(Element_Stiffness!$E$215=0,IF(1=Element_Stiffness!$C$215,Element_Stiffness!T246,IF(1=Element_Stiffness!$E$215,Element_Stiffness!Z246,0)),0)),0)</f>
        <v/>
      </c>
      <c r="N9" s="21">
        <f>IF(Element_Stiffness!$C$6,IF(Element_Stiffness!$C$5=0,IF(1=Element_Stiffness!$C$5,Element_Stiffness!U30,IF(1=Element_Stiffness!$E$5,Element_Stiffness!AA30,0)),IF(Element_Stiffness!$E$5=0,IF(1=Element_Stiffness!$C$5,Element_Stiffness!U36,IF(1=Element_Stiffness!$E$5,Element_Stiffness!AA36,0)),0)),0)+IF(Element_Stiffness!$C$41,IF(Element_Stiffness!$C$40=0,IF(1=Element_Stiffness!$C$40,Element_Stiffness!U65,IF(1=Element_Stiffness!$E$40,Element_Stiffness!AA65,0)),IF(Element_Stiffness!$E$40=0,IF(1=Element_Stiffness!$C$40,Element_Stiffness!U71,IF(1=Element_Stiffness!$E$40,Element_Stiffness!AA71,0)),0)),0)+IF(Element_Stiffness!$C$76,IF(Element_Stiffness!$C$75=0,IF(1=Element_Stiffness!$C$75,Element_Stiffness!U100,IF(1=Element_Stiffness!$E$75,Element_Stiffness!AA100,0)),IF(Element_Stiffness!$E$75=0,IF(1=Element_Stiffness!$C$75,Element_Stiffness!U106,IF(1=Element_Stiffness!$E$75,Element_Stiffness!AA106,0)),0)),0)+IF(Element_Stiffness!$C$111,IF(Element_Stiffness!$C$110=0,IF(1=Element_Stiffness!$C$110,Element_Stiffness!U135,IF(1=Element_Stiffness!$E$110,Element_Stiffness!AA135,0)),IF(Element_Stiffness!$E$110=0,IF(1=Element_Stiffness!$C$110,Element_Stiffness!U141,IF(1=Element_Stiffness!$E$110,Element_Stiffness!AA141,0)),0)),0)+IF(Element_Stiffness!$C$146,IF(Element_Stiffness!$C$145=0,IF(1=Element_Stiffness!$C$145,Element_Stiffness!U170,IF(1=Element_Stiffness!$E$145,Element_Stiffness!AA170,0)),IF(Element_Stiffness!$E$145=0,IF(1=Element_Stiffness!$C$145,Element_Stiffness!U176,IF(1=Element_Stiffness!$E$145,Element_Stiffness!AA176,0)),0)),0)+IF(Element_Stiffness!$C$181,IF(Element_Stiffness!$C$180=0,IF(1=Element_Stiffness!$C$180,Element_Stiffness!U205,IF(1=Element_Stiffness!$E$180,Element_Stiffness!AA205,0)),IF(Element_Stiffness!$E$180=0,IF(1=Element_Stiffness!$C$180,Element_Stiffness!U211,IF(1=Element_Stiffness!$E$180,Element_Stiffness!AA211,0)),0)),0)+IF(Element_Stiffness!$C$216,IF(Element_Stiffness!$C$215=0,IF(1=Element_Stiffness!$C$215,Element_Stiffness!U240,IF(1=Element_Stiffness!$E$215,Element_Stiffness!AA240,0)),IF(Element_Stiffness!$E$215=0,IF(1=Element_Stiffness!$C$215,Element_Stiffness!U246,IF(1=Element_Stiffness!$E$215,Element_Stiffness!AA246,0)),0)),0)</f>
        <v/>
      </c>
      <c r="O9" s="21">
        <f>IF(Element_Stiffness!$C$6,IF(Element_Stiffness!$C$5=0,IF(2=Element_Stiffness!$C$5,Element_Stiffness!P30,IF(2=Element_Stiffness!$E$5,Element_Stiffness!V30,0)),IF(Element_Stiffness!$E$5=0,IF(2=Element_Stiffness!$C$5,Element_Stiffness!P36,IF(2=Element_Stiffness!$E$5,Element_Stiffness!V36,0)),0)),0)+IF(Element_Stiffness!$C$41,IF(Element_Stiffness!$C$40=0,IF(2=Element_Stiffness!$C$40,Element_Stiffness!P65,IF(2=Element_Stiffness!$E$40,Element_Stiffness!V65,0)),IF(Element_Stiffness!$E$40=0,IF(2=Element_Stiffness!$C$40,Element_Stiffness!P71,IF(2=Element_Stiffness!$E$40,Element_Stiffness!V71,0)),0)),0)+IF(Element_Stiffness!$C$76,IF(Element_Stiffness!$C$75=0,IF(2=Element_Stiffness!$C$75,Element_Stiffness!P100,IF(2=Element_Stiffness!$E$75,Element_Stiffness!V100,0)),IF(Element_Stiffness!$E$75=0,IF(2=Element_Stiffness!$C$75,Element_Stiffness!P106,IF(2=Element_Stiffness!$E$75,Element_Stiffness!V106,0)),0)),0)+IF(Element_Stiffness!$C$111,IF(Element_Stiffness!$C$110=0,IF(2=Element_Stiffness!$C$110,Element_Stiffness!P135,IF(2=Element_Stiffness!$E$110,Element_Stiffness!V135,0)),IF(Element_Stiffness!$E$110=0,IF(2=Element_Stiffness!$C$110,Element_Stiffness!P141,IF(2=Element_Stiffness!$E$110,Element_Stiffness!V141,0)),0)),0)+IF(Element_Stiffness!$C$146,IF(Element_Stiffness!$C$145=0,IF(2=Element_Stiffness!$C$145,Element_Stiffness!P170,IF(2=Element_Stiffness!$E$145,Element_Stiffness!V170,0)),IF(Element_Stiffness!$E$145=0,IF(2=Element_Stiffness!$C$145,Element_Stiffness!P176,IF(2=Element_Stiffness!$E$145,Element_Stiffness!V176,0)),0)),0)+IF(Element_Stiffness!$C$181,IF(Element_Stiffness!$C$180=0,IF(2=Element_Stiffness!$C$180,Element_Stiffness!P205,IF(2=Element_Stiffness!$E$180,Element_Stiffness!V205,0)),IF(Element_Stiffness!$E$180=0,IF(2=Element_Stiffness!$C$180,Element_Stiffness!P211,IF(2=Element_Stiffness!$E$180,Element_Stiffness!V211,0)),0)),0)+IF(Element_Stiffness!$C$216,IF(Element_Stiffness!$C$215=0,IF(2=Element_Stiffness!$C$215,Element_Stiffness!P240,IF(2=Element_Stiffness!$E$215,Element_Stiffness!V240,0)),IF(Element_Stiffness!$E$215=0,IF(2=Element_Stiffness!$C$215,Element_Stiffness!P246,IF(2=Element_Stiffness!$E$215,Element_Stiffness!V246,0)),0)),0)</f>
        <v/>
      </c>
      <c r="P9" s="21">
        <f>IF(Element_Stiffness!$C$6,IF(Element_Stiffness!$C$5=0,IF(2=Element_Stiffness!$C$5,Element_Stiffness!Q30,IF(2=Element_Stiffness!$E$5,Element_Stiffness!W30,0)),IF(Element_Stiffness!$E$5=0,IF(2=Element_Stiffness!$C$5,Element_Stiffness!Q36,IF(2=Element_Stiffness!$E$5,Element_Stiffness!W36,0)),0)),0)+IF(Element_Stiffness!$C$41,IF(Element_Stiffness!$C$40=0,IF(2=Element_Stiffness!$C$40,Element_Stiffness!Q65,IF(2=Element_Stiffness!$E$40,Element_Stiffness!W65,0)),IF(Element_Stiffness!$E$40=0,IF(2=Element_Stiffness!$C$40,Element_Stiffness!Q71,IF(2=Element_Stiffness!$E$40,Element_Stiffness!W71,0)),0)),0)+IF(Element_Stiffness!$C$76,IF(Element_Stiffness!$C$75=0,IF(2=Element_Stiffness!$C$75,Element_Stiffness!Q100,IF(2=Element_Stiffness!$E$75,Element_Stiffness!W100,0)),IF(Element_Stiffness!$E$75=0,IF(2=Element_Stiffness!$C$75,Element_Stiffness!Q106,IF(2=Element_Stiffness!$E$75,Element_Stiffness!W106,0)),0)),0)+IF(Element_Stiffness!$C$111,IF(Element_Stiffness!$C$110=0,IF(2=Element_Stiffness!$C$110,Element_Stiffness!Q135,IF(2=Element_Stiffness!$E$110,Element_Stiffness!W135,0)),IF(Element_Stiffness!$E$110=0,IF(2=Element_Stiffness!$C$110,Element_Stiffness!Q141,IF(2=Element_Stiffness!$E$110,Element_Stiffness!W141,0)),0)),0)+IF(Element_Stiffness!$C$146,IF(Element_Stiffness!$C$145=0,IF(2=Element_Stiffness!$C$145,Element_Stiffness!Q170,IF(2=Element_Stiffness!$E$145,Element_Stiffness!W170,0)),IF(Element_Stiffness!$E$145=0,IF(2=Element_Stiffness!$C$145,Element_Stiffness!Q176,IF(2=Element_Stiffness!$E$145,Element_Stiffness!W176,0)),0)),0)+IF(Element_Stiffness!$C$181,IF(Element_Stiffness!$C$180=0,IF(2=Element_Stiffness!$C$180,Element_Stiffness!Q205,IF(2=Element_Stiffness!$E$180,Element_Stiffness!W205,0)),IF(Element_Stiffness!$E$180=0,IF(2=Element_Stiffness!$C$180,Element_Stiffness!Q211,IF(2=Element_Stiffness!$E$180,Element_Stiffness!W211,0)),0)),0)+IF(Element_Stiffness!$C$216,IF(Element_Stiffness!$C$215=0,IF(2=Element_Stiffness!$C$215,Element_Stiffness!Q240,IF(2=Element_Stiffness!$E$215,Element_Stiffness!W240,0)),IF(Element_Stiffness!$E$215=0,IF(2=Element_Stiffness!$C$215,Element_Stiffness!Q246,IF(2=Element_Stiffness!$E$215,Element_Stiffness!W246,0)),0)),0)</f>
        <v/>
      </c>
      <c r="Q9" s="21">
        <f>IF(Element_Stiffness!$C$6,IF(Element_Stiffness!$C$5=0,IF(2=Element_Stiffness!$C$5,Element_Stiffness!R30,IF(2=Element_Stiffness!$E$5,Element_Stiffness!X30,0)),IF(Element_Stiffness!$E$5=0,IF(2=Element_Stiffness!$C$5,Element_Stiffness!R36,IF(2=Element_Stiffness!$E$5,Element_Stiffness!X36,0)),0)),0)+IF(Element_Stiffness!$C$41,IF(Element_Stiffness!$C$40=0,IF(2=Element_Stiffness!$C$40,Element_Stiffness!R65,IF(2=Element_Stiffness!$E$40,Element_Stiffness!X65,0)),IF(Element_Stiffness!$E$40=0,IF(2=Element_Stiffness!$C$40,Element_Stiffness!R71,IF(2=Element_Stiffness!$E$40,Element_Stiffness!X71,0)),0)),0)+IF(Element_Stiffness!$C$76,IF(Element_Stiffness!$C$75=0,IF(2=Element_Stiffness!$C$75,Element_Stiffness!R100,IF(2=Element_Stiffness!$E$75,Element_Stiffness!X100,0)),IF(Element_Stiffness!$E$75=0,IF(2=Element_Stiffness!$C$75,Element_Stiffness!R106,IF(2=Element_Stiffness!$E$75,Element_Stiffness!X106,0)),0)),0)+IF(Element_Stiffness!$C$111,IF(Element_Stiffness!$C$110=0,IF(2=Element_Stiffness!$C$110,Element_Stiffness!R135,IF(2=Element_Stiffness!$E$110,Element_Stiffness!X135,0)),IF(Element_Stiffness!$E$110=0,IF(2=Element_Stiffness!$C$110,Element_Stiffness!R141,IF(2=Element_Stiffness!$E$110,Element_Stiffness!X141,0)),0)),0)+IF(Element_Stiffness!$C$146,IF(Element_Stiffness!$C$145=0,IF(2=Element_Stiffness!$C$145,Element_Stiffness!R170,IF(2=Element_Stiffness!$E$145,Element_Stiffness!X170,0)),IF(Element_Stiffness!$E$145=0,IF(2=Element_Stiffness!$C$145,Element_Stiffness!R176,IF(2=Element_Stiffness!$E$145,Element_Stiffness!X176,0)),0)),0)+IF(Element_Stiffness!$C$181,IF(Element_Stiffness!$C$180=0,IF(2=Element_Stiffness!$C$180,Element_Stiffness!R205,IF(2=Element_Stiffness!$E$180,Element_Stiffness!X205,0)),IF(Element_Stiffness!$E$180=0,IF(2=Element_Stiffness!$C$180,Element_Stiffness!R211,IF(2=Element_Stiffness!$E$180,Element_Stiffness!X211,0)),0)),0)+IF(Element_Stiffness!$C$216,IF(Element_Stiffness!$C$215=0,IF(2=Element_Stiffness!$C$215,Element_Stiffness!R240,IF(2=Element_Stiffness!$E$215,Element_Stiffness!X240,0)),IF(Element_Stiffness!$E$215=0,IF(2=Element_Stiffness!$C$215,Element_Stiffness!R246,IF(2=Element_Stiffness!$E$215,Element_Stiffness!X246,0)),0)),0)</f>
        <v/>
      </c>
      <c r="R9" s="21">
        <f>IF(Element_Stiffness!$C$6,IF(Element_Stiffness!$C$5=0,IF(2=Element_Stiffness!$C$5,Element_Stiffness!S30,IF(2=Element_Stiffness!$E$5,Element_Stiffness!Y30,0)),IF(Element_Stiffness!$E$5=0,IF(2=Element_Stiffness!$C$5,Element_Stiffness!S36,IF(2=Element_Stiffness!$E$5,Element_Stiffness!Y36,0)),0)),0)+IF(Element_Stiffness!$C$41,IF(Element_Stiffness!$C$40=0,IF(2=Element_Stiffness!$C$40,Element_Stiffness!S65,IF(2=Element_Stiffness!$E$40,Element_Stiffness!Y65,0)),IF(Element_Stiffness!$E$40=0,IF(2=Element_Stiffness!$C$40,Element_Stiffness!S71,IF(2=Element_Stiffness!$E$40,Element_Stiffness!Y71,0)),0)),0)+IF(Element_Stiffness!$C$76,IF(Element_Stiffness!$C$75=0,IF(2=Element_Stiffness!$C$75,Element_Stiffness!S100,IF(2=Element_Stiffness!$E$75,Element_Stiffness!Y100,0)),IF(Element_Stiffness!$E$75=0,IF(2=Element_Stiffness!$C$75,Element_Stiffness!S106,IF(2=Element_Stiffness!$E$75,Element_Stiffness!Y106,0)),0)),0)+IF(Element_Stiffness!$C$111,IF(Element_Stiffness!$C$110=0,IF(2=Element_Stiffness!$C$110,Element_Stiffness!S135,IF(2=Element_Stiffness!$E$110,Element_Stiffness!Y135,0)),IF(Element_Stiffness!$E$110=0,IF(2=Element_Stiffness!$C$110,Element_Stiffness!S141,IF(2=Element_Stiffness!$E$110,Element_Stiffness!Y141,0)),0)),0)+IF(Element_Stiffness!$C$146,IF(Element_Stiffness!$C$145=0,IF(2=Element_Stiffness!$C$145,Element_Stiffness!S170,IF(2=Element_Stiffness!$E$145,Element_Stiffness!Y170,0)),IF(Element_Stiffness!$E$145=0,IF(2=Element_Stiffness!$C$145,Element_Stiffness!S176,IF(2=Element_Stiffness!$E$145,Element_Stiffness!Y176,0)),0)),0)+IF(Element_Stiffness!$C$181,IF(Element_Stiffness!$C$180=0,IF(2=Element_Stiffness!$C$180,Element_Stiffness!S205,IF(2=Element_Stiffness!$E$180,Element_Stiffness!Y205,0)),IF(Element_Stiffness!$E$180=0,IF(2=Element_Stiffness!$C$180,Element_Stiffness!S211,IF(2=Element_Stiffness!$E$180,Element_Stiffness!Y211,0)),0)),0)+IF(Element_Stiffness!$C$216,IF(Element_Stiffness!$C$215=0,IF(2=Element_Stiffness!$C$215,Element_Stiffness!S240,IF(2=Element_Stiffness!$E$215,Element_Stiffness!Y240,0)),IF(Element_Stiffness!$E$215=0,IF(2=Element_Stiffness!$C$215,Element_Stiffness!S246,IF(2=Element_Stiffness!$E$215,Element_Stiffness!Y246,0)),0)),0)</f>
        <v/>
      </c>
      <c r="S9" s="21">
        <f>IF(Element_Stiffness!$C$6,IF(Element_Stiffness!$C$5=0,IF(2=Element_Stiffness!$C$5,Element_Stiffness!T30,IF(2=Element_Stiffness!$E$5,Element_Stiffness!Z30,0)),IF(Element_Stiffness!$E$5=0,IF(2=Element_Stiffness!$C$5,Element_Stiffness!T36,IF(2=Element_Stiffness!$E$5,Element_Stiffness!Z36,0)),0)),0)+IF(Element_Stiffness!$C$41,IF(Element_Stiffness!$C$40=0,IF(2=Element_Stiffness!$C$40,Element_Stiffness!T65,IF(2=Element_Stiffness!$E$40,Element_Stiffness!Z65,0)),IF(Element_Stiffness!$E$40=0,IF(2=Element_Stiffness!$C$40,Element_Stiffness!T71,IF(2=Element_Stiffness!$E$40,Element_Stiffness!Z71,0)),0)),0)+IF(Element_Stiffness!$C$76,IF(Element_Stiffness!$C$75=0,IF(2=Element_Stiffness!$C$75,Element_Stiffness!T100,IF(2=Element_Stiffness!$E$75,Element_Stiffness!Z100,0)),IF(Element_Stiffness!$E$75=0,IF(2=Element_Stiffness!$C$75,Element_Stiffness!T106,IF(2=Element_Stiffness!$E$75,Element_Stiffness!Z106,0)),0)),0)+IF(Element_Stiffness!$C$111,IF(Element_Stiffness!$C$110=0,IF(2=Element_Stiffness!$C$110,Element_Stiffness!T135,IF(2=Element_Stiffness!$E$110,Element_Stiffness!Z135,0)),IF(Element_Stiffness!$E$110=0,IF(2=Element_Stiffness!$C$110,Element_Stiffness!T141,IF(2=Element_Stiffness!$E$110,Element_Stiffness!Z141,0)),0)),0)+IF(Element_Stiffness!$C$146,IF(Element_Stiffness!$C$145=0,IF(2=Element_Stiffness!$C$145,Element_Stiffness!T170,IF(2=Element_Stiffness!$E$145,Element_Stiffness!Z170,0)),IF(Element_Stiffness!$E$145=0,IF(2=Element_Stiffness!$C$145,Element_Stiffness!T176,IF(2=Element_Stiffness!$E$145,Element_Stiffness!Z176,0)),0)),0)+IF(Element_Stiffness!$C$181,IF(Element_Stiffness!$C$180=0,IF(2=Element_Stiffness!$C$180,Element_Stiffness!T205,IF(2=Element_Stiffness!$E$180,Element_Stiffness!Z205,0)),IF(Element_Stiffness!$E$180=0,IF(2=Element_Stiffness!$C$180,Element_Stiffness!T211,IF(2=Element_Stiffness!$E$180,Element_Stiffness!Z211,0)),0)),0)+IF(Element_Stiffness!$C$216,IF(Element_Stiffness!$C$215=0,IF(2=Element_Stiffness!$C$215,Element_Stiffness!T240,IF(2=Element_Stiffness!$E$215,Element_Stiffness!Z240,0)),IF(Element_Stiffness!$E$215=0,IF(2=Element_Stiffness!$C$215,Element_Stiffness!T246,IF(2=Element_Stiffness!$E$215,Element_Stiffness!Z246,0)),0)),0)</f>
        <v/>
      </c>
      <c r="T9" s="21">
        <f>IF(Element_Stiffness!$C$6,IF(Element_Stiffness!$C$5=0,IF(2=Element_Stiffness!$C$5,Element_Stiffness!U30,IF(2=Element_Stiffness!$E$5,Element_Stiffness!AA30,0)),IF(Element_Stiffness!$E$5=0,IF(2=Element_Stiffness!$C$5,Element_Stiffness!U36,IF(2=Element_Stiffness!$E$5,Element_Stiffness!AA36,0)),0)),0)+IF(Element_Stiffness!$C$41,IF(Element_Stiffness!$C$40=0,IF(2=Element_Stiffness!$C$40,Element_Stiffness!U65,IF(2=Element_Stiffness!$E$40,Element_Stiffness!AA65,0)),IF(Element_Stiffness!$E$40=0,IF(2=Element_Stiffness!$C$40,Element_Stiffness!U71,IF(2=Element_Stiffness!$E$40,Element_Stiffness!AA71,0)),0)),0)+IF(Element_Stiffness!$C$76,IF(Element_Stiffness!$C$75=0,IF(2=Element_Stiffness!$C$75,Element_Stiffness!U100,IF(2=Element_Stiffness!$E$75,Element_Stiffness!AA100,0)),IF(Element_Stiffness!$E$75=0,IF(2=Element_Stiffness!$C$75,Element_Stiffness!U106,IF(2=Element_Stiffness!$E$75,Element_Stiffness!AA106,0)),0)),0)+IF(Element_Stiffness!$C$111,IF(Element_Stiffness!$C$110=0,IF(2=Element_Stiffness!$C$110,Element_Stiffness!U135,IF(2=Element_Stiffness!$E$110,Element_Stiffness!AA135,0)),IF(Element_Stiffness!$E$110=0,IF(2=Element_Stiffness!$C$110,Element_Stiffness!U141,IF(2=Element_Stiffness!$E$110,Element_Stiffness!AA141,0)),0)),0)+IF(Element_Stiffness!$C$146,IF(Element_Stiffness!$C$145=0,IF(2=Element_Stiffness!$C$145,Element_Stiffness!U170,IF(2=Element_Stiffness!$E$145,Element_Stiffness!AA170,0)),IF(Element_Stiffness!$E$145=0,IF(2=Element_Stiffness!$C$145,Element_Stiffness!U176,IF(2=Element_Stiffness!$E$145,Element_Stiffness!AA176,0)),0)),0)+IF(Element_Stiffness!$C$181,IF(Element_Stiffness!$C$180=0,IF(2=Element_Stiffness!$C$180,Element_Stiffness!U205,IF(2=Element_Stiffness!$E$180,Element_Stiffness!AA205,0)),IF(Element_Stiffness!$E$180=0,IF(2=Element_Stiffness!$C$180,Element_Stiffness!U211,IF(2=Element_Stiffness!$E$180,Element_Stiffness!AA211,0)),0)),0)+IF(Element_Stiffness!$C$216,IF(Element_Stiffness!$C$215=0,IF(2=Element_Stiffness!$C$215,Element_Stiffness!U240,IF(2=Element_Stiffness!$E$215,Element_Stiffness!AA240,0)),IF(Element_Stiffness!$E$215=0,IF(2=Element_Stiffness!$C$215,Element_Stiffness!U246,IF(2=Element_Stiffness!$E$215,Element_Stiffness!AA246,0)),0)),0)</f>
        <v/>
      </c>
      <c r="U9" s="21">
        <f>IF(Element_Stiffness!$C$6,IF(Element_Stiffness!$C$5=0,IF(3=Element_Stiffness!$C$5,Element_Stiffness!P30,IF(3=Element_Stiffness!$E$5,Element_Stiffness!V30,0)),IF(Element_Stiffness!$E$5=0,IF(3=Element_Stiffness!$C$5,Element_Stiffness!P36,IF(3=Element_Stiffness!$E$5,Element_Stiffness!V36,0)),0)),0)+IF(Element_Stiffness!$C$41,IF(Element_Stiffness!$C$40=0,IF(3=Element_Stiffness!$C$40,Element_Stiffness!P65,IF(3=Element_Stiffness!$E$40,Element_Stiffness!V65,0)),IF(Element_Stiffness!$E$40=0,IF(3=Element_Stiffness!$C$40,Element_Stiffness!P71,IF(3=Element_Stiffness!$E$40,Element_Stiffness!V71,0)),0)),0)+IF(Element_Stiffness!$C$76,IF(Element_Stiffness!$C$75=0,IF(3=Element_Stiffness!$C$75,Element_Stiffness!P100,IF(3=Element_Stiffness!$E$75,Element_Stiffness!V100,0)),IF(Element_Stiffness!$E$75=0,IF(3=Element_Stiffness!$C$75,Element_Stiffness!P106,IF(3=Element_Stiffness!$E$75,Element_Stiffness!V106,0)),0)),0)+IF(Element_Stiffness!$C$111,IF(Element_Stiffness!$C$110=0,IF(3=Element_Stiffness!$C$110,Element_Stiffness!P135,IF(3=Element_Stiffness!$E$110,Element_Stiffness!V135,0)),IF(Element_Stiffness!$E$110=0,IF(3=Element_Stiffness!$C$110,Element_Stiffness!P141,IF(3=Element_Stiffness!$E$110,Element_Stiffness!V141,0)),0)),0)+IF(Element_Stiffness!$C$146,IF(Element_Stiffness!$C$145=0,IF(3=Element_Stiffness!$C$145,Element_Stiffness!P170,IF(3=Element_Stiffness!$E$145,Element_Stiffness!V170,0)),IF(Element_Stiffness!$E$145=0,IF(3=Element_Stiffness!$C$145,Element_Stiffness!P176,IF(3=Element_Stiffness!$E$145,Element_Stiffness!V176,0)),0)),0)+IF(Element_Stiffness!$C$181,IF(Element_Stiffness!$C$180=0,IF(3=Element_Stiffness!$C$180,Element_Stiffness!P205,IF(3=Element_Stiffness!$E$180,Element_Stiffness!V205,0)),IF(Element_Stiffness!$E$180=0,IF(3=Element_Stiffness!$C$180,Element_Stiffness!P211,IF(3=Element_Stiffness!$E$180,Element_Stiffness!V211,0)),0)),0)+IF(Element_Stiffness!$C$216,IF(Element_Stiffness!$C$215=0,IF(3=Element_Stiffness!$C$215,Element_Stiffness!P240,IF(3=Element_Stiffness!$E$215,Element_Stiffness!V240,0)),IF(Element_Stiffness!$E$215=0,IF(3=Element_Stiffness!$C$215,Element_Stiffness!P246,IF(3=Element_Stiffness!$E$215,Element_Stiffness!V246,0)),0)),0)</f>
        <v/>
      </c>
      <c r="V9" s="21">
        <f>IF(Element_Stiffness!$C$6,IF(Element_Stiffness!$C$5=0,IF(3=Element_Stiffness!$C$5,Element_Stiffness!Q30,IF(3=Element_Stiffness!$E$5,Element_Stiffness!W30,0)),IF(Element_Stiffness!$E$5=0,IF(3=Element_Stiffness!$C$5,Element_Stiffness!Q36,IF(3=Element_Stiffness!$E$5,Element_Stiffness!W36,0)),0)),0)+IF(Element_Stiffness!$C$41,IF(Element_Stiffness!$C$40=0,IF(3=Element_Stiffness!$C$40,Element_Stiffness!Q65,IF(3=Element_Stiffness!$E$40,Element_Stiffness!W65,0)),IF(Element_Stiffness!$E$40=0,IF(3=Element_Stiffness!$C$40,Element_Stiffness!Q71,IF(3=Element_Stiffness!$E$40,Element_Stiffness!W71,0)),0)),0)+IF(Element_Stiffness!$C$76,IF(Element_Stiffness!$C$75=0,IF(3=Element_Stiffness!$C$75,Element_Stiffness!Q100,IF(3=Element_Stiffness!$E$75,Element_Stiffness!W100,0)),IF(Element_Stiffness!$E$75=0,IF(3=Element_Stiffness!$C$75,Element_Stiffness!Q106,IF(3=Element_Stiffness!$E$75,Element_Stiffness!W106,0)),0)),0)+IF(Element_Stiffness!$C$111,IF(Element_Stiffness!$C$110=0,IF(3=Element_Stiffness!$C$110,Element_Stiffness!Q135,IF(3=Element_Stiffness!$E$110,Element_Stiffness!W135,0)),IF(Element_Stiffness!$E$110=0,IF(3=Element_Stiffness!$C$110,Element_Stiffness!Q141,IF(3=Element_Stiffness!$E$110,Element_Stiffness!W141,0)),0)),0)+IF(Element_Stiffness!$C$146,IF(Element_Stiffness!$C$145=0,IF(3=Element_Stiffness!$C$145,Element_Stiffness!Q170,IF(3=Element_Stiffness!$E$145,Element_Stiffness!W170,0)),IF(Element_Stiffness!$E$145=0,IF(3=Element_Stiffness!$C$145,Element_Stiffness!Q176,IF(3=Element_Stiffness!$E$145,Element_Stiffness!W176,0)),0)),0)+IF(Element_Stiffness!$C$181,IF(Element_Stiffness!$C$180=0,IF(3=Element_Stiffness!$C$180,Element_Stiffness!Q205,IF(3=Element_Stiffness!$E$180,Element_Stiffness!W205,0)),IF(Element_Stiffness!$E$180=0,IF(3=Element_Stiffness!$C$180,Element_Stiffness!Q211,IF(3=Element_Stiffness!$E$180,Element_Stiffness!W211,0)),0)),0)+IF(Element_Stiffness!$C$216,IF(Element_Stiffness!$C$215=0,IF(3=Element_Stiffness!$C$215,Element_Stiffness!Q240,IF(3=Element_Stiffness!$E$215,Element_Stiffness!W240,0)),IF(Element_Stiffness!$E$215=0,IF(3=Element_Stiffness!$C$215,Element_Stiffness!Q246,IF(3=Element_Stiffness!$E$215,Element_Stiffness!W246,0)),0)),0)</f>
        <v/>
      </c>
      <c r="W9" s="21">
        <f>IF(Element_Stiffness!$C$6,IF(Element_Stiffness!$C$5=0,IF(3=Element_Stiffness!$C$5,Element_Stiffness!R30,IF(3=Element_Stiffness!$E$5,Element_Stiffness!X30,0)),IF(Element_Stiffness!$E$5=0,IF(3=Element_Stiffness!$C$5,Element_Stiffness!R36,IF(3=Element_Stiffness!$E$5,Element_Stiffness!X36,0)),0)),0)+IF(Element_Stiffness!$C$41,IF(Element_Stiffness!$C$40=0,IF(3=Element_Stiffness!$C$40,Element_Stiffness!R65,IF(3=Element_Stiffness!$E$40,Element_Stiffness!X65,0)),IF(Element_Stiffness!$E$40=0,IF(3=Element_Stiffness!$C$40,Element_Stiffness!R71,IF(3=Element_Stiffness!$E$40,Element_Stiffness!X71,0)),0)),0)+IF(Element_Stiffness!$C$76,IF(Element_Stiffness!$C$75=0,IF(3=Element_Stiffness!$C$75,Element_Stiffness!R100,IF(3=Element_Stiffness!$E$75,Element_Stiffness!X100,0)),IF(Element_Stiffness!$E$75=0,IF(3=Element_Stiffness!$C$75,Element_Stiffness!R106,IF(3=Element_Stiffness!$E$75,Element_Stiffness!X106,0)),0)),0)+IF(Element_Stiffness!$C$111,IF(Element_Stiffness!$C$110=0,IF(3=Element_Stiffness!$C$110,Element_Stiffness!R135,IF(3=Element_Stiffness!$E$110,Element_Stiffness!X135,0)),IF(Element_Stiffness!$E$110=0,IF(3=Element_Stiffness!$C$110,Element_Stiffness!R141,IF(3=Element_Stiffness!$E$110,Element_Stiffness!X141,0)),0)),0)+IF(Element_Stiffness!$C$146,IF(Element_Stiffness!$C$145=0,IF(3=Element_Stiffness!$C$145,Element_Stiffness!R170,IF(3=Element_Stiffness!$E$145,Element_Stiffness!X170,0)),IF(Element_Stiffness!$E$145=0,IF(3=Element_Stiffness!$C$145,Element_Stiffness!R176,IF(3=Element_Stiffness!$E$145,Element_Stiffness!X176,0)),0)),0)+IF(Element_Stiffness!$C$181,IF(Element_Stiffness!$C$180=0,IF(3=Element_Stiffness!$C$180,Element_Stiffness!R205,IF(3=Element_Stiffness!$E$180,Element_Stiffness!X205,0)),IF(Element_Stiffness!$E$180=0,IF(3=Element_Stiffness!$C$180,Element_Stiffness!R211,IF(3=Element_Stiffness!$E$180,Element_Stiffness!X211,0)),0)),0)+IF(Element_Stiffness!$C$216,IF(Element_Stiffness!$C$215=0,IF(3=Element_Stiffness!$C$215,Element_Stiffness!R240,IF(3=Element_Stiffness!$E$215,Element_Stiffness!X240,0)),IF(Element_Stiffness!$E$215=0,IF(3=Element_Stiffness!$C$215,Element_Stiffness!R246,IF(3=Element_Stiffness!$E$215,Element_Stiffness!X246,0)),0)),0)</f>
        <v/>
      </c>
      <c r="X9" s="21">
        <f>IF(Element_Stiffness!$C$6,IF(Element_Stiffness!$C$5=0,IF(3=Element_Stiffness!$C$5,Element_Stiffness!S30,IF(3=Element_Stiffness!$E$5,Element_Stiffness!Y30,0)),IF(Element_Stiffness!$E$5=0,IF(3=Element_Stiffness!$C$5,Element_Stiffness!S36,IF(3=Element_Stiffness!$E$5,Element_Stiffness!Y36,0)),0)),0)+IF(Element_Stiffness!$C$41,IF(Element_Stiffness!$C$40=0,IF(3=Element_Stiffness!$C$40,Element_Stiffness!S65,IF(3=Element_Stiffness!$E$40,Element_Stiffness!Y65,0)),IF(Element_Stiffness!$E$40=0,IF(3=Element_Stiffness!$C$40,Element_Stiffness!S71,IF(3=Element_Stiffness!$E$40,Element_Stiffness!Y71,0)),0)),0)+IF(Element_Stiffness!$C$76,IF(Element_Stiffness!$C$75=0,IF(3=Element_Stiffness!$C$75,Element_Stiffness!S100,IF(3=Element_Stiffness!$E$75,Element_Stiffness!Y100,0)),IF(Element_Stiffness!$E$75=0,IF(3=Element_Stiffness!$C$75,Element_Stiffness!S106,IF(3=Element_Stiffness!$E$75,Element_Stiffness!Y106,0)),0)),0)+IF(Element_Stiffness!$C$111,IF(Element_Stiffness!$C$110=0,IF(3=Element_Stiffness!$C$110,Element_Stiffness!S135,IF(3=Element_Stiffness!$E$110,Element_Stiffness!Y135,0)),IF(Element_Stiffness!$E$110=0,IF(3=Element_Stiffness!$C$110,Element_Stiffness!S141,IF(3=Element_Stiffness!$E$110,Element_Stiffness!Y141,0)),0)),0)+IF(Element_Stiffness!$C$146,IF(Element_Stiffness!$C$145=0,IF(3=Element_Stiffness!$C$145,Element_Stiffness!S170,IF(3=Element_Stiffness!$E$145,Element_Stiffness!Y170,0)),IF(Element_Stiffness!$E$145=0,IF(3=Element_Stiffness!$C$145,Element_Stiffness!S176,IF(3=Element_Stiffness!$E$145,Element_Stiffness!Y176,0)),0)),0)+IF(Element_Stiffness!$C$181,IF(Element_Stiffness!$C$180=0,IF(3=Element_Stiffness!$C$180,Element_Stiffness!S205,IF(3=Element_Stiffness!$E$180,Element_Stiffness!Y205,0)),IF(Element_Stiffness!$E$180=0,IF(3=Element_Stiffness!$C$180,Element_Stiffness!S211,IF(3=Element_Stiffness!$E$180,Element_Stiffness!Y211,0)),0)),0)+IF(Element_Stiffness!$C$216,IF(Element_Stiffness!$C$215=0,IF(3=Element_Stiffness!$C$215,Element_Stiffness!S240,IF(3=Element_Stiffness!$E$215,Element_Stiffness!Y240,0)),IF(Element_Stiffness!$E$215=0,IF(3=Element_Stiffness!$C$215,Element_Stiffness!S246,IF(3=Element_Stiffness!$E$215,Element_Stiffness!Y246,0)),0)),0)</f>
        <v/>
      </c>
      <c r="Y9" s="21">
        <f>IF(Element_Stiffness!$C$6,IF(Element_Stiffness!$C$5=0,IF(3=Element_Stiffness!$C$5,Element_Stiffness!T30,IF(3=Element_Stiffness!$E$5,Element_Stiffness!Z30,0)),IF(Element_Stiffness!$E$5=0,IF(3=Element_Stiffness!$C$5,Element_Stiffness!T36,IF(3=Element_Stiffness!$E$5,Element_Stiffness!Z36,0)),0)),0)+IF(Element_Stiffness!$C$41,IF(Element_Stiffness!$C$40=0,IF(3=Element_Stiffness!$C$40,Element_Stiffness!T65,IF(3=Element_Stiffness!$E$40,Element_Stiffness!Z65,0)),IF(Element_Stiffness!$E$40=0,IF(3=Element_Stiffness!$C$40,Element_Stiffness!T71,IF(3=Element_Stiffness!$E$40,Element_Stiffness!Z71,0)),0)),0)+IF(Element_Stiffness!$C$76,IF(Element_Stiffness!$C$75=0,IF(3=Element_Stiffness!$C$75,Element_Stiffness!T100,IF(3=Element_Stiffness!$E$75,Element_Stiffness!Z100,0)),IF(Element_Stiffness!$E$75=0,IF(3=Element_Stiffness!$C$75,Element_Stiffness!T106,IF(3=Element_Stiffness!$E$75,Element_Stiffness!Z106,0)),0)),0)+IF(Element_Stiffness!$C$111,IF(Element_Stiffness!$C$110=0,IF(3=Element_Stiffness!$C$110,Element_Stiffness!T135,IF(3=Element_Stiffness!$E$110,Element_Stiffness!Z135,0)),IF(Element_Stiffness!$E$110=0,IF(3=Element_Stiffness!$C$110,Element_Stiffness!T141,IF(3=Element_Stiffness!$E$110,Element_Stiffness!Z141,0)),0)),0)+IF(Element_Stiffness!$C$146,IF(Element_Stiffness!$C$145=0,IF(3=Element_Stiffness!$C$145,Element_Stiffness!T170,IF(3=Element_Stiffness!$E$145,Element_Stiffness!Z170,0)),IF(Element_Stiffness!$E$145=0,IF(3=Element_Stiffness!$C$145,Element_Stiffness!T176,IF(3=Element_Stiffness!$E$145,Element_Stiffness!Z176,0)),0)),0)+IF(Element_Stiffness!$C$181,IF(Element_Stiffness!$C$180=0,IF(3=Element_Stiffness!$C$180,Element_Stiffness!T205,IF(3=Element_Stiffness!$E$180,Element_Stiffness!Z205,0)),IF(Element_Stiffness!$E$180=0,IF(3=Element_Stiffness!$C$180,Element_Stiffness!T211,IF(3=Element_Stiffness!$E$180,Element_Stiffness!Z211,0)),0)),0)+IF(Element_Stiffness!$C$216,IF(Element_Stiffness!$C$215=0,IF(3=Element_Stiffness!$C$215,Element_Stiffness!T240,IF(3=Element_Stiffness!$E$215,Element_Stiffness!Z240,0)),IF(Element_Stiffness!$E$215=0,IF(3=Element_Stiffness!$C$215,Element_Stiffness!T246,IF(3=Element_Stiffness!$E$215,Element_Stiffness!Z246,0)),0)),0)</f>
        <v/>
      </c>
      <c r="Z9" s="21">
        <f>IF(Element_Stiffness!$C$6,IF(Element_Stiffness!$C$5=0,IF(3=Element_Stiffness!$C$5,Element_Stiffness!U30,IF(3=Element_Stiffness!$E$5,Element_Stiffness!AA30,0)),IF(Element_Stiffness!$E$5=0,IF(3=Element_Stiffness!$C$5,Element_Stiffness!U36,IF(3=Element_Stiffness!$E$5,Element_Stiffness!AA36,0)),0)),0)+IF(Element_Stiffness!$C$41,IF(Element_Stiffness!$C$40=0,IF(3=Element_Stiffness!$C$40,Element_Stiffness!U65,IF(3=Element_Stiffness!$E$40,Element_Stiffness!AA65,0)),IF(Element_Stiffness!$E$40=0,IF(3=Element_Stiffness!$C$40,Element_Stiffness!U71,IF(3=Element_Stiffness!$E$40,Element_Stiffness!AA71,0)),0)),0)+IF(Element_Stiffness!$C$76,IF(Element_Stiffness!$C$75=0,IF(3=Element_Stiffness!$C$75,Element_Stiffness!U100,IF(3=Element_Stiffness!$E$75,Element_Stiffness!AA100,0)),IF(Element_Stiffness!$E$75=0,IF(3=Element_Stiffness!$C$75,Element_Stiffness!U106,IF(3=Element_Stiffness!$E$75,Element_Stiffness!AA106,0)),0)),0)+IF(Element_Stiffness!$C$111,IF(Element_Stiffness!$C$110=0,IF(3=Element_Stiffness!$C$110,Element_Stiffness!U135,IF(3=Element_Stiffness!$E$110,Element_Stiffness!AA135,0)),IF(Element_Stiffness!$E$110=0,IF(3=Element_Stiffness!$C$110,Element_Stiffness!U141,IF(3=Element_Stiffness!$E$110,Element_Stiffness!AA141,0)),0)),0)+IF(Element_Stiffness!$C$146,IF(Element_Stiffness!$C$145=0,IF(3=Element_Stiffness!$C$145,Element_Stiffness!U170,IF(3=Element_Stiffness!$E$145,Element_Stiffness!AA170,0)),IF(Element_Stiffness!$E$145=0,IF(3=Element_Stiffness!$C$145,Element_Stiffness!U176,IF(3=Element_Stiffness!$E$145,Element_Stiffness!AA176,0)),0)),0)+IF(Element_Stiffness!$C$181,IF(Element_Stiffness!$C$180=0,IF(3=Element_Stiffness!$C$180,Element_Stiffness!U205,IF(3=Element_Stiffness!$E$180,Element_Stiffness!AA205,0)),IF(Element_Stiffness!$E$180=0,IF(3=Element_Stiffness!$C$180,Element_Stiffness!U211,IF(3=Element_Stiffness!$E$180,Element_Stiffness!AA211,0)),0)),0)+IF(Element_Stiffness!$C$216,IF(Element_Stiffness!$C$215=0,IF(3=Element_Stiffness!$C$215,Element_Stiffness!U240,IF(3=Element_Stiffness!$E$215,Element_Stiffness!AA240,0)),IF(Element_Stiffness!$E$215=0,IF(3=Element_Stiffness!$C$215,Element_Stiffness!U246,IF(3=Element_Stiffness!$E$215,Element_Stiffness!AA246,0)),0)),0)</f>
        <v/>
      </c>
      <c r="AA9" s="21">
        <f>IF(Element_Stiffness!$C$6,IF(Element_Stiffness!$C$5=0,IF(4=Element_Stiffness!$C$5,Element_Stiffness!P30,IF(4=Element_Stiffness!$E$5,Element_Stiffness!V30,0)),IF(Element_Stiffness!$E$5=0,IF(4=Element_Stiffness!$C$5,Element_Stiffness!P36,IF(4=Element_Stiffness!$E$5,Element_Stiffness!V36,0)),0)),0)+IF(Element_Stiffness!$C$41,IF(Element_Stiffness!$C$40=0,IF(4=Element_Stiffness!$C$40,Element_Stiffness!P65,IF(4=Element_Stiffness!$E$40,Element_Stiffness!V65,0)),IF(Element_Stiffness!$E$40=0,IF(4=Element_Stiffness!$C$40,Element_Stiffness!P71,IF(4=Element_Stiffness!$E$40,Element_Stiffness!V71,0)),0)),0)+IF(Element_Stiffness!$C$76,IF(Element_Stiffness!$C$75=0,IF(4=Element_Stiffness!$C$75,Element_Stiffness!P100,IF(4=Element_Stiffness!$E$75,Element_Stiffness!V100,0)),IF(Element_Stiffness!$E$75=0,IF(4=Element_Stiffness!$C$75,Element_Stiffness!P106,IF(4=Element_Stiffness!$E$75,Element_Stiffness!V106,0)),0)),0)+IF(Element_Stiffness!$C$111,IF(Element_Stiffness!$C$110=0,IF(4=Element_Stiffness!$C$110,Element_Stiffness!P135,IF(4=Element_Stiffness!$E$110,Element_Stiffness!V135,0)),IF(Element_Stiffness!$E$110=0,IF(4=Element_Stiffness!$C$110,Element_Stiffness!P141,IF(4=Element_Stiffness!$E$110,Element_Stiffness!V141,0)),0)),0)+IF(Element_Stiffness!$C$146,IF(Element_Stiffness!$C$145=0,IF(4=Element_Stiffness!$C$145,Element_Stiffness!P170,IF(4=Element_Stiffness!$E$145,Element_Stiffness!V170,0)),IF(Element_Stiffness!$E$145=0,IF(4=Element_Stiffness!$C$145,Element_Stiffness!P176,IF(4=Element_Stiffness!$E$145,Element_Stiffness!V176,0)),0)),0)+IF(Element_Stiffness!$C$181,IF(Element_Stiffness!$C$180=0,IF(4=Element_Stiffness!$C$180,Element_Stiffness!P205,IF(4=Element_Stiffness!$E$180,Element_Stiffness!V205,0)),IF(Element_Stiffness!$E$180=0,IF(4=Element_Stiffness!$C$180,Element_Stiffness!P211,IF(4=Element_Stiffness!$E$180,Element_Stiffness!V211,0)),0)),0)+IF(Element_Stiffness!$C$216,IF(Element_Stiffness!$C$215=0,IF(4=Element_Stiffness!$C$215,Element_Stiffness!P240,IF(4=Element_Stiffness!$E$215,Element_Stiffness!V240,0)),IF(Element_Stiffness!$E$215=0,IF(4=Element_Stiffness!$C$215,Element_Stiffness!P246,IF(4=Element_Stiffness!$E$215,Element_Stiffness!V246,0)),0)),0)</f>
        <v/>
      </c>
      <c r="AB9" s="21">
        <f>IF(Element_Stiffness!$C$6,IF(Element_Stiffness!$C$5=0,IF(4=Element_Stiffness!$C$5,Element_Stiffness!Q30,IF(4=Element_Stiffness!$E$5,Element_Stiffness!W30,0)),IF(Element_Stiffness!$E$5=0,IF(4=Element_Stiffness!$C$5,Element_Stiffness!Q36,IF(4=Element_Stiffness!$E$5,Element_Stiffness!W36,0)),0)),0)+IF(Element_Stiffness!$C$41,IF(Element_Stiffness!$C$40=0,IF(4=Element_Stiffness!$C$40,Element_Stiffness!Q65,IF(4=Element_Stiffness!$E$40,Element_Stiffness!W65,0)),IF(Element_Stiffness!$E$40=0,IF(4=Element_Stiffness!$C$40,Element_Stiffness!Q71,IF(4=Element_Stiffness!$E$40,Element_Stiffness!W71,0)),0)),0)+IF(Element_Stiffness!$C$76,IF(Element_Stiffness!$C$75=0,IF(4=Element_Stiffness!$C$75,Element_Stiffness!Q100,IF(4=Element_Stiffness!$E$75,Element_Stiffness!W100,0)),IF(Element_Stiffness!$E$75=0,IF(4=Element_Stiffness!$C$75,Element_Stiffness!Q106,IF(4=Element_Stiffness!$E$75,Element_Stiffness!W106,0)),0)),0)+IF(Element_Stiffness!$C$111,IF(Element_Stiffness!$C$110=0,IF(4=Element_Stiffness!$C$110,Element_Stiffness!Q135,IF(4=Element_Stiffness!$E$110,Element_Stiffness!W135,0)),IF(Element_Stiffness!$E$110=0,IF(4=Element_Stiffness!$C$110,Element_Stiffness!Q141,IF(4=Element_Stiffness!$E$110,Element_Stiffness!W141,0)),0)),0)+IF(Element_Stiffness!$C$146,IF(Element_Stiffness!$C$145=0,IF(4=Element_Stiffness!$C$145,Element_Stiffness!Q170,IF(4=Element_Stiffness!$E$145,Element_Stiffness!W170,0)),IF(Element_Stiffness!$E$145=0,IF(4=Element_Stiffness!$C$145,Element_Stiffness!Q176,IF(4=Element_Stiffness!$E$145,Element_Stiffness!W176,0)),0)),0)+IF(Element_Stiffness!$C$181,IF(Element_Stiffness!$C$180=0,IF(4=Element_Stiffness!$C$180,Element_Stiffness!Q205,IF(4=Element_Stiffness!$E$180,Element_Stiffness!W205,0)),IF(Element_Stiffness!$E$180=0,IF(4=Element_Stiffness!$C$180,Element_Stiffness!Q211,IF(4=Element_Stiffness!$E$180,Element_Stiffness!W211,0)),0)),0)+IF(Element_Stiffness!$C$216,IF(Element_Stiffness!$C$215=0,IF(4=Element_Stiffness!$C$215,Element_Stiffness!Q240,IF(4=Element_Stiffness!$E$215,Element_Stiffness!W240,0)),IF(Element_Stiffness!$E$215=0,IF(4=Element_Stiffness!$C$215,Element_Stiffness!Q246,IF(4=Element_Stiffness!$E$215,Element_Stiffness!W246,0)),0)),0)</f>
        <v/>
      </c>
      <c r="AC9" s="21">
        <f>IF(Element_Stiffness!$C$6,IF(Element_Stiffness!$C$5=0,IF(4=Element_Stiffness!$C$5,Element_Stiffness!R30,IF(4=Element_Stiffness!$E$5,Element_Stiffness!X30,0)),IF(Element_Stiffness!$E$5=0,IF(4=Element_Stiffness!$C$5,Element_Stiffness!R36,IF(4=Element_Stiffness!$E$5,Element_Stiffness!X36,0)),0)),0)+IF(Element_Stiffness!$C$41,IF(Element_Stiffness!$C$40=0,IF(4=Element_Stiffness!$C$40,Element_Stiffness!R65,IF(4=Element_Stiffness!$E$40,Element_Stiffness!X65,0)),IF(Element_Stiffness!$E$40=0,IF(4=Element_Stiffness!$C$40,Element_Stiffness!R71,IF(4=Element_Stiffness!$E$40,Element_Stiffness!X71,0)),0)),0)+IF(Element_Stiffness!$C$76,IF(Element_Stiffness!$C$75=0,IF(4=Element_Stiffness!$C$75,Element_Stiffness!R100,IF(4=Element_Stiffness!$E$75,Element_Stiffness!X100,0)),IF(Element_Stiffness!$E$75=0,IF(4=Element_Stiffness!$C$75,Element_Stiffness!R106,IF(4=Element_Stiffness!$E$75,Element_Stiffness!X106,0)),0)),0)+IF(Element_Stiffness!$C$111,IF(Element_Stiffness!$C$110=0,IF(4=Element_Stiffness!$C$110,Element_Stiffness!R135,IF(4=Element_Stiffness!$E$110,Element_Stiffness!X135,0)),IF(Element_Stiffness!$E$110=0,IF(4=Element_Stiffness!$C$110,Element_Stiffness!R141,IF(4=Element_Stiffness!$E$110,Element_Stiffness!X141,0)),0)),0)+IF(Element_Stiffness!$C$146,IF(Element_Stiffness!$C$145=0,IF(4=Element_Stiffness!$C$145,Element_Stiffness!R170,IF(4=Element_Stiffness!$E$145,Element_Stiffness!X170,0)),IF(Element_Stiffness!$E$145=0,IF(4=Element_Stiffness!$C$145,Element_Stiffness!R176,IF(4=Element_Stiffness!$E$145,Element_Stiffness!X176,0)),0)),0)+IF(Element_Stiffness!$C$181,IF(Element_Stiffness!$C$180=0,IF(4=Element_Stiffness!$C$180,Element_Stiffness!R205,IF(4=Element_Stiffness!$E$180,Element_Stiffness!X205,0)),IF(Element_Stiffness!$E$180=0,IF(4=Element_Stiffness!$C$180,Element_Stiffness!R211,IF(4=Element_Stiffness!$E$180,Element_Stiffness!X211,0)),0)),0)+IF(Element_Stiffness!$C$216,IF(Element_Stiffness!$C$215=0,IF(4=Element_Stiffness!$C$215,Element_Stiffness!R240,IF(4=Element_Stiffness!$E$215,Element_Stiffness!X240,0)),IF(Element_Stiffness!$E$215=0,IF(4=Element_Stiffness!$C$215,Element_Stiffness!R246,IF(4=Element_Stiffness!$E$215,Element_Stiffness!X246,0)),0)),0)</f>
        <v/>
      </c>
      <c r="AD9" s="21">
        <f>IF(Element_Stiffness!$C$6,IF(Element_Stiffness!$C$5=0,IF(4=Element_Stiffness!$C$5,Element_Stiffness!S30,IF(4=Element_Stiffness!$E$5,Element_Stiffness!Y30,0)),IF(Element_Stiffness!$E$5=0,IF(4=Element_Stiffness!$C$5,Element_Stiffness!S36,IF(4=Element_Stiffness!$E$5,Element_Stiffness!Y36,0)),0)),0)+IF(Element_Stiffness!$C$41,IF(Element_Stiffness!$C$40=0,IF(4=Element_Stiffness!$C$40,Element_Stiffness!S65,IF(4=Element_Stiffness!$E$40,Element_Stiffness!Y65,0)),IF(Element_Stiffness!$E$40=0,IF(4=Element_Stiffness!$C$40,Element_Stiffness!S71,IF(4=Element_Stiffness!$E$40,Element_Stiffness!Y71,0)),0)),0)+IF(Element_Stiffness!$C$76,IF(Element_Stiffness!$C$75=0,IF(4=Element_Stiffness!$C$75,Element_Stiffness!S100,IF(4=Element_Stiffness!$E$75,Element_Stiffness!Y100,0)),IF(Element_Stiffness!$E$75=0,IF(4=Element_Stiffness!$C$75,Element_Stiffness!S106,IF(4=Element_Stiffness!$E$75,Element_Stiffness!Y106,0)),0)),0)+IF(Element_Stiffness!$C$111,IF(Element_Stiffness!$C$110=0,IF(4=Element_Stiffness!$C$110,Element_Stiffness!S135,IF(4=Element_Stiffness!$E$110,Element_Stiffness!Y135,0)),IF(Element_Stiffness!$E$110=0,IF(4=Element_Stiffness!$C$110,Element_Stiffness!S141,IF(4=Element_Stiffness!$E$110,Element_Stiffness!Y141,0)),0)),0)+IF(Element_Stiffness!$C$146,IF(Element_Stiffness!$C$145=0,IF(4=Element_Stiffness!$C$145,Element_Stiffness!S170,IF(4=Element_Stiffness!$E$145,Element_Stiffness!Y170,0)),IF(Element_Stiffness!$E$145=0,IF(4=Element_Stiffness!$C$145,Element_Stiffness!S176,IF(4=Element_Stiffness!$E$145,Element_Stiffness!Y176,0)),0)),0)+IF(Element_Stiffness!$C$181,IF(Element_Stiffness!$C$180=0,IF(4=Element_Stiffness!$C$180,Element_Stiffness!S205,IF(4=Element_Stiffness!$E$180,Element_Stiffness!Y205,0)),IF(Element_Stiffness!$E$180=0,IF(4=Element_Stiffness!$C$180,Element_Stiffness!S211,IF(4=Element_Stiffness!$E$180,Element_Stiffness!Y211,0)),0)),0)+IF(Element_Stiffness!$C$216,IF(Element_Stiffness!$C$215=0,IF(4=Element_Stiffness!$C$215,Element_Stiffness!S240,IF(4=Element_Stiffness!$E$215,Element_Stiffness!Y240,0)),IF(Element_Stiffness!$E$215=0,IF(4=Element_Stiffness!$C$215,Element_Stiffness!S246,IF(4=Element_Stiffness!$E$215,Element_Stiffness!Y246,0)),0)),0)</f>
        <v/>
      </c>
      <c r="AE9" s="21">
        <f>IF(Element_Stiffness!$C$6,IF(Element_Stiffness!$C$5=0,IF(4=Element_Stiffness!$C$5,Element_Stiffness!T30,IF(4=Element_Stiffness!$E$5,Element_Stiffness!Z30,0)),IF(Element_Stiffness!$E$5=0,IF(4=Element_Stiffness!$C$5,Element_Stiffness!T36,IF(4=Element_Stiffness!$E$5,Element_Stiffness!Z36,0)),0)),0)+IF(Element_Stiffness!$C$41,IF(Element_Stiffness!$C$40=0,IF(4=Element_Stiffness!$C$40,Element_Stiffness!T65,IF(4=Element_Stiffness!$E$40,Element_Stiffness!Z65,0)),IF(Element_Stiffness!$E$40=0,IF(4=Element_Stiffness!$C$40,Element_Stiffness!T71,IF(4=Element_Stiffness!$E$40,Element_Stiffness!Z71,0)),0)),0)+IF(Element_Stiffness!$C$76,IF(Element_Stiffness!$C$75=0,IF(4=Element_Stiffness!$C$75,Element_Stiffness!T100,IF(4=Element_Stiffness!$E$75,Element_Stiffness!Z100,0)),IF(Element_Stiffness!$E$75=0,IF(4=Element_Stiffness!$C$75,Element_Stiffness!T106,IF(4=Element_Stiffness!$E$75,Element_Stiffness!Z106,0)),0)),0)+IF(Element_Stiffness!$C$111,IF(Element_Stiffness!$C$110=0,IF(4=Element_Stiffness!$C$110,Element_Stiffness!T135,IF(4=Element_Stiffness!$E$110,Element_Stiffness!Z135,0)),IF(Element_Stiffness!$E$110=0,IF(4=Element_Stiffness!$C$110,Element_Stiffness!T141,IF(4=Element_Stiffness!$E$110,Element_Stiffness!Z141,0)),0)),0)+IF(Element_Stiffness!$C$146,IF(Element_Stiffness!$C$145=0,IF(4=Element_Stiffness!$C$145,Element_Stiffness!T170,IF(4=Element_Stiffness!$E$145,Element_Stiffness!Z170,0)),IF(Element_Stiffness!$E$145=0,IF(4=Element_Stiffness!$C$145,Element_Stiffness!T176,IF(4=Element_Stiffness!$E$145,Element_Stiffness!Z176,0)),0)),0)+IF(Element_Stiffness!$C$181,IF(Element_Stiffness!$C$180=0,IF(4=Element_Stiffness!$C$180,Element_Stiffness!T205,IF(4=Element_Stiffness!$E$180,Element_Stiffness!Z205,0)),IF(Element_Stiffness!$E$180=0,IF(4=Element_Stiffness!$C$180,Element_Stiffness!T211,IF(4=Element_Stiffness!$E$180,Element_Stiffness!Z211,0)),0)),0)+IF(Element_Stiffness!$C$216,IF(Element_Stiffness!$C$215=0,IF(4=Element_Stiffness!$C$215,Element_Stiffness!T240,IF(4=Element_Stiffness!$E$215,Element_Stiffness!Z240,0)),IF(Element_Stiffness!$E$215=0,IF(4=Element_Stiffness!$C$215,Element_Stiffness!T246,IF(4=Element_Stiffness!$E$215,Element_Stiffness!Z246,0)),0)),0)</f>
        <v/>
      </c>
      <c r="AF9" s="21">
        <f>IF(Element_Stiffness!$C$6,IF(Element_Stiffness!$C$5=0,IF(4=Element_Stiffness!$C$5,Element_Stiffness!U30,IF(4=Element_Stiffness!$E$5,Element_Stiffness!AA30,0)),IF(Element_Stiffness!$E$5=0,IF(4=Element_Stiffness!$C$5,Element_Stiffness!U36,IF(4=Element_Stiffness!$E$5,Element_Stiffness!AA36,0)),0)),0)+IF(Element_Stiffness!$C$41,IF(Element_Stiffness!$C$40=0,IF(4=Element_Stiffness!$C$40,Element_Stiffness!U65,IF(4=Element_Stiffness!$E$40,Element_Stiffness!AA65,0)),IF(Element_Stiffness!$E$40=0,IF(4=Element_Stiffness!$C$40,Element_Stiffness!U71,IF(4=Element_Stiffness!$E$40,Element_Stiffness!AA71,0)),0)),0)+IF(Element_Stiffness!$C$76,IF(Element_Stiffness!$C$75=0,IF(4=Element_Stiffness!$C$75,Element_Stiffness!U100,IF(4=Element_Stiffness!$E$75,Element_Stiffness!AA100,0)),IF(Element_Stiffness!$E$75=0,IF(4=Element_Stiffness!$C$75,Element_Stiffness!U106,IF(4=Element_Stiffness!$E$75,Element_Stiffness!AA106,0)),0)),0)+IF(Element_Stiffness!$C$111,IF(Element_Stiffness!$C$110=0,IF(4=Element_Stiffness!$C$110,Element_Stiffness!U135,IF(4=Element_Stiffness!$E$110,Element_Stiffness!AA135,0)),IF(Element_Stiffness!$E$110=0,IF(4=Element_Stiffness!$C$110,Element_Stiffness!U141,IF(4=Element_Stiffness!$E$110,Element_Stiffness!AA141,0)),0)),0)+IF(Element_Stiffness!$C$146,IF(Element_Stiffness!$C$145=0,IF(4=Element_Stiffness!$C$145,Element_Stiffness!U170,IF(4=Element_Stiffness!$E$145,Element_Stiffness!AA170,0)),IF(Element_Stiffness!$E$145=0,IF(4=Element_Stiffness!$C$145,Element_Stiffness!U176,IF(4=Element_Stiffness!$E$145,Element_Stiffness!AA176,0)),0)),0)+IF(Element_Stiffness!$C$181,IF(Element_Stiffness!$C$180=0,IF(4=Element_Stiffness!$C$180,Element_Stiffness!U205,IF(4=Element_Stiffness!$E$180,Element_Stiffness!AA205,0)),IF(Element_Stiffness!$E$180=0,IF(4=Element_Stiffness!$C$180,Element_Stiffness!U211,IF(4=Element_Stiffness!$E$180,Element_Stiffness!AA211,0)),0)),0)+IF(Element_Stiffness!$C$216,IF(Element_Stiffness!$C$215=0,IF(4=Element_Stiffness!$C$215,Element_Stiffness!U240,IF(4=Element_Stiffness!$E$215,Element_Stiffness!AA240,0)),IF(Element_Stiffness!$E$215=0,IF(4=Element_Stiffness!$C$215,Element_Stiffness!U246,IF(4=Element_Stiffness!$E$215,Element_Stiffness!AA246,0)),0)),0)</f>
        <v/>
      </c>
      <c r="AG9" s="21">
        <f>IF(Element_Stiffness!$C$6,IF(Element_Stiffness!$C$5=0,IF(5=Element_Stiffness!$C$5,Element_Stiffness!P30,IF(5=Element_Stiffness!$E$5,Element_Stiffness!V30,0)),IF(Element_Stiffness!$E$5=0,IF(5=Element_Stiffness!$C$5,Element_Stiffness!P36,IF(5=Element_Stiffness!$E$5,Element_Stiffness!V36,0)),0)),0)+IF(Element_Stiffness!$C$41,IF(Element_Stiffness!$C$40=0,IF(5=Element_Stiffness!$C$40,Element_Stiffness!P65,IF(5=Element_Stiffness!$E$40,Element_Stiffness!V65,0)),IF(Element_Stiffness!$E$40=0,IF(5=Element_Stiffness!$C$40,Element_Stiffness!P71,IF(5=Element_Stiffness!$E$40,Element_Stiffness!V71,0)),0)),0)+IF(Element_Stiffness!$C$76,IF(Element_Stiffness!$C$75=0,IF(5=Element_Stiffness!$C$75,Element_Stiffness!P100,IF(5=Element_Stiffness!$E$75,Element_Stiffness!V100,0)),IF(Element_Stiffness!$E$75=0,IF(5=Element_Stiffness!$C$75,Element_Stiffness!P106,IF(5=Element_Stiffness!$E$75,Element_Stiffness!V106,0)),0)),0)+IF(Element_Stiffness!$C$111,IF(Element_Stiffness!$C$110=0,IF(5=Element_Stiffness!$C$110,Element_Stiffness!P135,IF(5=Element_Stiffness!$E$110,Element_Stiffness!V135,0)),IF(Element_Stiffness!$E$110=0,IF(5=Element_Stiffness!$C$110,Element_Stiffness!P141,IF(5=Element_Stiffness!$E$110,Element_Stiffness!V141,0)),0)),0)+IF(Element_Stiffness!$C$146,IF(Element_Stiffness!$C$145=0,IF(5=Element_Stiffness!$C$145,Element_Stiffness!P170,IF(5=Element_Stiffness!$E$145,Element_Stiffness!V170,0)),IF(Element_Stiffness!$E$145=0,IF(5=Element_Stiffness!$C$145,Element_Stiffness!P176,IF(5=Element_Stiffness!$E$145,Element_Stiffness!V176,0)),0)),0)+IF(Element_Stiffness!$C$181,IF(Element_Stiffness!$C$180=0,IF(5=Element_Stiffness!$C$180,Element_Stiffness!P205,IF(5=Element_Stiffness!$E$180,Element_Stiffness!V205,0)),IF(Element_Stiffness!$E$180=0,IF(5=Element_Stiffness!$C$180,Element_Stiffness!P211,IF(5=Element_Stiffness!$E$180,Element_Stiffness!V211,0)),0)),0)+IF(Element_Stiffness!$C$216,IF(Element_Stiffness!$C$215=0,IF(5=Element_Stiffness!$C$215,Element_Stiffness!P240,IF(5=Element_Stiffness!$E$215,Element_Stiffness!V240,0)),IF(Element_Stiffness!$E$215=0,IF(5=Element_Stiffness!$C$215,Element_Stiffness!P246,IF(5=Element_Stiffness!$E$215,Element_Stiffness!V246,0)),0)),0)</f>
        <v/>
      </c>
      <c r="AH9" s="21">
        <f>IF(Element_Stiffness!$C$6,IF(Element_Stiffness!$C$5=0,IF(5=Element_Stiffness!$C$5,Element_Stiffness!Q30,IF(5=Element_Stiffness!$E$5,Element_Stiffness!W30,0)),IF(Element_Stiffness!$E$5=0,IF(5=Element_Stiffness!$C$5,Element_Stiffness!Q36,IF(5=Element_Stiffness!$E$5,Element_Stiffness!W36,0)),0)),0)+IF(Element_Stiffness!$C$41,IF(Element_Stiffness!$C$40=0,IF(5=Element_Stiffness!$C$40,Element_Stiffness!Q65,IF(5=Element_Stiffness!$E$40,Element_Stiffness!W65,0)),IF(Element_Stiffness!$E$40=0,IF(5=Element_Stiffness!$C$40,Element_Stiffness!Q71,IF(5=Element_Stiffness!$E$40,Element_Stiffness!W71,0)),0)),0)+IF(Element_Stiffness!$C$76,IF(Element_Stiffness!$C$75=0,IF(5=Element_Stiffness!$C$75,Element_Stiffness!Q100,IF(5=Element_Stiffness!$E$75,Element_Stiffness!W100,0)),IF(Element_Stiffness!$E$75=0,IF(5=Element_Stiffness!$C$75,Element_Stiffness!Q106,IF(5=Element_Stiffness!$E$75,Element_Stiffness!W106,0)),0)),0)+IF(Element_Stiffness!$C$111,IF(Element_Stiffness!$C$110=0,IF(5=Element_Stiffness!$C$110,Element_Stiffness!Q135,IF(5=Element_Stiffness!$E$110,Element_Stiffness!W135,0)),IF(Element_Stiffness!$E$110=0,IF(5=Element_Stiffness!$C$110,Element_Stiffness!Q141,IF(5=Element_Stiffness!$E$110,Element_Stiffness!W141,0)),0)),0)+IF(Element_Stiffness!$C$146,IF(Element_Stiffness!$C$145=0,IF(5=Element_Stiffness!$C$145,Element_Stiffness!Q170,IF(5=Element_Stiffness!$E$145,Element_Stiffness!W170,0)),IF(Element_Stiffness!$E$145=0,IF(5=Element_Stiffness!$C$145,Element_Stiffness!Q176,IF(5=Element_Stiffness!$E$145,Element_Stiffness!W176,0)),0)),0)+IF(Element_Stiffness!$C$181,IF(Element_Stiffness!$C$180=0,IF(5=Element_Stiffness!$C$180,Element_Stiffness!Q205,IF(5=Element_Stiffness!$E$180,Element_Stiffness!W205,0)),IF(Element_Stiffness!$E$180=0,IF(5=Element_Stiffness!$C$180,Element_Stiffness!Q211,IF(5=Element_Stiffness!$E$180,Element_Stiffness!W211,0)),0)),0)+IF(Element_Stiffness!$C$216,IF(Element_Stiffness!$C$215=0,IF(5=Element_Stiffness!$C$215,Element_Stiffness!Q240,IF(5=Element_Stiffness!$E$215,Element_Stiffness!W240,0)),IF(Element_Stiffness!$E$215=0,IF(5=Element_Stiffness!$C$215,Element_Stiffness!Q246,IF(5=Element_Stiffness!$E$215,Element_Stiffness!W246,0)),0)),0)</f>
        <v/>
      </c>
      <c r="AI9" s="21">
        <f>IF(Element_Stiffness!$C$6,IF(Element_Stiffness!$C$5=0,IF(5=Element_Stiffness!$C$5,Element_Stiffness!R30,IF(5=Element_Stiffness!$E$5,Element_Stiffness!X30,0)),IF(Element_Stiffness!$E$5=0,IF(5=Element_Stiffness!$C$5,Element_Stiffness!R36,IF(5=Element_Stiffness!$E$5,Element_Stiffness!X36,0)),0)),0)+IF(Element_Stiffness!$C$41,IF(Element_Stiffness!$C$40=0,IF(5=Element_Stiffness!$C$40,Element_Stiffness!R65,IF(5=Element_Stiffness!$E$40,Element_Stiffness!X65,0)),IF(Element_Stiffness!$E$40=0,IF(5=Element_Stiffness!$C$40,Element_Stiffness!R71,IF(5=Element_Stiffness!$E$40,Element_Stiffness!X71,0)),0)),0)+IF(Element_Stiffness!$C$76,IF(Element_Stiffness!$C$75=0,IF(5=Element_Stiffness!$C$75,Element_Stiffness!R100,IF(5=Element_Stiffness!$E$75,Element_Stiffness!X100,0)),IF(Element_Stiffness!$E$75=0,IF(5=Element_Stiffness!$C$75,Element_Stiffness!R106,IF(5=Element_Stiffness!$E$75,Element_Stiffness!X106,0)),0)),0)+IF(Element_Stiffness!$C$111,IF(Element_Stiffness!$C$110=0,IF(5=Element_Stiffness!$C$110,Element_Stiffness!R135,IF(5=Element_Stiffness!$E$110,Element_Stiffness!X135,0)),IF(Element_Stiffness!$E$110=0,IF(5=Element_Stiffness!$C$110,Element_Stiffness!R141,IF(5=Element_Stiffness!$E$110,Element_Stiffness!X141,0)),0)),0)+IF(Element_Stiffness!$C$146,IF(Element_Stiffness!$C$145=0,IF(5=Element_Stiffness!$C$145,Element_Stiffness!R170,IF(5=Element_Stiffness!$E$145,Element_Stiffness!X170,0)),IF(Element_Stiffness!$E$145=0,IF(5=Element_Stiffness!$C$145,Element_Stiffness!R176,IF(5=Element_Stiffness!$E$145,Element_Stiffness!X176,0)),0)),0)+IF(Element_Stiffness!$C$181,IF(Element_Stiffness!$C$180=0,IF(5=Element_Stiffness!$C$180,Element_Stiffness!R205,IF(5=Element_Stiffness!$E$180,Element_Stiffness!X205,0)),IF(Element_Stiffness!$E$180=0,IF(5=Element_Stiffness!$C$180,Element_Stiffness!R211,IF(5=Element_Stiffness!$E$180,Element_Stiffness!X211,0)),0)),0)+IF(Element_Stiffness!$C$216,IF(Element_Stiffness!$C$215=0,IF(5=Element_Stiffness!$C$215,Element_Stiffness!R240,IF(5=Element_Stiffness!$E$215,Element_Stiffness!X240,0)),IF(Element_Stiffness!$E$215=0,IF(5=Element_Stiffness!$C$215,Element_Stiffness!R246,IF(5=Element_Stiffness!$E$215,Element_Stiffness!X246,0)),0)),0)</f>
        <v/>
      </c>
      <c r="AJ9" s="21">
        <f>IF(Element_Stiffness!$C$6,IF(Element_Stiffness!$C$5=0,IF(5=Element_Stiffness!$C$5,Element_Stiffness!S30,IF(5=Element_Stiffness!$E$5,Element_Stiffness!Y30,0)),IF(Element_Stiffness!$E$5=0,IF(5=Element_Stiffness!$C$5,Element_Stiffness!S36,IF(5=Element_Stiffness!$E$5,Element_Stiffness!Y36,0)),0)),0)+IF(Element_Stiffness!$C$41,IF(Element_Stiffness!$C$40=0,IF(5=Element_Stiffness!$C$40,Element_Stiffness!S65,IF(5=Element_Stiffness!$E$40,Element_Stiffness!Y65,0)),IF(Element_Stiffness!$E$40=0,IF(5=Element_Stiffness!$C$40,Element_Stiffness!S71,IF(5=Element_Stiffness!$E$40,Element_Stiffness!Y71,0)),0)),0)+IF(Element_Stiffness!$C$76,IF(Element_Stiffness!$C$75=0,IF(5=Element_Stiffness!$C$75,Element_Stiffness!S100,IF(5=Element_Stiffness!$E$75,Element_Stiffness!Y100,0)),IF(Element_Stiffness!$E$75=0,IF(5=Element_Stiffness!$C$75,Element_Stiffness!S106,IF(5=Element_Stiffness!$E$75,Element_Stiffness!Y106,0)),0)),0)+IF(Element_Stiffness!$C$111,IF(Element_Stiffness!$C$110=0,IF(5=Element_Stiffness!$C$110,Element_Stiffness!S135,IF(5=Element_Stiffness!$E$110,Element_Stiffness!Y135,0)),IF(Element_Stiffness!$E$110=0,IF(5=Element_Stiffness!$C$110,Element_Stiffness!S141,IF(5=Element_Stiffness!$E$110,Element_Stiffness!Y141,0)),0)),0)+IF(Element_Stiffness!$C$146,IF(Element_Stiffness!$C$145=0,IF(5=Element_Stiffness!$C$145,Element_Stiffness!S170,IF(5=Element_Stiffness!$E$145,Element_Stiffness!Y170,0)),IF(Element_Stiffness!$E$145=0,IF(5=Element_Stiffness!$C$145,Element_Stiffness!S176,IF(5=Element_Stiffness!$E$145,Element_Stiffness!Y176,0)),0)),0)+IF(Element_Stiffness!$C$181,IF(Element_Stiffness!$C$180=0,IF(5=Element_Stiffness!$C$180,Element_Stiffness!S205,IF(5=Element_Stiffness!$E$180,Element_Stiffness!Y205,0)),IF(Element_Stiffness!$E$180=0,IF(5=Element_Stiffness!$C$180,Element_Stiffness!S211,IF(5=Element_Stiffness!$E$180,Element_Stiffness!Y211,0)),0)),0)+IF(Element_Stiffness!$C$216,IF(Element_Stiffness!$C$215=0,IF(5=Element_Stiffness!$C$215,Element_Stiffness!S240,IF(5=Element_Stiffness!$E$215,Element_Stiffness!Y240,0)),IF(Element_Stiffness!$E$215=0,IF(5=Element_Stiffness!$C$215,Element_Stiffness!S246,IF(5=Element_Stiffness!$E$215,Element_Stiffness!Y246,0)),0)),0)</f>
        <v/>
      </c>
      <c r="AK9" s="21">
        <f>IF(Element_Stiffness!$C$6,IF(Element_Stiffness!$C$5=0,IF(5=Element_Stiffness!$C$5,Element_Stiffness!T30,IF(5=Element_Stiffness!$E$5,Element_Stiffness!Z30,0)),IF(Element_Stiffness!$E$5=0,IF(5=Element_Stiffness!$C$5,Element_Stiffness!T36,IF(5=Element_Stiffness!$E$5,Element_Stiffness!Z36,0)),0)),0)+IF(Element_Stiffness!$C$41,IF(Element_Stiffness!$C$40=0,IF(5=Element_Stiffness!$C$40,Element_Stiffness!T65,IF(5=Element_Stiffness!$E$40,Element_Stiffness!Z65,0)),IF(Element_Stiffness!$E$40=0,IF(5=Element_Stiffness!$C$40,Element_Stiffness!T71,IF(5=Element_Stiffness!$E$40,Element_Stiffness!Z71,0)),0)),0)+IF(Element_Stiffness!$C$76,IF(Element_Stiffness!$C$75=0,IF(5=Element_Stiffness!$C$75,Element_Stiffness!T100,IF(5=Element_Stiffness!$E$75,Element_Stiffness!Z100,0)),IF(Element_Stiffness!$E$75=0,IF(5=Element_Stiffness!$C$75,Element_Stiffness!T106,IF(5=Element_Stiffness!$E$75,Element_Stiffness!Z106,0)),0)),0)+IF(Element_Stiffness!$C$111,IF(Element_Stiffness!$C$110=0,IF(5=Element_Stiffness!$C$110,Element_Stiffness!T135,IF(5=Element_Stiffness!$E$110,Element_Stiffness!Z135,0)),IF(Element_Stiffness!$E$110=0,IF(5=Element_Stiffness!$C$110,Element_Stiffness!T141,IF(5=Element_Stiffness!$E$110,Element_Stiffness!Z141,0)),0)),0)+IF(Element_Stiffness!$C$146,IF(Element_Stiffness!$C$145=0,IF(5=Element_Stiffness!$C$145,Element_Stiffness!T170,IF(5=Element_Stiffness!$E$145,Element_Stiffness!Z170,0)),IF(Element_Stiffness!$E$145=0,IF(5=Element_Stiffness!$C$145,Element_Stiffness!T176,IF(5=Element_Stiffness!$E$145,Element_Stiffness!Z176,0)),0)),0)+IF(Element_Stiffness!$C$181,IF(Element_Stiffness!$C$180=0,IF(5=Element_Stiffness!$C$180,Element_Stiffness!T205,IF(5=Element_Stiffness!$E$180,Element_Stiffness!Z205,0)),IF(Element_Stiffness!$E$180=0,IF(5=Element_Stiffness!$C$180,Element_Stiffness!T211,IF(5=Element_Stiffness!$E$180,Element_Stiffness!Z211,0)),0)),0)+IF(Element_Stiffness!$C$216,IF(Element_Stiffness!$C$215=0,IF(5=Element_Stiffness!$C$215,Element_Stiffness!T240,IF(5=Element_Stiffness!$E$215,Element_Stiffness!Z240,0)),IF(Element_Stiffness!$E$215=0,IF(5=Element_Stiffness!$C$215,Element_Stiffness!T246,IF(5=Element_Stiffness!$E$215,Element_Stiffness!Z246,0)),0)),0)</f>
        <v/>
      </c>
      <c r="AL9" s="21">
        <f>IF(Element_Stiffness!$C$6,IF(Element_Stiffness!$C$5=0,IF(5=Element_Stiffness!$C$5,Element_Stiffness!U30,IF(5=Element_Stiffness!$E$5,Element_Stiffness!AA30,0)),IF(Element_Stiffness!$E$5=0,IF(5=Element_Stiffness!$C$5,Element_Stiffness!U36,IF(5=Element_Stiffness!$E$5,Element_Stiffness!AA36,0)),0)),0)+IF(Element_Stiffness!$C$41,IF(Element_Stiffness!$C$40=0,IF(5=Element_Stiffness!$C$40,Element_Stiffness!U65,IF(5=Element_Stiffness!$E$40,Element_Stiffness!AA65,0)),IF(Element_Stiffness!$E$40=0,IF(5=Element_Stiffness!$C$40,Element_Stiffness!U71,IF(5=Element_Stiffness!$E$40,Element_Stiffness!AA71,0)),0)),0)+IF(Element_Stiffness!$C$76,IF(Element_Stiffness!$C$75=0,IF(5=Element_Stiffness!$C$75,Element_Stiffness!U100,IF(5=Element_Stiffness!$E$75,Element_Stiffness!AA100,0)),IF(Element_Stiffness!$E$75=0,IF(5=Element_Stiffness!$C$75,Element_Stiffness!U106,IF(5=Element_Stiffness!$E$75,Element_Stiffness!AA106,0)),0)),0)+IF(Element_Stiffness!$C$111,IF(Element_Stiffness!$C$110=0,IF(5=Element_Stiffness!$C$110,Element_Stiffness!U135,IF(5=Element_Stiffness!$E$110,Element_Stiffness!AA135,0)),IF(Element_Stiffness!$E$110=0,IF(5=Element_Stiffness!$C$110,Element_Stiffness!U141,IF(5=Element_Stiffness!$E$110,Element_Stiffness!AA141,0)),0)),0)+IF(Element_Stiffness!$C$146,IF(Element_Stiffness!$C$145=0,IF(5=Element_Stiffness!$C$145,Element_Stiffness!U170,IF(5=Element_Stiffness!$E$145,Element_Stiffness!AA170,0)),IF(Element_Stiffness!$E$145=0,IF(5=Element_Stiffness!$C$145,Element_Stiffness!U176,IF(5=Element_Stiffness!$E$145,Element_Stiffness!AA176,0)),0)),0)+IF(Element_Stiffness!$C$181,IF(Element_Stiffness!$C$180=0,IF(5=Element_Stiffness!$C$180,Element_Stiffness!U205,IF(5=Element_Stiffness!$E$180,Element_Stiffness!AA205,0)),IF(Element_Stiffness!$E$180=0,IF(5=Element_Stiffness!$C$180,Element_Stiffness!U211,IF(5=Element_Stiffness!$E$180,Element_Stiffness!AA211,0)),0)),0)+IF(Element_Stiffness!$C$216,IF(Element_Stiffness!$C$215=0,IF(5=Element_Stiffness!$C$215,Element_Stiffness!U240,IF(5=Element_Stiffness!$E$215,Element_Stiffness!AA240,0)),IF(Element_Stiffness!$E$215=0,IF(5=Element_Stiffness!$C$215,Element_Stiffness!U246,IF(5=Element_Stiffness!$E$215,Element_Stiffness!AA246,0)),0)),0)</f>
        <v/>
      </c>
      <c r="AM9" s="21">
        <f>IF(Element_Stiffness!$C$6,IF(Element_Stiffness!$C$5=0,IF(6=Element_Stiffness!$C$5,Element_Stiffness!P30,IF(6=Element_Stiffness!$E$5,Element_Stiffness!V30,0)),IF(Element_Stiffness!$E$5=0,IF(6=Element_Stiffness!$C$5,Element_Stiffness!P36,IF(6=Element_Stiffness!$E$5,Element_Stiffness!V36,0)),0)),0)+IF(Element_Stiffness!$C$41,IF(Element_Stiffness!$C$40=0,IF(6=Element_Stiffness!$C$40,Element_Stiffness!P65,IF(6=Element_Stiffness!$E$40,Element_Stiffness!V65,0)),IF(Element_Stiffness!$E$40=0,IF(6=Element_Stiffness!$C$40,Element_Stiffness!P71,IF(6=Element_Stiffness!$E$40,Element_Stiffness!V71,0)),0)),0)+IF(Element_Stiffness!$C$76,IF(Element_Stiffness!$C$75=0,IF(6=Element_Stiffness!$C$75,Element_Stiffness!P100,IF(6=Element_Stiffness!$E$75,Element_Stiffness!V100,0)),IF(Element_Stiffness!$E$75=0,IF(6=Element_Stiffness!$C$75,Element_Stiffness!P106,IF(6=Element_Stiffness!$E$75,Element_Stiffness!V106,0)),0)),0)+IF(Element_Stiffness!$C$111,IF(Element_Stiffness!$C$110=0,IF(6=Element_Stiffness!$C$110,Element_Stiffness!P135,IF(6=Element_Stiffness!$E$110,Element_Stiffness!V135,0)),IF(Element_Stiffness!$E$110=0,IF(6=Element_Stiffness!$C$110,Element_Stiffness!P141,IF(6=Element_Stiffness!$E$110,Element_Stiffness!V141,0)),0)),0)+IF(Element_Stiffness!$C$146,IF(Element_Stiffness!$C$145=0,IF(6=Element_Stiffness!$C$145,Element_Stiffness!P170,IF(6=Element_Stiffness!$E$145,Element_Stiffness!V170,0)),IF(Element_Stiffness!$E$145=0,IF(6=Element_Stiffness!$C$145,Element_Stiffness!P176,IF(6=Element_Stiffness!$E$145,Element_Stiffness!V176,0)),0)),0)+IF(Element_Stiffness!$C$181,IF(Element_Stiffness!$C$180=0,IF(6=Element_Stiffness!$C$180,Element_Stiffness!P205,IF(6=Element_Stiffness!$E$180,Element_Stiffness!V205,0)),IF(Element_Stiffness!$E$180=0,IF(6=Element_Stiffness!$C$180,Element_Stiffness!P211,IF(6=Element_Stiffness!$E$180,Element_Stiffness!V211,0)),0)),0)+IF(Element_Stiffness!$C$216,IF(Element_Stiffness!$C$215=0,IF(6=Element_Stiffness!$C$215,Element_Stiffness!P240,IF(6=Element_Stiffness!$E$215,Element_Stiffness!V240,0)),IF(Element_Stiffness!$E$215=0,IF(6=Element_Stiffness!$C$215,Element_Stiffness!P246,IF(6=Element_Stiffness!$E$215,Element_Stiffness!V246,0)),0)),0)</f>
        <v/>
      </c>
      <c r="AN9" s="21">
        <f>IF(Element_Stiffness!$C$6,IF(Element_Stiffness!$C$5=0,IF(6=Element_Stiffness!$C$5,Element_Stiffness!Q30,IF(6=Element_Stiffness!$E$5,Element_Stiffness!W30,0)),IF(Element_Stiffness!$E$5=0,IF(6=Element_Stiffness!$C$5,Element_Stiffness!Q36,IF(6=Element_Stiffness!$E$5,Element_Stiffness!W36,0)),0)),0)+IF(Element_Stiffness!$C$41,IF(Element_Stiffness!$C$40=0,IF(6=Element_Stiffness!$C$40,Element_Stiffness!Q65,IF(6=Element_Stiffness!$E$40,Element_Stiffness!W65,0)),IF(Element_Stiffness!$E$40=0,IF(6=Element_Stiffness!$C$40,Element_Stiffness!Q71,IF(6=Element_Stiffness!$E$40,Element_Stiffness!W71,0)),0)),0)+IF(Element_Stiffness!$C$76,IF(Element_Stiffness!$C$75=0,IF(6=Element_Stiffness!$C$75,Element_Stiffness!Q100,IF(6=Element_Stiffness!$E$75,Element_Stiffness!W100,0)),IF(Element_Stiffness!$E$75=0,IF(6=Element_Stiffness!$C$75,Element_Stiffness!Q106,IF(6=Element_Stiffness!$E$75,Element_Stiffness!W106,0)),0)),0)+IF(Element_Stiffness!$C$111,IF(Element_Stiffness!$C$110=0,IF(6=Element_Stiffness!$C$110,Element_Stiffness!Q135,IF(6=Element_Stiffness!$E$110,Element_Stiffness!W135,0)),IF(Element_Stiffness!$E$110=0,IF(6=Element_Stiffness!$C$110,Element_Stiffness!Q141,IF(6=Element_Stiffness!$E$110,Element_Stiffness!W141,0)),0)),0)+IF(Element_Stiffness!$C$146,IF(Element_Stiffness!$C$145=0,IF(6=Element_Stiffness!$C$145,Element_Stiffness!Q170,IF(6=Element_Stiffness!$E$145,Element_Stiffness!W170,0)),IF(Element_Stiffness!$E$145=0,IF(6=Element_Stiffness!$C$145,Element_Stiffness!Q176,IF(6=Element_Stiffness!$E$145,Element_Stiffness!W176,0)),0)),0)+IF(Element_Stiffness!$C$181,IF(Element_Stiffness!$C$180=0,IF(6=Element_Stiffness!$C$180,Element_Stiffness!Q205,IF(6=Element_Stiffness!$E$180,Element_Stiffness!W205,0)),IF(Element_Stiffness!$E$180=0,IF(6=Element_Stiffness!$C$180,Element_Stiffness!Q211,IF(6=Element_Stiffness!$E$180,Element_Stiffness!W211,0)),0)),0)+IF(Element_Stiffness!$C$216,IF(Element_Stiffness!$C$215=0,IF(6=Element_Stiffness!$C$215,Element_Stiffness!Q240,IF(6=Element_Stiffness!$E$215,Element_Stiffness!W240,0)),IF(Element_Stiffness!$E$215=0,IF(6=Element_Stiffness!$C$215,Element_Stiffness!Q246,IF(6=Element_Stiffness!$E$215,Element_Stiffness!W246,0)),0)),0)</f>
        <v/>
      </c>
      <c r="AO9" s="21">
        <f>IF(Element_Stiffness!$C$6,IF(Element_Stiffness!$C$5=0,IF(6=Element_Stiffness!$C$5,Element_Stiffness!R30,IF(6=Element_Stiffness!$E$5,Element_Stiffness!X30,0)),IF(Element_Stiffness!$E$5=0,IF(6=Element_Stiffness!$C$5,Element_Stiffness!R36,IF(6=Element_Stiffness!$E$5,Element_Stiffness!X36,0)),0)),0)+IF(Element_Stiffness!$C$41,IF(Element_Stiffness!$C$40=0,IF(6=Element_Stiffness!$C$40,Element_Stiffness!R65,IF(6=Element_Stiffness!$E$40,Element_Stiffness!X65,0)),IF(Element_Stiffness!$E$40=0,IF(6=Element_Stiffness!$C$40,Element_Stiffness!R71,IF(6=Element_Stiffness!$E$40,Element_Stiffness!X71,0)),0)),0)+IF(Element_Stiffness!$C$76,IF(Element_Stiffness!$C$75=0,IF(6=Element_Stiffness!$C$75,Element_Stiffness!R100,IF(6=Element_Stiffness!$E$75,Element_Stiffness!X100,0)),IF(Element_Stiffness!$E$75=0,IF(6=Element_Stiffness!$C$75,Element_Stiffness!R106,IF(6=Element_Stiffness!$E$75,Element_Stiffness!X106,0)),0)),0)+IF(Element_Stiffness!$C$111,IF(Element_Stiffness!$C$110=0,IF(6=Element_Stiffness!$C$110,Element_Stiffness!R135,IF(6=Element_Stiffness!$E$110,Element_Stiffness!X135,0)),IF(Element_Stiffness!$E$110=0,IF(6=Element_Stiffness!$C$110,Element_Stiffness!R141,IF(6=Element_Stiffness!$E$110,Element_Stiffness!X141,0)),0)),0)+IF(Element_Stiffness!$C$146,IF(Element_Stiffness!$C$145=0,IF(6=Element_Stiffness!$C$145,Element_Stiffness!R170,IF(6=Element_Stiffness!$E$145,Element_Stiffness!X170,0)),IF(Element_Stiffness!$E$145=0,IF(6=Element_Stiffness!$C$145,Element_Stiffness!R176,IF(6=Element_Stiffness!$E$145,Element_Stiffness!X176,0)),0)),0)+IF(Element_Stiffness!$C$181,IF(Element_Stiffness!$C$180=0,IF(6=Element_Stiffness!$C$180,Element_Stiffness!R205,IF(6=Element_Stiffness!$E$180,Element_Stiffness!X205,0)),IF(Element_Stiffness!$E$180=0,IF(6=Element_Stiffness!$C$180,Element_Stiffness!R211,IF(6=Element_Stiffness!$E$180,Element_Stiffness!X211,0)),0)),0)+IF(Element_Stiffness!$C$216,IF(Element_Stiffness!$C$215=0,IF(6=Element_Stiffness!$C$215,Element_Stiffness!R240,IF(6=Element_Stiffness!$E$215,Element_Stiffness!X240,0)),IF(Element_Stiffness!$E$215=0,IF(6=Element_Stiffness!$C$215,Element_Stiffness!R246,IF(6=Element_Stiffness!$E$215,Element_Stiffness!X246,0)),0)),0)</f>
        <v/>
      </c>
      <c r="AP9" s="21">
        <f>IF(Element_Stiffness!$C$6,IF(Element_Stiffness!$C$5=0,IF(6=Element_Stiffness!$C$5,Element_Stiffness!S30,IF(6=Element_Stiffness!$E$5,Element_Stiffness!Y30,0)),IF(Element_Stiffness!$E$5=0,IF(6=Element_Stiffness!$C$5,Element_Stiffness!S36,IF(6=Element_Stiffness!$E$5,Element_Stiffness!Y36,0)),0)),0)+IF(Element_Stiffness!$C$41,IF(Element_Stiffness!$C$40=0,IF(6=Element_Stiffness!$C$40,Element_Stiffness!S65,IF(6=Element_Stiffness!$E$40,Element_Stiffness!Y65,0)),IF(Element_Stiffness!$E$40=0,IF(6=Element_Stiffness!$C$40,Element_Stiffness!S71,IF(6=Element_Stiffness!$E$40,Element_Stiffness!Y71,0)),0)),0)+IF(Element_Stiffness!$C$76,IF(Element_Stiffness!$C$75=0,IF(6=Element_Stiffness!$C$75,Element_Stiffness!S100,IF(6=Element_Stiffness!$E$75,Element_Stiffness!Y100,0)),IF(Element_Stiffness!$E$75=0,IF(6=Element_Stiffness!$C$75,Element_Stiffness!S106,IF(6=Element_Stiffness!$E$75,Element_Stiffness!Y106,0)),0)),0)+IF(Element_Stiffness!$C$111,IF(Element_Stiffness!$C$110=0,IF(6=Element_Stiffness!$C$110,Element_Stiffness!S135,IF(6=Element_Stiffness!$E$110,Element_Stiffness!Y135,0)),IF(Element_Stiffness!$E$110=0,IF(6=Element_Stiffness!$C$110,Element_Stiffness!S141,IF(6=Element_Stiffness!$E$110,Element_Stiffness!Y141,0)),0)),0)+IF(Element_Stiffness!$C$146,IF(Element_Stiffness!$C$145=0,IF(6=Element_Stiffness!$C$145,Element_Stiffness!S170,IF(6=Element_Stiffness!$E$145,Element_Stiffness!Y170,0)),IF(Element_Stiffness!$E$145=0,IF(6=Element_Stiffness!$C$145,Element_Stiffness!S176,IF(6=Element_Stiffness!$E$145,Element_Stiffness!Y176,0)),0)),0)+IF(Element_Stiffness!$C$181,IF(Element_Stiffness!$C$180=0,IF(6=Element_Stiffness!$C$180,Element_Stiffness!S205,IF(6=Element_Stiffness!$E$180,Element_Stiffness!Y205,0)),IF(Element_Stiffness!$E$180=0,IF(6=Element_Stiffness!$C$180,Element_Stiffness!S211,IF(6=Element_Stiffness!$E$180,Element_Stiffness!Y211,0)),0)),0)+IF(Element_Stiffness!$C$216,IF(Element_Stiffness!$C$215=0,IF(6=Element_Stiffness!$C$215,Element_Stiffness!S240,IF(6=Element_Stiffness!$E$215,Element_Stiffness!Y240,0)),IF(Element_Stiffness!$E$215=0,IF(6=Element_Stiffness!$C$215,Element_Stiffness!S246,IF(6=Element_Stiffness!$E$215,Element_Stiffness!Y246,0)),0)),0)</f>
        <v/>
      </c>
      <c r="AQ9" s="21">
        <f>IF(Element_Stiffness!$C$6,IF(Element_Stiffness!$C$5=0,IF(6=Element_Stiffness!$C$5,Element_Stiffness!T30,IF(6=Element_Stiffness!$E$5,Element_Stiffness!Z30,0)),IF(Element_Stiffness!$E$5=0,IF(6=Element_Stiffness!$C$5,Element_Stiffness!T36,IF(6=Element_Stiffness!$E$5,Element_Stiffness!Z36,0)),0)),0)+IF(Element_Stiffness!$C$41,IF(Element_Stiffness!$C$40=0,IF(6=Element_Stiffness!$C$40,Element_Stiffness!T65,IF(6=Element_Stiffness!$E$40,Element_Stiffness!Z65,0)),IF(Element_Stiffness!$E$40=0,IF(6=Element_Stiffness!$C$40,Element_Stiffness!T71,IF(6=Element_Stiffness!$E$40,Element_Stiffness!Z71,0)),0)),0)+IF(Element_Stiffness!$C$76,IF(Element_Stiffness!$C$75=0,IF(6=Element_Stiffness!$C$75,Element_Stiffness!T100,IF(6=Element_Stiffness!$E$75,Element_Stiffness!Z100,0)),IF(Element_Stiffness!$E$75=0,IF(6=Element_Stiffness!$C$75,Element_Stiffness!T106,IF(6=Element_Stiffness!$E$75,Element_Stiffness!Z106,0)),0)),0)+IF(Element_Stiffness!$C$111,IF(Element_Stiffness!$C$110=0,IF(6=Element_Stiffness!$C$110,Element_Stiffness!T135,IF(6=Element_Stiffness!$E$110,Element_Stiffness!Z135,0)),IF(Element_Stiffness!$E$110=0,IF(6=Element_Stiffness!$C$110,Element_Stiffness!T141,IF(6=Element_Stiffness!$E$110,Element_Stiffness!Z141,0)),0)),0)+IF(Element_Stiffness!$C$146,IF(Element_Stiffness!$C$145=0,IF(6=Element_Stiffness!$C$145,Element_Stiffness!T170,IF(6=Element_Stiffness!$E$145,Element_Stiffness!Z170,0)),IF(Element_Stiffness!$E$145=0,IF(6=Element_Stiffness!$C$145,Element_Stiffness!T176,IF(6=Element_Stiffness!$E$145,Element_Stiffness!Z176,0)),0)),0)+IF(Element_Stiffness!$C$181,IF(Element_Stiffness!$C$180=0,IF(6=Element_Stiffness!$C$180,Element_Stiffness!T205,IF(6=Element_Stiffness!$E$180,Element_Stiffness!Z205,0)),IF(Element_Stiffness!$E$180=0,IF(6=Element_Stiffness!$C$180,Element_Stiffness!T211,IF(6=Element_Stiffness!$E$180,Element_Stiffness!Z211,0)),0)),0)+IF(Element_Stiffness!$C$216,IF(Element_Stiffness!$C$215=0,IF(6=Element_Stiffness!$C$215,Element_Stiffness!T240,IF(6=Element_Stiffness!$E$215,Element_Stiffness!Z240,0)),IF(Element_Stiffness!$E$215=0,IF(6=Element_Stiffness!$C$215,Element_Stiffness!T246,IF(6=Element_Stiffness!$E$215,Element_Stiffness!Z246,0)),0)),0)</f>
        <v/>
      </c>
      <c r="AR9" s="21">
        <f>IF(Element_Stiffness!$C$6,IF(Element_Stiffness!$C$5=0,IF(6=Element_Stiffness!$C$5,Element_Stiffness!U30,IF(6=Element_Stiffness!$E$5,Element_Stiffness!AA30,0)),IF(Element_Stiffness!$E$5=0,IF(6=Element_Stiffness!$C$5,Element_Stiffness!U36,IF(6=Element_Stiffness!$E$5,Element_Stiffness!AA36,0)),0)),0)+IF(Element_Stiffness!$C$41,IF(Element_Stiffness!$C$40=0,IF(6=Element_Stiffness!$C$40,Element_Stiffness!U65,IF(6=Element_Stiffness!$E$40,Element_Stiffness!AA65,0)),IF(Element_Stiffness!$E$40=0,IF(6=Element_Stiffness!$C$40,Element_Stiffness!U71,IF(6=Element_Stiffness!$E$40,Element_Stiffness!AA71,0)),0)),0)+IF(Element_Stiffness!$C$76,IF(Element_Stiffness!$C$75=0,IF(6=Element_Stiffness!$C$75,Element_Stiffness!U100,IF(6=Element_Stiffness!$E$75,Element_Stiffness!AA100,0)),IF(Element_Stiffness!$E$75=0,IF(6=Element_Stiffness!$C$75,Element_Stiffness!U106,IF(6=Element_Stiffness!$E$75,Element_Stiffness!AA106,0)),0)),0)+IF(Element_Stiffness!$C$111,IF(Element_Stiffness!$C$110=0,IF(6=Element_Stiffness!$C$110,Element_Stiffness!U135,IF(6=Element_Stiffness!$E$110,Element_Stiffness!AA135,0)),IF(Element_Stiffness!$E$110=0,IF(6=Element_Stiffness!$C$110,Element_Stiffness!U141,IF(6=Element_Stiffness!$E$110,Element_Stiffness!AA141,0)),0)),0)+IF(Element_Stiffness!$C$146,IF(Element_Stiffness!$C$145=0,IF(6=Element_Stiffness!$C$145,Element_Stiffness!U170,IF(6=Element_Stiffness!$E$145,Element_Stiffness!AA170,0)),IF(Element_Stiffness!$E$145=0,IF(6=Element_Stiffness!$C$145,Element_Stiffness!U176,IF(6=Element_Stiffness!$E$145,Element_Stiffness!AA176,0)),0)),0)+IF(Element_Stiffness!$C$181,IF(Element_Stiffness!$C$180=0,IF(6=Element_Stiffness!$C$180,Element_Stiffness!U205,IF(6=Element_Stiffness!$E$180,Element_Stiffness!AA205,0)),IF(Element_Stiffness!$E$180=0,IF(6=Element_Stiffness!$C$180,Element_Stiffness!U211,IF(6=Element_Stiffness!$E$180,Element_Stiffness!AA211,0)),0)),0)+IF(Element_Stiffness!$C$216,IF(Element_Stiffness!$C$215=0,IF(6=Element_Stiffness!$C$215,Element_Stiffness!U240,IF(6=Element_Stiffness!$E$215,Element_Stiffness!AA240,0)),IF(Element_Stiffness!$E$215=0,IF(6=Element_Stiffness!$C$215,Element_Stiffness!U246,IF(6=Element_Stiffness!$E$215,Element_Stiffness!AA246,0)),0)),0)</f>
        <v/>
      </c>
      <c r="AS9" s="21">
        <f>IF(Element_Stiffness!$C$6,IF(Element_Stiffness!$C$5=0,IF(7=Element_Stiffness!$C$5,Element_Stiffness!P30,IF(7=Element_Stiffness!$E$5,Element_Stiffness!V30,0)),IF(Element_Stiffness!$E$5=0,IF(7=Element_Stiffness!$C$5,Element_Stiffness!P36,IF(7=Element_Stiffness!$E$5,Element_Stiffness!V36,0)),0)),0)+IF(Element_Stiffness!$C$41,IF(Element_Stiffness!$C$40=0,IF(7=Element_Stiffness!$C$40,Element_Stiffness!P65,IF(7=Element_Stiffness!$E$40,Element_Stiffness!V65,0)),IF(Element_Stiffness!$E$40=0,IF(7=Element_Stiffness!$C$40,Element_Stiffness!P71,IF(7=Element_Stiffness!$E$40,Element_Stiffness!V71,0)),0)),0)+IF(Element_Stiffness!$C$76,IF(Element_Stiffness!$C$75=0,IF(7=Element_Stiffness!$C$75,Element_Stiffness!P100,IF(7=Element_Stiffness!$E$75,Element_Stiffness!V100,0)),IF(Element_Stiffness!$E$75=0,IF(7=Element_Stiffness!$C$75,Element_Stiffness!P106,IF(7=Element_Stiffness!$E$75,Element_Stiffness!V106,0)),0)),0)+IF(Element_Stiffness!$C$111,IF(Element_Stiffness!$C$110=0,IF(7=Element_Stiffness!$C$110,Element_Stiffness!P135,IF(7=Element_Stiffness!$E$110,Element_Stiffness!V135,0)),IF(Element_Stiffness!$E$110=0,IF(7=Element_Stiffness!$C$110,Element_Stiffness!P141,IF(7=Element_Stiffness!$E$110,Element_Stiffness!V141,0)),0)),0)+IF(Element_Stiffness!$C$146,IF(Element_Stiffness!$C$145=0,IF(7=Element_Stiffness!$C$145,Element_Stiffness!P170,IF(7=Element_Stiffness!$E$145,Element_Stiffness!V170,0)),IF(Element_Stiffness!$E$145=0,IF(7=Element_Stiffness!$C$145,Element_Stiffness!P176,IF(7=Element_Stiffness!$E$145,Element_Stiffness!V176,0)),0)),0)+IF(Element_Stiffness!$C$181,IF(Element_Stiffness!$C$180=0,IF(7=Element_Stiffness!$C$180,Element_Stiffness!P205,IF(7=Element_Stiffness!$E$180,Element_Stiffness!V205,0)),IF(Element_Stiffness!$E$180=0,IF(7=Element_Stiffness!$C$180,Element_Stiffness!P211,IF(7=Element_Stiffness!$E$180,Element_Stiffness!V211,0)),0)),0)+IF(Element_Stiffness!$C$216,IF(Element_Stiffness!$C$215=0,IF(7=Element_Stiffness!$C$215,Element_Stiffness!P240,IF(7=Element_Stiffness!$E$215,Element_Stiffness!V240,0)),IF(Element_Stiffness!$E$215=0,IF(7=Element_Stiffness!$C$215,Element_Stiffness!P246,IF(7=Element_Stiffness!$E$215,Element_Stiffness!V246,0)),0)),0)</f>
        <v/>
      </c>
      <c r="AT9" s="21">
        <f>IF(Element_Stiffness!$C$6,IF(Element_Stiffness!$C$5=0,IF(7=Element_Stiffness!$C$5,Element_Stiffness!Q30,IF(7=Element_Stiffness!$E$5,Element_Stiffness!W30,0)),IF(Element_Stiffness!$E$5=0,IF(7=Element_Stiffness!$C$5,Element_Stiffness!Q36,IF(7=Element_Stiffness!$E$5,Element_Stiffness!W36,0)),0)),0)+IF(Element_Stiffness!$C$41,IF(Element_Stiffness!$C$40=0,IF(7=Element_Stiffness!$C$40,Element_Stiffness!Q65,IF(7=Element_Stiffness!$E$40,Element_Stiffness!W65,0)),IF(Element_Stiffness!$E$40=0,IF(7=Element_Stiffness!$C$40,Element_Stiffness!Q71,IF(7=Element_Stiffness!$E$40,Element_Stiffness!W71,0)),0)),0)+IF(Element_Stiffness!$C$76,IF(Element_Stiffness!$C$75=0,IF(7=Element_Stiffness!$C$75,Element_Stiffness!Q100,IF(7=Element_Stiffness!$E$75,Element_Stiffness!W100,0)),IF(Element_Stiffness!$E$75=0,IF(7=Element_Stiffness!$C$75,Element_Stiffness!Q106,IF(7=Element_Stiffness!$E$75,Element_Stiffness!W106,0)),0)),0)+IF(Element_Stiffness!$C$111,IF(Element_Stiffness!$C$110=0,IF(7=Element_Stiffness!$C$110,Element_Stiffness!Q135,IF(7=Element_Stiffness!$E$110,Element_Stiffness!W135,0)),IF(Element_Stiffness!$E$110=0,IF(7=Element_Stiffness!$C$110,Element_Stiffness!Q141,IF(7=Element_Stiffness!$E$110,Element_Stiffness!W141,0)),0)),0)+IF(Element_Stiffness!$C$146,IF(Element_Stiffness!$C$145=0,IF(7=Element_Stiffness!$C$145,Element_Stiffness!Q170,IF(7=Element_Stiffness!$E$145,Element_Stiffness!W170,0)),IF(Element_Stiffness!$E$145=0,IF(7=Element_Stiffness!$C$145,Element_Stiffness!Q176,IF(7=Element_Stiffness!$E$145,Element_Stiffness!W176,0)),0)),0)+IF(Element_Stiffness!$C$181,IF(Element_Stiffness!$C$180=0,IF(7=Element_Stiffness!$C$180,Element_Stiffness!Q205,IF(7=Element_Stiffness!$E$180,Element_Stiffness!W205,0)),IF(Element_Stiffness!$E$180=0,IF(7=Element_Stiffness!$C$180,Element_Stiffness!Q211,IF(7=Element_Stiffness!$E$180,Element_Stiffness!W211,0)),0)),0)+IF(Element_Stiffness!$C$216,IF(Element_Stiffness!$C$215=0,IF(7=Element_Stiffness!$C$215,Element_Stiffness!Q240,IF(7=Element_Stiffness!$E$215,Element_Stiffness!W240,0)),IF(Element_Stiffness!$E$215=0,IF(7=Element_Stiffness!$C$215,Element_Stiffness!Q246,IF(7=Element_Stiffness!$E$215,Element_Stiffness!W246,0)),0)),0)</f>
        <v/>
      </c>
      <c r="AU9" s="21">
        <f>IF(Element_Stiffness!$C$6,IF(Element_Stiffness!$C$5=0,IF(7=Element_Stiffness!$C$5,Element_Stiffness!R30,IF(7=Element_Stiffness!$E$5,Element_Stiffness!X30,0)),IF(Element_Stiffness!$E$5=0,IF(7=Element_Stiffness!$C$5,Element_Stiffness!R36,IF(7=Element_Stiffness!$E$5,Element_Stiffness!X36,0)),0)),0)+IF(Element_Stiffness!$C$41,IF(Element_Stiffness!$C$40=0,IF(7=Element_Stiffness!$C$40,Element_Stiffness!R65,IF(7=Element_Stiffness!$E$40,Element_Stiffness!X65,0)),IF(Element_Stiffness!$E$40=0,IF(7=Element_Stiffness!$C$40,Element_Stiffness!R71,IF(7=Element_Stiffness!$E$40,Element_Stiffness!X71,0)),0)),0)+IF(Element_Stiffness!$C$76,IF(Element_Stiffness!$C$75=0,IF(7=Element_Stiffness!$C$75,Element_Stiffness!R100,IF(7=Element_Stiffness!$E$75,Element_Stiffness!X100,0)),IF(Element_Stiffness!$E$75=0,IF(7=Element_Stiffness!$C$75,Element_Stiffness!R106,IF(7=Element_Stiffness!$E$75,Element_Stiffness!X106,0)),0)),0)+IF(Element_Stiffness!$C$111,IF(Element_Stiffness!$C$110=0,IF(7=Element_Stiffness!$C$110,Element_Stiffness!R135,IF(7=Element_Stiffness!$E$110,Element_Stiffness!X135,0)),IF(Element_Stiffness!$E$110=0,IF(7=Element_Stiffness!$C$110,Element_Stiffness!R141,IF(7=Element_Stiffness!$E$110,Element_Stiffness!X141,0)),0)),0)+IF(Element_Stiffness!$C$146,IF(Element_Stiffness!$C$145=0,IF(7=Element_Stiffness!$C$145,Element_Stiffness!R170,IF(7=Element_Stiffness!$E$145,Element_Stiffness!X170,0)),IF(Element_Stiffness!$E$145=0,IF(7=Element_Stiffness!$C$145,Element_Stiffness!R176,IF(7=Element_Stiffness!$E$145,Element_Stiffness!X176,0)),0)),0)+IF(Element_Stiffness!$C$181,IF(Element_Stiffness!$C$180=0,IF(7=Element_Stiffness!$C$180,Element_Stiffness!R205,IF(7=Element_Stiffness!$E$180,Element_Stiffness!X205,0)),IF(Element_Stiffness!$E$180=0,IF(7=Element_Stiffness!$C$180,Element_Stiffness!R211,IF(7=Element_Stiffness!$E$180,Element_Stiffness!X211,0)),0)),0)+IF(Element_Stiffness!$C$216,IF(Element_Stiffness!$C$215=0,IF(7=Element_Stiffness!$C$215,Element_Stiffness!R240,IF(7=Element_Stiffness!$E$215,Element_Stiffness!X240,0)),IF(Element_Stiffness!$E$215=0,IF(7=Element_Stiffness!$C$215,Element_Stiffness!R246,IF(7=Element_Stiffness!$E$215,Element_Stiffness!X246,0)),0)),0)</f>
        <v/>
      </c>
      <c r="AV9" s="21">
        <f>IF(Element_Stiffness!$C$6,IF(Element_Stiffness!$C$5=0,IF(7=Element_Stiffness!$C$5,Element_Stiffness!S30,IF(7=Element_Stiffness!$E$5,Element_Stiffness!Y30,0)),IF(Element_Stiffness!$E$5=0,IF(7=Element_Stiffness!$C$5,Element_Stiffness!S36,IF(7=Element_Stiffness!$E$5,Element_Stiffness!Y36,0)),0)),0)+IF(Element_Stiffness!$C$41,IF(Element_Stiffness!$C$40=0,IF(7=Element_Stiffness!$C$40,Element_Stiffness!S65,IF(7=Element_Stiffness!$E$40,Element_Stiffness!Y65,0)),IF(Element_Stiffness!$E$40=0,IF(7=Element_Stiffness!$C$40,Element_Stiffness!S71,IF(7=Element_Stiffness!$E$40,Element_Stiffness!Y71,0)),0)),0)+IF(Element_Stiffness!$C$76,IF(Element_Stiffness!$C$75=0,IF(7=Element_Stiffness!$C$75,Element_Stiffness!S100,IF(7=Element_Stiffness!$E$75,Element_Stiffness!Y100,0)),IF(Element_Stiffness!$E$75=0,IF(7=Element_Stiffness!$C$75,Element_Stiffness!S106,IF(7=Element_Stiffness!$E$75,Element_Stiffness!Y106,0)),0)),0)+IF(Element_Stiffness!$C$111,IF(Element_Stiffness!$C$110=0,IF(7=Element_Stiffness!$C$110,Element_Stiffness!S135,IF(7=Element_Stiffness!$E$110,Element_Stiffness!Y135,0)),IF(Element_Stiffness!$E$110=0,IF(7=Element_Stiffness!$C$110,Element_Stiffness!S141,IF(7=Element_Stiffness!$E$110,Element_Stiffness!Y141,0)),0)),0)+IF(Element_Stiffness!$C$146,IF(Element_Stiffness!$C$145=0,IF(7=Element_Stiffness!$C$145,Element_Stiffness!S170,IF(7=Element_Stiffness!$E$145,Element_Stiffness!Y170,0)),IF(Element_Stiffness!$E$145=0,IF(7=Element_Stiffness!$C$145,Element_Stiffness!S176,IF(7=Element_Stiffness!$E$145,Element_Stiffness!Y176,0)),0)),0)+IF(Element_Stiffness!$C$181,IF(Element_Stiffness!$C$180=0,IF(7=Element_Stiffness!$C$180,Element_Stiffness!S205,IF(7=Element_Stiffness!$E$180,Element_Stiffness!Y205,0)),IF(Element_Stiffness!$E$180=0,IF(7=Element_Stiffness!$C$180,Element_Stiffness!S211,IF(7=Element_Stiffness!$E$180,Element_Stiffness!Y211,0)),0)),0)+IF(Element_Stiffness!$C$216,IF(Element_Stiffness!$C$215=0,IF(7=Element_Stiffness!$C$215,Element_Stiffness!S240,IF(7=Element_Stiffness!$E$215,Element_Stiffness!Y240,0)),IF(Element_Stiffness!$E$215=0,IF(7=Element_Stiffness!$C$215,Element_Stiffness!S246,IF(7=Element_Stiffness!$E$215,Element_Stiffness!Y246,0)),0)),0)</f>
        <v/>
      </c>
      <c r="AW9" s="21">
        <f>IF(Element_Stiffness!$C$6,IF(Element_Stiffness!$C$5=0,IF(7=Element_Stiffness!$C$5,Element_Stiffness!T30,IF(7=Element_Stiffness!$E$5,Element_Stiffness!Z30,0)),IF(Element_Stiffness!$E$5=0,IF(7=Element_Stiffness!$C$5,Element_Stiffness!T36,IF(7=Element_Stiffness!$E$5,Element_Stiffness!Z36,0)),0)),0)+IF(Element_Stiffness!$C$41,IF(Element_Stiffness!$C$40=0,IF(7=Element_Stiffness!$C$40,Element_Stiffness!T65,IF(7=Element_Stiffness!$E$40,Element_Stiffness!Z65,0)),IF(Element_Stiffness!$E$40=0,IF(7=Element_Stiffness!$C$40,Element_Stiffness!T71,IF(7=Element_Stiffness!$E$40,Element_Stiffness!Z71,0)),0)),0)+IF(Element_Stiffness!$C$76,IF(Element_Stiffness!$C$75=0,IF(7=Element_Stiffness!$C$75,Element_Stiffness!T100,IF(7=Element_Stiffness!$E$75,Element_Stiffness!Z100,0)),IF(Element_Stiffness!$E$75=0,IF(7=Element_Stiffness!$C$75,Element_Stiffness!T106,IF(7=Element_Stiffness!$E$75,Element_Stiffness!Z106,0)),0)),0)+IF(Element_Stiffness!$C$111,IF(Element_Stiffness!$C$110=0,IF(7=Element_Stiffness!$C$110,Element_Stiffness!T135,IF(7=Element_Stiffness!$E$110,Element_Stiffness!Z135,0)),IF(Element_Stiffness!$E$110=0,IF(7=Element_Stiffness!$C$110,Element_Stiffness!T141,IF(7=Element_Stiffness!$E$110,Element_Stiffness!Z141,0)),0)),0)+IF(Element_Stiffness!$C$146,IF(Element_Stiffness!$C$145=0,IF(7=Element_Stiffness!$C$145,Element_Stiffness!T170,IF(7=Element_Stiffness!$E$145,Element_Stiffness!Z170,0)),IF(Element_Stiffness!$E$145=0,IF(7=Element_Stiffness!$C$145,Element_Stiffness!T176,IF(7=Element_Stiffness!$E$145,Element_Stiffness!Z176,0)),0)),0)+IF(Element_Stiffness!$C$181,IF(Element_Stiffness!$C$180=0,IF(7=Element_Stiffness!$C$180,Element_Stiffness!T205,IF(7=Element_Stiffness!$E$180,Element_Stiffness!Z205,0)),IF(Element_Stiffness!$E$180=0,IF(7=Element_Stiffness!$C$180,Element_Stiffness!T211,IF(7=Element_Stiffness!$E$180,Element_Stiffness!Z211,0)),0)),0)+IF(Element_Stiffness!$C$216,IF(Element_Stiffness!$C$215=0,IF(7=Element_Stiffness!$C$215,Element_Stiffness!T240,IF(7=Element_Stiffness!$E$215,Element_Stiffness!Z240,0)),IF(Element_Stiffness!$E$215=0,IF(7=Element_Stiffness!$C$215,Element_Stiffness!T246,IF(7=Element_Stiffness!$E$215,Element_Stiffness!Z246,0)),0)),0)</f>
        <v/>
      </c>
      <c r="AX9" s="21">
        <f>IF(Element_Stiffness!$C$6,IF(Element_Stiffness!$C$5=0,IF(7=Element_Stiffness!$C$5,Element_Stiffness!U30,IF(7=Element_Stiffness!$E$5,Element_Stiffness!AA30,0)),IF(Element_Stiffness!$E$5=0,IF(7=Element_Stiffness!$C$5,Element_Stiffness!U36,IF(7=Element_Stiffness!$E$5,Element_Stiffness!AA36,0)),0)),0)+IF(Element_Stiffness!$C$41,IF(Element_Stiffness!$C$40=0,IF(7=Element_Stiffness!$C$40,Element_Stiffness!U65,IF(7=Element_Stiffness!$E$40,Element_Stiffness!AA65,0)),IF(Element_Stiffness!$E$40=0,IF(7=Element_Stiffness!$C$40,Element_Stiffness!U71,IF(7=Element_Stiffness!$E$40,Element_Stiffness!AA71,0)),0)),0)+IF(Element_Stiffness!$C$76,IF(Element_Stiffness!$C$75=0,IF(7=Element_Stiffness!$C$75,Element_Stiffness!U100,IF(7=Element_Stiffness!$E$75,Element_Stiffness!AA100,0)),IF(Element_Stiffness!$E$75=0,IF(7=Element_Stiffness!$C$75,Element_Stiffness!U106,IF(7=Element_Stiffness!$E$75,Element_Stiffness!AA106,0)),0)),0)+IF(Element_Stiffness!$C$111,IF(Element_Stiffness!$C$110=0,IF(7=Element_Stiffness!$C$110,Element_Stiffness!U135,IF(7=Element_Stiffness!$E$110,Element_Stiffness!AA135,0)),IF(Element_Stiffness!$E$110=0,IF(7=Element_Stiffness!$C$110,Element_Stiffness!U141,IF(7=Element_Stiffness!$E$110,Element_Stiffness!AA141,0)),0)),0)+IF(Element_Stiffness!$C$146,IF(Element_Stiffness!$C$145=0,IF(7=Element_Stiffness!$C$145,Element_Stiffness!U170,IF(7=Element_Stiffness!$E$145,Element_Stiffness!AA170,0)),IF(Element_Stiffness!$E$145=0,IF(7=Element_Stiffness!$C$145,Element_Stiffness!U176,IF(7=Element_Stiffness!$E$145,Element_Stiffness!AA176,0)),0)),0)+IF(Element_Stiffness!$C$181,IF(Element_Stiffness!$C$180=0,IF(7=Element_Stiffness!$C$180,Element_Stiffness!U205,IF(7=Element_Stiffness!$E$180,Element_Stiffness!AA205,0)),IF(Element_Stiffness!$E$180=0,IF(7=Element_Stiffness!$C$180,Element_Stiffness!U211,IF(7=Element_Stiffness!$E$180,Element_Stiffness!AA211,0)),0)),0)+IF(Element_Stiffness!$C$216,IF(Element_Stiffness!$C$215=0,IF(7=Element_Stiffness!$C$215,Element_Stiffness!U240,IF(7=Element_Stiffness!$E$215,Element_Stiffness!AA240,0)),IF(Element_Stiffness!$E$215=0,IF(7=Element_Stiffness!$C$215,Element_Stiffness!U246,IF(7=Element_Stiffness!$E$215,Element_Stiffness!AA246,0)),0)),0)</f>
        <v/>
      </c>
      <c r="AY9" s="21" t="n">
        <v>0</v>
      </c>
      <c r="AZ9" s="21">
        <f>IF(Element_Stiffness!$C$6,IF(Element_Stiffness!$C$5=0,Element_Stiffness!C30,IF(Element_Stiffness!$E$5=0,Element_Stiffness!C36,0)),0)+IF(Element_Stiffness!$C$41,IF(Element_Stiffness!$C$40=0,Element_Stiffness!C65,IF(Element_Stiffness!$E$40=0,Element_Stiffness!C71,0)),0)+IF(Element_Stiffness!$C$76,IF(Element_Stiffness!$C$75=0,Element_Stiffness!C100,IF(Element_Stiffness!$E$75=0,Element_Stiffness!C106,0)),0)+IF(Element_Stiffness!$C$111,IF(Element_Stiffness!$C$110=0,Element_Stiffness!C135,IF(Element_Stiffness!$E$110=0,Element_Stiffness!C141,0)),0)+IF(Element_Stiffness!$C$146,IF(Element_Stiffness!$C$145=0,Element_Stiffness!C170,IF(Element_Stiffness!$E$145=0,Element_Stiffness!C176,0)),0)+IF(Element_Stiffness!$C$181,IF(Element_Stiffness!$C$180=0,Element_Stiffness!C205,IF(Element_Stiffness!$E$180=0,Element_Stiffness!C211,0)),0)+IF(Element_Stiffness!$C$216,IF(Element_Stiffness!$C$215=0,Element_Stiffness!C240,IF(Element_Stiffness!$E$215=0,Element_Stiffness!C246,0)),0)</f>
        <v/>
      </c>
      <c r="BB9" s="28">
        <f>INDEX(MMULT(MINVERSE(C5:AX52), AY5:AY52), 5, 1)</f>
        <v/>
      </c>
      <c r="BC9" s="28">
        <f>INDEX(MMULT(MINVERSE(C5:AX52), AZ5:AZ52), 5, 1)</f>
        <v/>
      </c>
    </row>
    <row r="10">
      <c r="B10" s="27" t="inlineStr">
        <is>
          <t>N0_rz</t>
        </is>
      </c>
      <c r="C10" s="21">
        <f>IF(Element_Stiffness!$C$6,IF(Element_Stiffness!$C$5=0,IF(0=Element_Stiffness!$C$5,Element_Stiffness!P31,IF(0=Element_Stiffness!$E$5,Element_Stiffness!V31,0)),IF(Element_Stiffness!$E$5=0,IF(0=Element_Stiffness!$C$5,Element_Stiffness!P37,IF(0=Element_Stiffness!$E$5,Element_Stiffness!V37,0)),0)),0)+IF(Element_Stiffness!$C$41,IF(Element_Stiffness!$C$40=0,IF(0=Element_Stiffness!$C$40,Element_Stiffness!P66,IF(0=Element_Stiffness!$E$40,Element_Stiffness!V66,0)),IF(Element_Stiffness!$E$40=0,IF(0=Element_Stiffness!$C$40,Element_Stiffness!P72,IF(0=Element_Stiffness!$E$40,Element_Stiffness!V72,0)),0)),0)+IF(Element_Stiffness!$C$76,IF(Element_Stiffness!$C$75=0,IF(0=Element_Stiffness!$C$75,Element_Stiffness!P101,IF(0=Element_Stiffness!$E$75,Element_Stiffness!V101,0)),IF(Element_Stiffness!$E$75=0,IF(0=Element_Stiffness!$C$75,Element_Stiffness!P107,IF(0=Element_Stiffness!$E$75,Element_Stiffness!V107,0)),0)),0)+IF(Element_Stiffness!$C$111,IF(Element_Stiffness!$C$110=0,IF(0=Element_Stiffness!$C$110,Element_Stiffness!P136,IF(0=Element_Stiffness!$E$110,Element_Stiffness!V136,0)),IF(Element_Stiffness!$E$110=0,IF(0=Element_Stiffness!$C$110,Element_Stiffness!P142,IF(0=Element_Stiffness!$E$110,Element_Stiffness!V142,0)),0)),0)+IF(Element_Stiffness!$C$146,IF(Element_Stiffness!$C$145=0,IF(0=Element_Stiffness!$C$145,Element_Stiffness!P171,IF(0=Element_Stiffness!$E$145,Element_Stiffness!V171,0)),IF(Element_Stiffness!$E$145=0,IF(0=Element_Stiffness!$C$145,Element_Stiffness!P177,IF(0=Element_Stiffness!$E$145,Element_Stiffness!V177,0)),0)),0)+IF(Element_Stiffness!$C$181,IF(Element_Stiffness!$C$180=0,IF(0=Element_Stiffness!$C$180,Element_Stiffness!P206,IF(0=Element_Stiffness!$E$180,Element_Stiffness!V206,0)),IF(Element_Stiffness!$E$180=0,IF(0=Element_Stiffness!$C$180,Element_Stiffness!P212,IF(0=Element_Stiffness!$E$180,Element_Stiffness!V212,0)),0)),0)+IF(Element_Stiffness!$C$216,IF(Element_Stiffness!$C$215=0,IF(0=Element_Stiffness!$C$215,Element_Stiffness!P241,IF(0=Element_Stiffness!$E$215,Element_Stiffness!V241,0)),IF(Element_Stiffness!$E$215=0,IF(0=Element_Stiffness!$C$215,Element_Stiffness!P247,IF(0=Element_Stiffness!$E$215,Element_Stiffness!V247,0)),0)),0)</f>
        <v/>
      </c>
      <c r="D10" s="21">
        <f>IF(Element_Stiffness!$C$6,IF(Element_Stiffness!$C$5=0,IF(0=Element_Stiffness!$C$5,Element_Stiffness!Q31,IF(0=Element_Stiffness!$E$5,Element_Stiffness!W31,0)),IF(Element_Stiffness!$E$5=0,IF(0=Element_Stiffness!$C$5,Element_Stiffness!Q37,IF(0=Element_Stiffness!$E$5,Element_Stiffness!W37,0)),0)),0)+IF(Element_Stiffness!$C$41,IF(Element_Stiffness!$C$40=0,IF(0=Element_Stiffness!$C$40,Element_Stiffness!Q66,IF(0=Element_Stiffness!$E$40,Element_Stiffness!W66,0)),IF(Element_Stiffness!$E$40=0,IF(0=Element_Stiffness!$C$40,Element_Stiffness!Q72,IF(0=Element_Stiffness!$E$40,Element_Stiffness!W72,0)),0)),0)+IF(Element_Stiffness!$C$76,IF(Element_Stiffness!$C$75=0,IF(0=Element_Stiffness!$C$75,Element_Stiffness!Q101,IF(0=Element_Stiffness!$E$75,Element_Stiffness!W101,0)),IF(Element_Stiffness!$E$75=0,IF(0=Element_Stiffness!$C$75,Element_Stiffness!Q107,IF(0=Element_Stiffness!$E$75,Element_Stiffness!W107,0)),0)),0)+IF(Element_Stiffness!$C$111,IF(Element_Stiffness!$C$110=0,IF(0=Element_Stiffness!$C$110,Element_Stiffness!Q136,IF(0=Element_Stiffness!$E$110,Element_Stiffness!W136,0)),IF(Element_Stiffness!$E$110=0,IF(0=Element_Stiffness!$C$110,Element_Stiffness!Q142,IF(0=Element_Stiffness!$E$110,Element_Stiffness!W142,0)),0)),0)+IF(Element_Stiffness!$C$146,IF(Element_Stiffness!$C$145=0,IF(0=Element_Stiffness!$C$145,Element_Stiffness!Q171,IF(0=Element_Stiffness!$E$145,Element_Stiffness!W171,0)),IF(Element_Stiffness!$E$145=0,IF(0=Element_Stiffness!$C$145,Element_Stiffness!Q177,IF(0=Element_Stiffness!$E$145,Element_Stiffness!W177,0)),0)),0)+IF(Element_Stiffness!$C$181,IF(Element_Stiffness!$C$180=0,IF(0=Element_Stiffness!$C$180,Element_Stiffness!Q206,IF(0=Element_Stiffness!$E$180,Element_Stiffness!W206,0)),IF(Element_Stiffness!$E$180=0,IF(0=Element_Stiffness!$C$180,Element_Stiffness!Q212,IF(0=Element_Stiffness!$E$180,Element_Stiffness!W212,0)),0)),0)+IF(Element_Stiffness!$C$216,IF(Element_Stiffness!$C$215=0,IF(0=Element_Stiffness!$C$215,Element_Stiffness!Q241,IF(0=Element_Stiffness!$E$215,Element_Stiffness!W241,0)),IF(Element_Stiffness!$E$215=0,IF(0=Element_Stiffness!$C$215,Element_Stiffness!Q247,IF(0=Element_Stiffness!$E$215,Element_Stiffness!W247,0)),0)),0)</f>
        <v/>
      </c>
      <c r="E10" s="21">
        <f>IF(Element_Stiffness!$C$6,IF(Element_Stiffness!$C$5=0,IF(0=Element_Stiffness!$C$5,Element_Stiffness!R31,IF(0=Element_Stiffness!$E$5,Element_Stiffness!X31,0)),IF(Element_Stiffness!$E$5=0,IF(0=Element_Stiffness!$C$5,Element_Stiffness!R37,IF(0=Element_Stiffness!$E$5,Element_Stiffness!X37,0)),0)),0)+IF(Element_Stiffness!$C$41,IF(Element_Stiffness!$C$40=0,IF(0=Element_Stiffness!$C$40,Element_Stiffness!R66,IF(0=Element_Stiffness!$E$40,Element_Stiffness!X66,0)),IF(Element_Stiffness!$E$40=0,IF(0=Element_Stiffness!$C$40,Element_Stiffness!R72,IF(0=Element_Stiffness!$E$40,Element_Stiffness!X72,0)),0)),0)+IF(Element_Stiffness!$C$76,IF(Element_Stiffness!$C$75=0,IF(0=Element_Stiffness!$C$75,Element_Stiffness!R101,IF(0=Element_Stiffness!$E$75,Element_Stiffness!X101,0)),IF(Element_Stiffness!$E$75=0,IF(0=Element_Stiffness!$C$75,Element_Stiffness!R107,IF(0=Element_Stiffness!$E$75,Element_Stiffness!X107,0)),0)),0)+IF(Element_Stiffness!$C$111,IF(Element_Stiffness!$C$110=0,IF(0=Element_Stiffness!$C$110,Element_Stiffness!R136,IF(0=Element_Stiffness!$E$110,Element_Stiffness!X136,0)),IF(Element_Stiffness!$E$110=0,IF(0=Element_Stiffness!$C$110,Element_Stiffness!R142,IF(0=Element_Stiffness!$E$110,Element_Stiffness!X142,0)),0)),0)+IF(Element_Stiffness!$C$146,IF(Element_Stiffness!$C$145=0,IF(0=Element_Stiffness!$C$145,Element_Stiffness!R171,IF(0=Element_Stiffness!$E$145,Element_Stiffness!X171,0)),IF(Element_Stiffness!$E$145=0,IF(0=Element_Stiffness!$C$145,Element_Stiffness!R177,IF(0=Element_Stiffness!$E$145,Element_Stiffness!X177,0)),0)),0)+IF(Element_Stiffness!$C$181,IF(Element_Stiffness!$C$180=0,IF(0=Element_Stiffness!$C$180,Element_Stiffness!R206,IF(0=Element_Stiffness!$E$180,Element_Stiffness!X206,0)),IF(Element_Stiffness!$E$180=0,IF(0=Element_Stiffness!$C$180,Element_Stiffness!R212,IF(0=Element_Stiffness!$E$180,Element_Stiffness!X212,0)),0)),0)+IF(Element_Stiffness!$C$216,IF(Element_Stiffness!$C$215=0,IF(0=Element_Stiffness!$C$215,Element_Stiffness!R241,IF(0=Element_Stiffness!$E$215,Element_Stiffness!X241,0)),IF(Element_Stiffness!$E$215=0,IF(0=Element_Stiffness!$C$215,Element_Stiffness!R247,IF(0=Element_Stiffness!$E$215,Element_Stiffness!X247,0)),0)),0)</f>
        <v/>
      </c>
      <c r="F10" s="21">
        <f>IF(Element_Stiffness!$C$6,IF(Element_Stiffness!$C$5=0,IF(0=Element_Stiffness!$C$5,Element_Stiffness!S31,IF(0=Element_Stiffness!$E$5,Element_Stiffness!Y31,0)),IF(Element_Stiffness!$E$5=0,IF(0=Element_Stiffness!$C$5,Element_Stiffness!S37,IF(0=Element_Stiffness!$E$5,Element_Stiffness!Y37,0)),0)),0)+IF(Element_Stiffness!$C$41,IF(Element_Stiffness!$C$40=0,IF(0=Element_Stiffness!$C$40,Element_Stiffness!S66,IF(0=Element_Stiffness!$E$40,Element_Stiffness!Y66,0)),IF(Element_Stiffness!$E$40=0,IF(0=Element_Stiffness!$C$40,Element_Stiffness!S72,IF(0=Element_Stiffness!$E$40,Element_Stiffness!Y72,0)),0)),0)+IF(Element_Stiffness!$C$76,IF(Element_Stiffness!$C$75=0,IF(0=Element_Stiffness!$C$75,Element_Stiffness!S101,IF(0=Element_Stiffness!$E$75,Element_Stiffness!Y101,0)),IF(Element_Stiffness!$E$75=0,IF(0=Element_Stiffness!$C$75,Element_Stiffness!S107,IF(0=Element_Stiffness!$E$75,Element_Stiffness!Y107,0)),0)),0)+IF(Element_Stiffness!$C$111,IF(Element_Stiffness!$C$110=0,IF(0=Element_Stiffness!$C$110,Element_Stiffness!S136,IF(0=Element_Stiffness!$E$110,Element_Stiffness!Y136,0)),IF(Element_Stiffness!$E$110=0,IF(0=Element_Stiffness!$C$110,Element_Stiffness!S142,IF(0=Element_Stiffness!$E$110,Element_Stiffness!Y142,0)),0)),0)+IF(Element_Stiffness!$C$146,IF(Element_Stiffness!$C$145=0,IF(0=Element_Stiffness!$C$145,Element_Stiffness!S171,IF(0=Element_Stiffness!$E$145,Element_Stiffness!Y171,0)),IF(Element_Stiffness!$E$145=0,IF(0=Element_Stiffness!$C$145,Element_Stiffness!S177,IF(0=Element_Stiffness!$E$145,Element_Stiffness!Y177,0)),0)),0)+IF(Element_Stiffness!$C$181,IF(Element_Stiffness!$C$180=0,IF(0=Element_Stiffness!$C$180,Element_Stiffness!S206,IF(0=Element_Stiffness!$E$180,Element_Stiffness!Y206,0)),IF(Element_Stiffness!$E$180=0,IF(0=Element_Stiffness!$C$180,Element_Stiffness!S212,IF(0=Element_Stiffness!$E$180,Element_Stiffness!Y212,0)),0)),0)+IF(Element_Stiffness!$C$216,IF(Element_Stiffness!$C$215=0,IF(0=Element_Stiffness!$C$215,Element_Stiffness!S241,IF(0=Element_Stiffness!$E$215,Element_Stiffness!Y241,0)),IF(Element_Stiffness!$E$215=0,IF(0=Element_Stiffness!$C$215,Element_Stiffness!S247,IF(0=Element_Stiffness!$E$215,Element_Stiffness!Y247,0)),0)),0)</f>
        <v/>
      </c>
      <c r="G10" s="21">
        <f>IF(Element_Stiffness!$C$6,IF(Element_Stiffness!$C$5=0,IF(0=Element_Stiffness!$C$5,Element_Stiffness!T31,IF(0=Element_Stiffness!$E$5,Element_Stiffness!Z31,0)),IF(Element_Stiffness!$E$5=0,IF(0=Element_Stiffness!$C$5,Element_Stiffness!T37,IF(0=Element_Stiffness!$E$5,Element_Stiffness!Z37,0)),0)),0)+IF(Element_Stiffness!$C$41,IF(Element_Stiffness!$C$40=0,IF(0=Element_Stiffness!$C$40,Element_Stiffness!T66,IF(0=Element_Stiffness!$E$40,Element_Stiffness!Z66,0)),IF(Element_Stiffness!$E$40=0,IF(0=Element_Stiffness!$C$40,Element_Stiffness!T72,IF(0=Element_Stiffness!$E$40,Element_Stiffness!Z72,0)),0)),0)+IF(Element_Stiffness!$C$76,IF(Element_Stiffness!$C$75=0,IF(0=Element_Stiffness!$C$75,Element_Stiffness!T101,IF(0=Element_Stiffness!$E$75,Element_Stiffness!Z101,0)),IF(Element_Stiffness!$E$75=0,IF(0=Element_Stiffness!$C$75,Element_Stiffness!T107,IF(0=Element_Stiffness!$E$75,Element_Stiffness!Z107,0)),0)),0)+IF(Element_Stiffness!$C$111,IF(Element_Stiffness!$C$110=0,IF(0=Element_Stiffness!$C$110,Element_Stiffness!T136,IF(0=Element_Stiffness!$E$110,Element_Stiffness!Z136,0)),IF(Element_Stiffness!$E$110=0,IF(0=Element_Stiffness!$C$110,Element_Stiffness!T142,IF(0=Element_Stiffness!$E$110,Element_Stiffness!Z142,0)),0)),0)+IF(Element_Stiffness!$C$146,IF(Element_Stiffness!$C$145=0,IF(0=Element_Stiffness!$C$145,Element_Stiffness!T171,IF(0=Element_Stiffness!$E$145,Element_Stiffness!Z171,0)),IF(Element_Stiffness!$E$145=0,IF(0=Element_Stiffness!$C$145,Element_Stiffness!T177,IF(0=Element_Stiffness!$E$145,Element_Stiffness!Z177,0)),0)),0)+IF(Element_Stiffness!$C$181,IF(Element_Stiffness!$C$180=0,IF(0=Element_Stiffness!$C$180,Element_Stiffness!T206,IF(0=Element_Stiffness!$E$180,Element_Stiffness!Z206,0)),IF(Element_Stiffness!$E$180=0,IF(0=Element_Stiffness!$C$180,Element_Stiffness!T212,IF(0=Element_Stiffness!$E$180,Element_Stiffness!Z212,0)),0)),0)+IF(Element_Stiffness!$C$216,IF(Element_Stiffness!$C$215=0,IF(0=Element_Stiffness!$C$215,Element_Stiffness!T241,IF(0=Element_Stiffness!$E$215,Element_Stiffness!Z241,0)),IF(Element_Stiffness!$E$215=0,IF(0=Element_Stiffness!$C$215,Element_Stiffness!T247,IF(0=Element_Stiffness!$E$215,Element_Stiffness!Z247,0)),0)),0)</f>
        <v/>
      </c>
      <c r="H10" s="21">
        <f>IF(Element_Stiffness!$C$6,IF(Element_Stiffness!$C$5=0,IF(0=Element_Stiffness!$C$5,Element_Stiffness!U31,IF(0=Element_Stiffness!$E$5,Element_Stiffness!AA31,0)),IF(Element_Stiffness!$E$5=0,IF(0=Element_Stiffness!$C$5,Element_Stiffness!U37,IF(0=Element_Stiffness!$E$5,Element_Stiffness!AA37,0)),0)),0)+IF(Element_Stiffness!$C$41,IF(Element_Stiffness!$C$40=0,IF(0=Element_Stiffness!$C$40,Element_Stiffness!U66,IF(0=Element_Stiffness!$E$40,Element_Stiffness!AA66,0)),IF(Element_Stiffness!$E$40=0,IF(0=Element_Stiffness!$C$40,Element_Stiffness!U72,IF(0=Element_Stiffness!$E$40,Element_Stiffness!AA72,0)),0)),0)+IF(Element_Stiffness!$C$76,IF(Element_Stiffness!$C$75=0,IF(0=Element_Stiffness!$C$75,Element_Stiffness!U101,IF(0=Element_Stiffness!$E$75,Element_Stiffness!AA101,0)),IF(Element_Stiffness!$E$75=0,IF(0=Element_Stiffness!$C$75,Element_Stiffness!U107,IF(0=Element_Stiffness!$E$75,Element_Stiffness!AA107,0)),0)),0)+IF(Element_Stiffness!$C$111,IF(Element_Stiffness!$C$110=0,IF(0=Element_Stiffness!$C$110,Element_Stiffness!U136,IF(0=Element_Stiffness!$E$110,Element_Stiffness!AA136,0)),IF(Element_Stiffness!$E$110=0,IF(0=Element_Stiffness!$C$110,Element_Stiffness!U142,IF(0=Element_Stiffness!$E$110,Element_Stiffness!AA142,0)),0)),0)+IF(Element_Stiffness!$C$146,IF(Element_Stiffness!$C$145=0,IF(0=Element_Stiffness!$C$145,Element_Stiffness!U171,IF(0=Element_Stiffness!$E$145,Element_Stiffness!AA171,0)),IF(Element_Stiffness!$E$145=0,IF(0=Element_Stiffness!$C$145,Element_Stiffness!U177,IF(0=Element_Stiffness!$E$145,Element_Stiffness!AA177,0)),0)),0)+IF(Element_Stiffness!$C$181,IF(Element_Stiffness!$C$180=0,IF(0=Element_Stiffness!$C$180,Element_Stiffness!U206,IF(0=Element_Stiffness!$E$180,Element_Stiffness!AA206,0)),IF(Element_Stiffness!$E$180=0,IF(0=Element_Stiffness!$C$180,Element_Stiffness!U212,IF(0=Element_Stiffness!$E$180,Element_Stiffness!AA212,0)),0)),0)+IF(Element_Stiffness!$C$216,IF(Element_Stiffness!$C$215=0,IF(0=Element_Stiffness!$C$215,Element_Stiffness!U241,IF(0=Element_Stiffness!$E$215,Element_Stiffness!AA241,0)),IF(Element_Stiffness!$E$215=0,IF(0=Element_Stiffness!$C$215,Element_Stiffness!U247,IF(0=Element_Stiffness!$E$215,Element_Stiffness!AA247,0)),0)),0)+IF(Inputs!H40=TRUE,1E15,IF(ISNUMBER(Inputs!H40),Inputs!H40,0))</f>
        <v/>
      </c>
      <c r="I10" s="21">
        <f>IF(Element_Stiffness!$C$6,IF(Element_Stiffness!$C$5=0,IF(1=Element_Stiffness!$C$5,Element_Stiffness!P31,IF(1=Element_Stiffness!$E$5,Element_Stiffness!V31,0)),IF(Element_Stiffness!$E$5=0,IF(1=Element_Stiffness!$C$5,Element_Stiffness!P37,IF(1=Element_Stiffness!$E$5,Element_Stiffness!V37,0)),0)),0)+IF(Element_Stiffness!$C$41,IF(Element_Stiffness!$C$40=0,IF(1=Element_Stiffness!$C$40,Element_Stiffness!P66,IF(1=Element_Stiffness!$E$40,Element_Stiffness!V66,0)),IF(Element_Stiffness!$E$40=0,IF(1=Element_Stiffness!$C$40,Element_Stiffness!P72,IF(1=Element_Stiffness!$E$40,Element_Stiffness!V72,0)),0)),0)+IF(Element_Stiffness!$C$76,IF(Element_Stiffness!$C$75=0,IF(1=Element_Stiffness!$C$75,Element_Stiffness!P101,IF(1=Element_Stiffness!$E$75,Element_Stiffness!V101,0)),IF(Element_Stiffness!$E$75=0,IF(1=Element_Stiffness!$C$75,Element_Stiffness!P107,IF(1=Element_Stiffness!$E$75,Element_Stiffness!V107,0)),0)),0)+IF(Element_Stiffness!$C$111,IF(Element_Stiffness!$C$110=0,IF(1=Element_Stiffness!$C$110,Element_Stiffness!P136,IF(1=Element_Stiffness!$E$110,Element_Stiffness!V136,0)),IF(Element_Stiffness!$E$110=0,IF(1=Element_Stiffness!$C$110,Element_Stiffness!P142,IF(1=Element_Stiffness!$E$110,Element_Stiffness!V142,0)),0)),0)+IF(Element_Stiffness!$C$146,IF(Element_Stiffness!$C$145=0,IF(1=Element_Stiffness!$C$145,Element_Stiffness!P171,IF(1=Element_Stiffness!$E$145,Element_Stiffness!V171,0)),IF(Element_Stiffness!$E$145=0,IF(1=Element_Stiffness!$C$145,Element_Stiffness!P177,IF(1=Element_Stiffness!$E$145,Element_Stiffness!V177,0)),0)),0)+IF(Element_Stiffness!$C$181,IF(Element_Stiffness!$C$180=0,IF(1=Element_Stiffness!$C$180,Element_Stiffness!P206,IF(1=Element_Stiffness!$E$180,Element_Stiffness!V206,0)),IF(Element_Stiffness!$E$180=0,IF(1=Element_Stiffness!$C$180,Element_Stiffness!P212,IF(1=Element_Stiffness!$E$180,Element_Stiffness!V212,0)),0)),0)+IF(Element_Stiffness!$C$216,IF(Element_Stiffness!$C$215=0,IF(1=Element_Stiffness!$C$215,Element_Stiffness!P241,IF(1=Element_Stiffness!$E$215,Element_Stiffness!V241,0)),IF(Element_Stiffness!$E$215=0,IF(1=Element_Stiffness!$C$215,Element_Stiffness!P247,IF(1=Element_Stiffness!$E$215,Element_Stiffness!V247,0)),0)),0)</f>
        <v/>
      </c>
      <c r="J10" s="21">
        <f>IF(Element_Stiffness!$C$6,IF(Element_Stiffness!$C$5=0,IF(1=Element_Stiffness!$C$5,Element_Stiffness!Q31,IF(1=Element_Stiffness!$E$5,Element_Stiffness!W31,0)),IF(Element_Stiffness!$E$5=0,IF(1=Element_Stiffness!$C$5,Element_Stiffness!Q37,IF(1=Element_Stiffness!$E$5,Element_Stiffness!W37,0)),0)),0)+IF(Element_Stiffness!$C$41,IF(Element_Stiffness!$C$40=0,IF(1=Element_Stiffness!$C$40,Element_Stiffness!Q66,IF(1=Element_Stiffness!$E$40,Element_Stiffness!W66,0)),IF(Element_Stiffness!$E$40=0,IF(1=Element_Stiffness!$C$40,Element_Stiffness!Q72,IF(1=Element_Stiffness!$E$40,Element_Stiffness!W72,0)),0)),0)+IF(Element_Stiffness!$C$76,IF(Element_Stiffness!$C$75=0,IF(1=Element_Stiffness!$C$75,Element_Stiffness!Q101,IF(1=Element_Stiffness!$E$75,Element_Stiffness!W101,0)),IF(Element_Stiffness!$E$75=0,IF(1=Element_Stiffness!$C$75,Element_Stiffness!Q107,IF(1=Element_Stiffness!$E$75,Element_Stiffness!W107,0)),0)),0)+IF(Element_Stiffness!$C$111,IF(Element_Stiffness!$C$110=0,IF(1=Element_Stiffness!$C$110,Element_Stiffness!Q136,IF(1=Element_Stiffness!$E$110,Element_Stiffness!W136,0)),IF(Element_Stiffness!$E$110=0,IF(1=Element_Stiffness!$C$110,Element_Stiffness!Q142,IF(1=Element_Stiffness!$E$110,Element_Stiffness!W142,0)),0)),0)+IF(Element_Stiffness!$C$146,IF(Element_Stiffness!$C$145=0,IF(1=Element_Stiffness!$C$145,Element_Stiffness!Q171,IF(1=Element_Stiffness!$E$145,Element_Stiffness!W171,0)),IF(Element_Stiffness!$E$145=0,IF(1=Element_Stiffness!$C$145,Element_Stiffness!Q177,IF(1=Element_Stiffness!$E$145,Element_Stiffness!W177,0)),0)),0)+IF(Element_Stiffness!$C$181,IF(Element_Stiffness!$C$180=0,IF(1=Element_Stiffness!$C$180,Element_Stiffness!Q206,IF(1=Element_Stiffness!$E$180,Element_Stiffness!W206,0)),IF(Element_Stiffness!$E$180=0,IF(1=Element_Stiffness!$C$180,Element_Stiffness!Q212,IF(1=Element_Stiffness!$E$180,Element_Stiffness!W212,0)),0)),0)+IF(Element_Stiffness!$C$216,IF(Element_Stiffness!$C$215=0,IF(1=Element_Stiffness!$C$215,Element_Stiffness!Q241,IF(1=Element_Stiffness!$E$215,Element_Stiffness!W241,0)),IF(Element_Stiffness!$E$215=0,IF(1=Element_Stiffness!$C$215,Element_Stiffness!Q247,IF(1=Element_Stiffness!$E$215,Element_Stiffness!W247,0)),0)),0)</f>
        <v/>
      </c>
      <c r="K10" s="21">
        <f>IF(Element_Stiffness!$C$6,IF(Element_Stiffness!$C$5=0,IF(1=Element_Stiffness!$C$5,Element_Stiffness!R31,IF(1=Element_Stiffness!$E$5,Element_Stiffness!X31,0)),IF(Element_Stiffness!$E$5=0,IF(1=Element_Stiffness!$C$5,Element_Stiffness!R37,IF(1=Element_Stiffness!$E$5,Element_Stiffness!X37,0)),0)),0)+IF(Element_Stiffness!$C$41,IF(Element_Stiffness!$C$40=0,IF(1=Element_Stiffness!$C$40,Element_Stiffness!R66,IF(1=Element_Stiffness!$E$40,Element_Stiffness!X66,0)),IF(Element_Stiffness!$E$40=0,IF(1=Element_Stiffness!$C$40,Element_Stiffness!R72,IF(1=Element_Stiffness!$E$40,Element_Stiffness!X72,0)),0)),0)+IF(Element_Stiffness!$C$76,IF(Element_Stiffness!$C$75=0,IF(1=Element_Stiffness!$C$75,Element_Stiffness!R101,IF(1=Element_Stiffness!$E$75,Element_Stiffness!X101,0)),IF(Element_Stiffness!$E$75=0,IF(1=Element_Stiffness!$C$75,Element_Stiffness!R107,IF(1=Element_Stiffness!$E$75,Element_Stiffness!X107,0)),0)),0)+IF(Element_Stiffness!$C$111,IF(Element_Stiffness!$C$110=0,IF(1=Element_Stiffness!$C$110,Element_Stiffness!R136,IF(1=Element_Stiffness!$E$110,Element_Stiffness!X136,0)),IF(Element_Stiffness!$E$110=0,IF(1=Element_Stiffness!$C$110,Element_Stiffness!R142,IF(1=Element_Stiffness!$E$110,Element_Stiffness!X142,0)),0)),0)+IF(Element_Stiffness!$C$146,IF(Element_Stiffness!$C$145=0,IF(1=Element_Stiffness!$C$145,Element_Stiffness!R171,IF(1=Element_Stiffness!$E$145,Element_Stiffness!X171,0)),IF(Element_Stiffness!$E$145=0,IF(1=Element_Stiffness!$C$145,Element_Stiffness!R177,IF(1=Element_Stiffness!$E$145,Element_Stiffness!X177,0)),0)),0)+IF(Element_Stiffness!$C$181,IF(Element_Stiffness!$C$180=0,IF(1=Element_Stiffness!$C$180,Element_Stiffness!R206,IF(1=Element_Stiffness!$E$180,Element_Stiffness!X206,0)),IF(Element_Stiffness!$E$180=0,IF(1=Element_Stiffness!$C$180,Element_Stiffness!R212,IF(1=Element_Stiffness!$E$180,Element_Stiffness!X212,0)),0)),0)+IF(Element_Stiffness!$C$216,IF(Element_Stiffness!$C$215=0,IF(1=Element_Stiffness!$C$215,Element_Stiffness!R241,IF(1=Element_Stiffness!$E$215,Element_Stiffness!X241,0)),IF(Element_Stiffness!$E$215=0,IF(1=Element_Stiffness!$C$215,Element_Stiffness!R247,IF(1=Element_Stiffness!$E$215,Element_Stiffness!X247,0)),0)),0)</f>
        <v/>
      </c>
      <c r="L10" s="21">
        <f>IF(Element_Stiffness!$C$6,IF(Element_Stiffness!$C$5=0,IF(1=Element_Stiffness!$C$5,Element_Stiffness!S31,IF(1=Element_Stiffness!$E$5,Element_Stiffness!Y31,0)),IF(Element_Stiffness!$E$5=0,IF(1=Element_Stiffness!$C$5,Element_Stiffness!S37,IF(1=Element_Stiffness!$E$5,Element_Stiffness!Y37,0)),0)),0)+IF(Element_Stiffness!$C$41,IF(Element_Stiffness!$C$40=0,IF(1=Element_Stiffness!$C$40,Element_Stiffness!S66,IF(1=Element_Stiffness!$E$40,Element_Stiffness!Y66,0)),IF(Element_Stiffness!$E$40=0,IF(1=Element_Stiffness!$C$40,Element_Stiffness!S72,IF(1=Element_Stiffness!$E$40,Element_Stiffness!Y72,0)),0)),0)+IF(Element_Stiffness!$C$76,IF(Element_Stiffness!$C$75=0,IF(1=Element_Stiffness!$C$75,Element_Stiffness!S101,IF(1=Element_Stiffness!$E$75,Element_Stiffness!Y101,0)),IF(Element_Stiffness!$E$75=0,IF(1=Element_Stiffness!$C$75,Element_Stiffness!S107,IF(1=Element_Stiffness!$E$75,Element_Stiffness!Y107,0)),0)),0)+IF(Element_Stiffness!$C$111,IF(Element_Stiffness!$C$110=0,IF(1=Element_Stiffness!$C$110,Element_Stiffness!S136,IF(1=Element_Stiffness!$E$110,Element_Stiffness!Y136,0)),IF(Element_Stiffness!$E$110=0,IF(1=Element_Stiffness!$C$110,Element_Stiffness!S142,IF(1=Element_Stiffness!$E$110,Element_Stiffness!Y142,0)),0)),0)+IF(Element_Stiffness!$C$146,IF(Element_Stiffness!$C$145=0,IF(1=Element_Stiffness!$C$145,Element_Stiffness!S171,IF(1=Element_Stiffness!$E$145,Element_Stiffness!Y171,0)),IF(Element_Stiffness!$E$145=0,IF(1=Element_Stiffness!$C$145,Element_Stiffness!S177,IF(1=Element_Stiffness!$E$145,Element_Stiffness!Y177,0)),0)),0)+IF(Element_Stiffness!$C$181,IF(Element_Stiffness!$C$180=0,IF(1=Element_Stiffness!$C$180,Element_Stiffness!S206,IF(1=Element_Stiffness!$E$180,Element_Stiffness!Y206,0)),IF(Element_Stiffness!$E$180=0,IF(1=Element_Stiffness!$C$180,Element_Stiffness!S212,IF(1=Element_Stiffness!$E$180,Element_Stiffness!Y212,0)),0)),0)+IF(Element_Stiffness!$C$216,IF(Element_Stiffness!$C$215=0,IF(1=Element_Stiffness!$C$215,Element_Stiffness!S241,IF(1=Element_Stiffness!$E$215,Element_Stiffness!Y241,0)),IF(Element_Stiffness!$E$215=0,IF(1=Element_Stiffness!$C$215,Element_Stiffness!S247,IF(1=Element_Stiffness!$E$215,Element_Stiffness!Y247,0)),0)),0)</f>
        <v/>
      </c>
      <c r="M10" s="21">
        <f>IF(Element_Stiffness!$C$6,IF(Element_Stiffness!$C$5=0,IF(1=Element_Stiffness!$C$5,Element_Stiffness!T31,IF(1=Element_Stiffness!$E$5,Element_Stiffness!Z31,0)),IF(Element_Stiffness!$E$5=0,IF(1=Element_Stiffness!$C$5,Element_Stiffness!T37,IF(1=Element_Stiffness!$E$5,Element_Stiffness!Z37,0)),0)),0)+IF(Element_Stiffness!$C$41,IF(Element_Stiffness!$C$40=0,IF(1=Element_Stiffness!$C$40,Element_Stiffness!T66,IF(1=Element_Stiffness!$E$40,Element_Stiffness!Z66,0)),IF(Element_Stiffness!$E$40=0,IF(1=Element_Stiffness!$C$40,Element_Stiffness!T72,IF(1=Element_Stiffness!$E$40,Element_Stiffness!Z72,0)),0)),0)+IF(Element_Stiffness!$C$76,IF(Element_Stiffness!$C$75=0,IF(1=Element_Stiffness!$C$75,Element_Stiffness!T101,IF(1=Element_Stiffness!$E$75,Element_Stiffness!Z101,0)),IF(Element_Stiffness!$E$75=0,IF(1=Element_Stiffness!$C$75,Element_Stiffness!T107,IF(1=Element_Stiffness!$E$75,Element_Stiffness!Z107,0)),0)),0)+IF(Element_Stiffness!$C$111,IF(Element_Stiffness!$C$110=0,IF(1=Element_Stiffness!$C$110,Element_Stiffness!T136,IF(1=Element_Stiffness!$E$110,Element_Stiffness!Z136,0)),IF(Element_Stiffness!$E$110=0,IF(1=Element_Stiffness!$C$110,Element_Stiffness!T142,IF(1=Element_Stiffness!$E$110,Element_Stiffness!Z142,0)),0)),0)+IF(Element_Stiffness!$C$146,IF(Element_Stiffness!$C$145=0,IF(1=Element_Stiffness!$C$145,Element_Stiffness!T171,IF(1=Element_Stiffness!$E$145,Element_Stiffness!Z171,0)),IF(Element_Stiffness!$E$145=0,IF(1=Element_Stiffness!$C$145,Element_Stiffness!T177,IF(1=Element_Stiffness!$E$145,Element_Stiffness!Z177,0)),0)),0)+IF(Element_Stiffness!$C$181,IF(Element_Stiffness!$C$180=0,IF(1=Element_Stiffness!$C$180,Element_Stiffness!T206,IF(1=Element_Stiffness!$E$180,Element_Stiffness!Z206,0)),IF(Element_Stiffness!$E$180=0,IF(1=Element_Stiffness!$C$180,Element_Stiffness!T212,IF(1=Element_Stiffness!$E$180,Element_Stiffness!Z212,0)),0)),0)+IF(Element_Stiffness!$C$216,IF(Element_Stiffness!$C$215=0,IF(1=Element_Stiffness!$C$215,Element_Stiffness!T241,IF(1=Element_Stiffness!$E$215,Element_Stiffness!Z241,0)),IF(Element_Stiffness!$E$215=0,IF(1=Element_Stiffness!$C$215,Element_Stiffness!T247,IF(1=Element_Stiffness!$E$215,Element_Stiffness!Z247,0)),0)),0)</f>
        <v/>
      </c>
      <c r="N10" s="21">
        <f>IF(Element_Stiffness!$C$6,IF(Element_Stiffness!$C$5=0,IF(1=Element_Stiffness!$C$5,Element_Stiffness!U31,IF(1=Element_Stiffness!$E$5,Element_Stiffness!AA31,0)),IF(Element_Stiffness!$E$5=0,IF(1=Element_Stiffness!$C$5,Element_Stiffness!U37,IF(1=Element_Stiffness!$E$5,Element_Stiffness!AA37,0)),0)),0)+IF(Element_Stiffness!$C$41,IF(Element_Stiffness!$C$40=0,IF(1=Element_Stiffness!$C$40,Element_Stiffness!U66,IF(1=Element_Stiffness!$E$40,Element_Stiffness!AA66,0)),IF(Element_Stiffness!$E$40=0,IF(1=Element_Stiffness!$C$40,Element_Stiffness!U72,IF(1=Element_Stiffness!$E$40,Element_Stiffness!AA72,0)),0)),0)+IF(Element_Stiffness!$C$76,IF(Element_Stiffness!$C$75=0,IF(1=Element_Stiffness!$C$75,Element_Stiffness!U101,IF(1=Element_Stiffness!$E$75,Element_Stiffness!AA101,0)),IF(Element_Stiffness!$E$75=0,IF(1=Element_Stiffness!$C$75,Element_Stiffness!U107,IF(1=Element_Stiffness!$E$75,Element_Stiffness!AA107,0)),0)),0)+IF(Element_Stiffness!$C$111,IF(Element_Stiffness!$C$110=0,IF(1=Element_Stiffness!$C$110,Element_Stiffness!U136,IF(1=Element_Stiffness!$E$110,Element_Stiffness!AA136,0)),IF(Element_Stiffness!$E$110=0,IF(1=Element_Stiffness!$C$110,Element_Stiffness!U142,IF(1=Element_Stiffness!$E$110,Element_Stiffness!AA142,0)),0)),0)+IF(Element_Stiffness!$C$146,IF(Element_Stiffness!$C$145=0,IF(1=Element_Stiffness!$C$145,Element_Stiffness!U171,IF(1=Element_Stiffness!$E$145,Element_Stiffness!AA171,0)),IF(Element_Stiffness!$E$145=0,IF(1=Element_Stiffness!$C$145,Element_Stiffness!U177,IF(1=Element_Stiffness!$E$145,Element_Stiffness!AA177,0)),0)),0)+IF(Element_Stiffness!$C$181,IF(Element_Stiffness!$C$180=0,IF(1=Element_Stiffness!$C$180,Element_Stiffness!U206,IF(1=Element_Stiffness!$E$180,Element_Stiffness!AA206,0)),IF(Element_Stiffness!$E$180=0,IF(1=Element_Stiffness!$C$180,Element_Stiffness!U212,IF(1=Element_Stiffness!$E$180,Element_Stiffness!AA212,0)),0)),0)+IF(Element_Stiffness!$C$216,IF(Element_Stiffness!$C$215=0,IF(1=Element_Stiffness!$C$215,Element_Stiffness!U241,IF(1=Element_Stiffness!$E$215,Element_Stiffness!AA241,0)),IF(Element_Stiffness!$E$215=0,IF(1=Element_Stiffness!$C$215,Element_Stiffness!U247,IF(1=Element_Stiffness!$E$215,Element_Stiffness!AA247,0)),0)),0)</f>
        <v/>
      </c>
      <c r="O10" s="21">
        <f>IF(Element_Stiffness!$C$6,IF(Element_Stiffness!$C$5=0,IF(2=Element_Stiffness!$C$5,Element_Stiffness!P31,IF(2=Element_Stiffness!$E$5,Element_Stiffness!V31,0)),IF(Element_Stiffness!$E$5=0,IF(2=Element_Stiffness!$C$5,Element_Stiffness!P37,IF(2=Element_Stiffness!$E$5,Element_Stiffness!V37,0)),0)),0)+IF(Element_Stiffness!$C$41,IF(Element_Stiffness!$C$40=0,IF(2=Element_Stiffness!$C$40,Element_Stiffness!P66,IF(2=Element_Stiffness!$E$40,Element_Stiffness!V66,0)),IF(Element_Stiffness!$E$40=0,IF(2=Element_Stiffness!$C$40,Element_Stiffness!P72,IF(2=Element_Stiffness!$E$40,Element_Stiffness!V72,0)),0)),0)+IF(Element_Stiffness!$C$76,IF(Element_Stiffness!$C$75=0,IF(2=Element_Stiffness!$C$75,Element_Stiffness!P101,IF(2=Element_Stiffness!$E$75,Element_Stiffness!V101,0)),IF(Element_Stiffness!$E$75=0,IF(2=Element_Stiffness!$C$75,Element_Stiffness!P107,IF(2=Element_Stiffness!$E$75,Element_Stiffness!V107,0)),0)),0)+IF(Element_Stiffness!$C$111,IF(Element_Stiffness!$C$110=0,IF(2=Element_Stiffness!$C$110,Element_Stiffness!P136,IF(2=Element_Stiffness!$E$110,Element_Stiffness!V136,0)),IF(Element_Stiffness!$E$110=0,IF(2=Element_Stiffness!$C$110,Element_Stiffness!P142,IF(2=Element_Stiffness!$E$110,Element_Stiffness!V142,0)),0)),0)+IF(Element_Stiffness!$C$146,IF(Element_Stiffness!$C$145=0,IF(2=Element_Stiffness!$C$145,Element_Stiffness!P171,IF(2=Element_Stiffness!$E$145,Element_Stiffness!V171,0)),IF(Element_Stiffness!$E$145=0,IF(2=Element_Stiffness!$C$145,Element_Stiffness!P177,IF(2=Element_Stiffness!$E$145,Element_Stiffness!V177,0)),0)),0)+IF(Element_Stiffness!$C$181,IF(Element_Stiffness!$C$180=0,IF(2=Element_Stiffness!$C$180,Element_Stiffness!P206,IF(2=Element_Stiffness!$E$180,Element_Stiffness!V206,0)),IF(Element_Stiffness!$E$180=0,IF(2=Element_Stiffness!$C$180,Element_Stiffness!P212,IF(2=Element_Stiffness!$E$180,Element_Stiffness!V212,0)),0)),0)+IF(Element_Stiffness!$C$216,IF(Element_Stiffness!$C$215=0,IF(2=Element_Stiffness!$C$215,Element_Stiffness!P241,IF(2=Element_Stiffness!$E$215,Element_Stiffness!V241,0)),IF(Element_Stiffness!$E$215=0,IF(2=Element_Stiffness!$C$215,Element_Stiffness!P247,IF(2=Element_Stiffness!$E$215,Element_Stiffness!V247,0)),0)),0)</f>
        <v/>
      </c>
      <c r="P10" s="21">
        <f>IF(Element_Stiffness!$C$6,IF(Element_Stiffness!$C$5=0,IF(2=Element_Stiffness!$C$5,Element_Stiffness!Q31,IF(2=Element_Stiffness!$E$5,Element_Stiffness!W31,0)),IF(Element_Stiffness!$E$5=0,IF(2=Element_Stiffness!$C$5,Element_Stiffness!Q37,IF(2=Element_Stiffness!$E$5,Element_Stiffness!W37,0)),0)),0)+IF(Element_Stiffness!$C$41,IF(Element_Stiffness!$C$40=0,IF(2=Element_Stiffness!$C$40,Element_Stiffness!Q66,IF(2=Element_Stiffness!$E$40,Element_Stiffness!W66,0)),IF(Element_Stiffness!$E$40=0,IF(2=Element_Stiffness!$C$40,Element_Stiffness!Q72,IF(2=Element_Stiffness!$E$40,Element_Stiffness!W72,0)),0)),0)+IF(Element_Stiffness!$C$76,IF(Element_Stiffness!$C$75=0,IF(2=Element_Stiffness!$C$75,Element_Stiffness!Q101,IF(2=Element_Stiffness!$E$75,Element_Stiffness!W101,0)),IF(Element_Stiffness!$E$75=0,IF(2=Element_Stiffness!$C$75,Element_Stiffness!Q107,IF(2=Element_Stiffness!$E$75,Element_Stiffness!W107,0)),0)),0)+IF(Element_Stiffness!$C$111,IF(Element_Stiffness!$C$110=0,IF(2=Element_Stiffness!$C$110,Element_Stiffness!Q136,IF(2=Element_Stiffness!$E$110,Element_Stiffness!W136,0)),IF(Element_Stiffness!$E$110=0,IF(2=Element_Stiffness!$C$110,Element_Stiffness!Q142,IF(2=Element_Stiffness!$E$110,Element_Stiffness!W142,0)),0)),0)+IF(Element_Stiffness!$C$146,IF(Element_Stiffness!$C$145=0,IF(2=Element_Stiffness!$C$145,Element_Stiffness!Q171,IF(2=Element_Stiffness!$E$145,Element_Stiffness!W171,0)),IF(Element_Stiffness!$E$145=0,IF(2=Element_Stiffness!$C$145,Element_Stiffness!Q177,IF(2=Element_Stiffness!$E$145,Element_Stiffness!W177,0)),0)),0)+IF(Element_Stiffness!$C$181,IF(Element_Stiffness!$C$180=0,IF(2=Element_Stiffness!$C$180,Element_Stiffness!Q206,IF(2=Element_Stiffness!$E$180,Element_Stiffness!W206,0)),IF(Element_Stiffness!$E$180=0,IF(2=Element_Stiffness!$C$180,Element_Stiffness!Q212,IF(2=Element_Stiffness!$E$180,Element_Stiffness!W212,0)),0)),0)+IF(Element_Stiffness!$C$216,IF(Element_Stiffness!$C$215=0,IF(2=Element_Stiffness!$C$215,Element_Stiffness!Q241,IF(2=Element_Stiffness!$E$215,Element_Stiffness!W241,0)),IF(Element_Stiffness!$E$215=0,IF(2=Element_Stiffness!$C$215,Element_Stiffness!Q247,IF(2=Element_Stiffness!$E$215,Element_Stiffness!W247,0)),0)),0)</f>
        <v/>
      </c>
      <c r="Q10" s="21">
        <f>IF(Element_Stiffness!$C$6,IF(Element_Stiffness!$C$5=0,IF(2=Element_Stiffness!$C$5,Element_Stiffness!R31,IF(2=Element_Stiffness!$E$5,Element_Stiffness!X31,0)),IF(Element_Stiffness!$E$5=0,IF(2=Element_Stiffness!$C$5,Element_Stiffness!R37,IF(2=Element_Stiffness!$E$5,Element_Stiffness!X37,0)),0)),0)+IF(Element_Stiffness!$C$41,IF(Element_Stiffness!$C$40=0,IF(2=Element_Stiffness!$C$40,Element_Stiffness!R66,IF(2=Element_Stiffness!$E$40,Element_Stiffness!X66,0)),IF(Element_Stiffness!$E$40=0,IF(2=Element_Stiffness!$C$40,Element_Stiffness!R72,IF(2=Element_Stiffness!$E$40,Element_Stiffness!X72,0)),0)),0)+IF(Element_Stiffness!$C$76,IF(Element_Stiffness!$C$75=0,IF(2=Element_Stiffness!$C$75,Element_Stiffness!R101,IF(2=Element_Stiffness!$E$75,Element_Stiffness!X101,0)),IF(Element_Stiffness!$E$75=0,IF(2=Element_Stiffness!$C$75,Element_Stiffness!R107,IF(2=Element_Stiffness!$E$75,Element_Stiffness!X107,0)),0)),0)+IF(Element_Stiffness!$C$111,IF(Element_Stiffness!$C$110=0,IF(2=Element_Stiffness!$C$110,Element_Stiffness!R136,IF(2=Element_Stiffness!$E$110,Element_Stiffness!X136,0)),IF(Element_Stiffness!$E$110=0,IF(2=Element_Stiffness!$C$110,Element_Stiffness!R142,IF(2=Element_Stiffness!$E$110,Element_Stiffness!X142,0)),0)),0)+IF(Element_Stiffness!$C$146,IF(Element_Stiffness!$C$145=0,IF(2=Element_Stiffness!$C$145,Element_Stiffness!R171,IF(2=Element_Stiffness!$E$145,Element_Stiffness!X171,0)),IF(Element_Stiffness!$E$145=0,IF(2=Element_Stiffness!$C$145,Element_Stiffness!R177,IF(2=Element_Stiffness!$E$145,Element_Stiffness!X177,0)),0)),0)+IF(Element_Stiffness!$C$181,IF(Element_Stiffness!$C$180=0,IF(2=Element_Stiffness!$C$180,Element_Stiffness!R206,IF(2=Element_Stiffness!$E$180,Element_Stiffness!X206,0)),IF(Element_Stiffness!$E$180=0,IF(2=Element_Stiffness!$C$180,Element_Stiffness!R212,IF(2=Element_Stiffness!$E$180,Element_Stiffness!X212,0)),0)),0)+IF(Element_Stiffness!$C$216,IF(Element_Stiffness!$C$215=0,IF(2=Element_Stiffness!$C$215,Element_Stiffness!R241,IF(2=Element_Stiffness!$E$215,Element_Stiffness!X241,0)),IF(Element_Stiffness!$E$215=0,IF(2=Element_Stiffness!$C$215,Element_Stiffness!R247,IF(2=Element_Stiffness!$E$215,Element_Stiffness!X247,0)),0)),0)</f>
        <v/>
      </c>
      <c r="R10" s="21">
        <f>IF(Element_Stiffness!$C$6,IF(Element_Stiffness!$C$5=0,IF(2=Element_Stiffness!$C$5,Element_Stiffness!S31,IF(2=Element_Stiffness!$E$5,Element_Stiffness!Y31,0)),IF(Element_Stiffness!$E$5=0,IF(2=Element_Stiffness!$C$5,Element_Stiffness!S37,IF(2=Element_Stiffness!$E$5,Element_Stiffness!Y37,0)),0)),0)+IF(Element_Stiffness!$C$41,IF(Element_Stiffness!$C$40=0,IF(2=Element_Stiffness!$C$40,Element_Stiffness!S66,IF(2=Element_Stiffness!$E$40,Element_Stiffness!Y66,0)),IF(Element_Stiffness!$E$40=0,IF(2=Element_Stiffness!$C$40,Element_Stiffness!S72,IF(2=Element_Stiffness!$E$40,Element_Stiffness!Y72,0)),0)),0)+IF(Element_Stiffness!$C$76,IF(Element_Stiffness!$C$75=0,IF(2=Element_Stiffness!$C$75,Element_Stiffness!S101,IF(2=Element_Stiffness!$E$75,Element_Stiffness!Y101,0)),IF(Element_Stiffness!$E$75=0,IF(2=Element_Stiffness!$C$75,Element_Stiffness!S107,IF(2=Element_Stiffness!$E$75,Element_Stiffness!Y107,0)),0)),0)+IF(Element_Stiffness!$C$111,IF(Element_Stiffness!$C$110=0,IF(2=Element_Stiffness!$C$110,Element_Stiffness!S136,IF(2=Element_Stiffness!$E$110,Element_Stiffness!Y136,0)),IF(Element_Stiffness!$E$110=0,IF(2=Element_Stiffness!$C$110,Element_Stiffness!S142,IF(2=Element_Stiffness!$E$110,Element_Stiffness!Y142,0)),0)),0)+IF(Element_Stiffness!$C$146,IF(Element_Stiffness!$C$145=0,IF(2=Element_Stiffness!$C$145,Element_Stiffness!S171,IF(2=Element_Stiffness!$E$145,Element_Stiffness!Y171,0)),IF(Element_Stiffness!$E$145=0,IF(2=Element_Stiffness!$C$145,Element_Stiffness!S177,IF(2=Element_Stiffness!$E$145,Element_Stiffness!Y177,0)),0)),0)+IF(Element_Stiffness!$C$181,IF(Element_Stiffness!$C$180=0,IF(2=Element_Stiffness!$C$180,Element_Stiffness!S206,IF(2=Element_Stiffness!$E$180,Element_Stiffness!Y206,0)),IF(Element_Stiffness!$E$180=0,IF(2=Element_Stiffness!$C$180,Element_Stiffness!S212,IF(2=Element_Stiffness!$E$180,Element_Stiffness!Y212,0)),0)),0)+IF(Element_Stiffness!$C$216,IF(Element_Stiffness!$C$215=0,IF(2=Element_Stiffness!$C$215,Element_Stiffness!S241,IF(2=Element_Stiffness!$E$215,Element_Stiffness!Y241,0)),IF(Element_Stiffness!$E$215=0,IF(2=Element_Stiffness!$C$215,Element_Stiffness!S247,IF(2=Element_Stiffness!$E$215,Element_Stiffness!Y247,0)),0)),0)</f>
        <v/>
      </c>
      <c r="S10" s="21">
        <f>IF(Element_Stiffness!$C$6,IF(Element_Stiffness!$C$5=0,IF(2=Element_Stiffness!$C$5,Element_Stiffness!T31,IF(2=Element_Stiffness!$E$5,Element_Stiffness!Z31,0)),IF(Element_Stiffness!$E$5=0,IF(2=Element_Stiffness!$C$5,Element_Stiffness!T37,IF(2=Element_Stiffness!$E$5,Element_Stiffness!Z37,0)),0)),0)+IF(Element_Stiffness!$C$41,IF(Element_Stiffness!$C$40=0,IF(2=Element_Stiffness!$C$40,Element_Stiffness!T66,IF(2=Element_Stiffness!$E$40,Element_Stiffness!Z66,0)),IF(Element_Stiffness!$E$40=0,IF(2=Element_Stiffness!$C$40,Element_Stiffness!T72,IF(2=Element_Stiffness!$E$40,Element_Stiffness!Z72,0)),0)),0)+IF(Element_Stiffness!$C$76,IF(Element_Stiffness!$C$75=0,IF(2=Element_Stiffness!$C$75,Element_Stiffness!T101,IF(2=Element_Stiffness!$E$75,Element_Stiffness!Z101,0)),IF(Element_Stiffness!$E$75=0,IF(2=Element_Stiffness!$C$75,Element_Stiffness!T107,IF(2=Element_Stiffness!$E$75,Element_Stiffness!Z107,0)),0)),0)+IF(Element_Stiffness!$C$111,IF(Element_Stiffness!$C$110=0,IF(2=Element_Stiffness!$C$110,Element_Stiffness!T136,IF(2=Element_Stiffness!$E$110,Element_Stiffness!Z136,0)),IF(Element_Stiffness!$E$110=0,IF(2=Element_Stiffness!$C$110,Element_Stiffness!T142,IF(2=Element_Stiffness!$E$110,Element_Stiffness!Z142,0)),0)),0)+IF(Element_Stiffness!$C$146,IF(Element_Stiffness!$C$145=0,IF(2=Element_Stiffness!$C$145,Element_Stiffness!T171,IF(2=Element_Stiffness!$E$145,Element_Stiffness!Z171,0)),IF(Element_Stiffness!$E$145=0,IF(2=Element_Stiffness!$C$145,Element_Stiffness!T177,IF(2=Element_Stiffness!$E$145,Element_Stiffness!Z177,0)),0)),0)+IF(Element_Stiffness!$C$181,IF(Element_Stiffness!$C$180=0,IF(2=Element_Stiffness!$C$180,Element_Stiffness!T206,IF(2=Element_Stiffness!$E$180,Element_Stiffness!Z206,0)),IF(Element_Stiffness!$E$180=0,IF(2=Element_Stiffness!$C$180,Element_Stiffness!T212,IF(2=Element_Stiffness!$E$180,Element_Stiffness!Z212,0)),0)),0)+IF(Element_Stiffness!$C$216,IF(Element_Stiffness!$C$215=0,IF(2=Element_Stiffness!$C$215,Element_Stiffness!T241,IF(2=Element_Stiffness!$E$215,Element_Stiffness!Z241,0)),IF(Element_Stiffness!$E$215=0,IF(2=Element_Stiffness!$C$215,Element_Stiffness!T247,IF(2=Element_Stiffness!$E$215,Element_Stiffness!Z247,0)),0)),0)</f>
        <v/>
      </c>
      <c r="T10" s="21">
        <f>IF(Element_Stiffness!$C$6,IF(Element_Stiffness!$C$5=0,IF(2=Element_Stiffness!$C$5,Element_Stiffness!U31,IF(2=Element_Stiffness!$E$5,Element_Stiffness!AA31,0)),IF(Element_Stiffness!$E$5=0,IF(2=Element_Stiffness!$C$5,Element_Stiffness!U37,IF(2=Element_Stiffness!$E$5,Element_Stiffness!AA37,0)),0)),0)+IF(Element_Stiffness!$C$41,IF(Element_Stiffness!$C$40=0,IF(2=Element_Stiffness!$C$40,Element_Stiffness!U66,IF(2=Element_Stiffness!$E$40,Element_Stiffness!AA66,0)),IF(Element_Stiffness!$E$40=0,IF(2=Element_Stiffness!$C$40,Element_Stiffness!U72,IF(2=Element_Stiffness!$E$40,Element_Stiffness!AA72,0)),0)),0)+IF(Element_Stiffness!$C$76,IF(Element_Stiffness!$C$75=0,IF(2=Element_Stiffness!$C$75,Element_Stiffness!U101,IF(2=Element_Stiffness!$E$75,Element_Stiffness!AA101,0)),IF(Element_Stiffness!$E$75=0,IF(2=Element_Stiffness!$C$75,Element_Stiffness!U107,IF(2=Element_Stiffness!$E$75,Element_Stiffness!AA107,0)),0)),0)+IF(Element_Stiffness!$C$111,IF(Element_Stiffness!$C$110=0,IF(2=Element_Stiffness!$C$110,Element_Stiffness!U136,IF(2=Element_Stiffness!$E$110,Element_Stiffness!AA136,0)),IF(Element_Stiffness!$E$110=0,IF(2=Element_Stiffness!$C$110,Element_Stiffness!U142,IF(2=Element_Stiffness!$E$110,Element_Stiffness!AA142,0)),0)),0)+IF(Element_Stiffness!$C$146,IF(Element_Stiffness!$C$145=0,IF(2=Element_Stiffness!$C$145,Element_Stiffness!U171,IF(2=Element_Stiffness!$E$145,Element_Stiffness!AA171,0)),IF(Element_Stiffness!$E$145=0,IF(2=Element_Stiffness!$C$145,Element_Stiffness!U177,IF(2=Element_Stiffness!$E$145,Element_Stiffness!AA177,0)),0)),0)+IF(Element_Stiffness!$C$181,IF(Element_Stiffness!$C$180=0,IF(2=Element_Stiffness!$C$180,Element_Stiffness!U206,IF(2=Element_Stiffness!$E$180,Element_Stiffness!AA206,0)),IF(Element_Stiffness!$E$180=0,IF(2=Element_Stiffness!$C$180,Element_Stiffness!U212,IF(2=Element_Stiffness!$E$180,Element_Stiffness!AA212,0)),0)),0)+IF(Element_Stiffness!$C$216,IF(Element_Stiffness!$C$215=0,IF(2=Element_Stiffness!$C$215,Element_Stiffness!U241,IF(2=Element_Stiffness!$E$215,Element_Stiffness!AA241,0)),IF(Element_Stiffness!$E$215=0,IF(2=Element_Stiffness!$C$215,Element_Stiffness!U247,IF(2=Element_Stiffness!$E$215,Element_Stiffness!AA247,0)),0)),0)</f>
        <v/>
      </c>
      <c r="U10" s="21">
        <f>IF(Element_Stiffness!$C$6,IF(Element_Stiffness!$C$5=0,IF(3=Element_Stiffness!$C$5,Element_Stiffness!P31,IF(3=Element_Stiffness!$E$5,Element_Stiffness!V31,0)),IF(Element_Stiffness!$E$5=0,IF(3=Element_Stiffness!$C$5,Element_Stiffness!P37,IF(3=Element_Stiffness!$E$5,Element_Stiffness!V37,0)),0)),0)+IF(Element_Stiffness!$C$41,IF(Element_Stiffness!$C$40=0,IF(3=Element_Stiffness!$C$40,Element_Stiffness!P66,IF(3=Element_Stiffness!$E$40,Element_Stiffness!V66,0)),IF(Element_Stiffness!$E$40=0,IF(3=Element_Stiffness!$C$40,Element_Stiffness!P72,IF(3=Element_Stiffness!$E$40,Element_Stiffness!V72,0)),0)),0)+IF(Element_Stiffness!$C$76,IF(Element_Stiffness!$C$75=0,IF(3=Element_Stiffness!$C$75,Element_Stiffness!P101,IF(3=Element_Stiffness!$E$75,Element_Stiffness!V101,0)),IF(Element_Stiffness!$E$75=0,IF(3=Element_Stiffness!$C$75,Element_Stiffness!P107,IF(3=Element_Stiffness!$E$75,Element_Stiffness!V107,0)),0)),0)+IF(Element_Stiffness!$C$111,IF(Element_Stiffness!$C$110=0,IF(3=Element_Stiffness!$C$110,Element_Stiffness!P136,IF(3=Element_Stiffness!$E$110,Element_Stiffness!V136,0)),IF(Element_Stiffness!$E$110=0,IF(3=Element_Stiffness!$C$110,Element_Stiffness!P142,IF(3=Element_Stiffness!$E$110,Element_Stiffness!V142,0)),0)),0)+IF(Element_Stiffness!$C$146,IF(Element_Stiffness!$C$145=0,IF(3=Element_Stiffness!$C$145,Element_Stiffness!P171,IF(3=Element_Stiffness!$E$145,Element_Stiffness!V171,0)),IF(Element_Stiffness!$E$145=0,IF(3=Element_Stiffness!$C$145,Element_Stiffness!P177,IF(3=Element_Stiffness!$E$145,Element_Stiffness!V177,0)),0)),0)+IF(Element_Stiffness!$C$181,IF(Element_Stiffness!$C$180=0,IF(3=Element_Stiffness!$C$180,Element_Stiffness!P206,IF(3=Element_Stiffness!$E$180,Element_Stiffness!V206,0)),IF(Element_Stiffness!$E$180=0,IF(3=Element_Stiffness!$C$180,Element_Stiffness!P212,IF(3=Element_Stiffness!$E$180,Element_Stiffness!V212,0)),0)),0)+IF(Element_Stiffness!$C$216,IF(Element_Stiffness!$C$215=0,IF(3=Element_Stiffness!$C$215,Element_Stiffness!P241,IF(3=Element_Stiffness!$E$215,Element_Stiffness!V241,0)),IF(Element_Stiffness!$E$215=0,IF(3=Element_Stiffness!$C$215,Element_Stiffness!P247,IF(3=Element_Stiffness!$E$215,Element_Stiffness!V247,0)),0)),0)</f>
        <v/>
      </c>
      <c r="V10" s="21">
        <f>IF(Element_Stiffness!$C$6,IF(Element_Stiffness!$C$5=0,IF(3=Element_Stiffness!$C$5,Element_Stiffness!Q31,IF(3=Element_Stiffness!$E$5,Element_Stiffness!W31,0)),IF(Element_Stiffness!$E$5=0,IF(3=Element_Stiffness!$C$5,Element_Stiffness!Q37,IF(3=Element_Stiffness!$E$5,Element_Stiffness!W37,0)),0)),0)+IF(Element_Stiffness!$C$41,IF(Element_Stiffness!$C$40=0,IF(3=Element_Stiffness!$C$40,Element_Stiffness!Q66,IF(3=Element_Stiffness!$E$40,Element_Stiffness!W66,0)),IF(Element_Stiffness!$E$40=0,IF(3=Element_Stiffness!$C$40,Element_Stiffness!Q72,IF(3=Element_Stiffness!$E$40,Element_Stiffness!W72,0)),0)),0)+IF(Element_Stiffness!$C$76,IF(Element_Stiffness!$C$75=0,IF(3=Element_Stiffness!$C$75,Element_Stiffness!Q101,IF(3=Element_Stiffness!$E$75,Element_Stiffness!W101,0)),IF(Element_Stiffness!$E$75=0,IF(3=Element_Stiffness!$C$75,Element_Stiffness!Q107,IF(3=Element_Stiffness!$E$75,Element_Stiffness!W107,0)),0)),0)+IF(Element_Stiffness!$C$111,IF(Element_Stiffness!$C$110=0,IF(3=Element_Stiffness!$C$110,Element_Stiffness!Q136,IF(3=Element_Stiffness!$E$110,Element_Stiffness!W136,0)),IF(Element_Stiffness!$E$110=0,IF(3=Element_Stiffness!$C$110,Element_Stiffness!Q142,IF(3=Element_Stiffness!$E$110,Element_Stiffness!W142,0)),0)),0)+IF(Element_Stiffness!$C$146,IF(Element_Stiffness!$C$145=0,IF(3=Element_Stiffness!$C$145,Element_Stiffness!Q171,IF(3=Element_Stiffness!$E$145,Element_Stiffness!W171,0)),IF(Element_Stiffness!$E$145=0,IF(3=Element_Stiffness!$C$145,Element_Stiffness!Q177,IF(3=Element_Stiffness!$E$145,Element_Stiffness!W177,0)),0)),0)+IF(Element_Stiffness!$C$181,IF(Element_Stiffness!$C$180=0,IF(3=Element_Stiffness!$C$180,Element_Stiffness!Q206,IF(3=Element_Stiffness!$E$180,Element_Stiffness!W206,0)),IF(Element_Stiffness!$E$180=0,IF(3=Element_Stiffness!$C$180,Element_Stiffness!Q212,IF(3=Element_Stiffness!$E$180,Element_Stiffness!W212,0)),0)),0)+IF(Element_Stiffness!$C$216,IF(Element_Stiffness!$C$215=0,IF(3=Element_Stiffness!$C$215,Element_Stiffness!Q241,IF(3=Element_Stiffness!$E$215,Element_Stiffness!W241,0)),IF(Element_Stiffness!$E$215=0,IF(3=Element_Stiffness!$C$215,Element_Stiffness!Q247,IF(3=Element_Stiffness!$E$215,Element_Stiffness!W247,0)),0)),0)</f>
        <v/>
      </c>
      <c r="W10" s="21">
        <f>IF(Element_Stiffness!$C$6,IF(Element_Stiffness!$C$5=0,IF(3=Element_Stiffness!$C$5,Element_Stiffness!R31,IF(3=Element_Stiffness!$E$5,Element_Stiffness!X31,0)),IF(Element_Stiffness!$E$5=0,IF(3=Element_Stiffness!$C$5,Element_Stiffness!R37,IF(3=Element_Stiffness!$E$5,Element_Stiffness!X37,0)),0)),0)+IF(Element_Stiffness!$C$41,IF(Element_Stiffness!$C$40=0,IF(3=Element_Stiffness!$C$40,Element_Stiffness!R66,IF(3=Element_Stiffness!$E$40,Element_Stiffness!X66,0)),IF(Element_Stiffness!$E$40=0,IF(3=Element_Stiffness!$C$40,Element_Stiffness!R72,IF(3=Element_Stiffness!$E$40,Element_Stiffness!X72,0)),0)),0)+IF(Element_Stiffness!$C$76,IF(Element_Stiffness!$C$75=0,IF(3=Element_Stiffness!$C$75,Element_Stiffness!R101,IF(3=Element_Stiffness!$E$75,Element_Stiffness!X101,0)),IF(Element_Stiffness!$E$75=0,IF(3=Element_Stiffness!$C$75,Element_Stiffness!R107,IF(3=Element_Stiffness!$E$75,Element_Stiffness!X107,0)),0)),0)+IF(Element_Stiffness!$C$111,IF(Element_Stiffness!$C$110=0,IF(3=Element_Stiffness!$C$110,Element_Stiffness!R136,IF(3=Element_Stiffness!$E$110,Element_Stiffness!X136,0)),IF(Element_Stiffness!$E$110=0,IF(3=Element_Stiffness!$C$110,Element_Stiffness!R142,IF(3=Element_Stiffness!$E$110,Element_Stiffness!X142,0)),0)),0)+IF(Element_Stiffness!$C$146,IF(Element_Stiffness!$C$145=0,IF(3=Element_Stiffness!$C$145,Element_Stiffness!R171,IF(3=Element_Stiffness!$E$145,Element_Stiffness!X171,0)),IF(Element_Stiffness!$E$145=0,IF(3=Element_Stiffness!$C$145,Element_Stiffness!R177,IF(3=Element_Stiffness!$E$145,Element_Stiffness!X177,0)),0)),0)+IF(Element_Stiffness!$C$181,IF(Element_Stiffness!$C$180=0,IF(3=Element_Stiffness!$C$180,Element_Stiffness!R206,IF(3=Element_Stiffness!$E$180,Element_Stiffness!X206,0)),IF(Element_Stiffness!$E$180=0,IF(3=Element_Stiffness!$C$180,Element_Stiffness!R212,IF(3=Element_Stiffness!$E$180,Element_Stiffness!X212,0)),0)),0)+IF(Element_Stiffness!$C$216,IF(Element_Stiffness!$C$215=0,IF(3=Element_Stiffness!$C$215,Element_Stiffness!R241,IF(3=Element_Stiffness!$E$215,Element_Stiffness!X241,0)),IF(Element_Stiffness!$E$215=0,IF(3=Element_Stiffness!$C$215,Element_Stiffness!R247,IF(3=Element_Stiffness!$E$215,Element_Stiffness!X247,0)),0)),0)</f>
        <v/>
      </c>
      <c r="X10" s="21">
        <f>IF(Element_Stiffness!$C$6,IF(Element_Stiffness!$C$5=0,IF(3=Element_Stiffness!$C$5,Element_Stiffness!S31,IF(3=Element_Stiffness!$E$5,Element_Stiffness!Y31,0)),IF(Element_Stiffness!$E$5=0,IF(3=Element_Stiffness!$C$5,Element_Stiffness!S37,IF(3=Element_Stiffness!$E$5,Element_Stiffness!Y37,0)),0)),0)+IF(Element_Stiffness!$C$41,IF(Element_Stiffness!$C$40=0,IF(3=Element_Stiffness!$C$40,Element_Stiffness!S66,IF(3=Element_Stiffness!$E$40,Element_Stiffness!Y66,0)),IF(Element_Stiffness!$E$40=0,IF(3=Element_Stiffness!$C$40,Element_Stiffness!S72,IF(3=Element_Stiffness!$E$40,Element_Stiffness!Y72,0)),0)),0)+IF(Element_Stiffness!$C$76,IF(Element_Stiffness!$C$75=0,IF(3=Element_Stiffness!$C$75,Element_Stiffness!S101,IF(3=Element_Stiffness!$E$75,Element_Stiffness!Y101,0)),IF(Element_Stiffness!$E$75=0,IF(3=Element_Stiffness!$C$75,Element_Stiffness!S107,IF(3=Element_Stiffness!$E$75,Element_Stiffness!Y107,0)),0)),0)+IF(Element_Stiffness!$C$111,IF(Element_Stiffness!$C$110=0,IF(3=Element_Stiffness!$C$110,Element_Stiffness!S136,IF(3=Element_Stiffness!$E$110,Element_Stiffness!Y136,0)),IF(Element_Stiffness!$E$110=0,IF(3=Element_Stiffness!$C$110,Element_Stiffness!S142,IF(3=Element_Stiffness!$E$110,Element_Stiffness!Y142,0)),0)),0)+IF(Element_Stiffness!$C$146,IF(Element_Stiffness!$C$145=0,IF(3=Element_Stiffness!$C$145,Element_Stiffness!S171,IF(3=Element_Stiffness!$E$145,Element_Stiffness!Y171,0)),IF(Element_Stiffness!$E$145=0,IF(3=Element_Stiffness!$C$145,Element_Stiffness!S177,IF(3=Element_Stiffness!$E$145,Element_Stiffness!Y177,0)),0)),0)+IF(Element_Stiffness!$C$181,IF(Element_Stiffness!$C$180=0,IF(3=Element_Stiffness!$C$180,Element_Stiffness!S206,IF(3=Element_Stiffness!$E$180,Element_Stiffness!Y206,0)),IF(Element_Stiffness!$E$180=0,IF(3=Element_Stiffness!$C$180,Element_Stiffness!S212,IF(3=Element_Stiffness!$E$180,Element_Stiffness!Y212,0)),0)),0)+IF(Element_Stiffness!$C$216,IF(Element_Stiffness!$C$215=0,IF(3=Element_Stiffness!$C$215,Element_Stiffness!S241,IF(3=Element_Stiffness!$E$215,Element_Stiffness!Y241,0)),IF(Element_Stiffness!$E$215=0,IF(3=Element_Stiffness!$C$215,Element_Stiffness!S247,IF(3=Element_Stiffness!$E$215,Element_Stiffness!Y247,0)),0)),0)</f>
        <v/>
      </c>
      <c r="Y10" s="21">
        <f>IF(Element_Stiffness!$C$6,IF(Element_Stiffness!$C$5=0,IF(3=Element_Stiffness!$C$5,Element_Stiffness!T31,IF(3=Element_Stiffness!$E$5,Element_Stiffness!Z31,0)),IF(Element_Stiffness!$E$5=0,IF(3=Element_Stiffness!$C$5,Element_Stiffness!T37,IF(3=Element_Stiffness!$E$5,Element_Stiffness!Z37,0)),0)),0)+IF(Element_Stiffness!$C$41,IF(Element_Stiffness!$C$40=0,IF(3=Element_Stiffness!$C$40,Element_Stiffness!T66,IF(3=Element_Stiffness!$E$40,Element_Stiffness!Z66,0)),IF(Element_Stiffness!$E$40=0,IF(3=Element_Stiffness!$C$40,Element_Stiffness!T72,IF(3=Element_Stiffness!$E$40,Element_Stiffness!Z72,0)),0)),0)+IF(Element_Stiffness!$C$76,IF(Element_Stiffness!$C$75=0,IF(3=Element_Stiffness!$C$75,Element_Stiffness!T101,IF(3=Element_Stiffness!$E$75,Element_Stiffness!Z101,0)),IF(Element_Stiffness!$E$75=0,IF(3=Element_Stiffness!$C$75,Element_Stiffness!T107,IF(3=Element_Stiffness!$E$75,Element_Stiffness!Z107,0)),0)),0)+IF(Element_Stiffness!$C$111,IF(Element_Stiffness!$C$110=0,IF(3=Element_Stiffness!$C$110,Element_Stiffness!T136,IF(3=Element_Stiffness!$E$110,Element_Stiffness!Z136,0)),IF(Element_Stiffness!$E$110=0,IF(3=Element_Stiffness!$C$110,Element_Stiffness!T142,IF(3=Element_Stiffness!$E$110,Element_Stiffness!Z142,0)),0)),0)+IF(Element_Stiffness!$C$146,IF(Element_Stiffness!$C$145=0,IF(3=Element_Stiffness!$C$145,Element_Stiffness!T171,IF(3=Element_Stiffness!$E$145,Element_Stiffness!Z171,0)),IF(Element_Stiffness!$E$145=0,IF(3=Element_Stiffness!$C$145,Element_Stiffness!T177,IF(3=Element_Stiffness!$E$145,Element_Stiffness!Z177,0)),0)),0)+IF(Element_Stiffness!$C$181,IF(Element_Stiffness!$C$180=0,IF(3=Element_Stiffness!$C$180,Element_Stiffness!T206,IF(3=Element_Stiffness!$E$180,Element_Stiffness!Z206,0)),IF(Element_Stiffness!$E$180=0,IF(3=Element_Stiffness!$C$180,Element_Stiffness!T212,IF(3=Element_Stiffness!$E$180,Element_Stiffness!Z212,0)),0)),0)+IF(Element_Stiffness!$C$216,IF(Element_Stiffness!$C$215=0,IF(3=Element_Stiffness!$C$215,Element_Stiffness!T241,IF(3=Element_Stiffness!$E$215,Element_Stiffness!Z241,0)),IF(Element_Stiffness!$E$215=0,IF(3=Element_Stiffness!$C$215,Element_Stiffness!T247,IF(3=Element_Stiffness!$E$215,Element_Stiffness!Z247,0)),0)),0)</f>
        <v/>
      </c>
      <c r="Z10" s="21">
        <f>IF(Element_Stiffness!$C$6,IF(Element_Stiffness!$C$5=0,IF(3=Element_Stiffness!$C$5,Element_Stiffness!U31,IF(3=Element_Stiffness!$E$5,Element_Stiffness!AA31,0)),IF(Element_Stiffness!$E$5=0,IF(3=Element_Stiffness!$C$5,Element_Stiffness!U37,IF(3=Element_Stiffness!$E$5,Element_Stiffness!AA37,0)),0)),0)+IF(Element_Stiffness!$C$41,IF(Element_Stiffness!$C$40=0,IF(3=Element_Stiffness!$C$40,Element_Stiffness!U66,IF(3=Element_Stiffness!$E$40,Element_Stiffness!AA66,0)),IF(Element_Stiffness!$E$40=0,IF(3=Element_Stiffness!$C$40,Element_Stiffness!U72,IF(3=Element_Stiffness!$E$40,Element_Stiffness!AA72,0)),0)),0)+IF(Element_Stiffness!$C$76,IF(Element_Stiffness!$C$75=0,IF(3=Element_Stiffness!$C$75,Element_Stiffness!U101,IF(3=Element_Stiffness!$E$75,Element_Stiffness!AA101,0)),IF(Element_Stiffness!$E$75=0,IF(3=Element_Stiffness!$C$75,Element_Stiffness!U107,IF(3=Element_Stiffness!$E$75,Element_Stiffness!AA107,0)),0)),0)+IF(Element_Stiffness!$C$111,IF(Element_Stiffness!$C$110=0,IF(3=Element_Stiffness!$C$110,Element_Stiffness!U136,IF(3=Element_Stiffness!$E$110,Element_Stiffness!AA136,0)),IF(Element_Stiffness!$E$110=0,IF(3=Element_Stiffness!$C$110,Element_Stiffness!U142,IF(3=Element_Stiffness!$E$110,Element_Stiffness!AA142,0)),0)),0)+IF(Element_Stiffness!$C$146,IF(Element_Stiffness!$C$145=0,IF(3=Element_Stiffness!$C$145,Element_Stiffness!U171,IF(3=Element_Stiffness!$E$145,Element_Stiffness!AA171,0)),IF(Element_Stiffness!$E$145=0,IF(3=Element_Stiffness!$C$145,Element_Stiffness!U177,IF(3=Element_Stiffness!$E$145,Element_Stiffness!AA177,0)),0)),0)+IF(Element_Stiffness!$C$181,IF(Element_Stiffness!$C$180=0,IF(3=Element_Stiffness!$C$180,Element_Stiffness!U206,IF(3=Element_Stiffness!$E$180,Element_Stiffness!AA206,0)),IF(Element_Stiffness!$E$180=0,IF(3=Element_Stiffness!$C$180,Element_Stiffness!U212,IF(3=Element_Stiffness!$E$180,Element_Stiffness!AA212,0)),0)),0)+IF(Element_Stiffness!$C$216,IF(Element_Stiffness!$C$215=0,IF(3=Element_Stiffness!$C$215,Element_Stiffness!U241,IF(3=Element_Stiffness!$E$215,Element_Stiffness!AA241,0)),IF(Element_Stiffness!$E$215=0,IF(3=Element_Stiffness!$C$215,Element_Stiffness!U247,IF(3=Element_Stiffness!$E$215,Element_Stiffness!AA247,0)),0)),0)</f>
        <v/>
      </c>
      <c r="AA10" s="21">
        <f>IF(Element_Stiffness!$C$6,IF(Element_Stiffness!$C$5=0,IF(4=Element_Stiffness!$C$5,Element_Stiffness!P31,IF(4=Element_Stiffness!$E$5,Element_Stiffness!V31,0)),IF(Element_Stiffness!$E$5=0,IF(4=Element_Stiffness!$C$5,Element_Stiffness!P37,IF(4=Element_Stiffness!$E$5,Element_Stiffness!V37,0)),0)),0)+IF(Element_Stiffness!$C$41,IF(Element_Stiffness!$C$40=0,IF(4=Element_Stiffness!$C$40,Element_Stiffness!P66,IF(4=Element_Stiffness!$E$40,Element_Stiffness!V66,0)),IF(Element_Stiffness!$E$40=0,IF(4=Element_Stiffness!$C$40,Element_Stiffness!P72,IF(4=Element_Stiffness!$E$40,Element_Stiffness!V72,0)),0)),0)+IF(Element_Stiffness!$C$76,IF(Element_Stiffness!$C$75=0,IF(4=Element_Stiffness!$C$75,Element_Stiffness!P101,IF(4=Element_Stiffness!$E$75,Element_Stiffness!V101,0)),IF(Element_Stiffness!$E$75=0,IF(4=Element_Stiffness!$C$75,Element_Stiffness!P107,IF(4=Element_Stiffness!$E$75,Element_Stiffness!V107,0)),0)),0)+IF(Element_Stiffness!$C$111,IF(Element_Stiffness!$C$110=0,IF(4=Element_Stiffness!$C$110,Element_Stiffness!P136,IF(4=Element_Stiffness!$E$110,Element_Stiffness!V136,0)),IF(Element_Stiffness!$E$110=0,IF(4=Element_Stiffness!$C$110,Element_Stiffness!P142,IF(4=Element_Stiffness!$E$110,Element_Stiffness!V142,0)),0)),0)+IF(Element_Stiffness!$C$146,IF(Element_Stiffness!$C$145=0,IF(4=Element_Stiffness!$C$145,Element_Stiffness!P171,IF(4=Element_Stiffness!$E$145,Element_Stiffness!V171,0)),IF(Element_Stiffness!$E$145=0,IF(4=Element_Stiffness!$C$145,Element_Stiffness!P177,IF(4=Element_Stiffness!$E$145,Element_Stiffness!V177,0)),0)),0)+IF(Element_Stiffness!$C$181,IF(Element_Stiffness!$C$180=0,IF(4=Element_Stiffness!$C$180,Element_Stiffness!P206,IF(4=Element_Stiffness!$E$180,Element_Stiffness!V206,0)),IF(Element_Stiffness!$E$180=0,IF(4=Element_Stiffness!$C$180,Element_Stiffness!P212,IF(4=Element_Stiffness!$E$180,Element_Stiffness!V212,0)),0)),0)+IF(Element_Stiffness!$C$216,IF(Element_Stiffness!$C$215=0,IF(4=Element_Stiffness!$C$215,Element_Stiffness!P241,IF(4=Element_Stiffness!$E$215,Element_Stiffness!V241,0)),IF(Element_Stiffness!$E$215=0,IF(4=Element_Stiffness!$C$215,Element_Stiffness!P247,IF(4=Element_Stiffness!$E$215,Element_Stiffness!V247,0)),0)),0)</f>
        <v/>
      </c>
      <c r="AB10" s="21">
        <f>IF(Element_Stiffness!$C$6,IF(Element_Stiffness!$C$5=0,IF(4=Element_Stiffness!$C$5,Element_Stiffness!Q31,IF(4=Element_Stiffness!$E$5,Element_Stiffness!W31,0)),IF(Element_Stiffness!$E$5=0,IF(4=Element_Stiffness!$C$5,Element_Stiffness!Q37,IF(4=Element_Stiffness!$E$5,Element_Stiffness!W37,0)),0)),0)+IF(Element_Stiffness!$C$41,IF(Element_Stiffness!$C$40=0,IF(4=Element_Stiffness!$C$40,Element_Stiffness!Q66,IF(4=Element_Stiffness!$E$40,Element_Stiffness!W66,0)),IF(Element_Stiffness!$E$40=0,IF(4=Element_Stiffness!$C$40,Element_Stiffness!Q72,IF(4=Element_Stiffness!$E$40,Element_Stiffness!W72,0)),0)),0)+IF(Element_Stiffness!$C$76,IF(Element_Stiffness!$C$75=0,IF(4=Element_Stiffness!$C$75,Element_Stiffness!Q101,IF(4=Element_Stiffness!$E$75,Element_Stiffness!W101,0)),IF(Element_Stiffness!$E$75=0,IF(4=Element_Stiffness!$C$75,Element_Stiffness!Q107,IF(4=Element_Stiffness!$E$75,Element_Stiffness!W107,0)),0)),0)+IF(Element_Stiffness!$C$111,IF(Element_Stiffness!$C$110=0,IF(4=Element_Stiffness!$C$110,Element_Stiffness!Q136,IF(4=Element_Stiffness!$E$110,Element_Stiffness!W136,0)),IF(Element_Stiffness!$E$110=0,IF(4=Element_Stiffness!$C$110,Element_Stiffness!Q142,IF(4=Element_Stiffness!$E$110,Element_Stiffness!W142,0)),0)),0)+IF(Element_Stiffness!$C$146,IF(Element_Stiffness!$C$145=0,IF(4=Element_Stiffness!$C$145,Element_Stiffness!Q171,IF(4=Element_Stiffness!$E$145,Element_Stiffness!W171,0)),IF(Element_Stiffness!$E$145=0,IF(4=Element_Stiffness!$C$145,Element_Stiffness!Q177,IF(4=Element_Stiffness!$E$145,Element_Stiffness!W177,0)),0)),0)+IF(Element_Stiffness!$C$181,IF(Element_Stiffness!$C$180=0,IF(4=Element_Stiffness!$C$180,Element_Stiffness!Q206,IF(4=Element_Stiffness!$E$180,Element_Stiffness!W206,0)),IF(Element_Stiffness!$E$180=0,IF(4=Element_Stiffness!$C$180,Element_Stiffness!Q212,IF(4=Element_Stiffness!$E$180,Element_Stiffness!W212,0)),0)),0)+IF(Element_Stiffness!$C$216,IF(Element_Stiffness!$C$215=0,IF(4=Element_Stiffness!$C$215,Element_Stiffness!Q241,IF(4=Element_Stiffness!$E$215,Element_Stiffness!W241,0)),IF(Element_Stiffness!$E$215=0,IF(4=Element_Stiffness!$C$215,Element_Stiffness!Q247,IF(4=Element_Stiffness!$E$215,Element_Stiffness!W247,0)),0)),0)</f>
        <v/>
      </c>
      <c r="AC10" s="21">
        <f>IF(Element_Stiffness!$C$6,IF(Element_Stiffness!$C$5=0,IF(4=Element_Stiffness!$C$5,Element_Stiffness!R31,IF(4=Element_Stiffness!$E$5,Element_Stiffness!X31,0)),IF(Element_Stiffness!$E$5=0,IF(4=Element_Stiffness!$C$5,Element_Stiffness!R37,IF(4=Element_Stiffness!$E$5,Element_Stiffness!X37,0)),0)),0)+IF(Element_Stiffness!$C$41,IF(Element_Stiffness!$C$40=0,IF(4=Element_Stiffness!$C$40,Element_Stiffness!R66,IF(4=Element_Stiffness!$E$40,Element_Stiffness!X66,0)),IF(Element_Stiffness!$E$40=0,IF(4=Element_Stiffness!$C$40,Element_Stiffness!R72,IF(4=Element_Stiffness!$E$40,Element_Stiffness!X72,0)),0)),0)+IF(Element_Stiffness!$C$76,IF(Element_Stiffness!$C$75=0,IF(4=Element_Stiffness!$C$75,Element_Stiffness!R101,IF(4=Element_Stiffness!$E$75,Element_Stiffness!X101,0)),IF(Element_Stiffness!$E$75=0,IF(4=Element_Stiffness!$C$75,Element_Stiffness!R107,IF(4=Element_Stiffness!$E$75,Element_Stiffness!X107,0)),0)),0)+IF(Element_Stiffness!$C$111,IF(Element_Stiffness!$C$110=0,IF(4=Element_Stiffness!$C$110,Element_Stiffness!R136,IF(4=Element_Stiffness!$E$110,Element_Stiffness!X136,0)),IF(Element_Stiffness!$E$110=0,IF(4=Element_Stiffness!$C$110,Element_Stiffness!R142,IF(4=Element_Stiffness!$E$110,Element_Stiffness!X142,0)),0)),0)+IF(Element_Stiffness!$C$146,IF(Element_Stiffness!$C$145=0,IF(4=Element_Stiffness!$C$145,Element_Stiffness!R171,IF(4=Element_Stiffness!$E$145,Element_Stiffness!X171,0)),IF(Element_Stiffness!$E$145=0,IF(4=Element_Stiffness!$C$145,Element_Stiffness!R177,IF(4=Element_Stiffness!$E$145,Element_Stiffness!X177,0)),0)),0)+IF(Element_Stiffness!$C$181,IF(Element_Stiffness!$C$180=0,IF(4=Element_Stiffness!$C$180,Element_Stiffness!R206,IF(4=Element_Stiffness!$E$180,Element_Stiffness!X206,0)),IF(Element_Stiffness!$E$180=0,IF(4=Element_Stiffness!$C$180,Element_Stiffness!R212,IF(4=Element_Stiffness!$E$180,Element_Stiffness!X212,0)),0)),0)+IF(Element_Stiffness!$C$216,IF(Element_Stiffness!$C$215=0,IF(4=Element_Stiffness!$C$215,Element_Stiffness!R241,IF(4=Element_Stiffness!$E$215,Element_Stiffness!X241,0)),IF(Element_Stiffness!$E$215=0,IF(4=Element_Stiffness!$C$215,Element_Stiffness!R247,IF(4=Element_Stiffness!$E$215,Element_Stiffness!X247,0)),0)),0)</f>
        <v/>
      </c>
      <c r="AD10" s="21">
        <f>IF(Element_Stiffness!$C$6,IF(Element_Stiffness!$C$5=0,IF(4=Element_Stiffness!$C$5,Element_Stiffness!S31,IF(4=Element_Stiffness!$E$5,Element_Stiffness!Y31,0)),IF(Element_Stiffness!$E$5=0,IF(4=Element_Stiffness!$C$5,Element_Stiffness!S37,IF(4=Element_Stiffness!$E$5,Element_Stiffness!Y37,0)),0)),0)+IF(Element_Stiffness!$C$41,IF(Element_Stiffness!$C$40=0,IF(4=Element_Stiffness!$C$40,Element_Stiffness!S66,IF(4=Element_Stiffness!$E$40,Element_Stiffness!Y66,0)),IF(Element_Stiffness!$E$40=0,IF(4=Element_Stiffness!$C$40,Element_Stiffness!S72,IF(4=Element_Stiffness!$E$40,Element_Stiffness!Y72,0)),0)),0)+IF(Element_Stiffness!$C$76,IF(Element_Stiffness!$C$75=0,IF(4=Element_Stiffness!$C$75,Element_Stiffness!S101,IF(4=Element_Stiffness!$E$75,Element_Stiffness!Y101,0)),IF(Element_Stiffness!$E$75=0,IF(4=Element_Stiffness!$C$75,Element_Stiffness!S107,IF(4=Element_Stiffness!$E$75,Element_Stiffness!Y107,0)),0)),0)+IF(Element_Stiffness!$C$111,IF(Element_Stiffness!$C$110=0,IF(4=Element_Stiffness!$C$110,Element_Stiffness!S136,IF(4=Element_Stiffness!$E$110,Element_Stiffness!Y136,0)),IF(Element_Stiffness!$E$110=0,IF(4=Element_Stiffness!$C$110,Element_Stiffness!S142,IF(4=Element_Stiffness!$E$110,Element_Stiffness!Y142,0)),0)),0)+IF(Element_Stiffness!$C$146,IF(Element_Stiffness!$C$145=0,IF(4=Element_Stiffness!$C$145,Element_Stiffness!S171,IF(4=Element_Stiffness!$E$145,Element_Stiffness!Y171,0)),IF(Element_Stiffness!$E$145=0,IF(4=Element_Stiffness!$C$145,Element_Stiffness!S177,IF(4=Element_Stiffness!$E$145,Element_Stiffness!Y177,0)),0)),0)+IF(Element_Stiffness!$C$181,IF(Element_Stiffness!$C$180=0,IF(4=Element_Stiffness!$C$180,Element_Stiffness!S206,IF(4=Element_Stiffness!$E$180,Element_Stiffness!Y206,0)),IF(Element_Stiffness!$E$180=0,IF(4=Element_Stiffness!$C$180,Element_Stiffness!S212,IF(4=Element_Stiffness!$E$180,Element_Stiffness!Y212,0)),0)),0)+IF(Element_Stiffness!$C$216,IF(Element_Stiffness!$C$215=0,IF(4=Element_Stiffness!$C$215,Element_Stiffness!S241,IF(4=Element_Stiffness!$E$215,Element_Stiffness!Y241,0)),IF(Element_Stiffness!$E$215=0,IF(4=Element_Stiffness!$C$215,Element_Stiffness!S247,IF(4=Element_Stiffness!$E$215,Element_Stiffness!Y247,0)),0)),0)</f>
        <v/>
      </c>
      <c r="AE10" s="21">
        <f>IF(Element_Stiffness!$C$6,IF(Element_Stiffness!$C$5=0,IF(4=Element_Stiffness!$C$5,Element_Stiffness!T31,IF(4=Element_Stiffness!$E$5,Element_Stiffness!Z31,0)),IF(Element_Stiffness!$E$5=0,IF(4=Element_Stiffness!$C$5,Element_Stiffness!T37,IF(4=Element_Stiffness!$E$5,Element_Stiffness!Z37,0)),0)),0)+IF(Element_Stiffness!$C$41,IF(Element_Stiffness!$C$40=0,IF(4=Element_Stiffness!$C$40,Element_Stiffness!T66,IF(4=Element_Stiffness!$E$40,Element_Stiffness!Z66,0)),IF(Element_Stiffness!$E$40=0,IF(4=Element_Stiffness!$C$40,Element_Stiffness!T72,IF(4=Element_Stiffness!$E$40,Element_Stiffness!Z72,0)),0)),0)+IF(Element_Stiffness!$C$76,IF(Element_Stiffness!$C$75=0,IF(4=Element_Stiffness!$C$75,Element_Stiffness!T101,IF(4=Element_Stiffness!$E$75,Element_Stiffness!Z101,0)),IF(Element_Stiffness!$E$75=0,IF(4=Element_Stiffness!$C$75,Element_Stiffness!T107,IF(4=Element_Stiffness!$E$75,Element_Stiffness!Z107,0)),0)),0)+IF(Element_Stiffness!$C$111,IF(Element_Stiffness!$C$110=0,IF(4=Element_Stiffness!$C$110,Element_Stiffness!T136,IF(4=Element_Stiffness!$E$110,Element_Stiffness!Z136,0)),IF(Element_Stiffness!$E$110=0,IF(4=Element_Stiffness!$C$110,Element_Stiffness!T142,IF(4=Element_Stiffness!$E$110,Element_Stiffness!Z142,0)),0)),0)+IF(Element_Stiffness!$C$146,IF(Element_Stiffness!$C$145=0,IF(4=Element_Stiffness!$C$145,Element_Stiffness!T171,IF(4=Element_Stiffness!$E$145,Element_Stiffness!Z171,0)),IF(Element_Stiffness!$E$145=0,IF(4=Element_Stiffness!$C$145,Element_Stiffness!T177,IF(4=Element_Stiffness!$E$145,Element_Stiffness!Z177,0)),0)),0)+IF(Element_Stiffness!$C$181,IF(Element_Stiffness!$C$180=0,IF(4=Element_Stiffness!$C$180,Element_Stiffness!T206,IF(4=Element_Stiffness!$E$180,Element_Stiffness!Z206,0)),IF(Element_Stiffness!$E$180=0,IF(4=Element_Stiffness!$C$180,Element_Stiffness!T212,IF(4=Element_Stiffness!$E$180,Element_Stiffness!Z212,0)),0)),0)+IF(Element_Stiffness!$C$216,IF(Element_Stiffness!$C$215=0,IF(4=Element_Stiffness!$C$215,Element_Stiffness!T241,IF(4=Element_Stiffness!$E$215,Element_Stiffness!Z241,0)),IF(Element_Stiffness!$E$215=0,IF(4=Element_Stiffness!$C$215,Element_Stiffness!T247,IF(4=Element_Stiffness!$E$215,Element_Stiffness!Z247,0)),0)),0)</f>
        <v/>
      </c>
      <c r="AF10" s="21">
        <f>IF(Element_Stiffness!$C$6,IF(Element_Stiffness!$C$5=0,IF(4=Element_Stiffness!$C$5,Element_Stiffness!U31,IF(4=Element_Stiffness!$E$5,Element_Stiffness!AA31,0)),IF(Element_Stiffness!$E$5=0,IF(4=Element_Stiffness!$C$5,Element_Stiffness!U37,IF(4=Element_Stiffness!$E$5,Element_Stiffness!AA37,0)),0)),0)+IF(Element_Stiffness!$C$41,IF(Element_Stiffness!$C$40=0,IF(4=Element_Stiffness!$C$40,Element_Stiffness!U66,IF(4=Element_Stiffness!$E$40,Element_Stiffness!AA66,0)),IF(Element_Stiffness!$E$40=0,IF(4=Element_Stiffness!$C$40,Element_Stiffness!U72,IF(4=Element_Stiffness!$E$40,Element_Stiffness!AA72,0)),0)),0)+IF(Element_Stiffness!$C$76,IF(Element_Stiffness!$C$75=0,IF(4=Element_Stiffness!$C$75,Element_Stiffness!U101,IF(4=Element_Stiffness!$E$75,Element_Stiffness!AA101,0)),IF(Element_Stiffness!$E$75=0,IF(4=Element_Stiffness!$C$75,Element_Stiffness!U107,IF(4=Element_Stiffness!$E$75,Element_Stiffness!AA107,0)),0)),0)+IF(Element_Stiffness!$C$111,IF(Element_Stiffness!$C$110=0,IF(4=Element_Stiffness!$C$110,Element_Stiffness!U136,IF(4=Element_Stiffness!$E$110,Element_Stiffness!AA136,0)),IF(Element_Stiffness!$E$110=0,IF(4=Element_Stiffness!$C$110,Element_Stiffness!U142,IF(4=Element_Stiffness!$E$110,Element_Stiffness!AA142,0)),0)),0)+IF(Element_Stiffness!$C$146,IF(Element_Stiffness!$C$145=0,IF(4=Element_Stiffness!$C$145,Element_Stiffness!U171,IF(4=Element_Stiffness!$E$145,Element_Stiffness!AA171,0)),IF(Element_Stiffness!$E$145=0,IF(4=Element_Stiffness!$C$145,Element_Stiffness!U177,IF(4=Element_Stiffness!$E$145,Element_Stiffness!AA177,0)),0)),0)+IF(Element_Stiffness!$C$181,IF(Element_Stiffness!$C$180=0,IF(4=Element_Stiffness!$C$180,Element_Stiffness!U206,IF(4=Element_Stiffness!$E$180,Element_Stiffness!AA206,0)),IF(Element_Stiffness!$E$180=0,IF(4=Element_Stiffness!$C$180,Element_Stiffness!U212,IF(4=Element_Stiffness!$E$180,Element_Stiffness!AA212,0)),0)),0)+IF(Element_Stiffness!$C$216,IF(Element_Stiffness!$C$215=0,IF(4=Element_Stiffness!$C$215,Element_Stiffness!U241,IF(4=Element_Stiffness!$E$215,Element_Stiffness!AA241,0)),IF(Element_Stiffness!$E$215=0,IF(4=Element_Stiffness!$C$215,Element_Stiffness!U247,IF(4=Element_Stiffness!$E$215,Element_Stiffness!AA247,0)),0)),0)</f>
        <v/>
      </c>
      <c r="AG10" s="21">
        <f>IF(Element_Stiffness!$C$6,IF(Element_Stiffness!$C$5=0,IF(5=Element_Stiffness!$C$5,Element_Stiffness!P31,IF(5=Element_Stiffness!$E$5,Element_Stiffness!V31,0)),IF(Element_Stiffness!$E$5=0,IF(5=Element_Stiffness!$C$5,Element_Stiffness!P37,IF(5=Element_Stiffness!$E$5,Element_Stiffness!V37,0)),0)),0)+IF(Element_Stiffness!$C$41,IF(Element_Stiffness!$C$40=0,IF(5=Element_Stiffness!$C$40,Element_Stiffness!P66,IF(5=Element_Stiffness!$E$40,Element_Stiffness!V66,0)),IF(Element_Stiffness!$E$40=0,IF(5=Element_Stiffness!$C$40,Element_Stiffness!P72,IF(5=Element_Stiffness!$E$40,Element_Stiffness!V72,0)),0)),0)+IF(Element_Stiffness!$C$76,IF(Element_Stiffness!$C$75=0,IF(5=Element_Stiffness!$C$75,Element_Stiffness!P101,IF(5=Element_Stiffness!$E$75,Element_Stiffness!V101,0)),IF(Element_Stiffness!$E$75=0,IF(5=Element_Stiffness!$C$75,Element_Stiffness!P107,IF(5=Element_Stiffness!$E$75,Element_Stiffness!V107,0)),0)),0)+IF(Element_Stiffness!$C$111,IF(Element_Stiffness!$C$110=0,IF(5=Element_Stiffness!$C$110,Element_Stiffness!P136,IF(5=Element_Stiffness!$E$110,Element_Stiffness!V136,0)),IF(Element_Stiffness!$E$110=0,IF(5=Element_Stiffness!$C$110,Element_Stiffness!P142,IF(5=Element_Stiffness!$E$110,Element_Stiffness!V142,0)),0)),0)+IF(Element_Stiffness!$C$146,IF(Element_Stiffness!$C$145=0,IF(5=Element_Stiffness!$C$145,Element_Stiffness!P171,IF(5=Element_Stiffness!$E$145,Element_Stiffness!V171,0)),IF(Element_Stiffness!$E$145=0,IF(5=Element_Stiffness!$C$145,Element_Stiffness!P177,IF(5=Element_Stiffness!$E$145,Element_Stiffness!V177,0)),0)),0)+IF(Element_Stiffness!$C$181,IF(Element_Stiffness!$C$180=0,IF(5=Element_Stiffness!$C$180,Element_Stiffness!P206,IF(5=Element_Stiffness!$E$180,Element_Stiffness!V206,0)),IF(Element_Stiffness!$E$180=0,IF(5=Element_Stiffness!$C$180,Element_Stiffness!P212,IF(5=Element_Stiffness!$E$180,Element_Stiffness!V212,0)),0)),0)+IF(Element_Stiffness!$C$216,IF(Element_Stiffness!$C$215=0,IF(5=Element_Stiffness!$C$215,Element_Stiffness!P241,IF(5=Element_Stiffness!$E$215,Element_Stiffness!V241,0)),IF(Element_Stiffness!$E$215=0,IF(5=Element_Stiffness!$C$215,Element_Stiffness!P247,IF(5=Element_Stiffness!$E$215,Element_Stiffness!V247,0)),0)),0)</f>
        <v/>
      </c>
      <c r="AH10" s="21">
        <f>IF(Element_Stiffness!$C$6,IF(Element_Stiffness!$C$5=0,IF(5=Element_Stiffness!$C$5,Element_Stiffness!Q31,IF(5=Element_Stiffness!$E$5,Element_Stiffness!W31,0)),IF(Element_Stiffness!$E$5=0,IF(5=Element_Stiffness!$C$5,Element_Stiffness!Q37,IF(5=Element_Stiffness!$E$5,Element_Stiffness!W37,0)),0)),0)+IF(Element_Stiffness!$C$41,IF(Element_Stiffness!$C$40=0,IF(5=Element_Stiffness!$C$40,Element_Stiffness!Q66,IF(5=Element_Stiffness!$E$40,Element_Stiffness!W66,0)),IF(Element_Stiffness!$E$40=0,IF(5=Element_Stiffness!$C$40,Element_Stiffness!Q72,IF(5=Element_Stiffness!$E$40,Element_Stiffness!W72,0)),0)),0)+IF(Element_Stiffness!$C$76,IF(Element_Stiffness!$C$75=0,IF(5=Element_Stiffness!$C$75,Element_Stiffness!Q101,IF(5=Element_Stiffness!$E$75,Element_Stiffness!W101,0)),IF(Element_Stiffness!$E$75=0,IF(5=Element_Stiffness!$C$75,Element_Stiffness!Q107,IF(5=Element_Stiffness!$E$75,Element_Stiffness!W107,0)),0)),0)+IF(Element_Stiffness!$C$111,IF(Element_Stiffness!$C$110=0,IF(5=Element_Stiffness!$C$110,Element_Stiffness!Q136,IF(5=Element_Stiffness!$E$110,Element_Stiffness!W136,0)),IF(Element_Stiffness!$E$110=0,IF(5=Element_Stiffness!$C$110,Element_Stiffness!Q142,IF(5=Element_Stiffness!$E$110,Element_Stiffness!W142,0)),0)),0)+IF(Element_Stiffness!$C$146,IF(Element_Stiffness!$C$145=0,IF(5=Element_Stiffness!$C$145,Element_Stiffness!Q171,IF(5=Element_Stiffness!$E$145,Element_Stiffness!W171,0)),IF(Element_Stiffness!$E$145=0,IF(5=Element_Stiffness!$C$145,Element_Stiffness!Q177,IF(5=Element_Stiffness!$E$145,Element_Stiffness!W177,0)),0)),0)+IF(Element_Stiffness!$C$181,IF(Element_Stiffness!$C$180=0,IF(5=Element_Stiffness!$C$180,Element_Stiffness!Q206,IF(5=Element_Stiffness!$E$180,Element_Stiffness!W206,0)),IF(Element_Stiffness!$E$180=0,IF(5=Element_Stiffness!$C$180,Element_Stiffness!Q212,IF(5=Element_Stiffness!$E$180,Element_Stiffness!W212,0)),0)),0)+IF(Element_Stiffness!$C$216,IF(Element_Stiffness!$C$215=0,IF(5=Element_Stiffness!$C$215,Element_Stiffness!Q241,IF(5=Element_Stiffness!$E$215,Element_Stiffness!W241,0)),IF(Element_Stiffness!$E$215=0,IF(5=Element_Stiffness!$C$215,Element_Stiffness!Q247,IF(5=Element_Stiffness!$E$215,Element_Stiffness!W247,0)),0)),0)</f>
        <v/>
      </c>
      <c r="AI10" s="21">
        <f>IF(Element_Stiffness!$C$6,IF(Element_Stiffness!$C$5=0,IF(5=Element_Stiffness!$C$5,Element_Stiffness!R31,IF(5=Element_Stiffness!$E$5,Element_Stiffness!X31,0)),IF(Element_Stiffness!$E$5=0,IF(5=Element_Stiffness!$C$5,Element_Stiffness!R37,IF(5=Element_Stiffness!$E$5,Element_Stiffness!X37,0)),0)),0)+IF(Element_Stiffness!$C$41,IF(Element_Stiffness!$C$40=0,IF(5=Element_Stiffness!$C$40,Element_Stiffness!R66,IF(5=Element_Stiffness!$E$40,Element_Stiffness!X66,0)),IF(Element_Stiffness!$E$40=0,IF(5=Element_Stiffness!$C$40,Element_Stiffness!R72,IF(5=Element_Stiffness!$E$40,Element_Stiffness!X72,0)),0)),0)+IF(Element_Stiffness!$C$76,IF(Element_Stiffness!$C$75=0,IF(5=Element_Stiffness!$C$75,Element_Stiffness!R101,IF(5=Element_Stiffness!$E$75,Element_Stiffness!X101,0)),IF(Element_Stiffness!$E$75=0,IF(5=Element_Stiffness!$C$75,Element_Stiffness!R107,IF(5=Element_Stiffness!$E$75,Element_Stiffness!X107,0)),0)),0)+IF(Element_Stiffness!$C$111,IF(Element_Stiffness!$C$110=0,IF(5=Element_Stiffness!$C$110,Element_Stiffness!R136,IF(5=Element_Stiffness!$E$110,Element_Stiffness!X136,0)),IF(Element_Stiffness!$E$110=0,IF(5=Element_Stiffness!$C$110,Element_Stiffness!R142,IF(5=Element_Stiffness!$E$110,Element_Stiffness!X142,0)),0)),0)+IF(Element_Stiffness!$C$146,IF(Element_Stiffness!$C$145=0,IF(5=Element_Stiffness!$C$145,Element_Stiffness!R171,IF(5=Element_Stiffness!$E$145,Element_Stiffness!X171,0)),IF(Element_Stiffness!$E$145=0,IF(5=Element_Stiffness!$C$145,Element_Stiffness!R177,IF(5=Element_Stiffness!$E$145,Element_Stiffness!X177,0)),0)),0)+IF(Element_Stiffness!$C$181,IF(Element_Stiffness!$C$180=0,IF(5=Element_Stiffness!$C$180,Element_Stiffness!R206,IF(5=Element_Stiffness!$E$180,Element_Stiffness!X206,0)),IF(Element_Stiffness!$E$180=0,IF(5=Element_Stiffness!$C$180,Element_Stiffness!R212,IF(5=Element_Stiffness!$E$180,Element_Stiffness!X212,0)),0)),0)+IF(Element_Stiffness!$C$216,IF(Element_Stiffness!$C$215=0,IF(5=Element_Stiffness!$C$215,Element_Stiffness!R241,IF(5=Element_Stiffness!$E$215,Element_Stiffness!X241,0)),IF(Element_Stiffness!$E$215=0,IF(5=Element_Stiffness!$C$215,Element_Stiffness!R247,IF(5=Element_Stiffness!$E$215,Element_Stiffness!X247,0)),0)),0)</f>
        <v/>
      </c>
      <c r="AJ10" s="21">
        <f>IF(Element_Stiffness!$C$6,IF(Element_Stiffness!$C$5=0,IF(5=Element_Stiffness!$C$5,Element_Stiffness!S31,IF(5=Element_Stiffness!$E$5,Element_Stiffness!Y31,0)),IF(Element_Stiffness!$E$5=0,IF(5=Element_Stiffness!$C$5,Element_Stiffness!S37,IF(5=Element_Stiffness!$E$5,Element_Stiffness!Y37,0)),0)),0)+IF(Element_Stiffness!$C$41,IF(Element_Stiffness!$C$40=0,IF(5=Element_Stiffness!$C$40,Element_Stiffness!S66,IF(5=Element_Stiffness!$E$40,Element_Stiffness!Y66,0)),IF(Element_Stiffness!$E$40=0,IF(5=Element_Stiffness!$C$40,Element_Stiffness!S72,IF(5=Element_Stiffness!$E$40,Element_Stiffness!Y72,0)),0)),0)+IF(Element_Stiffness!$C$76,IF(Element_Stiffness!$C$75=0,IF(5=Element_Stiffness!$C$75,Element_Stiffness!S101,IF(5=Element_Stiffness!$E$75,Element_Stiffness!Y101,0)),IF(Element_Stiffness!$E$75=0,IF(5=Element_Stiffness!$C$75,Element_Stiffness!S107,IF(5=Element_Stiffness!$E$75,Element_Stiffness!Y107,0)),0)),0)+IF(Element_Stiffness!$C$111,IF(Element_Stiffness!$C$110=0,IF(5=Element_Stiffness!$C$110,Element_Stiffness!S136,IF(5=Element_Stiffness!$E$110,Element_Stiffness!Y136,0)),IF(Element_Stiffness!$E$110=0,IF(5=Element_Stiffness!$C$110,Element_Stiffness!S142,IF(5=Element_Stiffness!$E$110,Element_Stiffness!Y142,0)),0)),0)+IF(Element_Stiffness!$C$146,IF(Element_Stiffness!$C$145=0,IF(5=Element_Stiffness!$C$145,Element_Stiffness!S171,IF(5=Element_Stiffness!$E$145,Element_Stiffness!Y171,0)),IF(Element_Stiffness!$E$145=0,IF(5=Element_Stiffness!$C$145,Element_Stiffness!S177,IF(5=Element_Stiffness!$E$145,Element_Stiffness!Y177,0)),0)),0)+IF(Element_Stiffness!$C$181,IF(Element_Stiffness!$C$180=0,IF(5=Element_Stiffness!$C$180,Element_Stiffness!S206,IF(5=Element_Stiffness!$E$180,Element_Stiffness!Y206,0)),IF(Element_Stiffness!$E$180=0,IF(5=Element_Stiffness!$C$180,Element_Stiffness!S212,IF(5=Element_Stiffness!$E$180,Element_Stiffness!Y212,0)),0)),0)+IF(Element_Stiffness!$C$216,IF(Element_Stiffness!$C$215=0,IF(5=Element_Stiffness!$C$215,Element_Stiffness!S241,IF(5=Element_Stiffness!$E$215,Element_Stiffness!Y241,0)),IF(Element_Stiffness!$E$215=0,IF(5=Element_Stiffness!$C$215,Element_Stiffness!S247,IF(5=Element_Stiffness!$E$215,Element_Stiffness!Y247,0)),0)),0)</f>
        <v/>
      </c>
      <c r="AK10" s="21">
        <f>IF(Element_Stiffness!$C$6,IF(Element_Stiffness!$C$5=0,IF(5=Element_Stiffness!$C$5,Element_Stiffness!T31,IF(5=Element_Stiffness!$E$5,Element_Stiffness!Z31,0)),IF(Element_Stiffness!$E$5=0,IF(5=Element_Stiffness!$C$5,Element_Stiffness!T37,IF(5=Element_Stiffness!$E$5,Element_Stiffness!Z37,0)),0)),0)+IF(Element_Stiffness!$C$41,IF(Element_Stiffness!$C$40=0,IF(5=Element_Stiffness!$C$40,Element_Stiffness!T66,IF(5=Element_Stiffness!$E$40,Element_Stiffness!Z66,0)),IF(Element_Stiffness!$E$40=0,IF(5=Element_Stiffness!$C$40,Element_Stiffness!T72,IF(5=Element_Stiffness!$E$40,Element_Stiffness!Z72,0)),0)),0)+IF(Element_Stiffness!$C$76,IF(Element_Stiffness!$C$75=0,IF(5=Element_Stiffness!$C$75,Element_Stiffness!T101,IF(5=Element_Stiffness!$E$75,Element_Stiffness!Z101,0)),IF(Element_Stiffness!$E$75=0,IF(5=Element_Stiffness!$C$75,Element_Stiffness!T107,IF(5=Element_Stiffness!$E$75,Element_Stiffness!Z107,0)),0)),0)+IF(Element_Stiffness!$C$111,IF(Element_Stiffness!$C$110=0,IF(5=Element_Stiffness!$C$110,Element_Stiffness!T136,IF(5=Element_Stiffness!$E$110,Element_Stiffness!Z136,0)),IF(Element_Stiffness!$E$110=0,IF(5=Element_Stiffness!$C$110,Element_Stiffness!T142,IF(5=Element_Stiffness!$E$110,Element_Stiffness!Z142,0)),0)),0)+IF(Element_Stiffness!$C$146,IF(Element_Stiffness!$C$145=0,IF(5=Element_Stiffness!$C$145,Element_Stiffness!T171,IF(5=Element_Stiffness!$E$145,Element_Stiffness!Z171,0)),IF(Element_Stiffness!$E$145=0,IF(5=Element_Stiffness!$C$145,Element_Stiffness!T177,IF(5=Element_Stiffness!$E$145,Element_Stiffness!Z177,0)),0)),0)+IF(Element_Stiffness!$C$181,IF(Element_Stiffness!$C$180=0,IF(5=Element_Stiffness!$C$180,Element_Stiffness!T206,IF(5=Element_Stiffness!$E$180,Element_Stiffness!Z206,0)),IF(Element_Stiffness!$E$180=0,IF(5=Element_Stiffness!$C$180,Element_Stiffness!T212,IF(5=Element_Stiffness!$E$180,Element_Stiffness!Z212,0)),0)),0)+IF(Element_Stiffness!$C$216,IF(Element_Stiffness!$C$215=0,IF(5=Element_Stiffness!$C$215,Element_Stiffness!T241,IF(5=Element_Stiffness!$E$215,Element_Stiffness!Z241,0)),IF(Element_Stiffness!$E$215=0,IF(5=Element_Stiffness!$C$215,Element_Stiffness!T247,IF(5=Element_Stiffness!$E$215,Element_Stiffness!Z247,0)),0)),0)</f>
        <v/>
      </c>
      <c r="AL10" s="21">
        <f>IF(Element_Stiffness!$C$6,IF(Element_Stiffness!$C$5=0,IF(5=Element_Stiffness!$C$5,Element_Stiffness!U31,IF(5=Element_Stiffness!$E$5,Element_Stiffness!AA31,0)),IF(Element_Stiffness!$E$5=0,IF(5=Element_Stiffness!$C$5,Element_Stiffness!U37,IF(5=Element_Stiffness!$E$5,Element_Stiffness!AA37,0)),0)),0)+IF(Element_Stiffness!$C$41,IF(Element_Stiffness!$C$40=0,IF(5=Element_Stiffness!$C$40,Element_Stiffness!U66,IF(5=Element_Stiffness!$E$40,Element_Stiffness!AA66,0)),IF(Element_Stiffness!$E$40=0,IF(5=Element_Stiffness!$C$40,Element_Stiffness!U72,IF(5=Element_Stiffness!$E$40,Element_Stiffness!AA72,0)),0)),0)+IF(Element_Stiffness!$C$76,IF(Element_Stiffness!$C$75=0,IF(5=Element_Stiffness!$C$75,Element_Stiffness!U101,IF(5=Element_Stiffness!$E$75,Element_Stiffness!AA101,0)),IF(Element_Stiffness!$E$75=0,IF(5=Element_Stiffness!$C$75,Element_Stiffness!U107,IF(5=Element_Stiffness!$E$75,Element_Stiffness!AA107,0)),0)),0)+IF(Element_Stiffness!$C$111,IF(Element_Stiffness!$C$110=0,IF(5=Element_Stiffness!$C$110,Element_Stiffness!U136,IF(5=Element_Stiffness!$E$110,Element_Stiffness!AA136,0)),IF(Element_Stiffness!$E$110=0,IF(5=Element_Stiffness!$C$110,Element_Stiffness!U142,IF(5=Element_Stiffness!$E$110,Element_Stiffness!AA142,0)),0)),0)+IF(Element_Stiffness!$C$146,IF(Element_Stiffness!$C$145=0,IF(5=Element_Stiffness!$C$145,Element_Stiffness!U171,IF(5=Element_Stiffness!$E$145,Element_Stiffness!AA171,0)),IF(Element_Stiffness!$E$145=0,IF(5=Element_Stiffness!$C$145,Element_Stiffness!U177,IF(5=Element_Stiffness!$E$145,Element_Stiffness!AA177,0)),0)),0)+IF(Element_Stiffness!$C$181,IF(Element_Stiffness!$C$180=0,IF(5=Element_Stiffness!$C$180,Element_Stiffness!U206,IF(5=Element_Stiffness!$E$180,Element_Stiffness!AA206,0)),IF(Element_Stiffness!$E$180=0,IF(5=Element_Stiffness!$C$180,Element_Stiffness!U212,IF(5=Element_Stiffness!$E$180,Element_Stiffness!AA212,0)),0)),0)+IF(Element_Stiffness!$C$216,IF(Element_Stiffness!$C$215=0,IF(5=Element_Stiffness!$C$215,Element_Stiffness!U241,IF(5=Element_Stiffness!$E$215,Element_Stiffness!AA241,0)),IF(Element_Stiffness!$E$215=0,IF(5=Element_Stiffness!$C$215,Element_Stiffness!U247,IF(5=Element_Stiffness!$E$215,Element_Stiffness!AA247,0)),0)),0)</f>
        <v/>
      </c>
      <c r="AM10" s="21">
        <f>IF(Element_Stiffness!$C$6,IF(Element_Stiffness!$C$5=0,IF(6=Element_Stiffness!$C$5,Element_Stiffness!P31,IF(6=Element_Stiffness!$E$5,Element_Stiffness!V31,0)),IF(Element_Stiffness!$E$5=0,IF(6=Element_Stiffness!$C$5,Element_Stiffness!P37,IF(6=Element_Stiffness!$E$5,Element_Stiffness!V37,0)),0)),0)+IF(Element_Stiffness!$C$41,IF(Element_Stiffness!$C$40=0,IF(6=Element_Stiffness!$C$40,Element_Stiffness!P66,IF(6=Element_Stiffness!$E$40,Element_Stiffness!V66,0)),IF(Element_Stiffness!$E$40=0,IF(6=Element_Stiffness!$C$40,Element_Stiffness!P72,IF(6=Element_Stiffness!$E$40,Element_Stiffness!V72,0)),0)),0)+IF(Element_Stiffness!$C$76,IF(Element_Stiffness!$C$75=0,IF(6=Element_Stiffness!$C$75,Element_Stiffness!P101,IF(6=Element_Stiffness!$E$75,Element_Stiffness!V101,0)),IF(Element_Stiffness!$E$75=0,IF(6=Element_Stiffness!$C$75,Element_Stiffness!P107,IF(6=Element_Stiffness!$E$75,Element_Stiffness!V107,0)),0)),0)+IF(Element_Stiffness!$C$111,IF(Element_Stiffness!$C$110=0,IF(6=Element_Stiffness!$C$110,Element_Stiffness!P136,IF(6=Element_Stiffness!$E$110,Element_Stiffness!V136,0)),IF(Element_Stiffness!$E$110=0,IF(6=Element_Stiffness!$C$110,Element_Stiffness!P142,IF(6=Element_Stiffness!$E$110,Element_Stiffness!V142,0)),0)),0)+IF(Element_Stiffness!$C$146,IF(Element_Stiffness!$C$145=0,IF(6=Element_Stiffness!$C$145,Element_Stiffness!P171,IF(6=Element_Stiffness!$E$145,Element_Stiffness!V171,0)),IF(Element_Stiffness!$E$145=0,IF(6=Element_Stiffness!$C$145,Element_Stiffness!P177,IF(6=Element_Stiffness!$E$145,Element_Stiffness!V177,0)),0)),0)+IF(Element_Stiffness!$C$181,IF(Element_Stiffness!$C$180=0,IF(6=Element_Stiffness!$C$180,Element_Stiffness!P206,IF(6=Element_Stiffness!$E$180,Element_Stiffness!V206,0)),IF(Element_Stiffness!$E$180=0,IF(6=Element_Stiffness!$C$180,Element_Stiffness!P212,IF(6=Element_Stiffness!$E$180,Element_Stiffness!V212,0)),0)),0)+IF(Element_Stiffness!$C$216,IF(Element_Stiffness!$C$215=0,IF(6=Element_Stiffness!$C$215,Element_Stiffness!P241,IF(6=Element_Stiffness!$E$215,Element_Stiffness!V241,0)),IF(Element_Stiffness!$E$215=0,IF(6=Element_Stiffness!$C$215,Element_Stiffness!P247,IF(6=Element_Stiffness!$E$215,Element_Stiffness!V247,0)),0)),0)</f>
        <v/>
      </c>
      <c r="AN10" s="21">
        <f>IF(Element_Stiffness!$C$6,IF(Element_Stiffness!$C$5=0,IF(6=Element_Stiffness!$C$5,Element_Stiffness!Q31,IF(6=Element_Stiffness!$E$5,Element_Stiffness!W31,0)),IF(Element_Stiffness!$E$5=0,IF(6=Element_Stiffness!$C$5,Element_Stiffness!Q37,IF(6=Element_Stiffness!$E$5,Element_Stiffness!W37,0)),0)),0)+IF(Element_Stiffness!$C$41,IF(Element_Stiffness!$C$40=0,IF(6=Element_Stiffness!$C$40,Element_Stiffness!Q66,IF(6=Element_Stiffness!$E$40,Element_Stiffness!W66,0)),IF(Element_Stiffness!$E$40=0,IF(6=Element_Stiffness!$C$40,Element_Stiffness!Q72,IF(6=Element_Stiffness!$E$40,Element_Stiffness!W72,0)),0)),0)+IF(Element_Stiffness!$C$76,IF(Element_Stiffness!$C$75=0,IF(6=Element_Stiffness!$C$75,Element_Stiffness!Q101,IF(6=Element_Stiffness!$E$75,Element_Stiffness!W101,0)),IF(Element_Stiffness!$E$75=0,IF(6=Element_Stiffness!$C$75,Element_Stiffness!Q107,IF(6=Element_Stiffness!$E$75,Element_Stiffness!W107,0)),0)),0)+IF(Element_Stiffness!$C$111,IF(Element_Stiffness!$C$110=0,IF(6=Element_Stiffness!$C$110,Element_Stiffness!Q136,IF(6=Element_Stiffness!$E$110,Element_Stiffness!W136,0)),IF(Element_Stiffness!$E$110=0,IF(6=Element_Stiffness!$C$110,Element_Stiffness!Q142,IF(6=Element_Stiffness!$E$110,Element_Stiffness!W142,0)),0)),0)+IF(Element_Stiffness!$C$146,IF(Element_Stiffness!$C$145=0,IF(6=Element_Stiffness!$C$145,Element_Stiffness!Q171,IF(6=Element_Stiffness!$E$145,Element_Stiffness!W171,0)),IF(Element_Stiffness!$E$145=0,IF(6=Element_Stiffness!$C$145,Element_Stiffness!Q177,IF(6=Element_Stiffness!$E$145,Element_Stiffness!W177,0)),0)),0)+IF(Element_Stiffness!$C$181,IF(Element_Stiffness!$C$180=0,IF(6=Element_Stiffness!$C$180,Element_Stiffness!Q206,IF(6=Element_Stiffness!$E$180,Element_Stiffness!W206,0)),IF(Element_Stiffness!$E$180=0,IF(6=Element_Stiffness!$C$180,Element_Stiffness!Q212,IF(6=Element_Stiffness!$E$180,Element_Stiffness!W212,0)),0)),0)+IF(Element_Stiffness!$C$216,IF(Element_Stiffness!$C$215=0,IF(6=Element_Stiffness!$C$215,Element_Stiffness!Q241,IF(6=Element_Stiffness!$E$215,Element_Stiffness!W241,0)),IF(Element_Stiffness!$E$215=0,IF(6=Element_Stiffness!$C$215,Element_Stiffness!Q247,IF(6=Element_Stiffness!$E$215,Element_Stiffness!W247,0)),0)),0)</f>
        <v/>
      </c>
      <c r="AO10" s="21">
        <f>IF(Element_Stiffness!$C$6,IF(Element_Stiffness!$C$5=0,IF(6=Element_Stiffness!$C$5,Element_Stiffness!R31,IF(6=Element_Stiffness!$E$5,Element_Stiffness!X31,0)),IF(Element_Stiffness!$E$5=0,IF(6=Element_Stiffness!$C$5,Element_Stiffness!R37,IF(6=Element_Stiffness!$E$5,Element_Stiffness!X37,0)),0)),0)+IF(Element_Stiffness!$C$41,IF(Element_Stiffness!$C$40=0,IF(6=Element_Stiffness!$C$40,Element_Stiffness!R66,IF(6=Element_Stiffness!$E$40,Element_Stiffness!X66,0)),IF(Element_Stiffness!$E$40=0,IF(6=Element_Stiffness!$C$40,Element_Stiffness!R72,IF(6=Element_Stiffness!$E$40,Element_Stiffness!X72,0)),0)),0)+IF(Element_Stiffness!$C$76,IF(Element_Stiffness!$C$75=0,IF(6=Element_Stiffness!$C$75,Element_Stiffness!R101,IF(6=Element_Stiffness!$E$75,Element_Stiffness!X101,0)),IF(Element_Stiffness!$E$75=0,IF(6=Element_Stiffness!$C$75,Element_Stiffness!R107,IF(6=Element_Stiffness!$E$75,Element_Stiffness!X107,0)),0)),0)+IF(Element_Stiffness!$C$111,IF(Element_Stiffness!$C$110=0,IF(6=Element_Stiffness!$C$110,Element_Stiffness!R136,IF(6=Element_Stiffness!$E$110,Element_Stiffness!X136,0)),IF(Element_Stiffness!$E$110=0,IF(6=Element_Stiffness!$C$110,Element_Stiffness!R142,IF(6=Element_Stiffness!$E$110,Element_Stiffness!X142,0)),0)),0)+IF(Element_Stiffness!$C$146,IF(Element_Stiffness!$C$145=0,IF(6=Element_Stiffness!$C$145,Element_Stiffness!R171,IF(6=Element_Stiffness!$E$145,Element_Stiffness!X171,0)),IF(Element_Stiffness!$E$145=0,IF(6=Element_Stiffness!$C$145,Element_Stiffness!R177,IF(6=Element_Stiffness!$E$145,Element_Stiffness!X177,0)),0)),0)+IF(Element_Stiffness!$C$181,IF(Element_Stiffness!$C$180=0,IF(6=Element_Stiffness!$C$180,Element_Stiffness!R206,IF(6=Element_Stiffness!$E$180,Element_Stiffness!X206,0)),IF(Element_Stiffness!$E$180=0,IF(6=Element_Stiffness!$C$180,Element_Stiffness!R212,IF(6=Element_Stiffness!$E$180,Element_Stiffness!X212,0)),0)),0)+IF(Element_Stiffness!$C$216,IF(Element_Stiffness!$C$215=0,IF(6=Element_Stiffness!$C$215,Element_Stiffness!R241,IF(6=Element_Stiffness!$E$215,Element_Stiffness!X241,0)),IF(Element_Stiffness!$E$215=0,IF(6=Element_Stiffness!$C$215,Element_Stiffness!R247,IF(6=Element_Stiffness!$E$215,Element_Stiffness!X247,0)),0)),0)</f>
        <v/>
      </c>
      <c r="AP10" s="21">
        <f>IF(Element_Stiffness!$C$6,IF(Element_Stiffness!$C$5=0,IF(6=Element_Stiffness!$C$5,Element_Stiffness!S31,IF(6=Element_Stiffness!$E$5,Element_Stiffness!Y31,0)),IF(Element_Stiffness!$E$5=0,IF(6=Element_Stiffness!$C$5,Element_Stiffness!S37,IF(6=Element_Stiffness!$E$5,Element_Stiffness!Y37,0)),0)),0)+IF(Element_Stiffness!$C$41,IF(Element_Stiffness!$C$40=0,IF(6=Element_Stiffness!$C$40,Element_Stiffness!S66,IF(6=Element_Stiffness!$E$40,Element_Stiffness!Y66,0)),IF(Element_Stiffness!$E$40=0,IF(6=Element_Stiffness!$C$40,Element_Stiffness!S72,IF(6=Element_Stiffness!$E$40,Element_Stiffness!Y72,0)),0)),0)+IF(Element_Stiffness!$C$76,IF(Element_Stiffness!$C$75=0,IF(6=Element_Stiffness!$C$75,Element_Stiffness!S101,IF(6=Element_Stiffness!$E$75,Element_Stiffness!Y101,0)),IF(Element_Stiffness!$E$75=0,IF(6=Element_Stiffness!$C$75,Element_Stiffness!S107,IF(6=Element_Stiffness!$E$75,Element_Stiffness!Y107,0)),0)),0)+IF(Element_Stiffness!$C$111,IF(Element_Stiffness!$C$110=0,IF(6=Element_Stiffness!$C$110,Element_Stiffness!S136,IF(6=Element_Stiffness!$E$110,Element_Stiffness!Y136,0)),IF(Element_Stiffness!$E$110=0,IF(6=Element_Stiffness!$C$110,Element_Stiffness!S142,IF(6=Element_Stiffness!$E$110,Element_Stiffness!Y142,0)),0)),0)+IF(Element_Stiffness!$C$146,IF(Element_Stiffness!$C$145=0,IF(6=Element_Stiffness!$C$145,Element_Stiffness!S171,IF(6=Element_Stiffness!$E$145,Element_Stiffness!Y171,0)),IF(Element_Stiffness!$E$145=0,IF(6=Element_Stiffness!$C$145,Element_Stiffness!S177,IF(6=Element_Stiffness!$E$145,Element_Stiffness!Y177,0)),0)),0)+IF(Element_Stiffness!$C$181,IF(Element_Stiffness!$C$180=0,IF(6=Element_Stiffness!$C$180,Element_Stiffness!S206,IF(6=Element_Stiffness!$E$180,Element_Stiffness!Y206,0)),IF(Element_Stiffness!$E$180=0,IF(6=Element_Stiffness!$C$180,Element_Stiffness!S212,IF(6=Element_Stiffness!$E$180,Element_Stiffness!Y212,0)),0)),0)+IF(Element_Stiffness!$C$216,IF(Element_Stiffness!$C$215=0,IF(6=Element_Stiffness!$C$215,Element_Stiffness!S241,IF(6=Element_Stiffness!$E$215,Element_Stiffness!Y241,0)),IF(Element_Stiffness!$E$215=0,IF(6=Element_Stiffness!$C$215,Element_Stiffness!S247,IF(6=Element_Stiffness!$E$215,Element_Stiffness!Y247,0)),0)),0)</f>
        <v/>
      </c>
      <c r="AQ10" s="21">
        <f>IF(Element_Stiffness!$C$6,IF(Element_Stiffness!$C$5=0,IF(6=Element_Stiffness!$C$5,Element_Stiffness!T31,IF(6=Element_Stiffness!$E$5,Element_Stiffness!Z31,0)),IF(Element_Stiffness!$E$5=0,IF(6=Element_Stiffness!$C$5,Element_Stiffness!T37,IF(6=Element_Stiffness!$E$5,Element_Stiffness!Z37,0)),0)),0)+IF(Element_Stiffness!$C$41,IF(Element_Stiffness!$C$40=0,IF(6=Element_Stiffness!$C$40,Element_Stiffness!T66,IF(6=Element_Stiffness!$E$40,Element_Stiffness!Z66,0)),IF(Element_Stiffness!$E$40=0,IF(6=Element_Stiffness!$C$40,Element_Stiffness!T72,IF(6=Element_Stiffness!$E$40,Element_Stiffness!Z72,0)),0)),0)+IF(Element_Stiffness!$C$76,IF(Element_Stiffness!$C$75=0,IF(6=Element_Stiffness!$C$75,Element_Stiffness!T101,IF(6=Element_Stiffness!$E$75,Element_Stiffness!Z101,0)),IF(Element_Stiffness!$E$75=0,IF(6=Element_Stiffness!$C$75,Element_Stiffness!T107,IF(6=Element_Stiffness!$E$75,Element_Stiffness!Z107,0)),0)),0)+IF(Element_Stiffness!$C$111,IF(Element_Stiffness!$C$110=0,IF(6=Element_Stiffness!$C$110,Element_Stiffness!T136,IF(6=Element_Stiffness!$E$110,Element_Stiffness!Z136,0)),IF(Element_Stiffness!$E$110=0,IF(6=Element_Stiffness!$C$110,Element_Stiffness!T142,IF(6=Element_Stiffness!$E$110,Element_Stiffness!Z142,0)),0)),0)+IF(Element_Stiffness!$C$146,IF(Element_Stiffness!$C$145=0,IF(6=Element_Stiffness!$C$145,Element_Stiffness!T171,IF(6=Element_Stiffness!$E$145,Element_Stiffness!Z171,0)),IF(Element_Stiffness!$E$145=0,IF(6=Element_Stiffness!$C$145,Element_Stiffness!T177,IF(6=Element_Stiffness!$E$145,Element_Stiffness!Z177,0)),0)),0)+IF(Element_Stiffness!$C$181,IF(Element_Stiffness!$C$180=0,IF(6=Element_Stiffness!$C$180,Element_Stiffness!T206,IF(6=Element_Stiffness!$E$180,Element_Stiffness!Z206,0)),IF(Element_Stiffness!$E$180=0,IF(6=Element_Stiffness!$C$180,Element_Stiffness!T212,IF(6=Element_Stiffness!$E$180,Element_Stiffness!Z212,0)),0)),0)+IF(Element_Stiffness!$C$216,IF(Element_Stiffness!$C$215=0,IF(6=Element_Stiffness!$C$215,Element_Stiffness!T241,IF(6=Element_Stiffness!$E$215,Element_Stiffness!Z241,0)),IF(Element_Stiffness!$E$215=0,IF(6=Element_Stiffness!$C$215,Element_Stiffness!T247,IF(6=Element_Stiffness!$E$215,Element_Stiffness!Z247,0)),0)),0)</f>
        <v/>
      </c>
      <c r="AR10" s="21">
        <f>IF(Element_Stiffness!$C$6,IF(Element_Stiffness!$C$5=0,IF(6=Element_Stiffness!$C$5,Element_Stiffness!U31,IF(6=Element_Stiffness!$E$5,Element_Stiffness!AA31,0)),IF(Element_Stiffness!$E$5=0,IF(6=Element_Stiffness!$C$5,Element_Stiffness!U37,IF(6=Element_Stiffness!$E$5,Element_Stiffness!AA37,0)),0)),0)+IF(Element_Stiffness!$C$41,IF(Element_Stiffness!$C$40=0,IF(6=Element_Stiffness!$C$40,Element_Stiffness!U66,IF(6=Element_Stiffness!$E$40,Element_Stiffness!AA66,0)),IF(Element_Stiffness!$E$40=0,IF(6=Element_Stiffness!$C$40,Element_Stiffness!U72,IF(6=Element_Stiffness!$E$40,Element_Stiffness!AA72,0)),0)),0)+IF(Element_Stiffness!$C$76,IF(Element_Stiffness!$C$75=0,IF(6=Element_Stiffness!$C$75,Element_Stiffness!U101,IF(6=Element_Stiffness!$E$75,Element_Stiffness!AA101,0)),IF(Element_Stiffness!$E$75=0,IF(6=Element_Stiffness!$C$75,Element_Stiffness!U107,IF(6=Element_Stiffness!$E$75,Element_Stiffness!AA107,0)),0)),0)+IF(Element_Stiffness!$C$111,IF(Element_Stiffness!$C$110=0,IF(6=Element_Stiffness!$C$110,Element_Stiffness!U136,IF(6=Element_Stiffness!$E$110,Element_Stiffness!AA136,0)),IF(Element_Stiffness!$E$110=0,IF(6=Element_Stiffness!$C$110,Element_Stiffness!U142,IF(6=Element_Stiffness!$E$110,Element_Stiffness!AA142,0)),0)),0)+IF(Element_Stiffness!$C$146,IF(Element_Stiffness!$C$145=0,IF(6=Element_Stiffness!$C$145,Element_Stiffness!U171,IF(6=Element_Stiffness!$E$145,Element_Stiffness!AA171,0)),IF(Element_Stiffness!$E$145=0,IF(6=Element_Stiffness!$C$145,Element_Stiffness!U177,IF(6=Element_Stiffness!$E$145,Element_Stiffness!AA177,0)),0)),0)+IF(Element_Stiffness!$C$181,IF(Element_Stiffness!$C$180=0,IF(6=Element_Stiffness!$C$180,Element_Stiffness!U206,IF(6=Element_Stiffness!$E$180,Element_Stiffness!AA206,0)),IF(Element_Stiffness!$E$180=0,IF(6=Element_Stiffness!$C$180,Element_Stiffness!U212,IF(6=Element_Stiffness!$E$180,Element_Stiffness!AA212,0)),0)),0)+IF(Element_Stiffness!$C$216,IF(Element_Stiffness!$C$215=0,IF(6=Element_Stiffness!$C$215,Element_Stiffness!U241,IF(6=Element_Stiffness!$E$215,Element_Stiffness!AA241,0)),IF(Element_Stiffness!$E$215=0,IF(6=Element_Stiffness!$C$215,Element_Stiffness!U247,IF(6=Element_Stiffness!$E$215,Element_Stiffness!AA247,0)),0)),0)</f>
        <v/>
      </c>
      <c r="AS10" s="21">
        <f>IF(Element_Stiffness!$C$6,IF(Element_Stiffness!$C$5=0,IF(7=Element_Stiffness!$C$5,Element_Stiffness!P31,IF(7=Element_Stiffness!$E$5,Element_Stiffness!V31,0)),IF(Element_Stiffness!$E$5=0,IF(7=Element_Stiffness!$C$5,Element_Stiffness!P37,IF(7=Element_Stiffness!$E$5,Element_Stiffness!V37,0)),0)),0)+IF(Element_Stiffness!$C$41,IF(Element_Stiffness!$C$40=0,IF(7=Element_Stiffness!$C$40,Element_Stiffness!P66,IF(7=Element_Stiffness!$E$40,Element_Stiffness!V66,0)),IF(Element_Stiffness!$E$40=0,IF(7=Element_Stiffness!$C$40,Element_Stiffness!P72,IF(7=Element_Stiffness!$E$40,Element_Stiffness!V72,0)),0)),0)+IF(Element_Stiffness!$C$76,IF(Element_Stiffness!$C$75=0,IF(7=Element_Stiffness!$C$75,Element_Stiffness!P101,IF(7=Element_Stiffness!$E$75,Element_Stiffness!V101,0)),IF(Element_Stiffness!$E$75=0,IF(7=Element_Stiffness!$C$75,Element_Stiffness!P107,IF(7=Element_Stiffness!$E$75,Element_Stiffness!V107,0)),0)),0)+IF(Element_Stiffness!$C$111,IF(Element_Stiffness!$C$110=0,IF(7=Element_Stiffness!$C$110,Element_Stiffness!P136,IF(7=Element_Stiffness!$E$110,Element_Stiffness!V136,0)),IF(Element_Stiffness!$E$110=0,IF(7=Element_Stiffness!$C$110,Element_Stiffness!P142,IF(7=Element_Stiffness!$E$110,Element_Stiffness!V142,0)),0)),0)+IF(Element_Stiffness!$C$146,IF(Element_Stiffness!$C$145=0,IF(7=Element_Stiffness!$C$145,Element_Stiffness!P171,IF(7=Element_Stiffness!$E$145,Element_Stiffness!V171,0)),IF(Element_Stiffness!$E$145=0,IF(7=Element_Stiffness!$C$145,Element_Stiffness!P177,IF(7=Element_Stiffness!$E$145,Element_Stiffness!V177,0)),0)),0)+IF(Element_Stiffness!$C$181,IF(Element_Stiffness!$C$180=0,IF(7=Element_Stiffness!$C$180,Element_Stiffness!P206,IF(7=Element_Stiffness!$E$180,Element_Stiffness!V206,0)),IF(Element_Stiffness!$E$180=0,IF(7=Element_Stiffness!$C$180,Element_Stiffness!P212,IF(7=Element_Stiffness!$E$180,Element_Stiffness!V212,0)),0)),0)+IF(Element_Stiffness!$C$216,IF(Element_Stiffness!$C$215=0,IF(7=Element_Stiffness!$C$215,Element_Stiffness!P241,IF(7=Element_Stiffness!$E$215,Element_Stiffness!V241,0)),IF(Element_Stiffness!$E$215=0,IF(7=Element_Stiffness!$C$215,Element_Stiffness!P247,IF(7=Element_Stiffness!$E$215,Element_Stiffness!V247,0)),0)),0)</f>
        <v/>
      </c>
      <c r="AT10" s="21">
        <f>IF(Element_Stiffness!$C$6,IF(Element_Stiffness!$C$5=0,IF(7=Element_Stiffness!$C$5,Element_Stiffness!Q31,IF(7=Element_Stiffness!$E$5,Element_Stiffness!W31,0)),IF(Element_Stiffness!$E$5=0,IF(7=Element_Stiffness!$C$5,Element_Stiffness!Q37,IF(7=Element_Stiffness!$E$5,Element_Stiffness!W37,0)),0)),0)+IF(Element_Stiffness!$C$41,IF(Element_Stiffness!$C$40=0,IF(7=Element_Stiffness!$C$40,Element_Stiffness!Q66,IF(7=Element_Stiffness!$E$40,Element_Stiffness!W66,0)),IF(Element_Stiffness!$E$40=0,IF(7=Element_Stiffness!$C$40,Element_Stiffness!Q72,IF(7=Element_Stiffness!$E$40,Element_Stiffness!W72,0)),0)),0)+IF(Element_Stiffness!$C$76,IF(Element_Stiffness!$C$75=0,IF(7=Element_Stiffness!$C$75,Element_Stiffness!Q101,IF(7=Element_Stiffness!$E$75,Element_Stiffness!W101,0)),IF(Element_Stiffness!$E$75=0,IF(7=Element_Stiffness!$C$75,Element_Stiffness!Q107,IF(7=Element_Stiffness!$E$75,Element_Stiffness!W107,0)),0)),0)+IF(Element_Stiffness!$C$111,IF(Element_Stiffness!$C$110=0,IF(7=Element_Stiffness!$C$110,Element_Stiffness!Q136,IF(7=Element_Stiffness!$E$110,Element_Stiffness!W136,0)),IF(Element_Stiffness!$E$110=0,IF(7=Element_Stiffness!$C$110,Element_Stiffness!Q142,IF(7=Element_Stiffness!$E$110,Element_Stiffness!W142,0)),0)),0)+IF(Element_Stiffness!$C$146,IF(Element_Stiffness!$C$145=0,IF(7=Element_Stiffness!$C$145,Element_Stiffness!Q171,IF(7=Element_Stiffness!$E$145,Element_Stiffness!W171,0)),IF(Element_Stiffness!$E$145=0,IF(7=Element_Stiffness!$C$145,Element_Stiffness!Q177,IF(7=Element_Stiffness!$E$145,Element_Stiffness!W177,0)),0)),0)+IF(Element_Stiffness!$C$181,IF(Element_Stiffness!$C$180=0,IF(7=Element_Stiffness!$C$180,Element_Stiffness!Q206,IF(7=Element_Stiffness!$E$180,Element_Stiffness!W206,0)),IF(Element_Stiffness!$E$180=0,IF(7=Element_Stiffness!$C$180,Element_Stiffness!Q212,IF(7=Element_Stiffness!$E$180,Element_Stiffness!W212,0)),0)),0)+IF(Element_Stiffness!$C$216,IF(Element_Stiffness!$C$215=0,IF(7=Element_Stiffness!$C$215,Element_Stiffness!Q241,IF(7=Element_Stiffness!$E$215,Element_Stiffness!W241,0)),IF(Element_Stiffness!$E$215=0,IF(7=Element_Stiffness!$C$215,Element_Stiffness!Q247,IF(7=Element_Stiffness!$E$215,Element_Stiffness!W247,0)),0)),0)</f>
        <v/>
      </c>
      <c r="AU10" s="21">
        <f>IF(Element_Stiffness!$C$6,IF(Element_Stiffness!$C$5=0,IF(7=Element_Stiffness!$C$5,Element_Stiffness!R31,IF(7=Element_Stiffness!$E$5,Element_Stiffness!X31,0)),IF(Element_Stiffness!$E$5=0,IF(7=Element_Stiffness!$C$5,Element_Stiffness!R37,IF(7=Element_Stiffness!$E$5,Element_Stiffness!X37,0)),0)),0)+IF(Element_Stiffness!$C$41,IF(Element_Stiffness!$C$40=0,IF(7=Element_Stiffness!$C$40,Element_Stiffness!R66,IF(7=Element_Stiffness!$E$40,Element_Stiffness!X66,0)),IF(Element_Stiffness!$E$40=0,IF(7=Element_Stiffness!$C$40,Element_Stiffness!R72,IF(7=Element_Stiffness!$E$40,Element_Stiffness!X72,0)),0)),0)+IF(Element_Stiffness!$C$76,IF(Element_Stiffness!$C$75=0,IF(7=Element_Stiffness!$C$75,Element_Stiffness!R101,IF(7=Element_Stiffness!$E$75,Element_Stiffness!X101,0)),IF(Element_Stiffness!$E$75=0,IF(7=Element_Stiffness!$C$75,Element_Stiffness!R107,IF(7=Element_Stiffness!$E$75,Element_Stiffness!X107,0)),0)),0)+IF(Element_Stiffness!$C$111,IF(Element_Stiffness!$C$110=0,IF(7=Element_Stiffness!$C$110,Element_Stiffness!R136,IF(7=Element_Stiffness!$E$110,Element_Stiffness!X136,0)),IF(Element_Stiffness!$E$110=0,IF(7=Element_Stiffness!$C$110,Element_Stiffness!R142,IF(7=Element_Stiffness!$E$110,Element_Stiffness!X142,0)),0)),0)+IF(Element_Stiffness!$C$146,IF(Element_Stiffness!$C$145=0,IF(7=Element_Stiffness!$C$145,Element_Stiffness!R171,IF(7=Element_Stiffness!$E$145,Element_Stiffness!X171,0)),IF(Element_Stiffness!$E$145=0,IF(7=Element_Stiffness!$C$145,Element_Stiffness!R177,IF(7=Element_Stiffness!$E$145,Element_Stiffness!X177,0)),0)),0)+IF(Element_Stiffness!$C$181,IF(Element_Stiffness!$C$180=0,IF(7=Element_Stiffness!$C$180,Element_Stiffness!R206,IF(7=Element_Stiffness!$E$180,Element_Stiffness!X206,0)),IF(Element_Stiffness!$E$180=0,IF(7=Element_Stiffness!$C$180,Element_Stiffness!R212,IF(7=Element_Stiffness!$E$180,Element_Stiffness!X212,0)),0)),0)+IF(Element_Stiffness!$C$216,IF(Element_Stiffness!$C$215=0,IF(7=Element_Stiffness!$C$215,Element_Stiffness!R241,IF(7=Element_Stiffness!$E$215,Element_Stiffness!X241,0)),IF(Element_Stiffness!$E$215=0,IF(7=Element_Stiffness!$C$215,Element_Stiffness!R247,IF(7=Element_Stiffness!$E$215,Element_Stiffness!X247,0)),0)),0)</f>
        <v/>
      </c>
      <c r="AV10" s="21">
        <f>IF(Element_Stiffness!$C$6,IF(Element_Stiffness!$C$5=0,IF(7=Element_Stiffness!$C$5,Element_Stiffness!S31,IF(7=Element_Stiffness!$E$5,Element_Stiffness!Y31,0)),IF(Element_Stiffness!$E$5=0,IF(7=Element_Stiffness!$C$5,Element_Stiffness!S37,IF(7=Element_Stiffness!$E$5,Element_Stiffness!Y37,0)),0)),0)+IF(Element_Stiffness!$C$41,IF(Element_Stiffness!$C$40=0,IF(7=Element_Stiffness!$C$40,Element_Stiffness!S66,IF(7=Element_Stiffness!$E$40,Element_Stiffness!Y66,0)),IF(Element_Stiffness!$E$40=0,IF(7=Element_Stiffness!$C$40,Element_Stiffness!S72,IF(7=Element_Stiffness!$E$40,Element_Stiffness!Y72,0)),0)),0)+IF(Element_Stiffness!$C$76,IF(Element_Stiffness!$C$75=0,IF(7=Element_Stiffness!$C$75,Element_Stiffness!S101,IF(7=Element_Stiffness!$E$75,Element_Stiffness!Y101,0)),IF(Element_Stiffness!$E$75=0,IF(7=Element_Stiffness!$C$75,Element_Stiffness!S107,IF(7=Element_Stiffness!$E$75,Element_Stiffness!Y107,0)),0)),0)+IF(Element_Stiffness!$C$111,IF(Element_Stiffness!$C$110=0,IF(7=Element_Stiffness!$C$110,Element_Stiffness!S136,IF(7=Element_Stiffness!$E$110,Element_Stiffness!Y136,0)),IF(Element_Stiffness!$E$110=0,IF(7=Element_Stiffness!$C$110,Element_Stiffness!S142,IF(7=Element_Stiffness!$E$110,Element_Stiffness!Y142,0)),0)),0)+IF(Element_Stiffness!$C$146,IF(Element_Stiffness!$C$145=0,IF(7=Element_Stiffness!$C$145,Element_Stiffness!S171,IF(7=Element_Stiffness!$E$145,Element_Stiffness!Y171,0)),IF(Element_Stiffness!$E$145=0,IF(7=Element_Stiffness!$C$145,Element_Stiffness!S177,IF(7=Element_Stiffness!$E$145,Element_Stiffness!Y177,0)),0)),0)+IF(Element_Stiffness!$C$181,IF(Element_Stiffness!$C$180=0,IF(7=Element_Stiffness!$C$180,Element_Stiffness!S206,IF(7=Element_Stiffness!$E$180,Element_Stiffness!Y206,0)),IF(Element_Stiffness!$E$180=0,IF(7=Element_Stiffness!$C$180,Element_Stiffness!S212,IF(7=Element_Stiffness!$E$180,Element_Stiffness!Y212,0)),0)),0)+IF(Element_Stiffness!$C$216,IF(Element_Stiffness!$C$215=0,IF(7=Element_Stiffness!$C$215,Element_Stiffness!S241,IF(7=Element_Stiffness!$E$215,Element_Stiffness!Y241,0)),IF(Element_Stiffness!$E$215=0,IF(7=Element_Stiffness!$C$215,Element_Stiffness!S247,IF(7=Element_Stiffness!$E$215,Element_Stiffness!Y247,0)),0)),0)</f>
        <v/>
      </c>
      <c r="AW10" s="21">
        <f>IF(Element_Stiffness!$C$6,IF(Element_Stiffness!$C$5=0,IF(7=Element_Stiffness!$C$5,Element_Stiffness!T31,IF(7=Element_Stiffness!$E$5,Element_Stiffness!Z31,0)),IF(Element_Stiffness!$E$5=0,IF(7=Element_Stiffness!$C$5,Element_Stiffness!T37,IF(7=Element_Stiffness!$E$5,Element_Stiffness!Z37,0)),0)),0)+IF(Element_Stiffness!$C$41,IF(Element_Stiffness!$C$40=0,IF(7=Element_Stiffness!$C$40,Element_Stiffness!T66,IF(7=Element_Stiffness!$E$40,Element_Stiffness!Z66,0)),IF(Element_Stiffness!$E$40=0,IF(7=Element_Stiffness!$C$40,Element_Stiffness!T72,IF(7=Element_Stiffness!$E$40,Element_Stiffness!Z72,0)),0)),0)+IF(Element_Stiffness!$C$76,IF(Element_Stiffness!$C$75=0,IF(7=Element_Stiffness!$C$75,Element_Stiffness!T101,IF(7=Element_Stiffness!$E$75,Element_Stiffness!Z101,0)),IF(Element_Stiffness!$E$75=0,IF(7=Element_Stiffness!$C$75,Element_Stiffness!T107,IF(7=Element_Stiffness!$E$75,Element_Stiffness!Z107,0)),0)),0)+IF(Element_Stiffness!$C$111,IF(Element_Stiffness!$C$110=0,IF(7=Element_Stiffness!$C$110,Element_Stiffness!T136,IF(7=Element_Stiffness!$E$110,Element_Stiffness!Z136,0)),IF(Element_Stiffness!$E$110=0,IF(7=Element_Stiffness!$C$110,Element_Stiffness!T142,IF(7=Element_Stiffness!$E$110,Element_Stiffness!Z142,0)),0)),0)+IF(Element_Stiffness!$C$146,IF(Element_Stiffness!$C$145=0,IF(7=Element_Stiffness!$C$145,Element_Stiffness!T171,IF(7=Element_Stiffness!$E$145,Element_Stiffness!Z171,0)),IF(Element_Stiffness!$E$145=0,IF(7=Element_Stiffness!$C$145,Element_Stiffness!T177,IF(7=Element_Stiffness!$E$145,Element_Stiffness!Z177,0)),0)),0)+IF(Element_Stiffness!$C$181,IF(Element_Stiffness!$C$180=0,IF(7=Element_Stiffness!$C$180,Element_Stiffness!T206,IF(7=Element_Stiffness!$E$180,Element_Stiffness!Z206,0)),IF(Element_Stiffness!$E$180=0,IF(7=Element_Stiffness!$C$180,Element_Stiffness!T212,IF(7=Element_Stiffness!$E$180,Element_Stiffness!Z212,0)),0)),0)+IF(Element_Stiffness!$C$216,IF(Element_Stiffness!$C$215=0,IF(7=Element_Stiffness!$C$215,Element_Stiffness!T241,IF(7=Element_Stiffness!$E$215,Element_Stiffness!Z241,0)),IF(Element_Stiffness!$E$215=0,IF(7=Element_Stiffness!$C$215,Element_Stiffness!T247,IF(7=Element_Stiffness!$E$215,Element_Stiffness!Z247,0)),0)),0)</f>
        <v/>
      </c>
      <c r="AX10" s="21">
        <f>IF(Element_Stiffness!$C$6,IF(Element_Stiffness!$C$5=0,IF(7=Element_Stiffness!$C$5,Element_Stiffness!U31,IF(7=Element_Stiffness!$E$5,Element_Stiffness!AA31,0)),IF(Element_Stiffness!$E$5=0,IF(7=Element_Stiffness!$C$5,Element_Stiffness!U37,IF(7=Element_Stiffness!$E$5,Element_Stiffness!AA37,0)),0)),0)+IF(Element_Stiffness!$C$41,IF(Element_Stiffness!$C$40=0,IF(7=Element_Stiffness!$C$40,Element_Stiffness!U66,IF(7=Element_Stiffness!$E$40,Element_Stiffness!AA66,0)),IF(Element_Stiffness!$E$40=0,IF(7=Element_Stiffness!$C$40,Element_Stiffness!U72,IF(7=Element_Stiffness!$E$40,Element_Stiffness!AA72,0)),0)),0)+IF(Element_Stiffness!$C$76,IF(Element_Stiffness!$C$75=0,IF(7=Element_Stiffness!$C$75,Element_Stiffness!U101,IF(7=Element_Stiffness!$E$75,Element_Stiffness!AA101,0)),IF(Element_Stiffness!$E$75=0,IF(7=Element_Stiffness!$C$75,Element_Stiffness!U107,IF(7=Element_Stiffness!$E$75,Element_Stiffness!AA107,0)),0)),0)+IF(Element_Stiffness!$C$111,IF(Element_Stiffness!$C$110=0,IF(7=Element_Stiffness!$C$110,Element_Stiffness!U136,IF(7=Element_Stiffness!$E$110,Element_Stiffness!AA136,0)),IF(Element_Stiffness!$E$110=0,IF(7=Element_Stiffness!$C$110,Element_Stiffness!U142,IF(7=Element_Stiffness!$E$110,Element_Stiffness!AA142,0)),0)),0)+IF(Element_Stiffness!$C$146,IF(Element_Stiffness!$C$145=0,IF(7=Element_Stiffness!$C$145,Element_Stiffness!U171,IF(7=Element_Stiffness!$E$145,Element_Stiffness!AA171,0)),IF(Element_Stiffness!$E$145=0,IF(7=Element_Stiffness!$C$145,Element_Stiffness!U177,IF(7=Element_Stiffness!$E$145,Element_Stiffness!AA177,0)),0)),0)+IF(Element_Stiffness!$C$181,IF(Element_Stiffness!$C$180=0,IF(7=Element_Stiffness!$C$180,Element_Stiffness!U206,IF(7=Element_Stiffness!$E$180,Element_Stiffness!AA206,0)),IF(Element_Stiffness!$E$180=0,IF(7=Element_Stiffness!$C$180,Element_Stiffness!U212,IF(7=Element_Stiffness!$E$180,Element_Stiffness!AA212,0)),0)),0)+IF(Element_Stiffness!$C$216,IF(Element_Stiffness!$C$215=0,IF(7=Element_Stiffness!$C$215,Element_Stiffness!U241,IF(7=Element_Stiffness!$E$215,Element_Stiffness!AA241,0)),IF(Element_Stiffness!$E$215=0,IF(7=Element_Stiffness!$C$215,Element_Stiffness!U247,IF(7=Element_Stiffness!$E$215,Element_Stiffness!AA247,0)),0)),0)</f>
        <v/>
      </c>
      <c r="AY10" s="21" t="n">
        <v>0</v>
      </c>
      <c r="AZ10" s="21">
        <f>IF(Element_Stiffness!$C$6,IF(Element_Stiffness!$C$5=0,Element_Stiffness!C31,IF(Element_Stiffness!$E$5=0,Element_Stiffness!C37,0)),0)+IF(Element_Stiffness!$C$41,IF(Element_Stiffness!$C$40=0,Element_Stiffness!C66,IF(Element_Stiffness!$E$40=0,Element_Stiffness!C72,0)),0)+IF(Element_Stiffness!$C$76,IF(Element_Stiffness!$C$75=0,Element_Stiffness!C101,IF(Element_Stiffness!$E$75=0,Element_Stiffness!C107,0)),0)+IF(Element_Stiffness!$C$111,IF(Element_Stiffness!$C$110=0,Element_Stiffness!C136,IF(Element_Stiffness!$E$110=0,Element_Stiffness!C142,0)),0)+IF(Element_Stiffness!$C$146,IF(Element_Stiffness!$C$145=0,Element_Stiffness!C171,IF(Element_Stiffness!$E$145=0,Element_Stiffness!C177,0)),0)+IF(Element_Stiffness!$C$181,IF(Element_Stiffness!$C$180=0,Element_Stiffness!C206,IF(Element_Stiffness!$E$180=0,Element_Stiffness!C212,0)),0)+IF(Element_Stiffness!$C$216,IF(Element_Stiffness!$C$215=0,Element_Stiffness!C241,IF(Element_Stiffness!$E$215=0,Element_Stiffness!C247,0)),0)</f>
        <v/>
      </c>
      <c r="BB10" s="28">
        <f>INDEX(MMULT(MINVERSE(C5:AX52), AY5:AY52), 6, 1)</f>
        <v/>
      </c>
      <c r="BC10" s="28">
        <f>INDEX(MMULT(MINVERSE(C5:AX52), AZ5:AZ52), 6, 1)</f>
        <v/>
      </c>
    </row>
    <row r="11">
      <c r="B11" s="27" t="inlineStr">
        <is>
          <t>N1_tx</t>
        </is>
      </c>
      <c r="C11" s="21">
        <f>IF(Element_Stiffness!$C$6,IF(Element_Stiffness!$C$5=1,IF(0=Element_Stiffness!$C$5,Element_Stiffness!P26,IF(0=Element_Stiffness!$E$5,Element_Stiffness!V26,0)),IF(Element_Stiffness!$E$5=1,IF(0=Element_Stiffness!$C$5,Element_Stiffness!P32,IF(0=Element_Stiffness!$E$5,Element_Stiffness!V32,0)),0)),0)+IF(Element_Stiffness!$C$41,IF(Element_Stiffness!$C$40=1,IF(0=Element_Stiffness!$C$40,Element_Stiffness!P61,IF(0=Element_Stiffness!$E$40,Element_Stiffness!V61,0)),IF(Element_Stiffness!$E$40=1,IF(0=Element_Stiffness!$C$40,Element_Stiffness!P67,IF(0=Element_Stiffness!$E$40,Element_Stiffness!V67,0)),0)),0)+IF(Element_Stiffness!$C$76,IF(Element_Stiffness!$C$75=1,IF(0=Element_Stiffness!$C$75,Element_Stiffness!P96,IF(0=Element_Stiffness!$E$75,Element_Stiffness!V96,0)),IF(Element_Stiffness!$E$75=1,IF(0=Element_Stiffness!$C$75,Element_Stiffness!P102,IF(0=Element_Stiffness!$E$75,Element_Stiffness!V102,0)),0)),0)+IF(Element_Stiffness!$C$111,IF(Element_Stiffness!$C$110=1,IF(0=Element_Stiffness!$C$110,Element_Stiffness!P131,IF(0=Element_Stiffness!$E$110,Element_Stiffness!V131,0)),IF(Element_Stiffness!$E$110=1,IF(0=Element_Stiffness!$C$110,Element_Stiffness!P137,IF(0=Element_Stiffness!$E$110,Element_Stiffness!V137,0)),0)),0)+IF(Element_Stiffness!$C$146,IF(Element_Stiffness!$C$145=1,IF(0=Element_Stiffness!$C$145,Element_Stiffness!P166,IF(0=Element_Stiffness!$E$145,Element_Stiffness!V166,0)),IF(Element_Stiffness!$E$145=1,IF(0=Element_Stiffness!$C$145,Element_Stiffness!P172,IF(0=Element_Stiffness!$E$145,Element_Stiffness!V172,0)),0)),0)+IF(Element_Stiffness!$C$181,IF(Element_Stiffness!$C$180=1,IF(0=Element_Stiffness!$C$180,Element_Stiffness!P201,IF(0=Element_Stiffness!$E$180,Element_Stiffness!V201,0)),IF(Element_Stiffness!$E$180=1,IF(0=Element_Stiffness!$C$180,Element_Stiffness!P207,IF(0=Element_Stiffness!$E$180,Element_Stiffness!V207,0)),0)),0)+IF(Element_Stiffness!$C$216,IF(Element_Stiffness!$C$215=1,IF(0=Element_Stiffness!$C$215,Element_Stiffness!P236,IF(0=Element_Stiffness!$E$215,Element_Stiffness!V236,0)),IF(Element_Stiffness!$E$215=1,IF(0=Element_Stiffness!$C$215,Element_Stiffness!P242,IF(0=Element_Stiffness!$E$215,Element_Stiffness!V242,0)),0)),0)</f>
        <v/>
      </c>
      <c r="D11" s="21">
        <f>IF(Element_Stiffness!$C$6,IF(Element_Stiffness!$C$5=1,IF(0=Element_Stiffness!$C$5,Element_Stiffness!Q26,IF(0=Element_Stiffness!$E$5,Element_Stiffness!W26,0)),IF(Element_Stiffness!$E$5=1,IF(0=Element_Stiffness!$C$5,Element_Stiffness!Q32,IF(0=Element_Stiffness!$E$5,Element_Stiffness!W32,0)),0)),0)+IF(Element_Stiffness!$C$41,IF(Element_Stiffness!$C$40=1,IF(0=Element_Stiffness!$C$40,Element_Stiffness!Q61,IF(0=Element_Stiffness!$E$40,Element_Stiffness!W61,0)),IF(Element_Stiffness!$E$40=1,IF(0=Element_Stiffness!$C$40,Element_Stiffness!Q67,IF(0=Element_Stiffness!$E$40,Element_Stiffness!W67,0)),0)),0)+IF(Element_Stiffness!$C$76,IF(Element_Stiffness!$C$75=1,IF(0=Element_Stiffness!$C$75,Element_Stiffness!Q96,IF(0=Element_Stiffness!$E$75,Element_Stiffness!W96,0)),IF(Element_Stiffness!$E$75=1,IF(0=Element_Stiffness!$C$75,Element_Stiffness!Q102,IF(0=Element_Stiffness!$E$75,Element_Stiffness!W102,0)),0)),0)+IF(Element_Stiffness!$C$111,IF(Element_Stiffness!$C$110=1,IF(0=Element_Stiffness!$C$110,Element_Stiffness!Q131,IF(0=Element_Stiffness!$E$110,Element_Stiffness!W131,0)),IF(Element_Stiffness!$E$110=1,IF(0=Element_Stiffness!$C$110,Element_Stiffness!Q137,IF(0=Element_Stiffness!$E$110,Element_Stiffness!W137,0)),0)),0)+IF(Element_Stiffness!$C$146,IF(Element_Stiffness!$C$145=1,IF(0=Element_Stiffness!$C$145,Element_Stiffness!Q166,IF(0=Element_Stiffness!$E$145,Element_Stiffness!W166,0)),IF(Element_Stiffness!$E$145=1,IF(0=Element_Stiffness!$C$145,Element_Stiffness!Q172,IF(0=Element_Stiffness!$E$145,Element_Stiffness!W172,0)),0)),0)+IF(Element_Stiffness!$C$181,IF(Element_Stiffness!$C$180=1,IF(0=Element_Stiffness!$C$180,Element_Stiffness!Q201,IF(0=Element_Stiffness!$E$180,Element_Stiffness!W201,0)),IF(Element_Stiffness!$E$180=1,IF(0=Element_Stiffness!$C$180,Element_Stiffness!Q207,IF(0=Element_Stiffness!$E$180,Element_Stiffness!W207,0)),0)),0)+IF(Element_Stiffness!$C$216,IF(Element_Stiffness!$C$215=1,IF(0=Element_Stiffness!$C$215,Element_Stiffness!Q236,IF(0=Element_Stiffness!$E$215,Element_Stiffness!W236,0)),IF(Element_Stiffness!$E$215=1,IF(0=Element_Stiffness!$C$215,Element_Stiffness!Q242,IF(0=Element_Stiffness!$E$215,Element_Stiffness!W242,0)),0)),0)</f>
        <v/>
      </c>
      <c r="E11" s="21">
        <f>IF(Element_Stiffness!$C$6,IF(Element_Stiffness!$C$5=1,IF(0=Element_Stiffness!$C$5,Element_Stiffness!R26,IF(0=Element_Stiffness!$E$5,Element_Stiffness!X26,0)),IF(Element_Stiffness!$E$5=1,IF(0=Element_Stiffness!$C$5,Element_Stiffness!R32,IF(0=Element_Stiffness!$E$5,Element_Stiffness!X32,0)),0)),0)+IF(Element_Stiffness!$C$41,IF(Element_Stiffness!$C$40=1,IF(0=Element_Stiffness!$C$40,Element_Stiffness!R61,IF(0=Element_Stiffness!$E$40,Element_Stiffness!X61,0)),IF(Element_Stiffness!$E$40=1,IF(0=Element_Stiffness!$C$40,Element_Stiffness!R67,IF(0=Element_Stiffness!$E$40,Element_Stiffness!X67,0)),0)),0)+IF(Element_Stiffness!$C$76,IF(Element_Stiffness!$C$75=1,IF(0=Element_Stiffness!$C$75,Element_Stiffness!R96,IF(0=Element_Stiffness!$E$75,Element_Stiffness!X96,0)),IF(Element_Stiffness!$E$75=1,IF(0=Element_Stiffness!$C$75,Element_Stiffness!R102,IF(0=Element_Stiffness!$E$75,Element_Stiffness!X102,0)),0)),0)+IF(Element_Stiffness!$C$111,IF(Element_Stiffness!$C$110=1,IF(0=Element_Stiffness!$C$110,Element_Stiffness!R131,IF(0=Element_Stiffness!$E$110,Element_Stiffness!X131,0)),IF(Element_Stiffness!$E$110=1,IF(0=Element_Stiffness!$C$110,Element_Stiffness!R137,IF(0=Element_Stiffness!$E$110,Element_Stiffness!X137,0)),0)),0)+IF(Element_Stiffness!$C$146,IF(Element_Stiffness!$C$145=1,IF(0=Element_Stiffness!$C$145,Element_Stiffness!R166,IF(0=Element_Stiffness!$E$145,Element_Stiffness!X166,0)),IF(Element_Stiffness!$E$145=1,IF(0=Element_Stiffness!$C$145,Element_Stiffness!R172,IF(0=Element_Stiffness!$E$145,Element_Stiffness!X172,0)),0)),0)+IF(Element_Stiffness!$C$181,IF(Element_Stiffness!$C$180=1,IF(0=Element_Stiffness!$C$180,Element_Stiffness!R201,IF(0=Element_Stiffness!$E$180,Element_Stiffness!X201,0)),IF(Element_Stiffness!$E$180=1,IF(0=Element_Stiffness!$C$180,Element_Stiffness!R207,IF(0=Element_Stiffness!$E$180,Element_Stiffness!X207,0)),0)),0)+IF(Element_Stiffness!$C$216,IF(Element_Stiffness!$C$215=1,IF(0=Element_Stiffness!$C$215,Element_Stiffness!R236,IF(0=Element_Stiffness!$E$215,Element_Stiffness!X236,0)),IF(Element_Stiffness!$E$215=1,IF(0=Element_Stiffness!$C$215,Element_Stiffness!R242,IF(0=Element_Stiffness!$E$215,Element_Stiffness!X242,0)),0)),0)</f>
        <v/>
      </c>
      <c r="F11" s="21">
        <f>IF(Element_Stiffness!$C$6,IF(Element_Stiffness!$C$5=1,IF(0=Element_Stiffness!$C$5,Element_Stiffness!S26,IF(0=Element_Stiffness!$E$5,Element_Stiffness!Y26,0)),IF(Element_Stiffness!$E$5=1,IF(0=Element_Stiffness!$C$5,Element_Stiffness!S32,IF(0=Element_Stiffness!$E$5,Element_Stiffness!Y32,0)),0)),0)+IF(Element_Stiffness!$C$41,IF(Element_Stiffness!$C$40=1,IF(0=Element_Stiffness!$C$40,Element_Stiffness!S61,IF(0=Element_Stiffness!$E$40,Element_Stiffness!Y61,0)),IF(Element_Stiffness!$E$40=1,IF(0=Element_Stiffness!$C$40,Element_Stiffness!S67,IF(0=Element_Stiffness!$E$40,Element_Stiffness!Y67,0)),0)),0)+IF(Element_Stiffness!$C$76,IF(Element_Stiffness!$C$75=1,IF(0=Element_Stiffness!$C$75,Element_Stiffness!S96,IF(0=Element_Stiffness!$E$75,Element_Stiffness!Y96,0)),IF(Element_Stiffness!$E$75=1,IF(0=Element_Stiffness!$C$75,Element_Stiffness!S102,IF(0=Element_Stiffness!$E$75,Element_Stiffness!Y102,0)),0)),0)+IF(Element_Stiffness!$C$111,IF(Element_Stiffness!$C$110=1,IF(0=Element_Stiffness!$C$110,Element_Stiffness!S131,IF(0=Element_Stiffness!$E$110,Element_Stiffness!Y131,0)),IF(Element_Stiffness!$E$110=1,IF(0=Element_Stiffness!$C$110,Element_Stiffness!S137,IF(0=Element_Stiffness!$E$110,Element_Stiffness!Y137,0)),0)),0)+IF(Element_Stiffness!$C$146,IF(Element_Stiffness!$C$145=1,IF(0=Element_Stiffness!$C$145,Element_Stiffness!S166,IF(0=Element_Stiffness!$E$145,Element_Stiffness!Y166,0)),IF(Element_Stiffness!$E$145=1,IF(0=Element_Stiffness!$C$145,Element_Stiffness!S172,IF(0=Element_Stiffness!$E$145,Element_Stiffness!Y172,0)),0)),0)+IF(Element_Stiffness!$C$181,IF(Element_Stiffness!$C$180=1,IF(0=Element_Stiffness!$C$180,Element_Stiffness!S201,IF(0=Element_Stiffness!$E$180,Element_Stiffness!Y201,0)),IF(Element_Stiffness!$E$180=1,IF(0=Element_Stiffness!$C$180,Element_Stiffness!S207,IF(0=Element_Stiffness!$E$180,Element_Stiffness!Y207,0)),0)),0)+IF(Element_Stiffness!$C$216,IF(Element_Stiffness!$C$215=1,IF(0=Element_Stiffness!$C$215,Element_Stiffness!S236,IF(0=Element_Stiffness!$E$215,Element_Stiffness!Y236,0)),IF(Element_Stiffness!$E$215=1,IF(0=Element_Stiffness!$C$215,Element_Stiffness!S242,IF(0=Element_Stiffness!$E$215,Element_Stiffness!Y242,0)),0)),0)</f>
        <v/>
      </c>
      <c r="G11" s="21">
        <f>IF(Element_Stiffness!$C$6,IF(Element_Stiffness!$C$5=1,IF(0=Element_Stiffness!$C$5,Element_Stiffness!T26,IF(0=Element_Stiffness!$E$5,Element_Stiffness!Z26,0)),IF(Element_Stiffness!$E$5=1,IF(0=Element_Stiffness!$C$5,Element_Stiffness!T32,IF(0=Element_Stiffness!$E$5,Element_Stiffness!Z32,0)),0)),0)+IF(Element_Stiffness!$C$41,IF(Element_Stiffness!$C$40=1,IF(0=Element_Stiffness!$C$40,Element_Stiffness!T61,IF(0=Element_Stiffness!$E$40,Element_Stiffness!Z61,0)),IF(Element_Stiffness!$E$40=1,IF(0=Element_Stiffness!$C$40,Element_Stiffness!T67,IF(0=Element_Stiffness!$E$40,Element_Stiffness!Z67,0)),0)),0)+IF(Element_Stiffness!$C$76,IF(Element_Stiffness!$C$75=1,IF(0=Element_Stiffness!$C$75,Element_Stiffness!T96,IF(0=Element_Stiffness!$E$75,Element_Stiffness!Z96,0)),IF(Element_Stiffness!$E$75=1,IF(0=Element_Stiffness!$C$75,Element_Stiffness!T102,IF(0=Element_Stiffness!$E$75,Element_Stiffness!Z102,0)),0)),0)+IF(Element_Stiffness!$C$111,IF(Element_Stiffness!$C$110=1,IF(0=Element_Stiffness!$C$110,Element_Stiffness!T131,IF(0=Element_Stiffness!$E$110,Element_Stiffness!Z131,0)),IF(Element_Stiffness!$E$110=1,IF(0=Element_Stiffness!$C$110,Element_Stiffness!T137,IF(0=Element_Stiffness!$E$110,Element_Stiffness!Z137,0)),0)),0)+IF(Element_Stiffness!$C$146,IF(Element_Stiffness!$C$145=1,IF(0=Element_Stiffness!$C$145,Element_Stiffness!T166,IF(0=Element_Stiffness!$E$145,Element_Stiffness!Z166,0)),IF(Element_Stiffness!$E$145=1,IF(0=Element_Stiffness!$C$145,Element_Stiffness!T172,IF(0=Element_Stiffness!$E$145,Element_Stiffness!Z172,0)),0)),0)+IF(Element_Stiffness!$C$181,IF(Element_Stiffness!$C$180=1,IF(0=Element_Stiffness!$C$180,Element_Stiffness!T201,IF(0=Element_Stiffness!$E$180,Element_Stiffness!Z201,0)),IF(Element_Stiffness!$E$180=1,IF(0=Element_Stiffness!$C$180,Element_Stiffness!T207,IF(0=Element_Stiffness!$E$180,Element_Stiffness!Z207,0)),0)),0)+IF(Element_Stiffness!$C$216,IF(Element_Stiffness!$C$215=1,IF(0=Element_Stiffness!$C$215,Element_Stiffness!T236,IF(0=Element_Stiffness!$E$215,Element_Stiffness!Z236,0)),IF(Element_Stiffness!$E$215=1,IF(0=Element_Stiffness!$C$215,Element_Stiffness!T242,IF(0=Element_Stiffness!$E$215,Element_Stiffness!Z242,0)),0)),0)</f>
        <v/>
      </c>
      <c r="H11" s="21">
        <f>IF(Element_Stiffness!$C$6,IF(Element_Stiffness!$C$5=1,IF(0=Element_Stiffness!$C$5,Element_Stiffness!U26,IF(0=Element_Stiffness!$E$5,Element_Stiffness!AA26,0)),IF(Element_Stiffness!$E$5=1,IF(0=Element_Stiffness!$C$5,Element_Stiffness!U32,IF(0=Element_Stiffness!$E$5,Element_Stiffness!AA32,0)),0)),0)+IF(Element_Stiffness!$C$41,IF(Element_Stiffness!$C$40=1,IF(0=Element_Stiffness!$C$40,Element_Stiffness!U61,IF(0=Element_Stiffness!$E$40,Element_Stiffness!AA61,0)),IF(Element_Stiffness!$E$40=1,IF(0=Element_Stiffness!$C$40,Element_Stiffness!U67,IF(0=Element_Stiffness!$E$40,Element_Stiffness!AA67,0)),0)),0)+IF(Element_Stiffness!$C$76,IF(Element_Stiffness!$C$75=1,IF(0=Element_Stiffness!$C$75,Element_Stiffness!U96,IF(0=Element_Stiffness!$E$75,Element_Stiffness!AA96,0)),IF(Element_Stiffness!$E$75=1,IF(0=Element_Stiffness!$C$75,Element_Stiffness!U102,IF(0=Element_Stiffness!$E$75,Element_Stiffness!AA102,0)),0)),0)+IF(Element_Stiffness!$C$111,IF(Element_Stiffness!$C$110=1,IF(0=Element_Stiffness!$C$110,Element_Stiffness!U131,IF(0=Element_Stiffness!$E$110,Element_Stiffness!AA131,0)),IF(Element_Stiffness!$E$110=1,IF(0=Element_Stiffness!$C$110,Element_Stiffness!U137,IF(0=Element_Stiffness!$E$110,Element_Stiffness!AA137,0)),0)),0)+IF(Element_Stiffness!$C$146,IF(Element_Stiffness!$C$145=1,IF(0=Element_Stiffness!$C$145,Element_Stiffness!U166,IF(0=Element_Stiffness!$E$145,Element_Stiffness!AA166,0)),IF(Element_Stiffness!$E$145=1,IF(0=Element_Stiffness!$C$145,Element_Stiffness!U172,IF(0=Element_Stiffness!$E$145,Element_Stiffness!AA172,0)),0)),0)+IF(Element_Stiffness!$C$181,IF(Element_Stiffness!$C$180=1,IF(0=Element_Stiffness!$C$180,Element_Stiffness!U201,IF(0=Element_Stiffness!$E$180,Element_Stiffness!AA201,0)),IF(Element_Stiffness!$E$180=1,IF(0=Element_Stiffness!$C$180,Element_Stiffness!U207,IF(0=Element_Stiffness!$E$180,Element_Stiffness!AA207,0)),0)),0)+IF(Element_Stiffness!$C$216,IF(Element_Stiffness!$C$215=1,IF(0=Element_Stiffness!$C$215,Element_Stiffness!U236,IF(0=Element_Stiffness!$E$215,Element_Stiffness!AA236,0)),IF(Element_Stiffness!$E$215=1,IF(0=Element_Stiffness!$C$215,Element_Stiffness!U242,IF(0=Element_Stiffness!$E$215,Element_Stiffness!AA242,0)),0)),0)</f>
        <v/>
      </c>
      <c r="I11" s="21">
        <f>IF(Element_Stiffness!$C$6,IF(Element_Stiffness!$C$5=1,IF(1=Element_Stiffness!$C$5,Element_Stiffness!P26,IF(1=Element_Stiffness!$E$5,Element_Stiffness!V26,0)),IF(Element_Stiffness!$E$5=1,IF(1=Element_Stiffness!$C$5,Element_Stiffness!P32,IF(1=Element_Stiffness!$E$5,Element_Stiffness!V32,0)),0)),0)+IF(Element_Stiffness!$C$41,IF(Element_Stiffness!$C$40=1,IF(1=Element_Stiffness!$C$40,Element_Stiffness!P61,IF(1=Element_Stiffness!$E$40,Element_Stiffness!V61,0)),IF(Element_Stiffness!$E$40=1,IF(1=Element_Stiffness!$C$40,Element_Stiffness!P67,IF(1=Element_Stiffness!$E$40,Element_Stiffness!V67,0)),0)),0)+IF(Element_Stiffness!$C$76,IF(Element_Stiffness!$C$75=1,IF(1=Element_Stiffness!$C$75,Element_Stiffness!P96,IF(1=Element_Stiffness!$E$75,Element_Stiffness!V96,0)),IF(Element_Stiffness!$E$75=1,IF(1=Element_Stiffness!$C$75,Element_Stiffness!P102,IF(1=Element_Stiffness!$E$75,Element_Stiffness!V102,0)),0)),0)+IF(Element_Stiffness!$C$111,IF(Element_Stiffness!$C$110=1,IF(1=Element_Stiffness!$C$110,Element_Stiffness!P131,IF(1=Element_Stiffness!$E$110,Element_Stiffness!V131,0)),IF(Element_Stiffness!$E$110=1,IF(1=Element_Stiffness!$C$110,Element_Stiffness!P137,IF(1=Element_Stiffness!$E$110,Element_Stiffness!V137,0)),0)),0)+IF(Element_Stiffness!$C$146,IF(Element_Stiffness!$C$145=1,IF(1=Element_Stiffness!$C$145,Element_Stiffness!P166,IF(1=Element_Stiffness!$E$145,Element_Stiffness!V166,0)),IF(Element_Stiffness!$E$145=1,IF(1=Element_Stiffness!$C$145,Element_Stiffness!P172,IF(1=Element_Stiffness!$E$145,Element_Stiffness!V172,0)),0)),0)+IF(Element_Stiffness!$C$181,IF(Element_Stiffness!$C$180=1,IF(1=Element_Stiffness!$C$180,Element_Stiffness!P201,IF(1=Element_Stiffness!$E$180,Element_Stiffness!V201,0)),IF(Element_Stiffness!$E$180=1,IF(1=Element_Stiffness!$C$180,Element_Stiffness!P207,IF(1=Element_Stiffness!$E$180,Element_Stiffness!V207,0)),0)),0)+IF(Element_Stiffness!$C$216,IF(Element_Stiffness!$C$215=1,IF(1=Element_Stiffness!$C$215,Element_Stiffness!P236,IF(1=Element_Stiffness!$E$215,Element_Stiffness!V236,0)),IF(Element_Stiffness!$E$215=1,IF(1=Element_Stiffness!$C$215,Element_Stiffness!P242,IF(1=Element_Stiffness!$E$215,Element_Stiffness!V242,0)),0)),0)+IF(Inputs!C41=TRUE,1E15,IF(ISNUMBER(Inputs!C41),Inputs!C41,0))</f>
        <v/>
      </c>
      <c r="J11" s="21">
        <f>IF(Element_Stiffness!$C$6,IF(Element_Stiffness!$C$5=1,IF(1=Element_Stiffness!$C$5,Element_Stiffness!Q26,IF(1=Element_Stiffness!$E$5,Element_Stiffness!W26,0)),IF(Element_Stiffness!$E$5=1,IF(1=Element_Stiffness!$C$5,Element_Stiffness!Q32,IF(1=Element_Stiffness!$E$5,Element_Stiffness!W32,0)),0)),0)+IF(Element_Stiffness!$C$41,IF(Element_Stiffness!$C$40=1,IF(1=Element_Stiffness!$C$40,Element_Stiffness!Q61,IF(1=Element_Stiffness!$E$40,Element_Stiffness!W61,0)),IF(Element_Stiffness!$E$40=1,IF(1=Element_Stiffness!$C$40,Element_Stiffness!Q67,IF(1=Element_Stiffness!$E$40,Element_Stiffness!W67,0)),0)),0)+IF(Element_Stiffness!$C$76,IF(Element_Stiffness!$C$75=1,IF(1=Element_Stiffness!$C$75,Element_Stiffness!Q96,IF(1=Element_Stiffness!$E$75,Element_Stiffness!W96,0)),IF(Element_Stiffness!$E$75=1,IF(1=Element_Stiffness!$C$75,Element_Stiffness!Q102,IF(1=Element_Stiffness!$E$75,Element_Stiffness!W102,0)),0)),0)+IF(Element_Stiffness!$C$111,IF(Element_Stiffness!$C$110=1,IF(1=Element_Stiffness!$C$110,Element_Stiffness!Q131,IF(1=Element_Stiffness!$E$110,Element_Stiffness!W131,0)),IF(Element_Stiffness!$E$110=1,IF(1=Element_Stiffness!$C$110,Element_Stiffness!Q137,IF(1=Element_Stiffness!$E$110,Element_Stiffness!W137,0)),0)),0)+IF(Element_Stiffness!$C$146,IF(Element_Stiffness!$C$145=1,IF(1=Element_Stiffness!$C$145,Element_Stiffness!Q166,IF(1=Element_Stiffness!$E$145,Element_Stiffness!W166,0)),IF(Element_Stiffness!$E$145=1,IF(1=Element_Stiffness!$C$145,Element_Stiffness!Q172,IF(1=Element_Stiffness!$E$145,Element_Stiffness!W172,0)),0)),0)+IF(Element_Stiffness!$C$181,IF(Element_Stiffness!$C$180=1,IF(1=Element_Stiffness!$C$180,Element_Stiffness!Q201,IF(1=Element_Stiffness!$E$180,Element_Stiffness!W201,0)),IF(Element_Stiffness!$E$180=1,IF(1=Element_Stiffness!$C$180,Element_Stiffness!Q207,IF(1=Element_Stiffness!$E$180,Element_Stiffness!W207,0)),0)),0)+IF(Element_Stiffness!$C$216,IF(Element_Stiffness!$C$215=1,IF(1=Element_Stiffness!$C$215,Element_Stiffness!Q236,IF(1=Element_Stiffness!$E$215,Element_Stiffness!W236,0)),IF(Element_Stiffness!$E$215=1,IF(1=Element_Stiffness!$C$215,Element_Stiffness!Q242,IF(1=Element_Stiffness!$E$215,Element_Stiffness!W242,0)),0)),0)</f>
        <v/>
      </c>
      <c r="K11" s="21">
        <f>IF(Element_Stiffness!$C$6,IF(Element_Stiffness!$C$5=1,IF(1=Element_Stiffness!$C$5,Element_Stiffness!R26,IF(1=Element_Stiffness!$E$5,Element_Stiffness!X26,0)),IF(Element_Stiffness!$E$5=1,IF(1=Element_Stiffness!$C$5,Element_Stiffness!R32,IF(1=Element_Stiffness!$E$5,Element_Stiffness!X32,0)),0)),0)+IF(Element_Stiffness!$C$41,IF(Element_Stiffness!$C$40=1,IF(1=Element_Stiffness!$C$40,Element_Stiffness!R61,IF(1=Element_Stiffness!$E$40,Element_Stiffness!X61,0)),IF(Element_Stiffness!$E$40=1,IF(1=Element_Stiffness!$C$40,Element_Stiffness!R67,IF(1=Element_Stiffness!$E$40,Element_Stiffness!X67,0)),0)),0)+IF(Element_Stiffness!$C$76,IF(Element_Stiffness!$C$75=1,IF(1=Element_Stiffness!$C$75,Element_Stiffness!R96,IF(1=Element_Stiffness!$E$75,Element_Stiffness!X96,0)),IF(Element_Stiffness!$E$75=1,IF(1=Element_Stiffness!$C$75,Element_Stiffness!R102,IF(1=Element_Stiffness!$E$75,Element_Stiffness!X102,0)),0)),0)+IF(Element_Stiffness!$C$111,IF(Element_Stiffness!$C$110=1,IF(1=Element_Stiffness!$C$110,Element_Stiffness!R131,IF(1=Element_Stiffness!$E$110,Element_Stiffness!X131,0)),IF(Element_Stiffness!$E$110=1,IF(1=Element_Stiffness!$C$110,Element_Stiffness!R137,IF(1=Element_Stiffness!$E$110,Element_Stiffness!X137,0)),0)),0)+IF(Element_Stiffness!$C$146,IF(Element_Stiffness!$C$145=1,IF(1=Element_Stiffness!$C$145,Element_Stiffness!R166,IF(1=Element_Stiffness!$E$145,Element_Stiffness!X166,0)),IF(Element_Stiffness!$E$145=1,IF(1=Element_Stiffness!$C$145,Element_Stiffness!R172,IF(1=Element_Stiffness!$E$145,Element_Stiffness!X172,0)),0)),0)+IF(Element_Stiffness!$C$181,IF(Element_Stiffness!$C$180=1,IF(1=Element_Stiffness!$C$180,Element_Stiffness!R201,IF(1=Element_Stiffness!$E$180,Element_Stiffness!X201,0)),IF(Element_Stiffness!$E$180=1,IF(1=Element_Stiffness!$C$180,Element_Stiffness!R207,IF(1=Element_Stiffness!$E$180,Element_Stiffness!X207,0)),0)),0)+IF(Element_Stiffness!$C$216,IF(Element_Stiffness!$C$215=1,IF(1=Element_Stiffness!$C$215,Element_Stiffness!R236,IF(1=Element_Stiffness!$E$215,Element_Stiffness!X236,0)),IF(Element_Stiffness!$E$215=1,IF(1=Element_Stiffness!$C$215,Element_Stiffness!R242,IF(1=Element_Stiffness!$E$215,Element_Stiffness!X242,0)),0)),0)</f>
        <v/>
      </c>
      <c r="L11" s="21">
        <f>IF(Element_Stiffness!$C$6,IF(Element_Stiffness!$C$5=1,IF(1=Element_Stiffness!$C$5,Element_Stiffness!S26,IF(1=Element_Stiffness!$E$5,Element_Stiffness!Y26,0)),IF(Element_Stiffness!$E$5=1,IF(1=Element_Stiffness!$C$5,Element_Stiffness!S32,IF(1=Element_Stiffness!$E$5,Element_Stiffness!Y32,0)),0)),0)+IF(Element_Stiffness!$C$41,IF(Element_Stiffness!$C$40=1,IF(1=Element_Stiffness!$C$40,Element_Stiffness!S61,IF(1=Element_Stiffness!$E$40,Element_Stiffness!Y61,0)),IF(Element_Stiffness!$E$40=1,IF(1=Element_Stiffness!$C$40,Element_Stiffness!S67,IF(1=Element_Stiffness!$E$40,Element_Stiffness!Y67,0)),0)),0)+IF(Element_Stiffness!$C$76,IF(Element_Stiffness!$C$75=1,IF(1=Element_Stiffness!$C$75,Element_Stiffness!S96,IF(1=Element_Stiffness!$E$75,Element_Stiffness!Y96,0)),IF(Element_Stiffness!$E$75=1,IF(1=Element_Stiffness!$C$75,Element_Stiffness!S102,IF(1=Element_Stiffness!$E$75,Element_Stiffness!Y102,0)),0)),0)+IF(Element_Stiffness!$C$111,IF(Element_Stiffness!$C$110=1,IF(1=Element_Stiffness!$C$110,Element_Stiffness!S131,IF(1=Element_Stiffness!$E$110,Element_Stiffness!Y131,0)),IF(Element_Stiffness!$E$110=1,IF(1=Element_Stiffness!$C$110,Element_Stiffness!S137,IF(1=Element_Stiffness!$E$110,Element_Stiffness!Y137,0)),0)),0)+IF(Element_Stiffness!$C$146,IF(Element_Stiffness!$C$145=1,IF(1=Element_Stiffness!$C$145,Element_Stiffness!S166,IF(1=Element_Stiffness!$E$145,Element_Stiffness!Y166,0)),IF(Element_Stiffness!$E$145=1,IF(1=Element_Stiffness!$C$145,Element_Stiffness!S172,IF(1=Element_Stiffness!$E$145,Element_Stiffness!Y172,0)),0)),0)+IF(Element_Stiffness!$C$181,IF(Element_Stiffness!$C$180=1,IF(1=Element_Stiffness!$C$180,Element_Stiffness!S201,IF(1=Element_Stiffness!$E$180,Element_Stiffness!Y201,0)),IF(Element_Stiffness!$E$180=1,IF(1=Element_Stiffness!$C$180,Element_Stiffness!S207,IF(1=Element_Stiffness!$E$180,Element_Stiffness!Y207,0)),0)),0)+IF(Element_Stiffness!$C$216,IF(Element_Stiffness!$C$215=1,IF(1=Element_Stiffness!$C$215,Element_Stiffness!S236,IF(1=Element_Stiffness!$E$215,Element_Stiffness!Y236,0)),IF(Element_Stiffness!$E$215=1,IF(1=Element_Stiffness!$C$215,Element_Stiffness!S242,IF(1=Element_Stiffness!$E$215,Element_Stiffness!Y242,0)),0)),0)</f>
        <v/>
      </c>
      <c r="M11" s="21">
        <f>IF(Element_Stiffness!$C$6,IF(Element_Stiffness!$C$5=1,IF(1=Element_Stiffness!$C$5,Element_Stiffness!T26,IF(1=Element_Stiffness!$E$5,Element_Stiffness!Z26,0)),IF(Element_Stiffness!$E$5=1,IF(1=Element_Stiffness!$C$5,Element_Stiffness!T32,IF(1=Element_Stiffness!$E$5,Element_Stiffness!Z32,0)),0)),0)+IF(Element_Stiffness!$C$41,IF(Element_Stiffness!$C$40=1,IF(1=Element_Stiffness!$C$40,Element_Stiffness!T61,IF(1=Element_Stiffness!$E$40,Element_Stiffness!Z61,0)),IF(Element_Stiffness!$E$40=1,IF(1=Element_Stiffness!$C$40,Element_Stiffness!T67,IF(1=Element_Stiffness!$E$40,Element_Stiffness!Z67,0)),0)),0)+IF(Element_Stiffness!$C$76,IF(Element_Stiffness!$C$75=1,IF(1=Element_Stiffness!$C$75,Element_Stiffness!T96,IF(1=Element_Stiffness!$E$75,Element_Stiffness!Z96,0)),IF(Element_Stiffness!$E$75=1,IF(1=Element_Stiffness!$C$75,Element_Stiffness!T102,IF(1=Element_Stiffness!$E$75,Element_Stiffness!Z102,0)),0)),0)+IF(Element_Stiffness!$C$111,IF(Element_Stiffness!$C$110=1,IF(1=Element_Stiffness!$C$110,Element_Stiffness!T131,IF(1=Element_Stiffness!$E$110,Element_Stiffness!Z131,0)),IF(Element_Stiffness!$E$110=1,IF(1=Element_Stiffness!$C$110,Element_Stiffness!T137,IF(1=Element_Stiffness!$E$110,Element_Stiffness!Z137,0)),0)),0)+IF(Element_Stiffness!$C$146,IF(Element_Stiffness!$C$145=1,IF(1=Element_Stiffness!$C$145,Element_Stiffness!T166,IF(1=Element_Stiffness!$E$145,Element_Stiffness!Z166,0)),IF(Element_Stiffness!$E$145=1,IF(1=Element_Stiffness!$C$145,Element_Stiffness!T172,IF(1=Element_Stiffness!$E$145,Element_Stiffness!Z172,0)),0)),0)+IF(Element_Stiffness!$C$181,IF(Element_Stiffness!$C$180=1,IF(1=Element_Stiffness!$C$180,Element_Stiffness!T201,IF(1=Element_Stiffness!$E$180,Element_Stiffness!Z201,0)),IF(Element_Stiffness!$E$180=1,IF(1=Element_Stiffness!$C$180,Element_Stiffness!T207,IF(1=Element_Stiffness!$E$180,Element_Stiffness!Z207,0)),0)),0)+IF(Element_Stiffness!$C$216,IF(Element_Stiffness!$C$215=1,IF(1=Element_Stiffness!$C$215,Element_Stiffness!T236,IF(1=Element_Stiffness!$E$215,Element_Stiffness!Z236,0)),IF(Element_Stiffness!$E$215=1,IF(1=Element_Stiffness!$C$215,Element_Stiffness!T242,IF(1=Element_Stiffness!$E$215,Element_Stiffness!Z242,0)),0)),0)</f>
        <v/>
      </c>
      <c r="N11" s="21">
        <f>IF(Element_Stiffness!$C$6,IF(Element_Stiffness!$C$5=1,IF(1=Element_Stiffness!$C$5,Element_Stiffness!U26,IF(1=Element_Stiffness!$E$5,Element_Stiffness!AA26,0)),IF(Element_Stiffness!$E$5=1,IF(1=Element_Stiffness!$C$5,Element_Stiffness!U32,IF(1=Element_Stiffness!$E$5,Element_Stiffness!AA32,0)),0)),0)+IF(Element_Stiffness!$C$41,IF(Element_Stiffness!$C$40=1,IF(1=Element_Stiffness!$C$40,Element_Stiffness!U61,IF(1=Element_Stiffness!$E$40,Element_Stiffness!AA61,0)),IF(Element_Stiffness!$E$40=1,IF(1=Element_Stiffness!$C$40,Element_Stiffness!U67,IF(1=Element_Stiffness!$E$40,Element_Stiffness!AA67,0)),0)),0)+IF(Element_Stiffness!$C$76,IF(Element_Stiffness!$C$75=1,IF(1=Element_Stiffness!$C$75,Element_Stiffness!U96,IF(1=Element_Stiffness!$E$75,Element_Stiffness!AA96,0)),IF(Element_Stiffness!$E$75=1,IF(1=Element_Stiffness!$C$75,Element_Stiffness!U102,IF(1=Element_Stiffness!$E$75,Element_Stiffness!AA102,0)),0)),0)+IF(Element_Stiffness!$C$111,IF(Element_Stiffness!$C$110=1,IF(1=Element_Stiffness!$C$110,Element_Stiffness!U131,IF(1=Element_Stiffness!$E$110,Element_Stiffness!AA131,0)),IF(Element_Stiffness!$E$110=1,IF(1=Element_Stiffness!$C$110,Element_Stiffness!U137,IF(1=Element_Stiffness!$E$110,Element_Stiffness!AA137,0)),0)),0)+IF(Element_Stiffness!$C$146,IF(Element_Stiffness!$C$145=1,IF(1=Element_Stiffness!$C$145,Element_Stiffness!U166,IF(1=Element_Stiffness!$E$145,Element_Stiffness!AA166,0)),IF(Element_Stiffness!$E$145=1,IF(1=Element_Stiffness!$C$145,Element_Stiffness!U172,IF(1=Element_Stiffness!$E$145,Element_Stiffness!AA172,0)),0)),0)+IF(Element_Stiffness!$C$181,IF(Element_Stiffness!$C$180=1,IF(1=Element_Stiffness!$C$180,Element_Stiffness!U201,IF(1=Element_Stiffness!$E$180,Element_Stiffness!AA201,0)),IF(Element_Stiffness!$E$180=1,IF(1=Element_Stiffness!$C$180,Element_Stiffness!U207,IF(1=Element_Stiffness!$E$180,Element_Stiffness!AA207,0)),0)),0)+IF(Element_Stiffness!$C$216,IF(Element_Stiffness!$C$215=1,IF(1=Element_Stiffness!$C$215,Element_Stiffness!U236,IF(1=Element_Stiffness!$E$215,Element_Stiffness!AA236,0)),IF(Element_Stiffness!$E$215=1,IF(1=Element_Stiffness!$C$215,Element_Stiffness!U242,IF(1=Element_Stiffness!$E$215,Element_Stiffness!AA242,0)),0)),0)</f>
        <v/>
      </c>
      <c r="O11" s="21">
        <f>IF(Element_Stiffness!$C$6,IF(Element_Stiffness!$C$5=1,IF(2=Element_Stiffness!$C$5,Element_Stiffness!P26,IF(2=Element_Stiffness!$E$5,Element_Stiffness!V26,0)),IF(Element_Stiffness!$E$5=1,IF(2=Element_Stiffness!$C$5,Element_Stiffness!P32,IF(2=Element_Stiffness!$E$5,Element_Stiffness!V32,0)),0)),0)+IF(Element_Stiffness!$C$41,IF(Element_Stiffness!$C$40=1,IF(2=Element_Stiffness!$C$40,Element_Stiffness!P61,IF(2=Element_Stiffness!$E$40,Element_Stiffness!V61,0)),IF(Element_Stiffness!$E$40=1,IF(2=Element_Stiffness!$C$40,Element_Stiffness!P67,IF(2=Element_Stiffness!$E$40,Element_Stiffness!V67,0)),0)),0)+IF(Element_Stiffness!$C$76,IF(Element_Stiffness!$C$75=1,IF(2=Element_Stiffness!$C$75,Element_Stiffness!P96,IF(2=Element_Stiffness!$E$75,Element_Stiffness!V96,0)),IF(Element_Stiffness!$E$75=1,IF(2=Element_Stiffness!$C$75,Element_Stiffness!P102,IF(2=Element_Stiffness!$E$75,Element_Stiffness!V102,0)),0)),0)+IF(Element_Stiffness!$C$111,IF(Element_Stiffness!$C$110=1,IF(2=Element_Stiffness!$C$110,Element_Stiffness!P131,IF(2=Element_Stiffness!$E$110,Element_Stiffness!V131,0)),IF(Element_Stiffness!$E$110=1,IF(2=Element_Stiffness!$C$110,Element_Stiffness!P137,IF(2=Element_Stiffness!$E$110,Element_Stiffness!V137,0)),0)),0)+IF(Element_Stiffness!$C$146,IF(Element_Stiffness!$C$145=1,IF(2=Element_Stiffness!$C$145,Element_Stiffness!P166,IF(2=Element_Stiffness!$E$145,Element_Stiffness!V166,0)),IF(Element_Stiffness!$E$145=1,IF(2=Element_Stiffness!$C$145,Element_Stiffness!P172,IF(2=Element_Stiffness!$E$145,Element_Stiffness!V172,0)),0)),0)+IF(Element_Stiffness!$C$181,IF(Element_Stiffness!$C$180=1,IF(2=Element_Stiffness!$C$180,Element_Stiffness!P201,IF(2=Element_Stiffness!$E$180,Element_Stiffness!V201,0)),IF(Element_Stiffness!$E$180=1,IF(2=Element_Stiffness!$C$180,Element_Stiffness!P207,IF(2=Element_Stiffness!$E$180,Element_Stiffness!V207,0)),0)),0)+IF(Element_Stiffness!$C$216,IF(Element_Stiffness!$C$215=1,IF(2=Element_Stiffness!$C$215,Element_Stiffness!P236,IF(2=Element_Stiffness!$E$215,Element_Stiffness!V236,0)),IF(Element_Stiffness!$E$215=1,IF(2=Element_Stiffness!$C$215,Element_Stiffness!P242,IF(2=Element_Stiffness!$E$215,Element_Stiffness!V242,0)),0)),0)</f>
        <v/>
      </c>
      <c r="P11" s="21">
        <f>IF(Element_Stiffness!$C$6,IF(Element_Stiffness!$C$5=1,IF(2=Element_Stiffness!$C$5,Element_Stiffness!Q26,IF(2=Element_Stiffness!$E$5,Element_Stiffness!W26,0)),IF(Element_Stiffness!$E$5=1,IF(2=Element_Stiffness!$C$5,Element_Stiffness!Q32,IF(2=Element_Stiffness!$E$5,Element_Stiffness!W32,0)),0)),0)+IF(Element_Stiffness!$C$41,IF(Element_Stiffness!$C$40=1,IF(2=Element_Stiffness!$C$40,Element_Stiffness!Q61,IF(2=Element_Stiffness!$E$40,Element_Stiffness!W61,0)),IF(Element_Stiffness!$E$40=1,IF(2=Element_Stiffness!$C$40,Element_Stiffness!Q67,IF(2=Element_Stiffness!$E$40,Element_Stiffness!W67,0)),0)),0)+IF(Element_Stiffness!$C$76,IF(Element_Stiffness!$C$75=1,IF(2=Element_Stiffness!$C$75,Element_Stiffness!Q96,IF(2=Element_Stiffness!$E$75,Element_Stiffness!W96,0)),IF(Element_Stiffness!$E$75=1,IF(2=Element_Stiffness!$C$75,Element_Stiffness!Q102,IF(2=Element_Stiffness!$E$75,Element_Stiffness!W102,0)),0)),0)+IF(Element_Stiffness!$C$111,IF(Element_Stiffness!$C$110=1,IF(2=Element_Stiffness!$C$110,Element_Stiffness!Q131,IF(2=Element_Stiffness!$E$110,Element_Stiffness!W131,0)),IF(Element_Stiffness!$E$110=1,IF(2=Element_Stiffness!$C$110,Element_Stiffness!Q137,IF(2=Element_Stiffness!$E$110,Element_Stiffness!W137,0)),0)),0)+IF(Element_Stiffness!$C$146,IF(Element_Stiffness!$C$145=1,IF(2=Element_Stiffness!$C$145,Element_Stiffness!Q166,IF(2=Element_Stiffness!$E$145,Element_Stiffness!W166,0)),IF(Element_Stiffness!$E$145=1,IF(2=Element_Stiffness!$C$145,Element_Stiffness!Q172,IF(2=Element_Stiffness!$E$145,Element_Stiffness!W172,0)),0)),0)+IF(Element_Stiffness!$C$181,IF(Element_Stiffness!$C$180=1,IF(2=Element_Stiffness!$C$180,Element_Stiffness!Q201,IF(2=Element_Stiffness!$E$180,Element_Stiffness!W201,0)),IF(Element_Stiffness!$E$180=1,IF(2=Element_Stiffness!$C$180,Element_Stiffness!Q207,IF(2=Element_Stiffness!$E$180,Element_Stiffness!W207,0)),0)),0)+IF(Element_Stiffness!$C$216,IF(Element_Stiffness!$C$215=1,IF(2=Element_Stiffness!$C$215,Element_Stiffness!Q236,IF(2=Element_Stiffness!$E$215,Element_Stiffness!W236,0)),IF(Element_Stiffness!$E$215=1,IF(2=Element_Stiffness!$C$215,Element_Stiffness!Q242,IF(2=Element_Stiffness!$E$215,Element_Stiffness!W242,0)),0)),0)</f>
        <v/>
      </c>
      <c r="Q11" s="21">
        <f>IF(Element_Stiffness!$C$6,IF(Element_Stiffness!$C$5=1,IF(2=Element_Stiffness!$C$5,Element_Stiffness!R26,IF(2=Element_Stiffness!$E$5,Element_Stiffness!X26,0)),IF(Element_Stiffness!$E$5=1,IF(2=Element_Stiffness!$C$5,Element_Stiffness!R32,IF(2=Element_Stiffness!$E$5,Element_Stiffness!X32,0)),0)),0)+IF(Element_Stiffness!$C$41,IF(Element_Stiffness!$C$40=1,IF(2=Element_Stiffness!$C$40,Element_Stiffness!R61,IF(2=Element_Stiffness!$E$40,Element_Stiffness!X61,0)),IF(Element_Stiffness!$E$40=1,IF(2=Element_Stiffness!$C$40,Element_Stiffness!R67,IF(2=Element_Stiffness!$E$40,Element_Stiffness!X67,0)),0)),0)+IF(Element_Stiffness!$C$76,IF(Element_Stiffness!$C$75=1,IF(2=Element_Stiffness!$C$75,Element_Stiffness!R96,IF(2=Element_Stiffness!$E$75,Element_Stiffness!X96,0)),IF(Element_Stiffness!$E$75=1,IF(2=Element_Stiffness!$C$75,Element_Stiffness!R102,IF(2=Element_Stiffness!$E$75,Element_Stiffness!X102,0)),0)),0)+IF(Element_Stiffness!$C$111,IF(Element_Stiffness!$C$110=1,IF(2=Element_Stiffness!$C$110,Element_Stiffness!R131,IF(2=Element_Stiffness!$E$110,Element_Stiffness!X131,0)),IF(Element_Stiffness!$E$110=1,IF(2=Element_Stiffness!$C$110,Element_Stiffness!R137,IF(2=Element_Stiffness!$E$110,Element_Stiffness!X137,0)),0)),0)+IF(Element_Stiffness!$C$146,IF(Element_Stiffness!$C$145=1,IF(2=Element_Stiffness!$C$145,Element_Stiffness!R166,IF(2=Element_Stiffness!$E$145,Element_Stiffness!X166,0)),IF(Element_Stiffness!$E$145=1,IF(2=Element_Stiffness!$C$145,Element_Stiffness!R172,IF(2=Element_Stiffness!$E$145,Element_Stiffness!X172,0)),0)),0)+IF(Element_Stiffness!$C$181,IF(Element_Stiffness!$C$180=1,IF(2=Element_Stiffness!$C$180,Element_Stiffness!R201,IF(2=Element_Stiffness!$E$180,Element_Stiffness!X201,0)),IF(Element_Stiffness!$E$180=1,IF(2=Element_Stiffness!$C$180,Element_Stiffness!R207,IF(2=Element_Stiffness!$E$180,Element_Stiffness!X207,0)),0)),0)+IF(Element_Stiffness!$C$216,IF(Element_Stiffness!$C$215=1,IF(2=Element_Stiffness!$C$215,Element_Stiffness!R236,IF(2=Element_Stiffness!$E$215,Element_Stiffness!X236,0)),IF(Element_Stiffness!$E$215=1,IF(2=Element_Stiffness!$C$215,Element_Stiffness!R242,IF(2=Element_Stiffness!$E$215,Element_Stiffness!X242,0)),0)),0)</f>
        <v/>
      </c>
      <c r="R11" s="21">
        <f>IF(Element_Stiffness!$C$6,IF(Element_Stiffness!$C$5=1,IF(2=Element_Stiffness!$C$5,Element_Stiffness!S26,IF(2=Element_Stiffness!$E$5,Element_Stiffness!Y26,0)),IF(Element_Stiffness!$E$5=1,IF(2=Element_Stiffness!$C$5,Element_Stiffness!S32,IF(2=Element_Stiffness!$E$5,Element_Stiffness!Y32,0)),0)),0)+IF(Element_Stiffness!$C$41,IF(Element_Stiffness!$C$40=1,IF(2=Element_Stiffness!$C$40,Element_Stiffness!S61,IF(2=Element_Stiffness!$E$40,Element_Stiffness!Y61,0)),IF(Element_Stiffness!$E$40=1,IF(2=Element_Stiffness!$C$40,Element_Stiffness!S67,IF(2=Element_Stiffness!$E$40,Element_Stiffness!Y67,0)),0)),0)+IF(Element_Stiffness!$C$76,IF(Element_Stiffness!$C$75=1,IF(2=Element_Stiffness!$C$75,Element_Stiffness!S96,IF(2=Element_Stiffness!$E$75,Element_Stiffness!Y96,0)),IF(Element_Stiffness!$E$75=1,IF(2=Element_Stiffness!$C$75,Element_Stiffness!S102,IF(2=Element_Stiffness!$E$75,Element_Stiffness!Y102,0)),0)),0)+IF(Element_Stiffness!$C$111,IF(Element_Stiffness!$C$110=1,IF(2=Element_Stiffness!$C$110,Element_Stiffness!S131,IF(2=Element_Stiffness!$E$110,Element_Stiffness!Y131,0)),IF(Element_Stiffness!$E$110=1,IF(2=Element_Stiffness!$C$110,Element_Stiffness!S137,IF(2=Element_Stiffness!$E$110,Element_Stiffness!Y137,0)),0)),0)+IF(Element_Stiffness!$C$146,IF(Element_Stiffness!$C$145=1,IF(2=Element_Stiffness!$C$145,Element_Stiffness!S166,IF(2=Element_Stiffness!$E$145,Element_Stiffness!Y166,0)),IF(Element_Stiffness!$E$145=1,IF(2=Element_Stiffness!$C$145,Element_Stiffness!S172,IF(2=Element_Stiffness!$E$145,Element_Stiffness!Y172,0)),0)),0)+IF(Element_Stiffness!$C$181,IF(Element_Stiffness!$C$180=1,IF(2=Element_Stiffness!$C$180,Element_Stiffness!S201,IF(2=Element_Stiffness!$E$180,Element_Stiffness!Y201,0)),IF(Element_Stiffness!$E$180=1,IF(2=Element_Stiffness!$C$180,Element_Stiffness!S207,IF(2=Element_Stiffness!$E$180,Element_Stiffness!Y207,0)),0)),0)+IF(Element_Stiffness!$C$216,IF(Element_Stiffness!$C$215=1,IF(2=Element_Stiffness!$C$215,Element_Stiffness!S236,IF(2=Element_Stiffness!$E$215,Element_Stiffness!Y236,0)),IF(Element_Stiffness!$E$215=1,IF(2=Element_Stiffness!$C$215,Element_Stiffness!S242,IF(2=Element_Stiffness!$E$215,Element_Stiffness!Y242,0)),0)),0)</f>
        <v/>
      </c>
      <c r="S11" s="21">
        <f>IF(Element_Stiffness!$C$6,IF(Element_Stiffness!$C$5=1,IF(2=Element_Stiffness!$C$5,Element_Stiffness!T26,IF(2=Element_Stiffness!$E$5,Element_Stiffness!Z26,0)),IF(Element_Stiffness!$E$5=1,IF(2=Element_Stiffness!$C$5,Element_Stiffness!T32,IF(2=Element_Stiffness!$E$5,Element_Stiffness!Z32,0)),0)),0)+IF(Element_Stiffness!$C$41,IF(Element_Stiffness!$C$40=1,IF(2=Element_Stiffness!$C$40,Element_Stiffness!T61,IF(2=Element_Stiffness!$E$40,Element_Stiffness!Z61,0)),IF(Element_Stiffness!$E$40=1,IF(2=Element_Stiffness!$C$40,Element_Stiffness!T67,IF(2=Element_Stiffness!$E$40,Element_Stiffness!Z67,0)),0)),0)+IF(Element_Stiffness!$C$76,IF(Element_Stiffness!$C$75=1,IF(2=Element_Stiffness!$C$75,Element_Stiffness!T96,IF(2=Element_Stiffness!$E$75,Element_Stiffness!Z96,0)),IF(Element_Stiffness!$E$75=1,IF(2=Element_Stiffness!$C$75,Element_Stiffness!T102,IF(2=Element_Stiffness!$E$75,Element_Stiffness!Z102,0)),0)),0)+IF(Element_Stiffness!$C$111,IF(Element_Stiffness!$C$110=1,IF(2=Element_Stiffness!$C$110,Element_Stiffness!T131,IF(2=Element_Stiffness!$E$110,Element_Stiffness!Z131,0)),IF(Element_Stiffness!$E$110=1,IF(2=Element_Stiffness!$C$110,Element_Stiffness!T137,IF(2=Element_Stiffness!$E$110,Element_Stiffness!Z137,0)),0)),0)+IF(Element_Stiffness!$C$146,IF(Element_Stiffness!$C$145=1,IF(2=Element_Stiffness!$C$145,Element_Stiffness!T166,IF(2=Element_Stiffness!$E$145,Element_Stiffness!Z166,0)),IF(Element_Stiffness!$E$145=1,IF(2=Element_Stiffness!$C$145,Element_Stiffness!T172,IF(2=Element_Stiffness!$E$145,Element_Stiffness!Z172,0)),0)),0)+IF(Element_Stiffness!$C$181,IF(Element_Stiffness!$C$180=1,IF(2=Element_Stiffness!$C$180,Element_Stiffness!T201,IF(2=Element_Stiffness!$E$180,Element_Stiffness!Z201,0)),IF(Element_Stiffness!$E$180=1,IF(2=Element_Stiffness!$C$180,Element_Stiffness!T207,IF(2=Element_Stiffness!$E$180,Element_Stiffness!Z207,0)),0)),0)+IF(Element_Stiffness!$C$216,IF(Element_Stiffness!$C$215=1,IF(2=Element_Stiffness!$C$215,Element_Stiffness!T236,IF(2=Element_Stiffness!$E$215,Element_Stiffness!Z236,0)),IF(Element_Stiffness!$E$215=1,IF(2=Element_Stiffness!$C$215,Element_Stiffness!T242,IF(2=Element_Stiffness!$E$215,Element_Stiffness!Z242,0)),0)),0)</f>
        <v/>
      </c>
      <c r="T11" s="21">
        <f>IF(Element_Stiffness!$C$6,IF(Element_Stiffness!$C$5=1,IF(2=Element_Stiffness!$C$5,Element_Stiffness!U26,IF(2=Element_Stiffness!$E$5,Element_Stiffness!AA26,0)),IF(Element_Stiffness!$E$5=1,IF(2=Element_Stiffness!$C$5,Element_Stiffness!U32,IF(2=Element_Stiffness!$E$5,Element_Stiffness!AA32,0)),0)),0)+IF(Element_Stiffness!$C$41,IF(Element_Stiffness!$C$40=1,IF(2=Element_Stiffness!$C$40,Element_Stiffness!U61,IF(2=Element_Stiffness!$E$40,Element_Stiffness!AA61,0)),IF(Element_Stiffness!$E$40=1,IF(2=Element_Stiffness!$C$40,Element_Stiffness!U67,IF(2=Element_Stiffness!$E$40,Element_Stiffness!AA67,0)),0)),0)+IF(Element_Stiffness!$C$76,IF(Element_Stiffness!$C$75=1,IF(2=Element_Stiffness!$C$75,Element_Stiffness!U96,IF(2=Element_Stiffness!$E$75,Element_Stiffness!AA96,0)),IF(Element_Stiffness!$E$75=1,IF(2=Element_Stiffness!$C$75,Element_Stiffness!U102,IF(2=Element_Stiffness!$E$75,Element_Stiffness!AA102,0)),0)),0)+IF(Element_Stiffness!$C$111,IF(Element_Stiffness!$C$110=1,IF(2=Element_Stiffness!$C$110,Element_Stiffness!U131,IF(2=Element_Stiffness!$E$110,Element_Stiffness!AA131,0)),IF(Element_Stiffness!$E$110=1,IF(2=Element_Stiffness!$C$110,Element_Stiffness!U137,IF(2=Element_Stiffness!$E$110,Element_Stiffness!AA137,0)),0)),0)+IF(Element_Stiffness!$C$146,IF(Element_Stiffness!$C$145=1,IF(2=Element_Stiffness!$C$145,Element_Stiffness!U166,IF(2=Element_Stiffness!$E$145,Element_Stiffness!AA166,0)),IF(Element_Stiffness!$E$145=1,IF(2=Element_Stiffness!$C$145,Element_Stiffness!U172,IF(2=Element_Stiffness!$E$145,Element_Stiffness!AA172,0)),0)),0)+IF(Element_Stiffness!$C$181,IF(Element_Stiffness!$C$180=1,IF(2=Element_Stiffness!$C$180,Element_Stiffness!U201,IF(2=Element_Stiffness!$E$180,Element_Stiffness!AA201,0)),IF(Element_Stiffness!$E$180=1,IF(2=Element_Stiffness!$C$180,Element_Stiffness!U207,IF(2=Element_Stiffness!$E$180,Element_Stiffness!AA207,0)),0)),0)+IF(Element_Stiffness!$C$216,IF(Element_Stiffness!$C$215=1,IF(2=Element_Stiffness!$C$215,Element_Stiffness!U236,IF(2=Element_Stiffness!$E$215,Element_Stiffness!AA236,0)),IF(Element_Stiffness!$E$215=1,IF(2=Element_Stiffness!$C$215,Element_Stiffness!U242,IF(2=Element_Stiffness!$E$215,Element_Stiffness!AA242,0)),0)),0)</f>
        <v/>
      </c>
      <c r="U11" s="21">
        <f>IF(Element_Stiffness!$C$6,IF(Element_Stiffness!$C$5=1,IF(3=Element_Stiffness!$C$5,Element_Stiffness!P26,IF(3=Element_Stiffness!$E$5,Element_Stiffness!V26,0)),IF(Element_Stiffness!$E$5=1,IF(3=Element_Stiffness!$C$5,Element_Stiffness!P32,IF(3=Element_Stiffness!$E$5,Element_Stiffness!V32,0)),0)),0)+IF(Element_Stiffness!$C$41,IF(Element_Stiffness!$C$40=1,IF(3=Element_Stiffness!$C$40,Element_Stiffness!P61,IF(3=Element_Stiffness!$E$40,Element_Stiffness!V61,0)),IF(Element_Stiffness!$E$40=1,IF(3=Element_Stiffness!$C$40,Element_Stiffness!P67,IF(3=Element_Stiffness!$E$40,Element_Stiffness!V67,0)),0)),0)+IF(Element_Stiffness!$C$76,IF(Element_Stiffness!$C$75=1,IF(3=Element_Stiffness!$C$75,Element_Stiffness!P96,IF(3=Element_Stiffness!$E$75,Element_Stiffness!V96,0)),IF(Element_Stiffness!$E$75=1,IF(3=Element_Stiffness!$C$75,Element_Stiffness!P102,IF(3=Element_Stiffness!$E$75,Element_Stiffness!V102,0)),0)),0)+IF(Element_Stiffness!$C$111,IF(Element_Stiffness!$C$110=1,IF(3=Element_Stiffness!$C$110,Element_Stiffness!P131,IF(3=Element_Stiffness!$E$110,Element_Stiffness!V131,0)),IF(Element_Stiffness!$E$110=1,IF(3=Element_Stiffness!$C$110,Element_Stiffness!P137,IF(3=Element_Stiffness!$E$110,Element_Stiffness!V137,0)),0)),0)+IF(Element_Stiffness!$C$146,IF(Element_Stiffness!$C$145=1,IF(3=Element_Stiffness!$C$145,Element_Stiffness!P166,IF(3=Element_Stiffness!$E$145,Element_Stiffness!V166,0)),IF(Element_Stiffness!$E$145=1,IF(3=Element_Stiffness!$C$145,Element_Stiffness!P172,IF(3=Element_Stiffness!$E$145,Element_Stiffness!V172,0)),0)),0)+IF(Element_Stiffness!$C$181,IF(Element_Stiffness!$C$180=1,IF(3=Element_Stiffness!$C$180,Element_Stiffness!P201,IF(3=Element_Stiffness!$E$180,Element_Stiffness!V201,0)),IF(Element_Stiffness!$E$180=1,IF(3=Element_Stiffness!$C$180,Element_Stiffness!P207,IF(3=Element_Stiffness!$E$180,Element_Stiffness!V207,0)),0)),0)+IF(Element_Stiffness!$C$216,IF(Element_Stiffness!$C$215=1,IF(3=Element_Stiffness!$C$215,Element_Stiffness!P236,IF(3=Element_Stiffness!$E$215,Element_Stiffness!V236,0)),IF(Element_Stiffness!$E$215=1,IF(3=Element_Stiffness!$C$215,Element_Stiffness!P242,IF(3=Element_Stiffness!$E$215,Element_Stiffness!V242,0)),0)),0)</f>
        <v/>
      </c>
      <c r="V11" s="21">
        <f>IF(Element_Stiffness!$C$6,IF(Element_Stiffness!$C$5=1,IF(3=Element_Stiffness!$C$5,Element_Stiffness!Q26,IF(3=Element_Stiffness!$E$5,Element_Stiffness!W26,0)),IF(Element_Stiffness!$E$5=1,IF(3=Element_Stiffness!$C$5,Element_Stiffness!Q32,IF(3=Element_Stiffness!$E$5,Element_Stiffness!W32,0)),0)),0)+IF(Element_Stiffness!$C$41,IF(Element_Stiffness!$C$40=1,IF(3=Element_Stiffness!$C$40,Element_Stiffness!Q61,IF(3=Element_Stiffness!$E$40,Element_Stiffness!W61,0)),IF(Element_Stiffness!$E$40=1,IF(3=Element_Stiffness!$C$40,Element_Stiffness!Q67,IF(3=Element_Stiffness!$E$40,Element_Stiffness!W67,0)),0)),0)+IF(Element_Stiffness!$C$76,IF(Element_Stiffness!$C$75=1,IF(3=Element_Stiffness!$C$75,Element_Stiffness!Q96,IF(3=Element_Stiffness!$E$75,Element_Stiffness!W96,0)),IF(Element_Stiffness!$E$75=1,IF(3=Element_Stiffness!$C$75,Element_Stiffness!Q102,IF(3=Element_Stiffness!$E$75,Element_Stiffness!W102,0)),0)),0)+IF(Element_Stiffness!$C$111,IF(Element_Stiffness!$C$110=1,IF(3=Element_Stiffness!$C$110,Element_Stiffness!Q131,IF(3=Element_Stiffness!$E$110,Element_Stiffness!W131,0)),IF(Element_Stiffness!$E$110=1,IF(3=Element_Stiffness!$C$110,Element_Stiffness!Q137,IF(3=Element_Stiffness!$E$110,Element_Stiffness!W137,0)),0)),0)+IF(Element_Stiffness!$C$146,IF(Element_Stiffness!$C$145=1,IF(3=Element_Stiffness!$C$145,Element_Stiffness!Q166,IF(3=Element_Stiffness!$E$145,Element_Stiffness!W166,0)),IF(Element_Stiffness!$E$145=1,IF(3=Element_Stiffness!$C$145,Element_Stiffness!Q172,IF(3=Element_Stiffness!$E$145,Element_Stiffness!W172,0)),0)),0)+IF(Element_Stiffness!$C$181,IF(Element_Stiffness!$C$180=1,IF(3=Element_Stiffness!$C$180,Element_Stiffness!Q201,IF(3=Element_Stiffness!$E$180,Element_Stiffness!W201,0)),IF(Element_Stiffness!$E$180=1,IF(3=Element_Stiffness!$C$180,Element_Stiffness!Q207,IF(3=Element_Stiffness!$E$180,Element_Stiffness!W207,0)),0)),0)+IF(Element_Stiffness!$C$216,IF(Element_Stiffness!$C$215=1,IF(3=Element_Stiffness!$C$215,Element_Stiffness!Q236,IF(3=Element_Stiffness!$E$215,Element_Stiffness!W236,0)),IF(Element_Stiffness!$E$215=1,IF(3=Element_Stiffness!$C$215,Element_Stiffness!Q242,IF(3=Element_Stiffness!$E$215,Element_Stiffness!W242,0)),0)),0)</f>
        <v/>
      </c>
      <c r="W11" s="21">
        <f>IF(Element_Stiffness!$C$6,IF(Element_Stiffness!$C$5=1,IF(3=Element_Stiffness!$C$5,Element_Stiffness!R26,IF(3=Element_Stiffness!$E$5,Element_Stiffness!X26,0)),IF(Element_Stiffness!$E$5=1,IF(3=Element_Stiffness!$C$5,Element_Stiffness!R32,IF(3=Element_Stiffness!$E$5,Element_Stiffness!X32,0)),0)),0)+IF(Element_Stiffness!$C$41,IF(Element_Stiffness!$C$40=1,IF(3=Element_Stiffness!$C$40,Element_Stiffness!R61,IF(3=Element_Stiffness!$E$40,Element_Stiffness!X61,0)),IF(Element_Stiffness!$E$40=1,IF(3=Element_Stiffness!$C$40,Element_Stiffness!R67,IF(3=Element_Stiffness!$E$40,Element_Stiffness!X67,0)),0)),0)+IF(Element_Stiffness!$C$76,IF(Element_Stiffness!$C$75=1,IF(3=Element_Stiffness!$C$75,Element_Stiffness!R96,IF(3=Element_Stiffness!$E$75,Element_Stiffness!X96,0)),IF(Element_Stiffness!$E$75=1,IF(3=Element_Stiffness!$C$75,Element_Stiffness!R102,IF(3=Element_Stiffness!$E$75,Element_Stiffness!X102,0)),0)),0)+IF(Element_Stiffness!$C$111,IF(Element_Stiffness!$C$110=1,IF(3=Element_Stiffness!$C$110,Element_Stiffness!R131,IF(3=Element_Stiffness!$E$110,Element_Stiffness!X131,0)),IF(Element_Stiffness!$E$110=1,IF(3=Element_Stiffness!$C$110,Element_Stiffness!R137,IF(3=Element_Stiffness!$E$110,Element_Stiffness!X137,0)),0)),0)+IF(Element_Stiffness!$C$146,IF(Element_Stiffness!$C$145=1,IF(3=Element_Stiffness!$C$145,Element_Stiffness!R166,IF(3=Element_Stiffness!$E$145,Element_Stiffness!X166,0)),IF(Element_Stiffness!$E$145=1,IF(3=Element_Stiffness!$C$145,Element_Stiffness!R172,IF(3=Element_Stiffness!$E$145,Element_Stiffness!X172,0)),0)),0)+IF(Element_Stiffness!$C$181,IF(Element_Stiffness!$C$180=1,IF(3=Element_Stiffness!$C$180,Element_Stiffness!R201,IF(3=Element_Stiffness!$E$180,Element_Stiffness!X201,0)),IF(Element_Stiffness!$E$180=1,IF(3=Element_Stiffness!$C$180,Element_Stiffness!R207,IF(3=Element_Stiffness!$E$180,Element_Stiffness!X207,0)),0)),0)+IF(Element_Stiffness!$C$216,IF(Element_Stiffness!$C$215=1,IF(3=Element_Stiffness!$C$215,Element_Stiffness!R236,IF(3=Element_Stiffness!$E$215,Element_Stiffness!X236,0)),IF(Element_Stiffness!$E$215=1,IF(3=Element_Stiffness!$C$215,Element_Stiffness!R242,IF(3=Element_Stiffness!$E$215,Element_Stiffness!X242,0)),0)),0)</f>
        <v/>
      </c>
      <c r="X11" s="21">
        <f>IF(Element_Stiffness!$C$6,IF(Element_Stiffness!$C$5=1,IF(3=Element_Stiffness!$C$5,Element_Stiffness!S26,IF(3=Element_Stiffness!$E$5,Element_Stiffness!Y26,0)),IF(Element_Stiffness!$E$5=1,IF(3=Element_Stiffness!$C$5,Element_Stiffness!S32,IF(3=Element_Stiffness!$E$5,Element_Stiffness!Y32,0)),0)),0)+IF(Element_Stiffness!$C$41,IF(Element_Stiffness!$C$40=1,IF(3=Element_Stiffness!$C$40,Element_Stiffness!S61,IF(3=Element_Stiffness!$E$40,Element_Stiffness!Y61,0)),IF(Element_Stiffness!$E$40=1,IF(3=Element_Stiffness!$C$40,Element_Stiffness!S67,IF(3=Element_Stiffness!$E$40,Element_Stiffness!Y67,0)),0)),0)+IF(Element_Stiffness!$C$76,IF(Element_Stiffness!$C$75=1,IF(3=Element_Stiffness!$C$75,Element_Stiffness!S96,IF(3=Element_Stiffness!$E$75,Element_Stiffness!Y96,0)),IF(Element_Stiffness!$E$75=1,IF(3=Element_Stiffness!$C$75,Element_Stiffness!S102,IF(3=Element_Stiffness!$E$75,Element_Stiffness!Y102,0)),0)),0)+IF(Element_Stiffness!$C$111,IF(Element_Stiffness!$C$110=1,IF(3=Element_Stiffness!$C$110,Element_Stiffness!S131,IF(3=Element_Stiffness!$E$110,Element_Stiffness!Y131,0)),IF(Element_Stiffness!$E$110=1,IF(3=Element_Stiffness!$C$110,Element_Stiffness!S137,IF(3=Element_Stiffness!$E$110,Element_Stiffness!Y137,0)),0)),0)+IF(Element_Stiffness!$C$146,IF(Element_Stiffness!$C$145=1,IF(3=Element_Stiffness!$C$145,Element_Stiffness!S166,IF(3=Element_Stiffness!$E$145,Element_Stiffness!Y166,0)),IF(Element_Stiffness!$E$145=1,IF(3=Element_Stiffness!$C$145,Element_Stiffness!S172,IF(3=Element_Stiffness!$E$145,Element_Stiffness!Y172,0)),0)),0)+IF(Element_Stiffness!$C$181,IF(Element_Stiffness!$C$180=1,IF(3=Element_Stiffness!$C$180,Element_Stiffness!S201,IF(3=Element_Stiffness!$E$180,Element_Stiffness!Y201,0)),IF(Element_Stiffness!$E$180=1,IF(3=Element_Stiffness!$C$180,Element_Stiffness!S207,IF(3=Element_Stiffness!$E$180,Element_Stiffness!Y207,0)),0)),0)+IF(Element_Stiffness!$C$216,IF(Element_Stiffness!$C$215=1,IF(3=Element_Stiffness!$C$215,Element_Stiffness!S236,IF(3=Element_Stiffness!$E$215,Element_Stiffness!Y236,0)),IF(Element_Stiffness!$E$215=1,IF(3=Element_Stiffness!$C$215,Element_Stiffness!S242,IF(3=Element_Stiffness!$E$215,Element_Stiffness!Y242,0)),0)),0)</f>
        <v/>
      </c>
      <c r="Y11" s="21">
        <f>IF(Element_Stiffness!$C$6,IF(Element_Stiffness!$C$5=1,IF(3=Element_Stiffness!$C$5,Element_Stiffness!T26,IF(3=Element_Stiffness!$E$5,Element_Stiffness!Z26,0)),IF(Element_Stiffness!$E$5=1,IF(3=Element_Stiffness!$C$5,Element_Stiffness!T32,IF(3=Element_Stiffness!$E$5,Element_Stiffness!Z32,0)),0)),0)+IF(Element_Stiffness!$C$41,IF(Element_Stiffness!$C$40=1,IF(3=Element_Stiffness!$C$40,Element_Stiffness!T61,IF(3=Element_Stiffness!$E$40,Element_Stiffness!Z61,0)),IF(Element_Stiffness!$E$40=1,IF(3=Element_Stiffness!$C$40,Element_Stiffness!T67,IF(3=Element_Stiffness!$E$40,Element_Stiffness!Z67,0)),0)),0)+IF(Element_Stiffness!$C$76,IF(Element_Stiffness!$C$75=1,IF(3=Element_Stiffness!$C$75,Element_Stiffness!T96,IF(3=Element_Stiffness!$E$75,Element_Stiffness!Z96,0)),IF(Element_Stiffness!$E$75=1,IF(3=Element_Stiffness!$C$75,Element_Stiffness!T102,IF(3=Element_Stiffness!$E$75,Element_Stiffness!Z102,0)),0)),0)+IF(Element_Stiffness!$C$111,IF(Element_Stiffness!$C$110=1,IF(3=Element_Stiffness!$C$110,Element_Stiffness!T131,IF(3=Element_Stiffness!$E$110,Element_Stiffness!Z131,0)),IF(Element_Stiffness!$E$110=1,IF(3=Element_Stiffness!$C$110,Element_Stiffness!T137,IF(3=Element_Stiffness!$E$110,Element_Stiffness!Z137,0)),0)),0)+IF(Element_Stiffness!$C$146,IF(Element_Stiffness!$C$145=1,IF(3=Element_Stiffness!$C$145,Element_Stiffness!T166,IF(3=Element_Stiffness!$E$145,Element_Stiffness!Z166,0)),IF(Element_Stiffness!$E$145=1,IF(3=Element_Stiffness!$C$145,Element_Stiffness!T172,IF(3=Element_Stiffness!$E$145,Element_Stiffness!Z172,0)),0)),0)+IF(Element_Stiffness!$C$181,IF(Element_Stiffness!$C$180=1,IF(3=Element_Stiffness!$C$180,Element_Stiffness!T201,IF(3=Element_Stiffness!$E$180,Element_Stiffness!Z201,0)),IF(Element_Stiffness!$E$180=1,IF(3=Element_Stiffness!$C$180,Element_Stiffness!T207,IF(3=Element_Stiffness!$E$180,Element_Stiffness!Z207,0)),0)),0)+IF(Element_Stiffness!$C$216,IF(Element_Stiffness!$C$215=1,IF(3=Element_Stiffness!$C$215,Element_Stiffness!T236,IF(3=Element_Stiffness!$E$215,Element_Stiffness!Z236,0)),IF(Element_Stiffness!$E$215=1,IF(3=Element_Stiffness!$C$215,Element_Stiffness!T242,IF(3=Element_Stiffness!$E$215,Element_Stiffness!Z242,0)),0)),0)</f>
        <v/>
      </c>
      <c r="Z11" s="21">
        <f>IF(Element_Stiffness!$C$6,IF(Element_Stiffness!$C$5=1,IF(3=Element_Stiffness!$C$5,Element_Stiffness!U26,IF(3=Element_Stiffness!$E$5,Element_Stiffness!AA26,0)),IF(Element_Stiffness!$E$5=1,IF(3=Element_Stiffness!$C$5,Element_Stiffness!U32,IF(3=Element_Stiffness!$E$5,Element_Stiffness!AA32,0)),0)),0)+IF(Element_Stiffness!$C$41,IF(Element_Stiffness!$C$40=1,IF(3=Element_Stiffness!$C$40,Element_Stiffness!U61,IF(3=Element_Stiffness!$E$40,Element_Stiffness!AA61,0)),IF(Element_Stiffness!$E$40=1,IF(3=Element_Stiffness!$C$40,Element_Stiffness!U67,IF(3=Element_Stiffness!$E$40,Element_Stiffness!AA67,0)),0)),0)+IF(Element_Stiffness!$C$76,IF(Element_Stiffness!$C$75=1,IF(3=Element_Stiffness!$C$75,Element_Stiffness!U96,IF(3=Element_Stiffness!$E$75,Element_Stiffness!AA96,0)),IF(Element_Stiffness!$E$75=1,IF(3=Element_Stiffness!$C$75,Element_Stiffness!U102,IF(3=Element_Stiffness!$E$75,Element_Stiffness!AA102,0)),0)),0)+IF(Element_Stiffness!$C$111,IF(Element_Stiffness!$C$110=1,IF(3=Element_Stiffness!$C$110,Element_Stiffness!U131,IF(3=Element_Stiffness!$E$110,Element_Stiffness!AA131,0)),IF(Element_Stiffness!$E$110=1,IF(3=Element_Stiffness!$C$110,Element_Stiffness!U137,IF(3=Element_Stiffness!$E$110,Element_Stiffness!AA137,0)),0)),0)+IF(Element_Stiffness!$C$146,IF(Element_Stiffness!$C$145=1,IF(3=Element_Stiffness!$C$145,Element_Stiffness!U166,IF(3=Element_Stiffness!$E$145,Element_Stiffness!AA166,0)),IF(Element_Stiffness!$E$145=1,IF(3=Element_Stiffness!$C$145,Element_Stiffness!U172,IF(3=Element_Stiffness!$E$145,Element_Stiffness!AA172,0)),0)),0)+IF(Element_Stiffness!$C$181,IF(Element_Stiffness!$C$180=1,IF(3=Element_Stiffness!$C$180,Element_Stiffness!U201,IF(3=Element_Stiffness!$E$180,Element_Stiffness!AA201,0)),IF(Element_Stiffness!$E$180=1,IF(3=Element_Stiffness!$C$180,Element_Stiffness!U207,IF(3=Element_Stiffness!$E$180,Element_Stiffness!AA207,0)),0)),0)+IF(Element_Stiffness!$C$216,IF(Element_Stiffness!$C$215=1,IF(3=Element_Stiffness!$C$215,Element_Stiffness!U236,IF(3=Element_Stiffness!$E$215,Element_Stiffness!AA236,0)),IF(Element_Stiffness!$E$215=1,IF(3=Element_Stiffness!$C$215,Element_Stiffness!U242,IF(3=Element_Stiffness!$E$215,Element_Stiffness!AA242,0)),0)),0)</f>
        <v/>
      </c>
      <c r="AA11" s="21">
        <f>IF(Element_Stiffness!$C$6,IF(Element_Stiffness!$C$5=1,IF(4=Element_Stiffness!$C$5,Element_Stiffness!P26,IF(4=Element_Stiffness!$E$5,Element_Stiffness!V26,0)),IF(Element_Stiffness!$E$5=1,IF(4=Element_Stiffness!$C$5,Element_Stiffness!P32,IF(4=Element_Stiffness!$E$5,Element_Stiffness!V32,0)),0)),0)+IF(Element_Stiffness!$C$41,IF(Element_Stiffness!$C$40=1,IF(4=Element_Stiffness!$C$40,Element_Stiffness!P61,IF(4=Element_Stiffness!$E$40,Element_Stiffness!V61,0)),IF(Element_Stiffness!$E$40=1,IF(4=Element_Stiffness!$C$40,Element_Stiffness!P67,IF(4=Element_Stiffness!$E$40,Element_Stiffness!V67,0)),0)),0)+IF(Element_Stiffness!$C$76,IF(Element_Stiffness!$C$75=1,IF(4=Element_Stiffness!$C$75,Element_Stiffness!P96,IF(4=Element_Stiffness!$E$75,Element_Stiffness!V96,0)),IF(Element_Stiffness!$E$75=1,IF(4=Element_Stiffness!$C$75,Element_Stiffness!P102,IF(4=Element_Stiffness!$E$75,Element_Stiffness!V102,0)),0)),0)+IF(Element_Stiffness!$C$111,IF(Element_Stiffness!$C$110=1,IF(4=Element_Stiffness!$C$110,Element_Stiffness!P131,IF(4=Element_Stiffness!$E$110,Element_Stiffness!V131,0)),IF(Element_Stiffness!$E$110=1,IF(4=Element_Stiffness!$C$110,Element_Stiffness!P137,IF(4=Element_Stiffness!$E$110,Element_Stiffness!V137,0)),0)),0)+IF(Element_Stiffness!$C$146,IF(Element_Stiffness!$C$145=1,IF(4=Element_Stiffness!$C$145,Element_Stiffness!P166,IF(4=Element_Stiffness!$E$145,Element_Stiffness!V166,0)),IF(Element_Stiffness!$E$145=1,IF(4=Element_Stiffness!$C$145,Element_Stiffness!P172,IF(4=Element_Stiffness!$E$145,Element_Stiffness!V172,0)),0)),0)+IF(Element_Stiffness!$C$181,IF(Element_Stiffness!$C$180=1,IF(4=Element_Stiffness!$C$180,Element_Stiffness!P201,IF(4=Element_Stiffness!$E$180,Element_Stiffness!V201,0)),IF(Element_Stiffness!$E$180=1,IF(4=Element_Stiffness!$C$180,Element_Stiffness!P207,IF(4=Element_Stiffness!$E$180,Element_Stiffness!V207,0)),0)),0)+IF(Element_Stiffness!$C$216,IF(Element_Stiffness!$C$215=1,IF(4=Element_Stiffness!$C$215,Element_Stiffness!P236,IF(4=Element_Stiffness!$E$215,Element_Stiffness!V236,0)),IF(Element_Stiffness!$E$215=1,IF(4=Element_Stiffness!$C$215,Element_Stiffness!P242,IF(4=Element_Stiffness!$E$215,Element_Stiffness!V242,0)),0)),0)</f>
        <v/>
      </c>
      <c r="AB11" s="21">
        <f>IF(Element_Stiffness!$C$6,IF(Element_Stiffness!$C$5=1,IF(4=Element_Stiffness!$C$5,Element_Stiffness!Q26,IF(4=Element_Stiffness!$E$5,Element_Stiffness!W26,0)),IF(Element_Stiffness!$E$5=1,IF(4=Element_Stiffness!$C$5,Element_Stiffness!Q32,IF(4=Element_Stiffness!$E$5,Element_Stiffness!W32,0)),0)),0)+IF(Element_Stiffness!$C$41,IF(Element_Stiffness!$C$40=1,IF(4=Element_Stiffness!$C$40,Element_Stiffness!Q61,IF(4=Element_Stiffness!$E$40,Element_Stiffness!W61,0)),IF(Element_Stiffness!$E$40=1,IF(4=Element_Stiffness!$C$40,Element_Stiffness!Q67,IF(4=Element_Stiffness!$E$40,Element_Stiffness!W67,0)),0)),0)+IF(Element_Stiffness!$C$76,IF(Element_Stiffness!$C$75=1,IF(4=Element_Stiffness!$C$75,Element_Stiffness!Q96,IF(4=Element_Stiffness!$E$75,Element_Stiffness!W96,0)),IF(Element_Stiffness!$E$75=1,IF(4=Element_Stiffness!$C$75,Element_Stiffness!Q102,IF(4=Element_Stiffness!$E$75,Element_Stiffness!W102,0)),0)),0)+IF(Element_Stiffness!$C$111,IF(Element_Stiffness!$C$110=1,IF(4=Element_Stiffness!$C$110,Element_Stiffness!Q131,IF(4=Element_Stiffness!$E$110,Element_Stiffness!W131,0)),IF(Element_Stiffness!$E$110=1,IF(4=Element_Stiffness!$C$110,Element_Stiffness!Q137,IF(4=Element_Stiffness!$E$110,Element_Stiffness!W137,0)),0)),0)+IF(Element_Stiffness!$C$146,IF(Element_Stiffness!$C$145=1,IF(4=Element_Stiffness!$C$145,Element_Stiffness!Q166,IF(4=Element_Stiffness!$E$145,Element_Stiffness!W166,0)),IF(Element_Stiffness!$E$145=1,IF(4=Element_Stiffness!$C$145,Element_Stiffness!Q172,IF(4=Element_Stiffness!$E$145,Element_Stiffness!W172,0)),0)),0)+IF(Element_Stiffness!$C$181,IF(Element_Stiffness!$C$180=1,IF(4=Element_Stiffness!$C$180,Element_Stiffness!Q201,IF(4=Element_Stiffness!$E$180,Element_Stiffness!W201,0)),IF(Element_Stiffness!$E$180=1,IF(4=Element_Stiffness!$C$180,Element_Stiffness!Q207,IF(4=Element_Stiffness!$E$180,Element_Stiffness!W207,0)),0)),0)+IF(Element_Stiffness!$C$216,IF(Element_Stiffness!$C$215=1,IF(4=Element_Stiffness!$C$215,Element_Stiffness!Q236,IF(4=Element_Stiffness!$E$215,Element_Stiffness!W236,0)),IF(Element_Stiffness!$E$215=1,IF(4=Element_Stiffness!$C$215,Element_Stiffness!Q242,IF(4=Element_Stiffness!$E$215,Element_Stiffness!W242,0)),0)),0)</f>
        <v/>
      </c>
      <c r="AC11" s="21">
        <f>IF(Element_Stiffness!$C$6,IF(Element_Stiffness!$C$5=1,IF(4=Element_Stiffness!$C$5,Element_Stiffness!R26,IF(4=Element_Stiffness!$E$5,Element_Stiffness!X26,0)),IF(Element_Stiffness!$E$5=1,IF(4=Element_Stiffness!$C$5,Element_Stiffness!R32,IF(4=Element_Stiffness!$E$5,Element_Stiffness!X32,0)),0)),0)+IF(Element_Stiffness!$C$41,IF(Element_Stiffness!$C$40=1,IF(4=Element_Stiffness!$C$40,Element_Stiffness!R61,IF(4=Element_Stiffness!$E$40,Element_Stiffness!X61,0)),IF(Element_Stiffness!$E$40=1,IF(4=Element_Stiffness!$C$40,Element_Stiffness!R67,IF(4=Element_Stiffness!$E$40,Element_Stiffness!X67,0)),0)),0)+IF(Element_Stiffness!$C$76,IF(Element_Stiffness!$C$75=1,IF(4=Element_Stiffness!$C$75,Element_Stiffness!R96,IF(4=Element_Stiffness!$E$75,Element_Stiffness!X96,0)),IF(Element_Stiffness!$E$75=1,IF(4=Element_Stiffness!$C$75,Element_Stiffness!R102,IF(4=Element_Stiffness!$E$75,Element_Stiffness!X102,0)),0)),0)+IF(Element_Stiffness!$C$111,IF(Element_Stiffness!$C$110=1,IF(4=Element_Stiffness!$C$110,Element_Stiffness!R131,IF(4=Element_Stiffness!$E$110,Element_Stiffness!X131,0)),IF(Element_Stiffness!$E$110=1,IF(4=Element_Stiffness!$C$110,Element_Stiffness!R137,IF(4=Element_Stiffness!$E$110,Element_Stiffness!X137,0)),0)),0)+IF(Element_Stiffness!$C$146,IF(Element_Stiffness!$C$145=1,IF(4=Element_Stiffness!$C$145,Element_Stiffness!R166,IF(4=Element_Stiffness!$E$145,Element_Stiffness!X166,0)),IF(Element_Stiffness!$E$145=1,IF(4=Element_Stiffness!$C$145,Element_Stiffness!R172,IF(4=Element_Stiffness!$E$145,Element_Stiffness!X172,0)),0)),0)+IF(Element_Stiffness!$C$181,IF(Element_Stiffness!$C$180=1,IF(4=Element_Stiffness!$C$180,Element_Stiffness!R201,IF(4=Element_Stiffness!$E$180,Element_Stiffness!X201,0)),IF(Element_Stiffness!$E$180=1,IF(4=Element_Stiffness!$C$180,Element_Stiffness!R207,IF(4=Element_Stiffness!$E$180,Element_Stiffness!X207,0)),0)),0)+IF(Element_Stiffness!$C$216,IF(Element_Stiffness!$C$215=1,IF(4=Element_Stiffness!$C$215,Element_Stiffness!R236,IF(4=Element_Stiffness!$E$215,Element_Stiffness!X236,0)),IF(Element_Stiffness!$E$215=1,IF(4=Element_Stiffness!$C$215,Element_Stiffness!R242,IF(4=Element_Stiffness!$E$215,Element_Stiffness!X242,0)),0)),0)</f>
        <v/>
      </c>
      <c r="AD11" s="21">
        <f>IF(Element_Stiffness!$C$6,IF(Element_Stiffness!$C$5=1,IF(4=Element_Stiffness!$C$5,Element_Stiffness!S26,IF(4=Element_Stiffness!$E$5,Element_Stiffness!Y26,0)),IF(Element_Stiffness!$E$5=1,IF(4=Element_Stiffness!$C$5,Element_Stiffness!S32,IF(4=Element_Stiffness!$E$5,Element_Stiffness!Y32,0)),0)),0)+IF(Element_Stiffness!$C$41,IF(Element_Stiffness!$C$40=1,IF(4=Element_Stiffness!$C$40,Element_Stiffness!S61,IF(4=Element_Stiffness!$E$40,Element_Stiffness!Y61,0)),IF(Element_Stiffness!$E$40=1,IF(4=Element_Stiffness!$C$40,Element_Stiffness!S67,IF(4=Element_Stiffness!$E$40,Element_Stiffness!Y67,0)),0)),0)+IF(Element_Stiffness!$C$76,IF(Element_Stiffness!$C$75=1,IF(4=Element_Stiffness!$C$75,Element_Stiffness!S96,IF(4=Element_Stiffness!$E$75,Element_Stiffness!Y96,0)),IF(Element_Stiffness!$E$75=1,IF(4=Element_Stiffness!$C$75,Element_Stiffness!S102,IF(4=Element_Stiffness!$E$75,Element_Stiffness!Y102,0)),0)),0)+IF(Element_Stiffness!$C$111,IF(Element_Stiffness!$C$110=1,IF(4=Element_Stiffness!$C$110,Element_Stiffness!S131,IF(4=Element_Stiffness!$E$110,Element_Stiffness!Y131,0)),IF(Element_Stiffness!$E$110=1,IF(4=Element_Stiffness!$C$110,Element_Stiffness!S137,IF(4=Element_Stiffness!$E$110,Element_Stiffness!Y137,0)),0)),0)+IF(Element_Stiffness!$C$146,IF(Element_Stiffness!$C$145=1,IF(4=Element_Stiffness!$C$145,Element_Stiffness!S166,IF(4=Element_Stiffness!$E$145,Element_Stiffness!Y166,0)),IF(Element_Stiffness!$E$145=1,IF(4=Element_Stiffness!$C$145,Element_Stiffness!S172,IF(4=Element_Stiffness!$E$145,Element_Stiffness!Y172,0)),0)),0)+IF(Element_Stiffness!$C$181,IF(Element_Stiffness!$C$180=1,IF(4=Element_Stiffness!$C$180,Element_Stiffness!S201,IF(4=Element_Stiffness!$E$180,Element_Stiffness!Y201,0)),IF(Element_Stiffness!$E$180=1,IF(4=Element_Stiffness!$C$180,Element_Stiffness!S207,IF(4=Element_Stiffness!$E$180,Element_Stiffness!Y207,0)),0)),0)+IF(Element_Stiffness!$C$216,IF(Element_Stiffness!$C$215=1,IF(4=Element_Stiffness!$C$215,Element_Stiffness!S236,IF(4=Element_Stiffness!$E$215,Element_Stiffness!Y236,0)),IF(Element_Stiffness!$E$215=1,IF(4=Element_Stiffness!$C$215,Element_Stiffness!S242,IF(4=Element_Stiffness!$E$215,Element_Stiffness!Y242,0)),0)),0)</f>
        <v/>
      </c>
      <c r="AE11" s="21">
        <f>IF(Element_Stiffness!$C$6,IF(Element_Stiffness!$C$5=1,IF(4=Element_Stiffness!$C$5,Element_Stiffness!T26,IF(4=Element_Stiffness!$E$5,Element_Stiffness!Z26,0)),IF(Element_Stiffness!$E$5=1,IF(4=Element_Stiffness!$C$5,Element_Stiffness!T32,IF(4=Element_Stiffness!$E$5,Element_Stiffness!Z32,0)),0)),0)+IF(Element_Stiffness!$C$41,IF(Element_Stiffness!$C$40=1,IF(4=Element_Stiffness!$C$40,Element_Stiffness!T61,IF(4=Element_Stiffness!$E$40,Element_Stiffness!Z61,0)),IF(Element_Stiffness!$E$40=1,IF(4=Element_Stiffness!$C$40,Element_Stiffness!T67,IF(4=Element_Stiffness!$E$40,Element_Stiffness!Z67,0)),0)),0)+IF(Element_Stiffness!$C$76,IF(Element_Stiffness!$C$75=1,IF(4=Element_Stiffness!$C$75,Element_Stiffness!T96,IF(4=Element_Stiffness!$E$75,Element_Stiffness!Z96,0)),IF(Element_Stiffness!$E$75=1,IF(4=Element_Stiffness!$C$75,Element_Stiffness!T102,IF(4=Element_Stiffness!$E$75,Element_Stiffness!Z102,0)),0)),0)+IF(Element_Stiffness!$C$111,IF(Element_Stiffness!$C$110=1,IF(4=Element_Stiffness!$C$110,Element_Stiffness!T131,IF(4=Element_Stiffness!$E$110,Element_Stiffness!Z131,0)),IF(Element_Stiffness!$E$110=1,IF(4=Element_Stiffness!$C$110,Element_Stiffness!T137,IF(4=Element_Stiffness!$E$110,Element_Stiffness!Z137,0)),0)),0)+IF(Element_Stiffness!$C$146,IF(Element_Stiffness!$C$145=1,IF(4=Element_Stiffness!$C$145,Element_Stiffness!T166,IF(4=Element_Stiffness!$E$145,Element_Stiffness!Z166,0)),IF(Element_Stiffness!$E$145=1,IF(4=Element_Stiffness!$C$145,Element_Stiffness!T172,IF(4=Element_Stiffness!$E$145,Element_Stiffness!Z172,0)),0)),0)+IF(Element_Stiffness!$C$181,IF(Element_Stiffness!$C$180=1,IF(4=Element_Stiffness!$C$180,Element_Stiffness!T201,IF(4=Element_Stiffness!$E$180,Element_Stiffness!Z201,0)),IF(Element_Stiffness!$E$180=1,IF(4=Element_Stiffness!$C$180,Element_Stiffness!T207,IF(4=Element_Stiffness!$E$180,Element_Stiffness!Z207,0)),0)),0)+IF(Element_Stiffness!$C$216,IF(Element_Stiffness!$C$215=1,IF(4=Element_Stiffness!$C$215,Element_Stiffness!T236,IF(4=Element_Stiffness!$E$215,Element_Stiffness!Z236,0)),IF(Element_Stiffness!$E$215=1,IF(4=Element_Stiffness!$C$215,Element_Stiffness!T242,IF(4=Element_Stiffness!$E$215,Element_Stiffness!Z242,0)),0)),0)</f>
        <v/>
      </c>
      <c r="AF11" s="21">
        <f>IF(Element_Stiffness!$C$6,IF(Element_Stiffness!$C$5=1,IF(4=Element_Stiffness!$C$5,Element_Stiffness!U26,IF(4=Element_Stiffness!$E$5,Element_Stiffness!AA26,0)),IF(Element_Stiffness!$E$5=1,IF(4=Element_Stiffness!$C$5,Element_Stiffness!U32,IF(4=Element_Stiffness!$E$5,Element_Stiffness!AA32,0)),0)),0)+IF(Element_Stiffness!$C$41,IF(Element_Stiffness!$C$40=1,IF(4=Element_Stiffness!$C$40,Element_Stiffness!U61,IF(4=Element_Stiffness!$E$40,Element_Stiffness!AA61,0)),IF(Element_Stiffness!$E$40=1,IF(4=Element_Stiffness!$C$40,Element_Stiffness!U67,IF(4=Element_Stiffness!$E$40,Element_Stiffness!AA67,0)),0)),0)+IF(Element_Stiffness!$C$76,IF(Element_Stiffness!$C$75=1,IF(4=Element_Stiffness!$C$75,Element_Stiffness!U96,IF(4=Element_Stiffness!$E$75,Element_Stiffness!AA96,0)),IF(Element_Stiffness!$E$75=1,IF(4=Element_Stiffness!$C$75,Element_Stiffness!U102,IF(4=Element_Stiffness!$E$75,Element_Stiffness!AA102,0)),0)),0)+IF(Element_Stiffness!$C$111,IF(Element_Stiffness!$C$110=1,IF(4=Element_Stiffness!$C$110,Element_Stiffness!U131,IF(4=Element_Stiffness!$E$110,Element_Stiffness!AA131,0)),IF(Element_Stiffness!$E$110=1,IF(4=Element_Stiffness!$C$110,Element_Stiffness!U137,IF(4=Element_Stiffness!$E$110,Element_Stiffness!AA137,0)),0)),0)+IF(Element_Stiffness!$C$146,IF(Element_Stiffness!$C$145=1,IF(4=Element_Stiffness!$C$145,Element_Stiffness!U166,IF(4=Element_Stiffness!$E$145,Element_Stiffness!AA166,0)),IF(Element_Stiffness!$E$145=1,IF(4=Element_Stiffness!$C$145,Element_Stiffness!U172,IF(4=Element_Stiffness!$E$145,Element_Stiffness!AA172,0)),0)),0)+IF(Element_Stiffness!$C$181,IF(Element_Stiffness!$C$180=1,IF(4=Element_Stiffness!$C$180,Element_Stiffness!U201,IF(4=Element_Stiffness!$E$180,Element_Stiffness!AA201,0)),IF(Element_Stiffness!$E$180=1,IF(4=Element_Stiffness!$C$180,Element_Stiffness!U207,IF(4=Element_Stiffness!$E$180,Element_Stiffness!AA207,0)),0)),0)+IF(Element_Stiffness!$C$216,IF(Element_Stiffness!$C$215=1,IF(4=Element_Stiffness!$C$215,Element_Stiffness!U236,IF(4=Element_Stiffness!$E$215,Element_Stiffness!AA236,0)),IF(Element_Stiffness!$E$215=1,IF(4=Element_Stiffness!$C$215,Element_Stiffness!U242,IF(4=Element_Stiffness!$E$215,Element_Stiffness!AA242,0)),0)),0)</f>
        <v/>
      </c>
      <c r="AG11" s="21">
        <f>IF(Element_Stiffness!$C$6,IF(Element_Stiffness!$C$5=1,IF(5=Element_Stiffness!$C$5,Element_Stiffness!P26,IF(5=Element_Stiffness!$E$5,Element_Stiffness!V26,0)),IF(Element_Stiffness!$E$5=1,IF(5=Element_Stiffness!$C$5,Element_Stiffness!P32,IF(5=Element_Stiffness!$E$5,Element_Stiffness!V32,0)),0)),0)+IF(Element_Stiffness!$C$41,IF(Element_Stiffness!$C$40=1,IF(5=Element_Stiffness!$C$40,Element_Stiffness!P61,IF(5=Element_Stiffness!$E$40,Element_Stiffness!V61,0)),IF(Element_Stiffness!$E$40=1,IF(5=Element_Stiffness!$C$40,Element_Stiffness!P67,IF(5=Element_Stiffness!$E$40,Element_Stiffness!V67,0)),0)),0)+IF(Element_Stiffness!$C$76,IF(Element_Stiffness!$C$75=1,IF(5=Element_Stiffness!$C$75,Element_Stiffness!P96,IF(5=Element_Stiffness!$E$75,Element_Stiffness!V96,0)),IF(Element_Stiffness!$E$75=1,IF(5=Element_Stiffness!$C$75,Element_Stiffness!P102,IF(5=Element_Stiffness!$E$75,Element_Stiffness!V102,0)),0)),0)+IF(Element_Stiffness!$C$111,IF(Element_Stiffness!$C$110=1,IF(5=Element_Stiffness!$C$110,Element_Stiffness!P131,IF(5=Element_Stiffness!$E$110,Element_Stiffness!V131,0)),IF(Element_Stiffness!$E$110=1,IF(5=Element_Stiffness!$C$110,Element_Stiffness!P137,IF(5=Element_Stiffness!$E$110,Element_Stiffness!V137,0)),0)),0)+IF(Element_Stiffness!$C$146,IF(Element_Stiffness!$C$145=1,IF(5=Element_Stiffness!$C$145,Element_Stiffness!P166,IF(5=Element_Stiffness!$E$145,Element_Stiffness!V166,0)),IF(Element_Stiffness!$E$145=1,IF(5=Element_Stiffness!$C$145,Element_Stiffness!P172,IF(5=Element_Stiffness!$E$145,Element_Stiffness!V172,0)),0)),0)+IF(Element_Stiffness!$C$181,IF(Element_Stiffness!$C$180=1,IF(5=Element_Stiffness!$C$180,Element_Stiffness!P201,IF(5=Element_Stiffness!$E$180,Element_Stiffness!V201,0)),IF(Element_Stiffness!$E$180=1,IF(5=Element_Stiffness!$C$180,Element_Stiffness!P207,IF(5=Element_Stiffness!$E$180,Element_Stiffness!V207,0)),0)),0)+IF(Element_Stiffness!$C$216,IF(Element_Stiffness!$C$215=1,IF(5=Element_Stiffness!$C$215,Element_Stiffness!P236,IF(5=Element_Stiffness!$E$215,Element_Stiffness!V236,0)),IF(Element_Stiffness!$E$215=1,IF(5=Element_Stiffness!$C$215,Element_Stiffness!P242,IF(5=Element_Stiffness!$E$215,Element_Stiffness!V242,0)),0)),0)</f>
        <v/>
      </c>
      <c r="AH11" s="21">
        <f>IF(Element_Stiffness!$C$6,IF(Element_Stiffness!$C$5=1,IF(5=Element_Stiffness!$C$5,Element_Stiffness!Q26,IF(5=Element_Stiffness!$E$5,Element_Stiffness!W26,0)),IF(Element_Stiffness!$E$5=1,IF(5=Element_Stiffness!$C$5,Element_Stiffness!Q32,IF(5=Element_Stiffness!$E$5,Element_Stiffness!W32,0)),0)),0)+IF(Element_Stiffness!$C$41,IF(Element_Stiffness!$C$40=1,IF(5=Element_Stiffness!$C$40,Element_Stiffness!Q61,IF(5=Element_Stiffness!$E$40,Element_Stiffness!W61,0)),IF(Element_Stiffness!$E$40=1,IF(5=Element_Stiffness!$C$40,Element_Stiffness!Q67,IF(5=Element_Stiffness!$E$40,Element_Stiffness!W67,0)),0)),0)+IF(Element_Stiffness!$C$76,IF(Element_Stiffness!$C$75=1,IF(5=Element_Stiffness!$C$75,Element_Stiffness!Q96,IF(5=Element_Stiffness!$E$75,Element_Stiffness!W96,0)),IF(Element_Stiffness!$E$75=1,IF(5=Element_Stiffness!$C$75,Element_Stiffness!Q102,IF(5=Element_Stiffness!$E$75,Element_Stiffness!W102,0)),0)),0)+IF(Element_Stiffness!$C$111,IF(Element_Stiffness!$C$110=1,IF(5=Element_Stiffness!$C$110,Element_Stiffness!Q131,IF(5=Element_Stiffness!$E$110,Element_Stiffness!W131,0)),IF(Element_Stiffness!$E$110=1,IF(5=Element_Stiffness!$C$110,Element_Stiffness!Q137,IF(5=Element_Stiffness!$E$110,Element_Stiffness!W137,0)),0)),0)+IF(Element_Stiffness!$C$146,IF(Element_Stiffness!$C$145=1,IF(5=Element_Stiffness!$C$145,Element_Stiffness!Q166,IF(5=Element_Stiffness!$E$145,Element_Stiffness!W166,0)),IF(Element_Stiffness!$E$145=1,IF(5=Element_Stiffness!$C$145,Element_Stiffness!Q172,IF(5=Element_Stiffness!$E$145,Element_Stiffness!W172,0)),0)),0)+IF(Element_Stiffness!$C$181,IF(Element_Stiffness!$C$180=1,IF(5=Element_Stiffness!$C$180,Element_Stiffness!Q201,IF(5=Element_Stiffness!$E$180,Element_Stiffness!W201,0)),IF(Element_Stiffness!$E$180=1,IF(5=Element_Stiffness!$C$180,Element_Stiffness!Q207,IF(5=Element_Stiffness!$E$180,Element_Stiffness!W207,0)),0)),0)+IF(Element_Stiffness!$C$216,IF(Element_Stiffness!$C$215=1,IF(5=Element_Stiffness!$C$215,Element_Stiffness!Q236,IF(5=Element_Stiffness!$E$215,Element_Stiffness!W236,0)),IF(Element_Stiffness!$E$215=1,IF(5=Element_Stiffness!$C$215,Element_Stiffness!Q242,IF(5=Element_Stiffness!$E$215,Element_Stiffness!W242,0)),0)),0)</f>
        <v/>
      </c>
      <c r="AI11" s="21">
        <f>IF(Element_Stiffness!$C$6,IF(Element_Stiffness!$C$5=1,IF(5=Element_Stiffness!$C$5,Element_Stiffness!R26,IF(5=Element_Stiffness!$E$5,Element_Stiffness!X26,0)),IF(Element_Stiffness!$E$5=1,IF(5=Element_Stiffness!$C$5,Element_Stiffness!R32,IF(5=Element_Stiffness!$E$5,Element_Stiffness!X32,0)),0)),0)+IF(Element_Stiffness!$C$41,IF(Element_Stiffness!$C$40=1,IF(5=Element_Stiffness!$C$40,Element_Stiffness!R61,IF(5=Element_Stiffness!$E$40,Element_Stiffness!X61,0)),IF(Element_Stiffness!$E$40=1,IF(5=Element_Stiffness!$C$40,Element_Stiffness!R67,IF(5=Element_Stiffness!$E$40,Element_Stiffness!X67,0)),0)),0)+IF(Element_Stiffness!$C$76,IF(Element_Stiffness!$C$75=1,IF(5=Element_Stiffness!$C$75,Element_Stiffness!R96,IF(5=Element_Stiffness!$E$75,Element_Stiffness!X96,0)),IF(Element_Stiffness!$E$75=1,IF(5=Element_Stiffness!$C$75,Element_Stiffness!R102,IF(5=Element_Stiffness!$E$75,Element_Stiffness!X102,0)),0)),0)+IF(Element_Stiffness!$C$111,IF(Element_Stiffness!$C$110=1,IF(5=Element_Stiffness!$C$110,Element_Stiffness!R131,IF(5=Element_Stiffness!$E$110,Element_Stiffness!X131,0)),IF(Element_Stiffness!$E$110=1,IF(5=Element_Stiffness!$C$110,Element_Stiffness!R137,IF(5=Element_Stiffness!$E$110,Element_Stiffness!X137,0)),0)),0)+IF(Element_Stiffness!$C$146,IF(Element_Stiffness!$C$145=1,IF(5=Element_Stiffness!$C$145,Element_Stiffness!R166,IF(5=Element_Stiffness!$E$145,Element_Stiffness!X166,0)),IF(Element_Stiffness!$E$145=1,IF(5=Element_Stiffness!$C$145,Element_Stiffness!R172,IF(5=Element_Stiffness!$E$145,Element_Stiffness!X172,0)),0)),0)+IF(Element_Stiffness!$C$181,IF(Element_Stiffness!$C$180=1,IF(5=Element_Stiffness!$C$180,Element_Stiffness!R201,IF(5=Element_Stiffness!$E$180,Element_Stiffness!X201,0)),IF(Element_Stiffness!$E$180=1,IF(5=Element_Stiffness!$C$180,Element_Stiffness!R207,IF(5=Element_Stiffness!$E$180,Element_Stiffness!X207,0)),0)),0)+IF(Element_Stiffness!$C$216,IF(Element_Stiffness!$C$215=1,IF(5=Element_Stiffness!$C$215,Element_Stiffness!R236,IF(5=Element_Stiffness!$E$215,Element_Stiffness!X236,0)),IF(Element_Stiffness!$E$215=1,IF(5=Element_Stiffness!$C$215,Element_Stiffness!R242,IF(5=Element_Stiffness!$E$215,Element_Stiffness!X242,0)),0)),0)</f>
        <v/>
      </c>
      <c r="AJ11" s="21">
        <f>IF(Element_Stiffness!$C$6,IF(Element_Stiffness!$C$5=1,IF(5=Element_Stiffness!$C$5,Element_Stiffness!S26,IF(5=Element_Stiffness!$E$5,Element_Stiffness!Y26,0)),IF(Element_Stiffness!$E$5=1,IF(5=Element_Stiffness!$C$5,Element_Stiffness!S32,IF(5=Element_Stiffness!$E$5,Element_Stiffness!Y32,0)),0)),0)+IF(Element_Stiffness!$C$41,IF(Element_Stiffness!$C$40=1,IF(5=Element_Stiffness!$C$40,Element_Stiffness!S61,IF(5=Element_Stiffness!$E$40,Element_Stiffness!Y61,0)),IF(Element_Stiffness!$E$40=1,IF(5=Element_Stiffness!$C$40,Element_Stiffness!S67,IF(5=Element_Stiffness!$E$40,Element_Stiffness!Y67,0)),0)),0)+IF(Element_Stiffness!$C$76,IF(Element_Stiffness!$C$75=1,IF(5=Element_Stiffness!$C$75,Element_Stiffness!S96,IF(5=Element_Stiffness!$E$75,Element_Stiffness!Y96,0)),IF(Element_Stiffness!$E$75=1,IF(5=Element_Stiffness!$C$75,Element_Stiffness!S102,IF(5=Element_Stiffness!$E$75,Element_Stiffness!Y102,0)),0)),0)+IF(Element_Stiffness!$C$111,IF(Element_Stiffness!$C$110=1,IF(5=Element_Stiffness!$C$110,Element_Stiffness!S131,IF(5=Element_Stiffness!$E$110,Element_Stiffness!Y131,0)),IF(Element_Stiffness!$E$110=1,IF(5=Element_Stiffness!$C$110,Element_Stiffness!S137,IF(5=Element_Stiffness!$E$110,Element_Stiffness!Y137,0)),0)),0)+IF(Element_Stiffness!$C$146,IF(Element_Stiffness!$C$145=1,IF(5=Element_Stiffness!$C$145,Element_Stiffness!S166,IF(5=Element_Stiffness!$E$145,Element_Stiffness!Y166,0)),IF(Element_Stiffness!$E$145=1,IF(5=Element_Stiffness!$C$145,Element_Stiffness!S172,IF(5=Element_Stiffness!$E$145,Element_Stiffness!Y172,0)),0)),0)+IF(Element_Stiffness!$C$181,IF(Element_Stiffness!$C$180=1,IF(5=Element_Stiffness!$C$180,Element_Stiffness!S201,IF(5=Element_Stiffness!$E$180,Element_Stiffness!Y201,0)),IF(Element_Stiffness!$E$180=1,IF(5=Element_Stiffness!$C$180,Element_Stiffness!S207,IF(5=Element_Stiffness!$E$180,Element_Stiffness!Y207,0)),0)),0)+IF(Element_Stiffness!$C$216,IF(Element_Stiffness!$C$215=1,IF(5=Element_Stiffness!$C$215,Element_Stiffness!S236,IF(5=Element_Stiffness!$E$215,Element_Stiffness!Y236,0)),IF(Element_Stiffness!$E$215=1,IF(5=Element_Stiffness!$C$215,Element_Stiffness!S242,IF(5=Element_Stiffness!$E$215,Element_Stiffness!Y242,0)),0)),0)</f>
        <v/>
      </c>
      <c r="AK11" s="21">
        <f>IF(Element_Stiffness!$C$6,IF(Element_Stiffness!$C$5=1,IF(5=Element_Stiffness!$C$5,Element_Stiffness!T26,IF(5=Element_Stiffness!$E$5,Element_Stiffness!Z26,0)),IF(Element_Stiffness!$E$5=1,IF(5=Element_Stiffness!$C$5,Element_Stiffness!T32,IF(5=Element_Stiffness!$E$5,Element_Stiffness!Z32,0)),0)),0)+IF(Element_Stiffness!$C$41,IF(Element_Stiffness!$C$40=1,IF(5=Element_Stiffness!$C$40,Element_Stiffness!T61,IF(5=Element_Stiffness!$E$40,Element_Stiffness!Z61,0)),IF(Element_Stiffness!$E$40=1,IF(5=Element_Stiffness!$C$40,Element_Stiffness!T67,IF(5=Element_Stiffness!$E$40,Element_Stiffness!Z67,0)),0)),0)+IF(Element_Stiffness!$C$76,IF(Element_Stiffness!$C$75=1,IF(5=Element_Stiffness!$C$75,Element_Stiffness!T96,IF(5=Element_Stiffness!$E$75,Element_Stiffness!Z96,0)),IF(Element_Stiffness!$E$75=1,IF(5=Element_Stiffness!$C$75,Element_Stiffness!T102,IF(5=Element_Stiffness!$E$75,Element_Stiffness!Z102,0)),0)),0)+IF(Element_Stiffness!$C$111,IF(Element_Stiffness!$C$110=1,IF(5=Element_Stiffness!$C$110,Element_Stiffness!T131,IF(5=Element_Stiffness!$E$110,Element_Stiffness!Z131,0)),IF(Element_Stiffness!$E$110=1,IF(5=Element_Stiffness!$C$110,Element_Stiffness!T137,IF(5=Element_Stiffness!$E$110,Element_Stiffness!Z137,0)),0)),0)+IF(Element_Stiffness!$C$146,IF(Element_Stiffness!$C$145=1,IF(5=Element_Stiffness!$C$145,Element_Stiffness!T166,IF(5=Element_Stiffness!$E$145,Element_Stiffness!Z166,0)),IF(Element_Stiffness!$E$145=1,IF(5=Element_Stiffness!$C$145,Element_Stiffness!T172,IF(5=Element_Stiffness!$E$145,Element_Stiffness!Z172,0)),0)),0)+IF(Element_Stiffness!$C$181,IF(Element_Stiffness!$C$180=1,IF(5=Element_Stiffness!$C$180,Element_Stiffness!T201,IF(5=Element_Stiffness!$E$180,Element_Stiffness!Z201,0)),IF(Element_Stiffness!$E$180=1,IF(5=Element_Stiffness!$C$180,Element_Stiffness!T207,IF(5=Element_Stiffness!$E$180,Element_Stiffness!Z207,0)),0)),0)+IF(Element_Stiffness!$C$216,IF(Element_Stiffness!$C$215=1,IF(5=Element_Stiffness!$C$215,Element_Stiffness!T236,IF(5=Element_Stiffness!$E$215,Element_Stiffness!Z236,0)),IF(Element_Stiffness!$E$215=1,IF(5=Element_Stiffness!$C$215,Element_Stiffness!T242,IF(5=Element_Stiffness!$E$215,Element_Stiffness!Z242,0)),0)),0)</f>
        <v/>
      </c>
      <c r="AL11" s="21">
        <f>IF(Element_Stiffness!$C$6,IF(Element_Stiffness!$C$5=1,IF(5=Element_Stiffness!$C$5,Element_Stiffness!U26,IF(5=Element_Stiffness!$E$5,Element_Stiffness!AA26,0)),IF(Element_Stiffness!$E$5=1,IF(5=Element_Stiffness!$C$5,Element_Stiffness!U32,IF(5=Element_Stiffness!$E$5,Element_Stiffness!AA32,0)),0)),0)+IF(Element_Stiffness!$C$41,IF(Element_Stiffness!$C$40=1,IF(5=Element_Stiffness!$C$40,Element_Stiffness!U61,IF(5=Element_Stiffness!$E$40,Element_Stiffness!AA61,0)),IF(Element_Stiffness!$E$40=1,IF(5=Element_Stiffness!$C$40,Element_Stiffness!U67,IF(5=Element_Stiffness!$E$40,Element_Stiffness!AA67,0)),0)),0)+IF(Element_Stiffness!$C$76,IF(Element_Stiffness!$C$75=1,IF(5=Element_Stiffness!$C$75,Element_Stiffness!U96,IF(5=Element_Stiffness!$E$75,Element_Stiffness!AA96,0)),IF(Element_Stiffness!$E$75=1,IF(5=Element_Stiffness!$C$75,Element_Stiffness!U102,IF(5=Element_Stiffness!$E$75,Element_Stiffness!AA102,0)),0)),0)+IF(Element_Stiffness!$C$111,IF(Element_Stiffness!$C$110=1,IF(5=Element_Stiffness!$C$110,Element_Stiffness!U131,IF(5=Element_Stiffness!$E$110,Element_Stiffness!AA131,0)),IF(Element_Stiffness!$E$110=1,IF(5=Element_Stiffness!$C$110,Element_Stiffness!U137,IF(5=Element_Stiffness!$E$110,Element_Stiffness!AA137,0)),0)),0)+IF(Element_Stiffness!$C$146,IF(Element_Stiffness!$C$145=1,IF(5=Element_Stiffness!$C$145,Element_Stiffness!U166,IF(5=Element_Stiffness!$E$145,Element_Stiffness!AA166,0)),IF(Element_Stiffness!$E$145=1,IF(5=Element_Stiffness!$C$145,Element_Stiffness!U172,IF(5=Element_Stiffness!$E$145,Element_Stiffness!AA172,0)),0)),0)+IF(Element_Stiffness!$C$181,IF(Element_Stiffness!$C$180=1,IF(5=Element_Stiffness!$C$180,Element_Stiffness!U201,IF(5=Element_Stiffness!$E$180,Element_Stiffness!AA201,0)),IF(Element_Stiffness!$E$180=1,IF(5=Element_Stiffness!$C$180,Element_Stiffness!U207,IF(5=Element_Stiffness!$E$180,Element_Stiffness!AA207,0)),0)),0)+IF(Element_Stiffness!$C$216,IF(Element_Stiffness!$C$215=1,IF(5=Element_Stiffness!$C$215,Element_Stiffness!U236,IF(5=Element_Stiffness!$E$215,Element_Stiffness!AA236,0)),IF(Element_Stiffness!$E$215=1,IF(5=Element_Stiffness!$C$215,Element_Stiffness!U242,IF(5=Element_Stiffness!$E$215,Element_Stiffness!AA242,0)),0)),0)</f>
        <v/>
      </c>
      <c r="AM11" s="21">
        <f>IF(Element_Stiffness!$C$6,IF(Element_Stiffness!$C$5=1,IF(6=Element_Stiffness!$C$5,Element_Stiffness!P26,IF(6=Element_Stiffness!$E$5,Element_Stiffness!V26,0)),IF(Element_Stiffness!$E$5=1,IF(6=Element_Stiffness!$C$5,Element_Stiffness!P32,IF(6=Element_Stiffness!$E$5,Element_Stiffness!V32,0)),0)),0)+IF(Element_Stiffness!$C$41,IF(Element_Stiffness!$C$40=1,IF(6=Element_Stiffness!$C$40,Element_Stiffness!P61,IF(6=Element_Stiffness!$E$40,Element_Stiffness!V61,0)),IF(Element_Stiffness!$E$40=1,IF(6=Element_Stiffness!$C$40,Element_Stiffness!P67,IF(6=Element_Stiffness!$E$40,Element_Stiffness!V67,0)),0)),0)+IF(Element_Stiffness!$C$76,IF(Element_Stiffness!$C$75=1,IF(6=Element_Stiffness!$C$75,Element_Stiffness!P96,IF(6=Element_Stiffness!$E$75,Element_Stiffness!V96,0)),IF(Element_Stiffness!$E$75=1,IF(6=Element_Stiffness!$C$75,Element_Stiffness!P102,IF(6=Element_Stiffness!$E$75,Element_Stiffness!V102,0)),0)),0)+IF(Element_Stiffness!$C$111,IF(Element_Stiffness!$C$110=1,IF(6=Element_Stiffness!$C$110,Element_Stiffness!P131,IF(6=Element_Stiffness!$E$110,Element_Stiffness!V131,0)),IF(Element_Stiffness!$E$110=1,IF(6=Element_Stiffness!$C$110,Element_Stiffness!P137,IF(6=Element_Stiffness!$E$110,Element_Stiffness!V137,0)),0)),0)+IF(Element_Stiffness!$C$146,IF(Element_Stiffness!$C$145=1,IF(6=Element_Stiffness!$C$145,Element_Stiffness!P166,IF(6=Element_Stiffness!$E$145,Element_Stiffness!V166,0)),IF(Element_Stiffness!$E$145=1,IF(6=Element_Stiffness!$C$145,Element_Stiffness!P172,IF(6=Element_Stiffness!$E$145,Element_Stiffness!V172,0)),0)),0)+IF(Element_Stiffness!$C$181,IF(Element_Stiffness!$C$180=1,IF(6=Element_Stiffness!$C$180,Element_Stiffness!P201,IF(6=Element_Stiffness!$E$180,Element_Stiffness!V201,0)),IF(Element_Stiffness!$E$180=1,IF(6=Element_Stiffness!$C$180,Element_Stiffness!P207,IF(6=Element_Stiffness!$E$180,Element_Stiffness!V207,0)),0)),0)+IF(Element_Stiffness!$C$216,IF(Element_Stiffness!$C$215=1,IF(6=Element_Stiffness!$C$215,Element_Stiffness!P236,IF(6=Element_Stiffness!$E$215,Element_Stiffness!V236,0)),IF(Element_Stiffness!$E$215=1,IF(6=Element_Stiffness!$C$215,Element_Stiffness!P242,IF(6=Element_Stiffness!$E$215,Element_Stiffness!V242,0)),0)),0)</f>
        <v/>
      </c>
      <c r="AN11" s="21">
        <f>IF(Element_Stiffness!$C$6,IF(Element_Stiffness!$C$5=1,IF(6=Element_Stiffness!$C$5,Element_Stiffness!Q26,IF(6=Element_Stiffness!$E$5,Element_Stiffness!W26,0)),IF(Element_Stiffness!$E$5=1,IF(6=Element_Stiffness!$C$5,Element_Stiffness!Q32,IF(6=Element_Stiffness!$E$5,Element_Stiffness!W32,0)),0)),0)+IF(Element_Stiffness!$C$41,IF(Element_Stiffness!$C$40=1,IF(6=Element_Stiffness!$C$40,Element_Stiffness!Q61,IF(6=Element_Stiffness!$E$40,Element_Stiffness!W61,0)),IF(Element_Stiffness!$E$40=1,IF(6=Element_Stiffness!$C$40,Element_Stiffness!Q67,IF(6=Element_Stiffness!$E$40,Element_Stiffness!W67,0)),0)),0)+IF(Element_Stiffness!$C$76,IF(Element_Stiffness!$C$75=1,IF(6=Element_Stiffness!$C$75,Element_Stiffness!Q96,IF(6=Element_Stiffness!$E$75,Element_Stiffness!W96,0)),IF(Element_Stiffness!$E$75=1,IF(6=Element_Stiffness!$C$75,Element_Stiffness!Q102,IF(6=Element_Stiffness!$E$75,Element_Stiffness!W102,0)),0)),0)+IF(Element_Stiffness!$C$111,IF(Element_Stiffness!$C$110=1,IF(6=Element_Stiffness!$C$110,Element_Stiffness!Q131,IF(6=Element_Stiffness!$E$110,Element_Stiffness!W131,0)),IF(Element_Stiffness!$E$110=1,IF(6=Element_Stiffness!$C$110,Element_Stiffness!Q137,IF(6=Element_Stiffness!$E$110,Element_Stiffness!W137,0)),0)),0)+IF(Element_Stiffness!$C$146,IF(Element_Stiffness!$C$145=1,IF(6=Element_Stiffness!$C$145,Element_Stiffness!Q166,IF(6=Element_Stiffness!$E$145,Element_Stiffness!W166,0)),IF(Element_Stiffness!$E$145=1,IF(6=Element_Stiffness!$C$145,Element_Stiffness!Q172,IF(6=Element_Stiffness!$E$145,Element_Stiffness!W172,0)),0)),0)+IF(Element_Stiffness!$C$181,IF(Element_Stiffness!$C$180=1,IF(6=Element_Stiffness!$C$180,Element_Stiffness!Q201,IF(6=Element_Stiffness!$E$180,Element_Stiffness!W201,0)),IF(Element_Stiffness!$E$180=1,IF(6=Element_Stiffness!$C$180,Element_Stiffness!Q207,IF(6=Element_Stiffness!$E$180,Element_Stiffness!W207,0)),0)),0)+IF(Element_Stiffness!$C$216,IF(Element_Stiffness!$C$215=1,IF(6=Element_Stiffness!$C$215,Element_Stiffness!Q236,IF(6=Element_Stiffness!$E$215,Element_Stiffness!W236,0)),IF(Element_Stiffness!$E$215=1,IF(6=Element_Stiffness!$C$215,Element_Stiffness!Q242,IF(6=Element_Stiffness!$E$215,Element_Stiffness!W242,0)),0)),0)</f>
        <v/>
      </c>
      <c r="AO11" s="21">
        <f>IF(Element_Stiffness!$C$6,IF(Element_Stiffness!$C$5=1,IF(6=Element_Stiffness!$C$5,Element_Stiffness!R26,IF(6=Element_Stiffness!$E$5,Element_Stiffness!X26,0)),IF(Element_Stiffness!$E$5=1,IF(6=Element_Stiffness!$C$5,Element_Stiffness!R32,IF(6=Element_Stiffness!$E$5,Element_Stiffness!X32,0)),0)),0)+IF(Element_Stiffness!$C$41,IF(Element_Stiffness!$C$40=1,IF(6=Element_Stiffness!$C$40,Element_Stiffness!R61,IF(6=Element_Stiffness!$E$40,Element_Stiffness!X61,0)),IF(Element_Stiffness!$E$40=1,IF(6=Element_Stiffness!$C$40,Element_Stiffness!R67,IF(6=Element_Stiffness!$E$40,Element_Stiffness!X67,0)),0)),0)+IF(Element_Stiffness!$C$76,IF(Element_Stiffness!$C$75=1,IF(6=Element_Stiffness!$C$75,Element_Stiffness!R96,IF(6=Element_Stiffness!$E$75,Element_Stiffness!X96,0)),IF(Element_Stiffness!$E$75=1,IF(6=Element_Stiffness!$C$75,Element_Stiffness!R102,IF(6=Element_Stiffness!$E$75,Element_Stiffness!X102,0)),0)),0)+IF(Element_Stiffness!$C$111,IF(Element_Stiffness!$C$110=1,IF(6=Element_Stiffness!$C$110,Element_Stiffness!R131,IF(6=Element_Stiffness!$E$110,Element_Stiffness!X131,0)),IF(Element_Stiffness!$E$110=1,IF(6=Element_Stiffness!$C$110,Element_Stiffness!R137,IF(6=Element_Stiffness!$E$110,Element_Stiffness!X137,0)),0)),0)+IF(Element_Stiffness!$C$146,IF(Element_Stiffness!$C$145=1,IF(6=Element_Stiffness!$C$145,Element_Stiffness!R166,IF(6=Element_Stiffness!$E$145,Element_Stiffness!X166,0)),IF(Element_Stiffness!$E$145=1,IF(6=Element_Stiffness!$C$145,Element_Stiffness!R172,IF(6=Element_Stiffness!$E$145,Element_Stiffness!X172,0)),0)),0)+IF(Element_Stiffness!$C$181,IF(Element_Stiffness!$C$180=1,IF(6=Element_Stiffness!$C$180,Element_Stiffness!R201,IF(6=Element_Stiffness!$E$180,Element_Stiffness!X201,0)),IF(Element_Stiffness!$E$180=1,IF(6=Element_Stiffness!$C$180,Element_Stiffness!R207,IF(6=Element_Stiffness!$E$180,Element_Stiffness!X207,0)),0)),0)+IF(Element_Stiffness!$C$216,IF(Element_Stiffness!$C$215=1,IF(6=Element_Stiffness!$C$215,Element_Stiffness!R236,IF(6=Element_Stiffness!$E$215,Element_Stiffness!X236,0)),IF(Element_Stiffness!$E$215=1,IF(6=Element_Stiffness!$C$215,Element_Stiffness!R242,IF(6=Element_Stiffness!$E$215,Element_Stiffness!X242,0)),0)),0)</f>
        <v/>
      </c>
      <c r="AP11" s="21">
        <f>IF(Element_Stiffness!$C$6,IF(Element_Stiffness!$C$5=1,IF(6=Element_Stiffness!$C$5,Element_Stiffness!S26,IF(6=Element_Stiffness!$E$5,Element_Stiffness!Y26,0)),IF(Element_Stiffness!$E$5=1,IF(6=Element_Stiffness!$C$5,Element_Stiffness!S32,IF(6=Element_Stiffness!$E$5,Element_Stiffness!Y32,0)),0)),0)+IF(Element_Stiffness!$C$41,IF(Element_Stiffness!$C$40=1,IF(6=Element_Stiffness!$C$40,Element_Stiffness!S61,IF(6=Element_Stiffness!$E$40,Element_Stiffness!Y61,0)),IF(Element_Stiffness!$E$40=1,IF(6=Element_Stiffness!$C$40,Element_Stiffness!S67,IF(6=Element_Stiffness!$E$40,Element_Stiffness!Y67,0)),0)),0)+IF(Element_Stiffness!$C$76,IF(Element_Stiffness!$C$75=1,IF(6=Element_Stiffness!$C$75,Element_Stiffness!S96,IF(6=Element_Stiffness!$E$75,Element_Stiffness!Y96,0)),IF(Element_Stiffness!$E$75=1,IF(6=Element_Stiffness!$C$75,Element_Stiffness!S102,IF(6=Element_Stiffness!$E$75,Element_Stiffness!Y102,0)),0)),0)+IF(Element_Stiffness!$C$111,IF(Element_Stiffness!$C$110=1,IF(6=Element_Stiffness!$C$110,Element_Stiffness!S131,IF(6=Element_Stiffness!$E$110,Element_Stiffness!Y131,0)),IF(Element_Stiffness!$E$110=1,IF(6=Element_Stiffness!$C$110,Element_Stiffness!S137,IF(6=Element_Stiffness!$E$110,Element_Stiffness!Y137,0)),0)),0)+IF(Element_Stiffness!$C$146,IF(Element_Stiffness!$C$145=1,IF(6=Element_Stiffness!$C$145,Element_Stiffness!S166,IF(6=Element_Stiffness!$E$145,Element_Stiffness!Y166,0)),IF(Element_Stiffness!$E$145=1,IF(6=Element_Stiffness!$C$145,Element_Stiffness!S172,IF(6=Element_Stiffness!$E$145,Element_Stiffness!Y172,0)),0)),0)+IF(Element_Stiffness!$C$181,IF(Element_Stiffness!$C$180=1,IF(6=Element_Stiffness!$C$180,Element_Stiffness!S201,IF(6=Element_Stiffness!$E$180,Element_Stiffness!Y201,0)),IF(Element_Stiffness!$E$180=1,IF(6=Element_Stiffness!$C$180,Element_Stiffness!S207,IF(6=Element_Stiffness!$E$180,Element_Stiffness!Y207,0)),0)),0)+IF(Element_Stiffness!$C$216,IF(Element_Stiffness!$C$215=1,IF(6=Element_Stiffness!$C$215,Element_Stiffness!S236,IF(6=Element_Stiffness!$E$215,Element_Stiffness!Y236,0)),IF(Element_Stiffness!$E$215=1,IF(6=Element_Stiffness!$C$215,Element_Stiffness!S242,IF(6=Element_Stiffness!$E$215,Element_Stiffness!Y242,0)),0)),0)</f>
        <v/>
      </c>
      <c r="AQ11" s="21">
        <f>IF(Element_Stiffness!$C$6,IF(Element_Stiffness!$C$5=1,IF(6=Element_Stiffness!$C$5,Element_Stiffness!T26,IF(6=Element_Stiffness!$E$5,Element_Stiffness!Z26,0)),IF(Element_Stiffness!$E$5=1,IF(6=Element_Stiffness!$C$5,Element_Stiffness!T32,IF(6=Element_Stiffness!$E$5,Element_Stiffness!Z32,0)),0)),0)+IF(Element_Stiffness!$C$41,IF(Element_Stiffness!$C$40=1,IF(6=Element_Stiffness!$C$40,Element_Stiffness!T61,IF(6=Element_Stiffness!$E$40,Element_Stiffness!Z61,0)),IF(Element_Stiffness!$E$40=1,IF(6=Element_Stiffness!$C$40,Element_Stiffness!T67,IF(6=Element_Stiffness!$E$40,Element_Stiffness!Z67,0)),0)),0)+IF(Element_Stiffness!$C$76,IF(Element_Stiffness!$C$75=1,IF(6=Element_Stiffness!$C$75,Element_Stiffness!T96,IF(6=Element_Stiffness!$E$75,Element_Stiffness!Z96,0)),IF(Element_Stiffness!$E$75=1,IF(6=Element_Stiffness!$C$75,Element_Stiffness!T102,IF(6=Element_Stiffness!$E$75,Element_Stiffness!Z102,0)),0)),0)+IF(Element_Stiffness!$C$111,IF(Element_Stiffness!$C$110=1,IF(6=Element_Stiffness!$C$110,Element_Stiffness!T131,IF(6=Element_Stiffness!$E$110,Element_Stiffness!Z131,0)),IF(Element_Stiffness!$E$110=1,IF(6=Element_Stiffness!$C$110,Element_Stiffness!T137,IF(6=Element_Stiffness!$E$110,Element_Stiffness!Z137,0)),0)),0)+IF(Element_Stiffness!$C$146,IF(Element_Stiffness!$C$145=1,IF(6=Element_Stiffness!$C$145,Element_Stiffness!T166,IF(6=Element_Stiffness!$E$145,Element_Stiffness!Z166,0)),IF(Element_Stiffness!$E$145=1,IF(6=Element_Stiffness!$C$145,Element_Stiffness!T172,IF(6=Element_Stiffness!$E$145,Element_Stiffness!Z172,0)),0)),0)+IF(Element_Stiffness!$C$181,IF(Element_Stiffness!$C$180=1,IF(6=Element_Stiffness!$C$180,Element_Stiffness!T201,IF(6=Element_Stiffness!$E$180,Element_Stiffness!Z201,0)),IF(Element_Stiffness!$E$180=1,IF(6=Element_Stiffness!$C$180,Element_Stiffness!T207,IF(6=Element_Stiffness!$E$180,Element_Stiffness!Z207,0)),0)),0)+IF(Element_Stiffness!$C$216,IF(Element_Stiffness!$C$215=1,IF(6=Element_Stiffness!$C$215,Element_Stiffness!T236,IF(6=Element_Stiffness!$E$215,Element_Stiffness!Z236,0)),IF(Element_Stiffness!$E$215=1,IF(6=Element_Stiffness!$C$215,Element_Stiffness!T242,IF(6=Element_Stiffness!$E$215,Element_Stiffness!Z242,0)),0)),0)</f>
        <v/>
      </c>
      <c r="AR11" s="21">
        <f>IF(Element_Stiffness!$C$6,IF(Element_Stiffness!$C$5=1,IF(6=Element_Stiffness!$C$5,Element_Stiffness!U26,IF(6=Element_Stiffness!$E$5,Element_Stiffness!AA26,0)),IF(Element_Stiffness!$E$5=1,IF(6=Element_Stiffness!$C$5,Element_Stiffness!U32,IF(6=Element_Stiffness!$E$5,Element_Stiffness!AA32,0)),0)),0)+IF(Element_Stiffness!$C$41,IF(Element_Stiffness!$C$40=1,IF(6=Element_Stiffness!$C$40,Element_Stiffness!U61,IF(6=Element_Stiffness!$E$40,Element_Stiffness!AA61,0)),IF(Element_Stiffness!$E$40=1,IF(6=Element_Stiffness!$C$40,Element_Stiffness!U67,IF(6=Element_Stiffness!$E$40,Element_Stiffness!AA67,0)),0)),0)+IF(Element_Stiffness!$C$76,IF(Element_Stiffness!$C$75=1,IF(6=Element_Stiffness!$C$75,Element_Stiffness!U96,IF(6=Element_Stiffness!$E$75,Element_Stiffness!AA96,0)),IF(Element_Stiffness!$E$75=1,IF(6=Element_Stiffness!$C$75,Element_Stiffness!U102,IF(6=Element_Stiffness!$E$75,Element_Stiffness!AA102,0)),0)),0)+IF(Element_Stiffness!$C$111,IF(Element_Stiffness!$C$110=1,IF(6=Element_Stiffness!$C$110,Element_Stiffness!U131,IF(6=Element_Stiffness!$E$110,Element_Stiffness!AA131,0)),IF(Element_Stiffness!$E$110=1,IF(6=Element_Stiffness!$C$110,Element_Stiffness!U137,IF(6=Element_Stiffness!$E$110,Element_Stiffness!AA137,0)),0)),0)+IF(Element_Stiffness!$C$146,IF(Element_Stiffness!$C$145=1,IF(6=Element_Stiffness!$C$145,Element_Stiffness!U166,IF(6=Element_Stiffness!$E$145,Element_Stiffness!AA166,0)),IF(Element_Stiffness!$E$145=1,IF(6=Element_Stiffness!$C$145,Element_Stiffness!U172,IF(6=Element_Stiffness!$E$145,Element_Stiffness!AA172,0)),0)),0)+IF(Element_Stiffness!$C$181,IF(Element_Stiffness!$C$180=1,IF(6=Element_Stiffness!$C$180,Element_Stiffness!U201,IF(6=Element_Stiffness!$E$180,Element_Stiffness!AA201,0)),IF(Element_Stiffness!$E$180=1,IF(6=Element_Stiffness!$C$180,Element_Stiffness!U207,IF(6=Element_Stiffness!$E$180,Element_Stiffness!AA207,0)),0)),0)+IF(Element_Stiffness!$C$216,IF(Element_Stiffness!$C$215=1,IF(6=Element_Stiffness!$C$215,Element_Stiffness!U236,IF(6=Element_Stiffness!$E$215,Element_Stiffness!AA236,0)),IF(Element_Stiffness!$E$215=1,IF(6=Element_Stiffness!$C$215,Element_Stiffness!U242,IF(6=Element_Stiffness!$E$215,Element_Stiffness!AA242,0)),0)),0)</f>
        <v/>
      </c>
      <c r="AS11" s="21">
        <f>IF(Element_Stiffness!$C$6,IF(Element_Stiffness!$C$5=1,IF(7=Element_Stiffness!$C$5,Element_Stiffness!P26,IF(7=Element_Stiffness!$E$5,Element_Stiffness!V26,0)),IF(Element_Stiffness!$E$5=1,IF(7=Element_Stiffness!$C$5,Element_Stiffness!P32,IF(7=Element_Stiffness!$E$5,Element_Stiffness!V32,0)),0)),0)+IF(Element_Stiffness!$C$41,IF(Element_Stiffness!$C$40=1,IF(7=Element_Stiffness!$C$40,Element_Stiffness!P61,IF(7=Element_Stiffness!$E$40,Element_Stiffness!V61,0)),IF(Element_Stiffness!$E$40=1,IF(7=Element_Stiffness!$C$40,Element_Stiffness!P67,IF(7=Element_Stiffness!$E$40,Element_Stiffness!V67,0)),0)),0)+IF(Element_Stiffness!$C$76,IF(Element_Stiffness!$C$75=1,IF(7=Element_Stiffness!$C$75,Element_Stiffness!P96,IF(7=Element_Stiffness!$E$75,Element_Stiffness!V96,0)),IF(Element_Stiffness!$E$75=1,IF(7=Element_Stiffness!$C$75,Element_Stiffness!P102,IF(7=Element_Stiffness!$E$75,Element_Stiffness!V102,0)),0)),0)+IF(Element_Stiffness!$C$111,IF(Element_Stiffness!$C$110=1,IF(7=Element_Stiffness!$C$110,Element_Stiffness!P131,IF(7=Element_Stiffness!$E$110,Element_Stiffness!V131,0)),IF(Element_Stiffness!$E$110=1,IF(7=Element_Stiffness!$C$110,Element_Stiffness!P137,IF(7=Element_Stiffness!$E$110,Element_Stiffness!V137,0)),0)),0)+IF(Element_Stiffness!$C$146,IF(Element_Stiffness!$C$145=1,IF(7=Element_Stiffness!$C$145,Element_Stiffness!P166,IF(7=Element_Stiffness!$E$145,Element_Stiffness!V166,0)),IF(Element_Stiffness!$E$145=1,IF(7=Element_Stiffness!$C$145,Element_Stiffness!P172,IF(7=Element_Stiffness!$E$145,Element_Stiffness!V172,0)),0)),0)+IF(Element_Stiffness!$C$181,IF(Element_Stiffness!$C$180=1,IF(7=Element_Stiffness!$C$180,Element_Stiffness!P201,IF(7=Element_Stiffness!$E$180,Element_Stiffness!V201,0)),IF(Element_Stiffness!$E$180=1,IF(7=Element_Stiffness!$C$180,Element_Stiffness!P207,IF(7=Element_Stiffness!$E$180,Element_Stiffness!V207,0)),0)),0)+IF(Element_Stiffness!$C$216,IF(Element_Stiffness!$C$215=1,IF(7=Element_Stiffness!$C$215,Element_Stiffness!P236,IF(7=Element_Stiffness!$E$215,Element_Stiffness!V236,0)),IF(Element_Stiffness!$E$215=1,IF(7=Element_Stiffness!$C$215,Element_Stiffness!P242,IF(7=Element_Stiffness!$E$215,Element_Stiffness!V242,0)),0)),0)</f>
        <v/>
      </c>
      <c r="AT11" s="21">
        <f>IF(Element_Stiffness!$C$6,IF(Element_Stiffness!$C$5=1,IF(7=Element_Stiffness!$C$5,Element_Stiffness!Q26,IF(7=Element_Stiffness!$E$5,Element_Stiffness!W26,0)),IF(Element_Stiffness!$E$5=1,IF(7=Element_Stiffness!$C$5,Element_Stiffness!Q32,IF(7=Element_Stiffness!$E$5,Element_Stiffness!W32,0)),0)),0)+IF(Element_Stiffness!$C$41,IF(Element_Stiffness!$C$40=1,IF(7=Element_Stiffness!$C$40,Element_Stiffness!Q61,IF(7=Element_Stiffness!$E$40,Element_Stiffness!W61,0)),IF(Element_Stiffness!$E$40=1,IF(7=Element_Stiffness!$C$40,Element_Stiffness!Q67,IF(7=Element_Stiffness!$E$40,Element_Stiffness!W67,0)),0)),0)+IF(Element_Stiffness!$C$76,IF(Element_Stiffness!$C$75=1,IF(7=Element_Stiffness!$C$75,Element_Stiffness!Q96,IF(7=Element_Stiffness!$E$75,Element_Stiffness!W96,0)),IF(Element_Stiffness!$E$75=1,IF(7=Element_Stiffness!$C$75,Element_Stiffness!Q102,IF(7=Element_Stiffness!$E$75,Element_Stiffness!W102,0)),0)),0)+IF(Element_Stiffness!$C$111,IF(Element_Stiffness!$C$110=1,IF(7=Element_Stiffness!$C$110,Element_Stiffness!Q131,IF(7=Element_Stiffness!$E$110,Element_Stiffness!W131,0)),IF(Element_Stiffness!$E$110=1,IF(7=Element_Stiffness!$C$110,Element_Stiffness!Q137,IF(7=Element_Stiffness!$E$110,Element_Stiffness!W137,0)),0)),0)+IF(Element_Stiffness!$C$146,IF(Element_Stiffness!$C$145=1,IF(7=Element_Stiffness!$C$145,Element_Stiffness!Q166,IF(7=Element_Stiffness!$E$145,Element_Stiffness!W166,0)),IF(Element_Stiffness!$E$145=1,IF(7=Element_Stiffness!$C$145,Element_Stiffness!Q172,IF(7=Element_Stiffness!$E$145,Element_Stiffness!W172,0)),0)),0)+IF(Element_Stiffness!$C$181,IF(Element_Stiffness!$C$180=1,IF(7=Element_Stiffness!$C$180,Element_Stiffness!Q201,IF(7=Element_Stiffness!$E$180,Element_Stiffness!W201,0)),IF(Element_Stiffness!$E$180=1,IF(7=Element_Stiffness!$C$180,Element_Stiffness!Q207,IF(7=Element_Stiffness!$E$180,Element_Stiffness!W207,0)),0)),0)+IF(Element_Stiffness!$C$216,IF(Element_Stiffness!$C$215=1,IF(7=Element_Stiffness!$C$215,Element_Stiffness!Q236,IF(7=Element_Stiffness!$E$215,Element_Stiffness!W236,0)),IF(Element_Stiffness!$E$215=1,IF(7=Element_Stiffness!$C$215,Element_Stiffness!Q242,IF(7=Element_Stiffness!$E$215,Element_Stiffness!W242,0)),0)),0)</f>
        <v/>
      </c>
      <c r="AU11" s="21">
        <f>IF(Element_Stiffness!$C$6,IF(Element_Stiffness!$C$5=1,IF(7=Element_Stiffness!$C$5,Element_Stiffness!R26,IF(7=Element_Stiffness!$E$5,Element_Stiffness!X26,0)),IF(Element_Stiffness!$E$5=1,IF(7=Element_Stiffness!$C$5,Element_Stiffness!R32,IF(7=Element_Stiffness!$E$5,Element_Stiffness!X32,0)),0)),0)+IF(Element_Stiffness!$C$41,IF(Element_Stiffness!$C$40=1,IF(7=Element_Stiffness!$C$40,Element_Stiffness!R61,IF(7=Element_Stiffness!$E$40,Element_Stiffness!X61,0)),IF(Element_Stiffness!$E$40=1,IF(7=Element_Stiffness!$C$40,Element_Stiffness!R67,IF(7=Element_Stiffness!$E$40,Element_Stiffness!X67,0)),0)),0)+IF(Element_Stiffness!$C$76,IF(Element_Stiffness!$C$75=1,IF(7=Element_Stiffness!$C$75,Element_Stiffness!R96,IF(7=Element_Stiffness!$E$75,Element_Stiffness!X96,0)),IF(Element_Stiffness!$E$75=1,IF(7=Element_Stiffness!$C$75,Element_Stiffness!R102,IF(7=Element_Stiffness!$E$75,Element_Stiffness!X102,0)),0)),0)+IF(Element_Stiffness!$C$111,IF(Element_Stiffness!$C$110=1,IF(7=Element_Stiffness!$C$110,Element_Stiffness!R131,IF(7=Element_Stiffness!$E$110,Element_Stiffness!X131,0)),IF(Element_Stiffness!$E$110=1,IF(7=Element_Stiffness!$C$110,Element_Stiffness!R137,IF(7=Element_Stiffness!$E$110,Element_Stiffness!X137,0)),0)),0)+IF(Element_Stiffness!$C$146,IF(Element_Stiffness!$C$145=1,IF(7=Element_Stiffness!$C$145,Element_Stiffness!R166,IF(7=Element_Stiffness!$E$145,Element_Stiffness!X166,0)),IF(Element_Stiffness!$E$145=1,IF(7=Element_Stiffness!$C$145,Element_Stiffness!R172,IF(7=Element_Stiffness!$E$145,Element_Stiffness!X172,0)),0)),0)+IF(Element_Stiffness!$C$181,IF(Element_Stiffness!$C$180=1,IF(7=Element_Stiffness!$C$180,Element_Stiffness!R201,IF(7=Element_Stiffness!$E$180,Element_Stiffness!X201,0)),IF(Element_Stiffness!$E$180=1,IF(7=Element_Stiffness!$C$180,Element_Stiffness!R207,IF(7=Element_Stiffness!$E$180,Element_Stiffness!X207,0)),0)),0)+IF(Element_Stiffness!$C$216,IF(Element_Stiffness!$C$215=1,IF(7=Element_Stiffness!$C$215,Element_Stiffness!R236,IF(7=Element_Stiffness!$E$215,Element_Stiffness!X236,0)),IF(Element_Stiffness!$E$215=1,IF(7=Element_Stiffness!$C$215,Element_Stiffness!R242,IF(7=Element_Stiffness!$E$215,Element_Stiffness!X242,0)),0)),0)</f>
        <v/>
      </c>
      <c r="AV11" s="21">
        <f>IF(Element_Stiffness!$C$6,IF(Element_Stiffness!$C$5=1,IF(7=Element_Stiffness!$C$5,Element_Stiffness!S26,IF(7=Element_Stiffness!$E$5,Element_Stiffness!Y26,0)),IF(Element_Stiffness!$E$5=1,IF(7=Element_Stiffness!$C$5,Element_Stiffness!S32,IF(7=Element_Stiffness!$E$5,Element_Stiffness!Y32,0)),0)),0)+IF(Element_Stiffness!$C$41,IF(Element_Stiffness!$C$40=1,IF(7=Element_Stiffness!$C$40,Element_Stiffness!S61,IF(7=Element_Stiffness!$E$40,Element_Stiffness!Y61,0)),IF(Element_Stiffness!$E$40=1,IF(7=Element_Stiffness!$C$40,Element_Stiffness!S67,IF(7=Element_Stiffness!$E$40,Element_Stiffness!Y67,0)),0)),0)+IF(Element_Stiffness!$C$76,IF(Element_Stiffness!$C$75=1,IF(7=Element_Stiffness!$C$75,Element_Stiffness!S96,IF(7=Element_Stiffness!$E$75,Element_Stiffness!Y96,0)),IF(Element_Stiffness!$E$75=1,IF(7=Element_Stiffness!$C$75,Element_Stiffness!S102,IF(7=Element_Stiffness!$E$75,Element_Stiffness!Y102,0)),0)),0)+IF(Element_Stiffness!$C$111,IF(Element_Stiffness!$C$110=1,IF(7=Element_Stiffness!$C$110,Element_Stiffness!S131,IF(7=Element_Stiffness!$E$110,Element_Stiffness!Y131,0)),IF(Element_Stiffness!$E$110=1,IF(7=Element_Stiffness!$C$110,Element_Stiffness!S137,IF(7=Element_Stiffness!$E$110,Element_Stiffness!Y137,0)),0)),0)+IF(Element_Stiffness!$C$146,IF(Element_Stiffness!$C$145=1,IF(7=Element_Stiffness!$C$145,Element_Stiffness!S166,IF(7=Element_Stiffness!$E$145,Element_Stiffness!Y166,0)),IF(Element_Stiffness!$E$145=1,IF(7=Element_Stiffness!$C$145,Element_Stiffness!S172,IF(7=Element_Stiffness!$E$145,Element_Stiffness!Y172,0)),0)),0)+IF(Element_Stiffness!$C$181,IF(Element_Stiffness!$C$180=1,IF(7=Element_Stiffness!$C$180,Element_Stiffness!S201,IF(7=Element_Stiffness!$E$180,Element_Stiffness!Y201,0)),IF(Element_Stiffness!$E$180=1,IF(7=Element_Stiffness!$C$180,Element_Stiffness!S207,IF(7=Element_Stiffness!$E$180,Element_Stiffness!Y207,0)),0)),0)+IF(Element_Stiffness!$C$216,IF(Element_Stiffness!$C$215=1,IF(7=Element_Stiffness!$C$215,Element_Stiffness!S236,IF(7=Element_Stiffness!$E$215,Element_Stiffness!Y236,0)),IF(Element_Stiffness!$E$215=1,IF(7=Element_Stiffness!$C$215,Element_Stiffness!S242,IF(7=Element_Stiffness!$E$215,Element_Stiffness!Y242,0)),0)),0)</f>
        <v/>
      </c>
      <c r="AW11" s="21">
        <f>IF(Element_Stiffness!$C$6,IF(Element_Stiffness!$C$5=1,IF(7=Element_Stiffness!$C$5,Element_Stiffness!T26,IF(7=Element_Stiffness!$E$5,Element_Stiffness!Z26,0)),IF(Element_Stiffness!$E$5=1,IF(7=Element_Stiffness!$C$5,Element_Stiffness!T32,IF(7=Element_Stiffness!$E$5,Element_Stiffness!Z32,0)),0)),0)+IF(Element_Stiffness!$C$41,IF(Element_Stiffness!$C$40=1,IF(7=Element_Stiffness!$C$40,Element_Stiffness!T61,IF(7=Element_Stiffness!$E$40,Element_Stiffness!Z61,0)),IF(Element_Stiffness!$E$40=1,IF(7=Element_Stiffness!$C$40,Element_Stiffness!T67,IF(7=Element_Stiffness!$E$40,Element_Stiffness!Z67,0)),0)),0)+IF(Element_Stiffness!$C$76,IF(Element_Stiffness!$C$75=1,IF(7=Element_Stiffness!$C$75,Element_Stiffness!T96,IF(7=Element_Stiffness!$E$75,Element_Stiffness!Z96,0)),IF(Element_Stiffness!$E$75=1,IF(7=Element_Stiffness!$C$75,Element_Stiffness!T102,IF(7=Element_Stiffness!$E$75,Element_Stiffness!Z102,0)),0)),0)+IF(Element_Stiffness!$C$111,IF(Element_Stiffness!$C$110=1,IF(7=Element_Stiffness!$C$110,Element_Stiffness!T131,IF(7=Element_Stiffness!$E$110,Element_Stiffness!Z131,0)),IF(Element_Stiffness!$E$110=1,IF(7=Element_Stiffness!$C$110,Element_Stiffness!T137,IF(7=Element_Stiffness!$E$110,Element_Stiffness!Z137,0)),0)),0)+IF(Element_Stiffness!$C$146,IF(Element_Stiffness!$C$145=1,IF(7=Element_Stiffness!$C$145,Element_Stiffness!T166,IF(7=Element_Stiffness!$E$145,Element_Stiffness!Z166,0)),IF(Element_Stiffness!$E$145=1,IF(7=Element_Stiffness!$C$145,Element_Stiffness!T172,IF(7=Element_Stiffness!$E$145,Element_Stiffness!Z172,0)),0)),0)+IF(Element_Stiffness!$C$181,IF(Element_Stiffness!$C$180=1,IF(7=Element_Stiffness!$C$180,Element_Stiffness!T201,IF(7=Element_Stiffness!$E$180,Element_Stiffness!Z201,0)),IF(Element_Stiffness!$E$180=1,IF(7=Element_Stiffness!$C$180,Element_Stiffness!T207,IF(7=Element_Stiffness!$E$180,Element_Stiffness!Z207,0)),0)),0)+IF(Element_Stiffness!$C$216,IF(Element_Stiffness!$C$215=1,IF(7=Element_Stiffness!$C$215,Element_Stiffness!T236,IF(7=Element_Stiffness!$E$215,Element_Stiffness!Z236,0)),IF(Element_Stiffness!$E$215=1,IF(7=Element_Stiffness!$C$215,Element_Stiffness!T242,IF(7=Element_Stiffness!$E$215,Element_Stiffness!Z242,0)),0)),0)</f>
        <v/>
      </c>
      <c r="AX11" s="21">
        <f>IF(Element_Stiffness!$C$6,IF(Element_Stiffness!$C$5=1,IF(7=Element_Stiffness!$C$5,Element_Stiffness!U26,IF(7=Element_Stiffness!$E$5,Element_Stiffness!AA26,0)),IF(Element_Stiffness!$E$5=1,IF(7=Element_Stiffness!$C$5,Element_Stiffness!U32,IF(7=Element_Stiffness!$E$5,Element_Stiffness!AA32,0)),0)),0)+IF(Element_Stiffness!$C$41,IF(Element_Stiffness!$C$40=1,IF(7=Element_Stiffness!$C$40,Element_Stiffness!U61,IF(7=Element_Stiffness!$E$40,Element_Stiffness!AA61,0)),IF(Element_Stiffness!$E$40=1,IF(7=Element_Stiffness!$C$40,Element_Stiffness!U67,IF(7=Element_Stiffness!$E$40,Element_Stiffness!AA67,0)),0)),0)+IF(Element_Stiffness!$C$76,IF(Element_Stiffness!$C$75=1,IF(7=Element_Stiffness!$C$75,Element_Stiffness!U96,IF(7=Element_Stiffness!$E$75,Element_Stiffness!AA96,0)),IF(Element_Stiffness!$E$75=1,IF(7=Element_Stiffness!$C$75,Element_Stiffness!U102,IF(7=Element_Stiffness!$E$75,Element_Stiffness!AA102,0)),0)),0)+IF(Element_Stiffness!$C$111,IF(Element_Stiffness!$C$110=1,IF(7=Element_Stiffness!$C$110,Element_Stiffness!U131,IF(7=Element_Stiffness!$E$110,Element_Stiffness!AA131,0)),IF(Element_Stiffness!$E$110=1,IF(7=Element_Stiffness!$C$110,Element_Stiffness!U137,IF(7=Element_Stiffness!$E$110,Element_Stiffness!AA137,0)),0)),0)+IF(Element_Stiffness!$C$146,IF(Element_Stiffness!$C$145=1,IF(7=Element_Stiffness!$C$145,Element_Stiffness!U166,IF(7=Element_Stiffness!$E$145,Element_Stiffness!AA166,0)),IF(Element_Stiffness!$E$145=1,IF(7=Element_Stiffness!$C$145,Element_Stiffness!U172,IF(7=Element_Stiffness!$E$145,Element_Stiffness!AA172,0)),0)),0)+IF(Element_Stiffness!$C$181,IF(Element_Stiffness!$C$180=1,IF(7=Element_Stiffness!$C$180,Element_Stiffness!U201,IF(7=Element_Stiffness!$E$180,Element_Stiffness!AA201,0)),IF(Element_Stiffness!$E$180=1,IF(7=Element_Stiffness!$C$180,Element_Stiffness!U207,IF(7=Element_Stiffness!$E$180,Element_Stiffness!AA207,0)),0)),0)+IF(Element_Stiffness!$C$216,IF(Element_Stiffness!$C$215=1,IF(7=Element_Stiffness!$C$215,Element_Stiffness!U236,IF(7=Element_Stiffness!$E$215,Element_Stiffness!AA236,0)),IF(Element_Stiffness!$E$215=1,IF(7=Element_Stiffness!$C$215,Element_Stiffness!U242,IF(7=Element_Stiffness!$E$215,Element_Stiffness!AA242,0)),0)),0)</f>
        <v/>
      </c>
      <c r="AY11" s="21" t="n">
        <v>0</v>
      </c>
      <c r="AZ11" s="21">
        <f>IF(Element_Stiffness!$C$6,IF(Element_Stiffness!$C$5=1,Element_Stiffness!C26,IF(Element_Stiffness!$E$5=1,Element_Stiffness!C32,0)),0)+IF(Element_Stiffness!$C$41,IF(Element_Stiffness!$C$40=1,Element_Stiffness!C61,IF(Element_Stiffness!$E$40=1,Element_Stiffness!C67,0)),0)+IF(Element_Stiffness!$C$76,IF(Element_Stiffness!$C$75=1,Element_Stiffness!C96,IF(Element_Stiffness!$E$75=1,Element_Stiffness!C102,0)),0)+IF(Element_Stiffness!$C$111,IF(Element_Stiffness!$C$110=1,Element_Stiffness!C131,IF(Element_Stiffness!$E$110=1,Element_Stiffness!C137,0)),0)+IF(Element_Stiffness!$C$146,IF(Element_Stiffness!$C$145=1,Element_Stiffness!C166,IF(Element_Stiffness!$E$145=1,Element_Stiffness!C172,0)),0)+IF(Element_Stiffness!$C$181,IF(Element_Stiffness!$C$180=1,Element_Stiffness!C201,IF(Element_Stiffness!$E$180=1,Element_Stiffness!C207,0)),0)+IF(Element_Stiffness!$C$216,IF(Element_Stiffness!$C$215=1,Element_Stiffness!C236,IF(Element_Stiffness!$E$215=1,Element_Stiffness!C242,0)),0)</f>
        <v/>
      </c>
      <c r="BB11" s="28">
        <f>INDEX(MMULT(MINVERSE(C5:AX52), AY5:AY52), 7, 1)</f>
        <v/>
      </c>
      <c r="BC11" s="28">
        <f>INDEX(MMULT(MINVERSE(C5:AX52), AZ5:AZ52), 7, 1)</f>
        <v/>
      </c>
    </row>
    <row r="12">
      <c r="B12" s="27" t="inlineStr">
        <is>
          <t>N1_ty</t>
        </is>
      </c>
      <c r="C12" s="21">
        <f>IF(Element_Stiffness!$C$6,IF(Element_Stiffness!$C$5=1,IF(0=Element_Stiffness!$C$5,Element_Stiffness!P27,IF(0=Element_Stiffness!$E$5,Element_Stiffness!V27,0)),IF(Element_Stiffness!$E$5=1,IF(0=Element_Stiffness!$C$5,Element_Stiffness!P33,IF(0=Element_Stiffness!$E$5,Element_Stiffness!V33,0)),0)),0)+IF(Element_Stiffness!$C$41,IF(Element_Stiffness!$C$40=1,IF(0=Element_Stiffness!$C$40,Element_Stiffness!P62,IF(0=Element_Stiffness!$E$40,Element_Stiffness!V62,0)),IF(Element_Stiffness!$E$40=1,IF(0=Element_Stiffness!$C$40,Element_Stiffness!P68,IF(0=Element_Stiffness!$E$40,Element_Stiffness!V68,0)),0)),0)+IF(Element_Stiffness!$C$76,IF(Element_Stiffness!$C$75=1,IF(0=Element_Stiffness!$C$75,Element_Stiffness!P97,IF(0=Element_Stiffness!$E$75,Element_Stiffness!V97,0)),IF(Element_Stiffness!$E$75=1,IF(0=Element_Stiffness!$C$75,Element_Stiffness!P103,IF(0=Element_Stiffness!$E$75,Element_Stiffness!V103,0)),0)),0)+IF(Element_Stiffness!$C$111,IF(Element_Stiffness!$C$110=1,IF(0=Element_Stiffness!$C$110,Element_Stiffness!P132,IF(0=Element_Stiffness!$E$110,Element_Stiffness!V132,0)),IF(Element_Stiffness!$E$110=1,IF(0=Element_Stiffness!$C$110,Element_Stiffness!P138,IF(0=Element_Stiffness!$E$110,Element_Stiffness!V138,0)),0)),0)+IF(Element_Stiffness!$C$146,IF(Element_Stiffness!$C$145=1,IF(0=Element_Stiffness!$C$145,Element_Stiffness!P167,IF(0=Element_Stiffness!$E$145,Element_Stiffness!V167,0)),IF(Element_Stiffness!$E$145=1,IF(0=Element_Stiffness!$C$145,Element_Stiffness!P173,IF(0=Element_Stiffness!$E$145,Element_Stiffness!V173,0)),0)),0)+IF(Element_Stiffness!$C$181,IF(Element_Stiffness!$C$180=1,IF(0=Element_Stiffness!$C$180,Element_Stiffness!P202,IF(0=Element_Stiffness!$E$180,Element_Stiffness!V202,0)),IF(Element_Stiffness!$E$180=1,IF(0=Element_Stiffness!$C$180,Element_Stiffness!P208,IF(0=Element_Stiffness!$E$180,Element_Stiffness!V208,0)),0)),0)+IF(Element_Stiffness!$C$216,IF(Element_Stiffness!$C$215=1,IF(0=Element_Stiffness!$C$215,Element_Stiffness!P237,IF(0=Element_Stiffness!$E$215,Element_Stiffness!V237,0)),IF(Element_Stiffness!$E$215=1,IF(0=Element_Stiffness!$C$215,Element_Stiffness!P243,IF(0=Element_Stiffness!$E$215,Element_Stiffness!V243,0)),0)),0)</f>
        <v/>
      </c>
      <c r="D12" s="21">
        <f>IF(Element_Stiffness!$C$6,IF(Element_Stiffness!$C$5=1,IF(0=Element_Stiffness!$C$5,Element_Stiffness!Q27,IF(0=Element_Stiffness!$E$5,Element_Stiffness!W27,0)),IF(Element_Stiffness!$E$5=1,IF(0=Element_Stiffness!$C$5,Element_Stiffness!Q33,IF(0=Element_Stiffness!$E$5,Element_Stiffness!W33,0)),0)),0)+IF(Element_Stiffness!$C$41,IF(Element_Stiffness!$C$40=1,IF(0=Element_Stiffness!$C$40,Element_Stiffness!Q62,IF(0=Element_Stiffness!$E$40,Element_Stiffness!W62,0)),IF(Element_Stiffness!$E$40=1,IF(0=Element_Stiffness!$C$40,Element_Stiffness!Q68,IF(0=Element_Stiffness!$E$40,Element_Stiffness!W68,0)),0)),0)+IF(Element_Stiffness!$C$76,IF(Element_Stiffness!$C$75=1,IF(0=Element_Stiffness!$C$75,Element_Stiffness!Q97,IF(0=Element_Stiffness!$E$75,Element_Stiffness!W97,0)),IF(Element_Stiffness!$E$75=1,IF(0=Element_Stiffness!$C$75,Element_Stiffness!Q103,IF(0=Element_Stiffness!$E$75,Element_Stiffness!W103,0)),0)),0)+IF(Element_Stiffness!$C$111,IF(Element_Stiffness!$C$110=1,IF(0=Element_Stiffness!$C$110,Element_Stiffness!Q132,IF(0=Element_Stiffness!$E$110,Element_Stiffness!W132,0)),IF(Element_Stiffness!$E$110=1,IF(0=Element_Stiffness!$C$110,Element_Stiffness!Q138,IF(0=Element_Stiffness!$E$110,Element_Stiffness!W138,0)),0)),0)+IF(Element_Stiffness!$C$146,IF(Element_Stiffness!$C$145=1,IF(0=Element_Stiffness!$C$145,Element_Stiffness!Q167,IF(0=Element_Stiffness!$E$145,Element_Stiffness!W167,0)),IF(Element_Stiffness!$E$145=1,IF(0=Element_Stiffness!$C$145,Element_Stiffness!Q173,IF(0=Element_Stiffness!$E$145,Element_Stiffness!W173,0)),0)),0)+IF(Element_Stiffness!$C$181,IF(Element_Stiffness!$C$180=1,IF(0=Element_Stiffness!$C$180,Element_Stiffness!Q202,IF(0=Element_Stiffness!$E$180,Element_Stiffness!W202,0)),IF(Element_Stiffness!$E$180=1,IF(0=Element_Stiffness!$C$180,Element_Stiffness!Q208,IF(0=Element_Stiffness!$E$180,Element_Stiffness!W208,0)),0)),0)+IF(Element_Stiffness!$C$216,IF(Element_Stiffness!$C$215=1,IF(0=Element_Stiffness!$C$215,Element_Stiffness!Q237,IF(0=Element_Stiffness!$E$215,Element_Stiffness!W237,0)),IF(Element_Stiffness!$E$215=1,IF(0=Element_Stiffness!$C$215,Element_Stiffness!Q243,IF(0=Element_Stiffness!$E$215,Element_Stiffness!W243,0)),0)),0)</f>
        <v/>
      </c>
      <c r="E12" s="21">
        <f>IF(Element_Stiffness!$C$6,IF(Element_Stiffness!$C$5=1,IF(0=Element_Stiffness!$C$5,Element_Stiffness!R27,IF(0=Element_Stiffness!$E$5,Element_Stiffness!X27,0)),IF(Element_Stiffness!$E$5=1,IF(0=Element_Stiffness!$C$5,Element_Stiffness!R33,IF(0=Element_Stiffness!$E$5,Element_Stiffness!X33,0)),0)),0)+IF(Element_Stiffness!$C$41,IF(Element_Stiffness!$C$40=1,IF(0=Element_Stiffness!$C$40,Element_Stiffness!R62,IF(0=Element_Stiffness!$E$40,Element_Stiffness!X62,0)),IF(Element_Stiffness!$E$40=1,IF(0=Element_Stiffness!$C$40,Element_Stiffness!R68,IF(0=Element_Stiffness!$E$40,Element_Stiffness!X68,0)),0)),0)+IF(Element_Stiffness!$C$76,IF(Element_Stiffness!$C$75=1,IF(0=Element_Stiffness!$C$75,Element_Stiffness!R97,IF(0=Element_Stiffness!$E$75,Element_Stiffness!X97,0)),IF(Element_Stiffness!$E$75=1,IF(0=Element_Stiffness!$C$75,Element_Stiffness!R103,IF(0=Element_Stiffness!$E$75,Element_Stiffness!X103,0)),0)),0)+IF(Element_Stiffness!$C$111,IF(Element_Stiffness!$C$110=1,IF(0=Element_Stiffness!$C$110,Element_Stiffness!R132,IF(0=Element_Stiffness!$E$110,Element_Stiffness!X132,0)),IF(Element_Stiffness!$E$110=1,IF(0=Element_Stiffness!$C$110,Element_Stiffness!R138,IF(0=Element_Stiffness!$E$110,Element_Stiffness!X138,0)),0)),0)+IF(Element_Stiffness!$C$146,IF(Element_Stiffness!$C$145=1,IF(0=Element_Stiffness!$C$145,Element_Stiffness!R167,IF(0=Element_Stiffness!$E$145,Element_Stiffness!X167,0)),IF(Element_Stiffness!$E$145=1,IF(0=Element_Stiffness!$C$145,Element_Stiffness!R173,IF(0=Element_Stiffness!$E$145,Element_Stiffness!X173,0)),0)),0)+IF(Element_Stiffness!$C$181,IF(Element_Stiffness!$C$180=1,IF(0=Element_Stiffness!$C$180,Element_Stiffness!R202,IF(0=Element_Stiffness!$E$180,Element_Stiffness!X202,0)),IF(Element_Stiffness!$E$180=1,IF(0=Element_Stiffness!$C$180,Element_Stiffness!R208,IF(0=Element_Stiffness!$E$180,Element_Stiffness!X208,0)),0)),0)+IF(Element_Stiffness!$C$216,IF(Element_Stiffness!$C$215=1,IF(0=Element_Stiffness!$C$215,Element_Stiffness!R237,IF(0=Element_Stiffness!$E$215,Element_Stiffness!X237,0)),IF(Element_Stiffness!$E$215=1,IF(0=Element_Stiffness!$C$215,Element_Stiffness!R243,IF(0=Element_Stiffness!$E$215,Element_Stiffness!X243,0)),0)),0)</f>
        <v/>
      </c>
      <c r="F12" s="21">
        <f>IF(Element_Stiffness!$C$6,IF(Element_Stiffness!$C$5=1,IF(0=Element_Stiffness!$C$5,Element_Stiffness!S27,IF(0=Element_Stiffness!$E$5,Element_Stiffness!Y27,0)),IF(Element_Stiffness!$E$5=1,IF(0=Element_Stiffness!$C$5,Element_Stiffness!S33,IF(0=Element_Stiffness!$E$5,Element_Stiffness!Y33,0)),0)),0)+IF(Element_Stiffness!$C$41,IF(Element_Stiffness!$C$40=1,IF(0=Element_Stiffness!$C$40,Element_Stiffness!S62,IF(0=Element_Stiffness!$E$40,Element_Stiffness!Y62,0)),IF(Element_Stiffness!$E$40=1,IF(0=Element_Stiffness!$C$40,Element_Stiffness!S68,IF(0=Element_Stiffness!$E$40,Element_Stiffness!Y68,0)),0)),0)+IF(Element_Stiffness!$C$76,IF(Element_Stiffness!$C$75=1,IF(0=Element_Stiffness!$C$75,Element_Stiffness!S97,IF(0=Element_Stiffness!$E$75,Element_Stiffness!Y97,0)),IF(Element_Stiffness!$E$75=1,IF(0=Element_Stiffness!$C$75,Element_Stiffness!S103,IF(0=Element_Stiffness!$E$75,Element_Stiffness!Y103,0)),0)),0)+IF(Element_Stiffness!$C$111,IF(Element_Stiffness!$C$110=1,IF(0=Element_Stiffness!$C$110,Element_Stiffness!S132,IF(0=Element_Stiffness!$E$110,Element_Stiffness!Y132,0)),IF(Element_Stiffness!$E$110=1,IF(0=Element_Stiffness!$C$110,Element_Stiffness!S138,IF(0=Element_Stiffness!$E$110,Element_Stiffness!Y138,0)),0)),0)+IF(Element_Stiffness!$C$146,IF(Element_Stiffness!$C$145=1,IF(0=Element_Stiffness!$C$145,Element_Stiffness!S167,IF(0=Element_Stiffness!$E$145,Element_Stiffness!Y167,0)),IF(Element_Stiffness!$E$145=1,IF(0=Element_Stiffness!$C$145,Element_Stiffness!S173,IF(0=Element_Stiffness!$E$145,Element_Stiffness!Y173,0)),0)),0)+IF(Element_Stiffness!$C$181,IF(Element_Stiffness!$C$180=1,IF(0=Element_Stiffness!$C$180,Element_Stiffness!S202,IF(0=Element_Stiffness!$E$180,Element_Stiffness!Y202,0)),IF(Element_Stiffness!$E$180=1,IF(0=Element_Stiffness!$C$180,Element_Stiffness!S208,IF(0=Element_Stiffness!$E$180,Element_Stiffness!Y208,0)),0)),0)+IF(Element_Stiffness!$C$216,IF(Element_Stiffness!$C$215=1,IF(0=Element_Stiffness!$C$215,Element_Stiffness!S237,IF(0=Element_Stiffness!$E$215,Element_Stiffness!Y237,0)),IF(Element_Stiffness!$E$215=1,IF(0=Element_Stiffness!$C$215,Element_Stiffness!S243,IF(0=Element_Stiffness!$E$215,Element_Stiffness!Y243,0)),0)),0)</f>
        <v/>
      </c>
      <c r="G12" s="21">
        <f>IF(Element_Stiffness!$C$6,IF(Element_Stiffness!$C$5=1,IF(0=Element_Stiffness!$C$5,Element_Stiffness!T27,IF(0=Element_Stiffness!$E$5,Element_Stiffness!Z27,0)),IF(Element_Stiffness!$E$5=1,IF(0=Element_Stiffness!$C$5,Element_Stiffness!T33,IF(0=Element_Stiffness!$E$5,Element_Stiffness!Z33,0)),0)),0)+IF(Element_Stiffness!$C$41,IF(Element_Stiffness!$C$40=1,IF(0=Element_Stiffness!$C$40,Element_Stiffness!T62,IF(0=Element_Stiffness!$E$40,Element_Stiffness!Z62,0)),IF(Element_Stiffness!$E$40=1,IF(0=Element_Stiffness!$C$40,Element_Stiffness!T68,IF(0=Element_Stiffness!$E$40,Element_Stiffness!Z68,0)),0)),0)+IF(Element_Stiffness!$C$76,IF(Element_Stiffness!$C$75=1,IF(0=Element_Stiffness!$C$75,Element_Stiffness!T97,IF(0=Element_Stiffness!$E$75,Element_Stiffness!Z97,0)),IF(Element_Stiffness!$E$75=1,IF(0=Element_Stiffness!$C$75,Element_Stiffness!T103,IF(0=Element_Stiffness!$E$75,Element_Stiffness!Z103,0)),0)),0)+IF(Element_Stiffness!$C$111,IF(Element_Stiffness!$C$110=1,IF(0=Element_Stiffness!$C$110,Element_Stiffness!T132,IF(0=Element_Stiffness!$E$110,Element_Stiffness!Z132,0)),IF(Element_Stiffness!$E$110=1,IF(0=Element_Stiffness!$C$110,Element_Stiffness!T138,IF(0=Element_Stiffness!$E$110,Element_Stiffness!Z138,0)),0)),0)+IF(Element_Stiffness!$C$146,IF(Element_Stiffness!$C$145=1,IF(0=Element_Stiffness!$C$145,Element_Stiffness!T167,IF(0=Element_Stiffness!$E$145,Element_Stiffness!Z167,0)),IF(Element_Stiffness!$E$145=1,IF(0=Element_Stiffness!$C$145,Element_Stiffness!T173,IF(0=Element_Stiffness!$E$145,Element_Stiffness!Z173,0)),0)),0)+IF(Element_Stiffness!$C$181,IF(Element_Stiffness!$C$180=1,IF(0=Element_Stiffness!$C$180,Element_Stiffness!T202,IF(0=Element_Stiffness!$E$180,Element_Stiffness!Z202,0)),IF(Element_Stiffness!$E$180=1,IF(0=Element_Stiffness!$C$180,Element_Stiffness!T208,IF(0=Element_Stiffness!$E$180,Element_Stiffness!Z208,0)),0)),0)+IF(Element_Stiffness!$C$216,IF(Element_Stiffness!$C$215=1,IF(0=Element_Stiffness!$C$215,Element_Stiffness!T237,IF(0=Element_Stiffness!$E$215,Element_Stiffness!Z237,0)),IF(Element_Stiffness!$E$215=1,IF(0=Element_Stiffness!$C$215,Element_Stiffness!T243,IF(0=Element_Stiffness!$E$215,Element_Stiffness!Z243,0)),0)),0)</f>
        <v/>
      </c>
      <c r="H12" s="21">
        <f>IF(Element_Stiffness!$C$6,IF(Element_Stiffness!$C$5=1,IF(0=Element_Stiffness!$C$5,Element_Stiffness!U27,IF(0=Element_Stiffness!$E$5,Element_Stiffness!AA27,0)),IF(Element_Stiffness!$E$5=1,IF(0=Element_Stiffness!$C$5,Element_Stiffness!U33,IF(0=Element_Stiffness!$E$5,Element_Stiffness!AA33,0)),0)),0)+IF(Element_Stiffness!$C$41,IF(Element_Stiffness!$C$40=1,IF(0=Element_Stiffness!$C$40,Element_Stiffness!U62,IF(0=Element_Stiffness!$E$40,Element_Stiffness!AA62,0)),IF(Element_Stiffness!$E$40=1,IF(0=Element_Stiffness!$C$40,Element_Stiffness!U68,IF(0=Element_Stiffness!$E$40,Element_Stiffness!AA68,0)),0)),0)+IF(Element_Stiffness!$C$76,IF(Element_Stiffness!$C$75=1,IF(0=Element_Stiffness!$C$75,Element_Stiffness!U97,IF(0=Element_Stiffness!$E$75,Element_Stiffness!AA97,0)),IF(Element_Stiffness!$E$75=1,IF(0=Element_Stiffness!$C$75,Element_Stiffness!U103,IF(0=Element_Stiffness!$E$75,Element_Stiffness!AA103,0)),0)),0)+IF(Element_Stiffness!$C$111,IF(Element_Stiffness!$C$110=1,IF(0=Element_Stiffness!$C$110,Element_Stiffness!U132,IF(0=Element_Stiffness!$E$110,Element_Stiffness!AA132,0)),IF(Element_Stiffness!$E$110=1,IF(0=Element_Stiffness!$C$110,Element_Stiffness!U138,IF(0=Element_Stiffness!$E$110,Element_Stiffness!AA138,0)),0)),0)+IF(Element_Stiffness!$C$146,IF(Element_Stiffness!$C$145=1,IF(0=Element_Stiffness!$C$145,Element_Stiffness!U167,IF(0=Element_Stiffness!$E$145,Element_Stiffness!AA167,0)),IF(Element_Stiffness!$E$145=1,IF(0=Element_Stiffness!$C$145,Element_Stiffness!U173,IF(0=Element_Stiffness!$E$145,Element_Stiffness!AA173,0)),0)),0)+IF(Element_Stiffness!$C$181,IF(Element_Stiffness!$C$180=1,IF(0=Element_Stiffness!$C$180,Element_Stiffness!U202,IF(0=Element_Stiffness!$E$180,Element_Stiffness!AA202,0)),IF(Element_Stiffness!$E$180=1,IF(0=Element_Stiffness!$C$180,Element_Stiffness!U208,IF(0=Element_Stiffness!$E$180,Element_Stiffness!AA208,0)),0)),0)+IF(Element_Stiffness!$C$216,IF(Element_Stiffness!$C$215=1,IF(0=Element_Stiffness!$C$215,Element_Stiffness!U237,IF(0=Element_Stiffness!$E$215,Element_Stiffness!AA237,0)),IF(Element_Stiffness!$E$215=1,IF(0=Element_Stiffness!$C$215,Element_Stiffness!U243,IF(0=Element_Stiffness!$E$215,Element_Stiffness!AA243,0)),0)),0)</f>
        <v/>
      </c>
      <c r="I12" s="21">
        <f>IF(Element_Stiffness!$C$6,IF(Element_Stiffness!$C$5=1,IF(1=Element_Stiffness!$C$5,Element_Stiffness!P27,IF(1=Element_Stiffness!$E$5,Element_Stiffness!V27,0)),IF(Element_Stiffness!$E$5=1,IF(1=Element_Stiffness!$C$5,Element_Stiffness!P33,IF(1=Element_Stiffness!$E$5,Element_Stiffness!V33,0)),0)),0)+IF(Element_Stiffness!$C$41,IF(Element_Stiffness!$C$40=1,IF(1=Element_Stiffness!$C$40,Element_Stiffness!P62,IF(1=Element_Stiffness!$E$40,Element_Stiffness!V62,0)),IF(Element_Stiffness!$E$40=1,IF(1=Element_Stiffness!$C$40,Element_Stiffness!P68,IF(1=Element_Stiffness!$E$40,Element_Stiffness!V68,0)),0)),0)+IF(Element_Stiffness!$C$76,IF(Element_Stiffness!$C$75=1,IF(1=Element_Stiffness!$C$75,Element_Stiffness!P97,IF(1=Element_Stiffness!$E$75,Element_Stiffness!V97,0)),IF(Element_Stiffness!$E$75=1,IF(1=Element_Stiffness!$C$75,Element_Stiffness!P103,IF(1=Element_Stiffness!$E$75,Element_Stiffness!V103,0)),0)),0)+IF(Element_Stiffness!$C$111,IF(Element_Stiffness!$C$110=1,IF(1=Element_Stiffness!$C$110,Element_Stiffness!P132,IF(1=Element_Stiffness!$E$110,Element_Stiffness!V132,0)),IF(Element_Stiffness!$E$110=1,IF(1=Element_Stiffness!$C$110,Element_Stiffness!P138,IF(1=Element_Stiffness!$E$110,Element_Stiffness!V138,0)),0)),0)+IF(Element_Stiffness!$C$146,IF(Element_Stiffness!$C$145=1,IF(1=Element_Stiffness!$C$145,Element_Stiffness!P167,IF(1=Element_Stiffness!$E$145,Element_Stiffness!V167,0)),IF(Element_Stiffness!$E$145=1,IF(1=Element_Stiffness!$C$145,Element_Stiffness!P173,IF(1=Element_Stiffness!$E$145,Element_Stiffness!V173,0)),0)),0)+IF(Element_Stiffness!$C$181,IF(Element_Stiffness!$C$180=1,IF(1=Element_Stiffness!$C$180,Element_Stiffness!P202,IF(1=Element_Stiffness!$E$180,Element_Stiffness!V202,0)),IF(Element_Stiffness!$E$180=1,IF(1=Element_Stiffness!$C$180,Element_Stiffness!P208,IF(1=Element_Stiffness!$E$180,Element_Stiffness!V208,0)),0)),0)+IF(Element_Stiffness!$C$216,IF(Element_Stiffness!$C$215=1,IF(1=Element_Stiffness!$C$215,Element_Stiffness!P237,IF(1=Element_Stiffness!$E$215,Element_Stiffness!V237,0)),IF(Element_Stiffness!$E$215=1,IF(1=Element_Stiffness!$C$215,Element_Stiffness!P243,IF(1=Element_Stiffness!$E$215,Element_Stiffness!V243,0)),0)),0)</f>
        <v/>
      </c>
      <c r="J12" s="21">
        <f>IF(Element_Stiffness!$C$6,IF(Element_Stiffness!$C$5=1,IF(1=Element_Stiffness!$C$5,Element_Stiffness!Q27,IF(1=Element_Stiffness!$E$5,Element_Stiffness!W27,0)),IF(Element_Stiffness!$E$5=1,IF(1=Element_Stiffness!$C$5,Element_Stiffness!Q33,IF(1=Element_Stiffness!$E$5,Element_Stiffness!W33,0)),0)),0)+IF(Element_Stiffness!$C$41,IF(Element_Stiffness!$C$40=1,IF(1=Element_Stiffness!$C$40,Element_Stiffness!Q62,IF(1=Element_Stiffness!$E$40,Element_Stiffness!W62,0)),IF(Element_Stiffness!$E$40=1,IF(1=Element_Stiffness!$C$40,Element_Stiffness!Q68,IF(1=Element_Stiffness!$E$40,Element_Stiffness!W68,0)),0)),0)+IF(Element_Stiffness!$C$76,IF(Element_Stiffness!$C$75=1,IF(1=Element_Stiffness!$C$75,Element_Stiffness!Q97,IF(1=Element_Stiffness!$E$75,Element_Stiffness!W97,0)),IF(Element_Stiffness!$E$75=1,IF(1=Element_Stiffness!$C$75,Element_Stiffness!Q103,IF(1=Element_Stiffness!$E$75,Element_Stiffness!W103,0)),0)),0)+IF(Element_Stiffness!$C$111,IF(Element_Stiffness!$C$110=1,IF(1=Element_Stiffness!$C$110,Element_Stiffness!Q132,IF(1=Element_Stiffness!$E$110,Element_Stiffness!W132,0)),IF(Element_Stiffness!$E$110=1,IF(1=Element_Stiffness!$C$110,Element_Stiffness!Q138,IF(1=Element_Stiffness!$E$110,Element_Stiffness!W138,0)),0)),0)+IF(Element_Stiffness!$C$146,IF(Element_Stiffness!$C$145=1,IF(1=Element_Stiffness!$C$145,Element_Stiffness!Q167,IF(1=Element_Stiffness!$E$145,Element_Stiffness!W167,0)),IF(Element_Stiffness!$E$145=1,IF(1=Element_Stiffness!$C$145,Element_Stiffness!Q173,IF(1=Element_Stiffness!$E$145,Element_Stiffness!W173,0)),0)),0)+IF(Element_Stiffness!$C$181,IF(Element_Stiffness!$C$180=1,IF(1=Element_Stiffness!$C$180,Element_Stiffness!Q202,IF(1=Element_Stiffness!$E$180,Element_Stiffness!W202,0)),IF(Element_Stiffness!$E$180=1,IF(1=Element_Stiffness!$C$180,Element_Stiffness!Q208,IF(1=Element_Stiffness!$E$180,Element_Stiffness!W208,0)),0)),0)+IF(Element_Stiffness!$C$216,IF(Element_Stiffness!$C$215=1,IF(1=Element_Stiffness!$C$215,Element_Stiffness!Q237,IF(1=Element_Stiffness!$E$215,Element_Stiffness!W237,0)),IF(Element_Stiffness!$E$215=1,IF(1=Element_Stiffness!$C$215,Element_Stiffness!Q243,IF(1=Element_Stiffness!$E$215,Element_Stiffness!W243,0)),0)),0)+IF(Inputs!D41=TRUE,1E15,IF(ISNUMBER(Inputs!D41),Inputs!D41,0))</f>
        <v/>
      </c>
      <c r="K12" s="21">
        <f>IF(Element_Stiffness!$C$6,IF(Element_Stiffness!$C$5=1,IF(1=Element_Stiffness!$C$5,Element_Stiffness!R27,IF(1=Element_Stiffness!$E$5,Element_Stiffness!X27,0)),IF(Element_Stiffness!$E$5=1,IF(1=Element_Stiffness!$C$5,Element_Stiffness!R33,IF(1=Element_Stiffness!$E$5,Element_Stiffness!X33,0)),0)),0)+IF(Element_Stiffness!$C$41,IF(Element_Stiffness!$C$40=1,IF(1=Element_Stiffness!$C$40,Element_Stiffness!R62,IF(1=Element_Stiffness!$E$40,Element_Stiffness!X62,0)),IF(Element_Stiffness!$E$40=1,IF(1=Element_Stiffness!$C$40,Element_Stiffness!R68,IF(1=Element_Stiffness!$E$40,Element_Stiffness!X68,0)),0)),0)+IF(Element_Stiffness!$C$76,IF(Element_Stiffness!$C$75=1,IF(1=Element_Stiffness!$C$75,Element_Stiffness!R97,IF(1=Element_Stiffness!$E$75,Element_Stiffness!X97,0)),IF(Element_Stiffness!$E$75=1,IF(1=Element_Stiffness!$C$75,Element_Stiffness!R103,IF(1=Element_Stiffness!$E$75,Element_Stiffness!X103,0)),0)),0)+IF(Element_Stiffness!$C$111,IF(Element_Stiffness!$C$110=1,IF(1=Element_Stiffness!$C$110,Element_Stiffness!R132,IF(1=Element_Stiffness!$E$110,Element_Stiffness!X132,0)),IF(Element_Stiffness!$E$110=1,IF(1=Element_Stiffness!$C$110,Element_Stiffness!R138,IF(1=Element_Stiffness!$E$110,Element_Stiffness!X138,0)),0)),0)+IF(Element_Stiffness!$C$146,IF(Element_Stiffness!$C$145=1,IF(1=Element_Stiffness!$C$145,Element_Stiffness!R167,IF(1=Element_Stiffness!$E$145,Element_Stiffness!X167,0)),IF(Element_Stiffness!$E$145=1,IF(1=Element_Stiffness!$C$145,Element_Stiffness!R173,IF(1=Element_Stiffness!$E$145,Element_Stiffness!X173,0)),0)),0)+IF(Element_Stiffness!$C$181,IF(Element_Stiffness!$C$180=1,IF(1=Element_Stiffness!$C$180,Element_Stiffness!R202,IF(1=Element_Stiffness!$E$180,Element_Stiffness!X202,0)),IF(Element_Stiffness!$E$180=1,IF(1=Element_Stiffness!$C$180,Element_Stiffness!R208,IF(1=Element_Stiffness!$E$180,Element_Stiffness!X208,0)),0)),0)+IF(Element_Stiffness!$C$216,IF(Element_Stiffness!$C$215=1,IF(1=Element_Stiffness!$C$215,Element_Stiffness!R237,IF(1=Element_Stiffness!$E$215,Element_Stiffness!X237,0)),IF(Element_Stiffness!$E$215=1,IF(1=Element_Stiffness!$C$215,Element_Stiffness!R243,IF(1=Element_Stiffness!$E$215,Element_Stiffness!X243,0)),0)),0)</f>
        <v/>
      </c>
      <c r="L12" s="21">
        <f>IF(Element_Stiffness!$C$6,IF(Element_Stiffness!$C$5=1,IF(1=Element_Stiffness!$C$5,Element_Stiffness!S27,IF(1=Element_Stiffness!$E$5,Element_Stiffness!Y27,0)),IF(Element_Stiffness!$E$5=1,IF(1=Element_Stiffness!$C$5,Element_Stiffness!S33,IF(1=Element_Stiffness!$E$5,Element_Stiffness!Y33,0)),0)),0)+IF(Element_Stiffness!$C$41,IF(Element_Stiffness!$C$40=1,IF(1=Element_Stiffness!$C$40,Element_Stiffness!S62,IF(1=Element_Stiffness!$E$40,Element_Stiffness!Y62,0)),IF(Element_Stiffness!$E$40=1,IF(1=Element_Stiffness!$C$40,Element_Stiffness!S68,IF(1=Element_Stiffness!$E$40,Element_Stiffness!Y68,0)),0)),0)+IF(Element_Stiffness!$C$76,IF(Element_Stiffness!$C$75=1,IF(1=Element_Stiffness!$C$75,Element_Stiffness!S97,IF(1=Element_Stiffness!$E$75,Element_Stiffness!Y97,0)),IF(Element_Stiffness!$E$75=1,IF(1=Element_Stiffness!$C$75,Element_Stiffness!S103,IF(1=Element_Stiffness!$E$75,Element_Stiffness!Y103,0)),0)),0)+IF(Element_Stiffness!$C$111,IF(Element_Stiffness!$C$110=1,IF(1=Element_Stiffness!$C$110,Element_Stiffness!S132,IF(1=Element_Stiffness!$E$110,Element_Stiffness!Y132,0)),IF(Element_Stiffness!$E$110=1,IF(1=Element_Stiffness!$C$110,Element_Stiffness!S138,IF(1=Element_Stiffness!$E$110,Element_Stiffness!Y138,0)),0)),0)+IF(Element_Stiffness!$C$146,IF(Element_Stiffness!$C$145=1,IF(1=Element_Stiffness!$C$145,Element_Stiffness!S167,IF(1=Element_Stiffness!$E$145,Element_Stiffness!Y167,0)),IF(Element_Stiffness!$E$145=1,IF(1=Element_Stiffness!$C$145,Element_Stiffness!S173,IF(1=Element_Stiffness!$E$145,Element_Stiffness!Y173,0)),0)),0)+IF(Element_Stiffness!$C$181,IF(Element_Stiffness!$C$180=1,IF(1=Element_Stiffness!$C$180,Element_Stiffness!S202,IF(1=Element_Stiffness!$E$180,Element_Stiffness!Y202,0)),IF(Element_Stiffness!$E$180=1,IF(1=Element_Stiffness!$C$180,Element_Stiffness!S208,IF(1=Element_Stiffness!$E$180,Element_Stiffness!Y208,0)),0)),0)+IF(Element_Stiffness!$C$216,IF(Element_Stiffness!$C$215=1,IF(1=Element_Stiffness!$C$215,Element_Stiffness!S237,IF(1=Element_Stiffness!$E$215,Element_Stiffness!Y237,0)),IF(Element_Stiffness!$E$215=1,IF(1=Element_Stiffness!$C$215,Element_Stiffness!S243,IF(1=Element_Stiffness!$E$215,Element_Stiffness!Y243,0)),0)),0)</f>
        <v/>
      </c>
      <c r="M12" s="21">
        <f>IF(Element_Stiffness!$C$6,IF(Element_Stiffness!$C$5=1,IF(1=Element_Stiffness!$C$5,Element_Stiffness!T27,IF(1=Element_Stiffness!$E$5,Element_Stiffness!Z27,0)),IF(Element_Stiffness!$E$5=1,IF(1=Element_Stiffness!$C$5,Element_Stiffness!T33,IF(1=Element_Stiffness!$E$5,Element_Stiffness!Z33,0)),0)),0)+IF(Element_Stiffness!$C$41,IF(Element_Stiffness!$C$40=1,IF(1=Element_Stiffness!$C$40,Element_Stiffness!T62,IF(1=Element_Stiffness!$E$40,Element_Stiffness!Z62,0)),IF(Element_Stiffness!$E$40=1,IF(1=Element_Stiffness!$C$40,Element_Stiffness!T68,IF(1=Element_Stiffness!$E$40,Element_Stiffness!Z68,0)),0)),0)+IF(Element_Stiffness!$C$76,IF(Element_Stiffness!$C$75=1,IF(1=Element_Stiffness!$C$75,Element_Stiffness!T97,IF(1=Element_Stiffness!$E$75,Element_Stiffness!Z97,0)),IF(Element_Stiffness!$E$75=1,IF(1=Element_Stiffness!$C$75,Element_Stiffness!T103,IF(1=Element_Stiffness!$E$75,Element_Stiffness!Z103,0)),0)),0)+IF(Element_Stiffness!$C$111,IF(Element_Stiffness!$C$110=1,IF(1=Element_Stiffness!$C$110,Element_Stiffness!T132,IF(1=Element_Stiffness!$E$110,Element_Stiffness!Z132,0)),IF(Element_Stiffness!$E$110=1,IF(1=Element_Stiffness!$C$110,Element_Stiffness!T138,IF(1=Element_Stiffness!$E$110,Element_Stiffness!Z138,0)),0)),0)+IF(Element_Stiffness!$C$146,IF(Element_Stiffness!$C$145=1,IF(1=Element_Stiffness!$C$145,Element_Stiffness!T167,IF(1=Element_Stiffness!$E$145,Element_Stiffness!Z167,0)),IF(Element_Stiffness!$E$145=1,IF(1=Element_Stiffness!$C$145,Element_Stiffness!T173,IF(1=Element_Stiffness!$E$145,Element_Stiffness!Z173,0)),0)),0)+IF(Element_Stiffness!$C$181,IF(Element_Stiffness!$C$180=1,IF(1=Element_Stiffness!$C$180,Element_Stiffness!T202,IF(1=Element_Stiffness!$E$180,Element_Stiffness!Z202,0)),IF(Element_Stiffness!$E$180=1,IF(1=Element_Stiffness!$C$180,Element_Stiffness!T208,IF(1=Element_Stiffness!$E$180,Element_Stiffness!Z208,0)),0)),0)+IF(Element_Stiffness!$C$216,IF(Element_Stiffness!$C$215=1,IF(1=Element_Stiffness!$C$215,Element_Stiffness!T237,IF(1=Element_Stiffness!$E$215,Element_Stiffness!Z237,0)),IF(Element_Stiffness!$E$215=1,IF(1=Element_Stiffness!$C$215,Element_Stiffness!T243,IF(1=Element_Stiffness!$E$215,Element_Stiffness!Z243,0)),0)),0)</f>
        <v/>
      </c>
      <c r="N12" s="21">
        <f>IF(Element_Stiffness!$C$6,IF(Element_Stiffness!$C$5=1,IF(1=Element_Stiffness!$C$5,Element_Stiffness!U27,IF(1=Element_Stiffness!$E$5,Element_Stiffness!AA27,0)),IF(Element_Stiffness!$E$5=1,IF(1=Element_Stiffness!$C$5,Element_Stiffness!U33,IF(1=Element_Stiffness!$E$5,Element_Stiffness!AA33,0)),0)),0)+IF(Element_Stiffness!$C$41,IF(Element_Stiffness!$C$40=1,IF(1=Element_Stiffness!$C$40,Element_Stiffness!U62,IF(1=Element_Stiffness!$E$40,Element_Stiffness!AA62,0)),IF(Element_Stiffness!$E$40=1,IF(1=Element_Stiffness!$C$40,Element_Stiffness!U68,IF(1=Element_Stiffness!$E$40,Element_Stiffness!AA68,0)),0)),0)+IF(Element_Stiffness!$C$76,IF(Element_Stiffness!$C$75=1,IF(1=Element_Stiffness!$C$75,Element_Stiffness!U97,IF(1=Element_Stiffness!$E$75,Element_Stiffness!AA97,0)),IF(Element_Stiffness!$E$75=1,IF(1=Element_Stiffness!$C$75,Element_Stiffness!U103,IF(1=Element_Stiffness!$E$75,Element_Stiffness!AA103,0)),0)),0)+IF(Element_Stiffness!$C$111,IF(Element_Stiffness!$C$110=1,IF(1=Element_Stiffness!$C$110,Element_Stiffness!U132,IF(1=Element_Stiffness!$E$110,Element_Stiffness!AA132,0)),IF(Element_Stiffness!$E$110=1,IF(1=Element_Stiffness!$C$110,Element_Stiffness!U138,IF(1=Element_Stiffness!$E$110,Element_Stiffness!AA138,0)),0)),0)+IF(Element_Stiffness!$C$146,IF(Element_Stiffness!$C$145=1,IF(1=Element_Stiffness!$C$145,Element_Stiffness!U167,IF(1=Element_Stiffness!$E$145,Element_Stiffness!AA167,0)),IF(Element_Stiffness!$E$145=1,IF(1=Element_Stiffness!$C$145,Element_Stiffness!U173,IF(1=Element_Stiffness!$E$145,Element_Stiffness!AA173,0)),0)),0)+IF(Element_Stiffness!$C$181,IF(Element_Stiffness!$C$180=1,IF(1=Element_Stiffness!$C$180,Element_Stiffness!U202,IF(1=Element_Stiffness!$E$180,Element_Stiffness!AA202,0)),IF(Element_Stiffness!$E$180=1,IF(1=Element_Stiffness!$C$180,Element_Stiffness!U208,IF(1=Element_Stiffness!$E$180,Element_Stiffness!AA208,0)),0)),0)+IF(Element_Stiffness!$C$216,IF(Element_Stiffness!$C$215=1,IF(1=Element_Stiffness!$C$215,Element_Stiffness!U237,IF(1=Element_Stiffness!$E$215,Element_Stiffness!AA237,0)),IF(Element_Stiffness!$E$215=1,IF(1=Element_Stiffness!$C$215,Element_Stiffness!U243,IF(1=Element_Stiffness!$E$215,Element_Stiffness!AA243,0)),0)),0)</f>
        <v/>
      </c>
      <c r="O12" s="21">
        <f>IF(Element_Stiffness!$C$6,IF(Element_Stiffness!$C$5=1,IF(2=Element_Stiffness!$C$5,Element_Stiffness!P27,IF(2=Element_Stiffness!$E$5,Element_Stiffness!V27,0)),IF(Element_Stiffness!$E$5=1,IF(2=Element_Stiffness!$C$5,Element_Stiffness!P33,IF(2=Element_Stiffness!$E$5,Element_Stiffness!V33,0)),0)),0)+IF(Element_Stiffness!$C$41,IF(Element_Stiffness!$C$40=1,IF(2=Element_Stiffness!$C$40,Element_Stiffness!P62,IF(2=Element_Stiffness!$E$40,Element_Stiffness!V62,0)),IF(Element_Stiffness!$E$40=1,IF(2=Element_Stiffness!$C$40,Element_Stiffness!P68,IF(2=Element_Stiffness!$E$40,Element_Stiffness!V68,0)),0)),0)+IF(Element_Stiffness!$C$76,IF(Element_Stiffness!$C$75=1,IF(2=Element_Stiffness!$C$75,Element_Stiffness!P97,IF(2=Element_Stiffness!$E$75,Element_Stiffness!V97,0)),IF(Element_Stiffness!$E$75=1,IF(2=Element_Stiffness!$C$75,Element_Stiffness!P103,IF(2=Element_Stiffness!$E$75,Element_Stiffness!V103,0)),0)),0)+IF(Element_Stiffness!$C$111,IF(Element_Stiffness!$C$110=1,IF(2=Element_Stiffness!$C$110,Element_Stiffness!P132,IF(2=Element_Stiffness!$E$110,Element_Stiffness!V132,0)),IF(Element_Stiffness!$E$110=1,IF(2=Element_Stiffness!$C$110,Element_Stiffness!P138,IF(2=Element_Stiffness!$E$110,Element_Stiffness!V138,0)),0)),0)+IF(Element_Stiffness!$C$146,IF(Element_Stiffness!$C$145=1,IF(2=Element_Stiffness!$C$145,Element_Stiffness!P167,IF(2=Element_Stiffness!$E$145,Element_Stiffness!V167,0)),IF(Element_Stiffness!$E$145=1,IF(2=Element_Stiffness!$C$145,Element_Stiffness!P173,IF(2=Element_Stiffness!$E$145,Element_Stiffness!V173,0)),0)),0)+IF(Element_Stiffness!$C$181,IF(Element_Stiffness!$C$180=1,IF(2=Element_Stiffness!$C$180,Element_Stiffness!P202,IF(2=Element_Stiffness!$E$180,Element_Stiffness!V202,0)),IF(Element_Stiffness!$E$180=1,IF(2=Element_Stiffness!$C$180,Element_Stiffness!P208,IF(2=Element_Stiffness!$E$180,Element_Stiffness!V208,0)),0)),0)+IF(Element_Stiffness!$C$216,IF(Element_Stiffness!$C$215=1,IF(2=Element_Stiffness!$C$215,Element_Stiffness!P237,IF(2=Element_Stiffness!$E$215,Element_Stiffness!V237,0)),IF(Element_Stiffness!$E$215=1,IF(2=Element_Stiffness!$C$215,Element_Stiffness!P243,IF(2=Element_Stiffness!$E$215,Element_Stiffness!V243,0)),0)),0)</f>
        <v/>
      </c>
      <c r="P12" s="21">
        <f>IF(Element_Stiffness!$C$6,IF(Element_Stiffness!$C$5=1,IF(2=Element_Stiffness!$C$5,Element_Stiffness!Q27,IF(2=Element_Stiffness!$E$5,Element_Stiffness!W27,0)),IF(Element_Stiffness!$E$5=1,IF(2=Element_Stiffness!$C$5,Element_Stiffness!Q33,IF(2=Element_Stiffness!$E$5,Element_Stiffness!W33,0)),0)),0)+IF(Element_Stiffness!$C$41,IF(Element_Stiffness!$C$40=1,IF(2=Element_Stiffness!$C$40,Element_Stiffness!Q62,IF(2=Element_Stiffness!$E$40,Element_Stiffness!W62,0)),IF(Element_Stiffness!$E$40=1,IF(2=Element_Stiffness!$C$40,Element_Stiffness!Q68,IF(2=Element_Stiffness!$E$40,Element_Stiffness!W68,0)),0)),0)+IF(Element_Stiffness!$C$76,IF(Element_Stiffness!$C$75=1,IF(2=Element_Stiffness!$C$75,Element_Stiffness!Q97,IF(2=Element_Stiffness!$E$75,Element_Stiffness!W97,0)),IF(Element_Stiffness!$E$75=1,IF(2=Element_Stiffness!$C$75,Element_Stiffness!Q103,IF(2=Element_Stiffness!$E$75,Element_Stiffness!W103,0)),0)),0)+IF(Element_Stiffness!$C$111,IF(Element_Stiffness!$C$110=1,IF(2=Element_Stiffness!$C$110,Element_Stiffness!Q132,IF(2=Element_Stiffness!$E$110,Element_Stiffness!W132,0)),IF(Element_Stiffness!$E$110=1,IF(2=Element_Stiffness!$C$110,Element_Stiffness!Q138,IF(2=Element_Stiffness!$E$110,Element_Stiffness!W138,0)),0)),0)+IF(Element_Stiffness!$C$146,IF(Element_Stiffness!$C$145=1,IF(2=Element_Stiffness!$C$145,Element_Stiffness!Q167,IF(2=Element_Stiffness!$E$145,Element_Stiffness!W167,0)),IF(Element_Stiffness!$E$145=1,IF(2=Element_Stiffness!$C$145,Element_Stiffness!Q173,IF(2=Element_Stiffness!$E$145,Element_Stiffness!W173,0)),0)),0)+IF(Element_Stiffness!$C$181,IF(Element_Stiffness!$C$180=1,IF(2=Element_Stiffness!$C$180,Element_Stiffness!Q202,IF(2=Element_Stiffness!$E$180,Element_Stiffness!W202,0)),IF(Element_Stiffness!$E$180=1,IF(2=Element_Stiffness!$C$180,Element_Stiffness!Q208,IF(2=Element_Stiffness!$E$180,Element_Stiffness!W208,0)),0)),0)+IF(Element_Stiffness!$C$216,IF(Element_Stiffness!$C$215=1,IF(2=Element_Stiffness!$C$215,Element_Stiffness!Q237,IF(2=Element_Stiffness!$E$215,Element_Stiffness!W237,0)),IF(Element_Stiffness!$E$215=1,IF(2=Element_Stiffness!$C$215,Element_Stiffness!Q243,IF(2=Element_Stiffness!$E$215,Element_Stiffness!W243,0)),0)),0)</f>
        <v/>
      </c>
      <c r="Q12" s="21">
        <f>IF(Element_Stiffness!$C$6,IF(Element_Stiffness!$C$5=1,IF(2=Element_Stiffness!$C$5,Element_Stiffness!R27,IF(2=Element_Stiffness!$E$5,Element_Stiffness!X27,0)),IF(Element_Stiffness!$E$5=1,IF(2=Element_Stiffness!$C$5,Element_Stiffness!R33,IF(2=Element_Stiffness!$E$5,Element_Stiffness!X33,0)),0)),0)+IF(Element_Stiffness!$C$41,IF(Element_Stiffness!$C$40=1,IF(2=Element_Stiffness!$C$40,Element_Stiffness!R62,IF(2=Element_Stiffness!$E$40,Element_Stiffness!X62,0)),IF(Element_Stiffness!$E$40=1,IF(2=Element_Stiffness!$C$40,Element_Stiffness!R68,IF(2=Element_Stiffness!$E$40,Element_Stiffness!X68,0)),0)),0)+IF(Element_Stiffness!$C$76,IF(Element_Stiffness!$C$75=1,IF(2=Element_Stiffness!$C$75,Element_Stiffness!R97,IF(2=Element_Stiffness!$E$75,Element_Stiffness!X97,0)),IF(Element_Stiffness!$E$75=1,IF(2=Element_Stiffness!$C$75,Element_Stiffness!R103,IF(2=Element_Stiffness!$E$75,Element_Stiffness!X103,0)),0)),0)+IF(Element_Stiffness!$C$111,IF(Element_Stiffness!$C$110=1,IF(2=Element_Stiffness!$C$110,Element_Stiffness!R132,IF(2=Element_Stiffness!$E$110,Element_Stiffness!X132,0)),IF(Element_Stiffness!$E$110=1,IF(2=Element_Stiffness!$C$110,Element_Stiffness!R138,IF(2=Element_Stiffness!$E$110,Element_Stiffness!X138,0)),0)),0)+IF(Element_Stiffness!$C$146,IF(Element_Stiffness!$C$145=1,IF(2=Element_Stiffness!$C$145,Element_Stiffness!R167,IF(2=Element_Stiffness!$E$145,Element_Stiffness!X167,0)),IF(Element_Stiffness!$E$145=1,IF(2=Element_Stiffness!$C$145,Element_Stiffness!R173,IF(2=Element_Stiffness!$E$145,Element_Stiffness!X173,0)),0)),0)+IF(Element_Stiffness!$C$181,IF(Element_Stiffness!$C$180=1,IF(2=Element_Stiffness!$C$180,Element_Stiffness!R202,IF(2=Element_Stiffness!$E$180,Element_Stiffness!X202,0)),IF(Element_Stiffness!$E$180=1,IF(2=Element_Stiffness!$C$180,Element_Stiffness!R208,IF(2=Element_Stiffness!$E$180,Element_Stiffness!X208,0)),0)),0)+IF(Element_Stiffness!$C$216,IF(Element_Stiffness!$C$215=1,IF(2=Element_Stiffness!$C$215,Element_Stiffness!R237,IF(2=Element_Stiffness!$E$215,Element_Stiffness!X237,0)),IF(Element_Stiffness!$E$215=1,IF(2=Element_Stiffness!$C$215,Element_Stiffness!R243,IF(2=Element_Stiffness!$E$215,Element_Stiffness!X243,0)),0)),0)</f>
        <v/>
      </c>
      <c r="R12" s="21">
        <f>IF(Element_Stiffness!$C$6,IF(Element_Stiffness!$C$5=1,IF(2=Element_Stiffness!$C$5,Element_Stiffness!S27,IF(2=Element_Stiffness!$E$5,Element_Stiffness!Y27,0)),IF(Element_Stiffness!$E$5=1,IF(2=Element_Stiffness!$C$5,Element_Stiffness!S33,IF(2=Element_Stiffness!$E$5,Element_Stiffness!Y33,0)),0)),0)+IF(Element_Stiffness!$C$41,IF(Element_Stiffness!$C$40=1,IF(2=Element_Stiffness!$C$40,Element_Stiffness!S62,IF(2=Element_Stiffness!$E$40,Element_Stiffness!Y62,0)),IF(Element_Stiffness!$E$40=1,IF(2=Element_Stiffness!$C$40,Element_Stiffness!S68,IF(2=Element_Stiffness!$E$40,Element_Stiffness!Y68,0)),0)),0)+IF(Element_Stiffness!$C$76,IF(Element_Stiffness!$C$75=1,IF(2=Element_Stiffness!$C$75,Element_Stiffness!S97,IF(2=Element_Stiffness!$E$75,Element_Stiffness!Y97,0)),IF(Element_Stiffness!$E$75=1,IF(2=Element_Stiffness!$C$75,Element_Stiffness!S103,IF(2=Element_Stiffness!$E$75,Element_Stiffness!Y103,0)),0)),0)+IF(Element_Stiffness!$C$111,IF(Element_Stiffness!$C$110=1,IF(2=Element_Stiffness!$C$110,Element_Stiffness!S132,IF(2=Element_Stiffness!$E$110,Element_Stiffness!Y132,0)),IF(Element_Stiffness!$E$110=1,IF(2=Element_Stiffness!$C$110,Element_Stiffness!S138,IF(2=Element_Stiffness!$E$110,Element_Stiffness!Y138,0)),0)),0)+IF(Element_Stiffness!$C$146,IF(Element_Stiffness!$C$145=1,IF(2=Element_Stiffness!$C$145,Element_Stiffness!S167,IF(2=Element_Stiffness!$E$145,Element_Stiffness!Y167,0)),IF(Element_Stiffness!$E$145=1,IF(2=Element_Stiffness!$C$145,Element_Stiffness!S173,IF(2=Element_Stiffness!$E$145,Element_Stiffness!Y173,0)),0)),0)+IF(Element_Stiffness!$C$181,IF(Element_Stiffness!$C$180=1,IF(2=Element_Stiffness!$C$180,Element_Stiffness!S202,IF(2=Element_Stiffness!$E$180,Element_Stiffness!Y202,0)),IF(Element_Stiffness!$E$180=1,IF(2=Element_Stiffness!$C$180,Element_Stiffness!S208,IF(2=Element_Stiffness!$E$180,Element_Stiffness!Y208,0)),0)),0)+IF(Element_Stiffness!$C$216,IF(Element_Stiffness!$C$215=1,IF(2=Element_Stiffness!$C$215,Element_Stiffness!S237,IF(2=Element_Stiffness!$E$215,Element_Stiffness!Y237,0)),IF(Element_Stiffness!$E$215=1,IF(2=Element_Stiffness!$C$215,Element_Stiffness!S243,IF(2=Element_Stiffness!$E$215,Element_Stiffness!Y243,0)),0)),0)</f>
        <v/>
      </c>
      <c r="S12" s="21">
        <f>IF(Element_Stiffness!$C$6,IF(Element_Stiffness!$C$5=1,IF(2=Element_Stiffness!$C$5,Element_Stiffness!T27,IF(2=Element_Stiffness!$E$5,Element_Stiffness!Z27,0)),IF(Element_Stiffness!$E$5=1,IF(2=Element_Stiffness!$C$5,Element_Stiffness!T33,IF(2=Element_Stiffness!$E$5,Element_Stiffness!Z33,0)),0)),0)+IF(Element_Stiffness!$C$41,IF(Element_Stiffness!$C$40=1,IF(2=Element_Stiffness!$C$40,Element_Stiffness!T62,IF(2=Element_Stiffness!$E$40,Element_Stiffness!Z62,0)),IF(Element_Stiffness!$E$40=1,IF(2=Element_Stiffness!$C$40,Element_Stiffness!T68,IF(2=Element_Stiffness!$E$40,Element_Stiffness!Z68,0)),0)),0)+IF(Element_Stiffness!$C$76,IF(Element_Stiffness!$C$75=1,IF(2=Element_Stiffness!$C$75,Element_Stiffness!T97,IF(2=Element_Stiffness!$E$75,Element_Stiffness!Z97,0)),IF(Element_Stiffness!$E$75=1,IF(2=Element_Stiffness!$C$75,Element_Stiffness!T103,IF(2=Element_Stiffness!$E$75,Element_Stiffness!Z103,0)),0)),0)+IF(Element_Stiffness!$C$111,IF(Element_Stiffness!$C$110=1,IF(2=Element_Stiffness!$C$110,Element_Stiffness!T132,IF(2=Element_Stiffness!$E$110,Element_Stiffness!Z132,0)),IF(Element_Stiffness!$E$110=1,IF(2=Element_Stiffness!$C$110,Element_Stiffness!T138,IF(2=Element_Stiffness!$E$110,Element_Stiffness!Z138,0)),0)),0)+IF(Element_Stiffness!$C$146,IF(Element_Stiffness!$C$145=1,IF(2=Element_Stiffness!$C$145,Element_Stiffness!T167,IF(2=Element_Stiffness!$E$145,Element_Stiffness!Z167,0)),IF(Element_Stiffness!$E$145=1,IF(2=Element_Stiffness!$C$145,Element_Stiffness!T173,IF(2=Element_Stiffness!$E$145,Element_Stiffness!Z173,0)),0)),0)+IF(Element_Stiffness!$C$181,IF(Element_Stiffness!$C$180=1,IF(2=Element_Stiffness!$C$180,Element_Stiffness!T202,IF(2=Element_Stiffness!$E$180,Element_Stiffness!Z202,0)),IF(Element_Stiffness!$E$180=1,IF(2=Element_Stiffness!$C$180,Element_Stiffness!T208,IF(2=Element_Stiffness!$E$180,Element_Stiffness!Z208,0)),0)),0)+IF(Element_Stiffness!$C$216,IF(Element_Stiffness!$C$215=1,IF(2=Element_Stiffness!$C$215,Element_Stiffness!T237,IF(2=Element_Stiffness!$E$215,Element_Stiffness!Z237,0)),IF(Element_Stiffness!$E$215=1,IF(2=Element_Stiffness!$C$215,Element_Stiffness!T243,IF(2=Element_Stiffness!$E$215,Element_Stiffness!Z243,0)),0)),0)</f>
        <v/>
      </c>
      <c r="T12" s="21">
        <f>IF(Element_Stiffness!$C$6,IF(Element_Stiffness!$C$5=1,IF(2=Element_Stiffness!$C$5,Element_Stiffness!U27,IF(2=Element_Stiffness!$E$5,Element_Stiffness!AA27,0)),IF(Element_Stiffness!$E$5=1,IF(2=Element_Stiffness!$C$5,Element_Stiffness!U33,IF(2=Element_Stiffness!$E$5,Element_Stiffness!AA33,0)),0)),0)+IF(Element_Stiffness!$C$41,IF(Element_Stiffness!$C$40=1,IF(2=Element_Stiffness!$C$40,Element_Stiffness!U62,IF(2=Element_Stiffness!$E$40,Element_Stiffness!AA62,0)),IF(Element_Stiffness!$E$40=1,IF(2=Element_Stiffness!$C$40,Element_Stiffness!U68,IF(2=Element_Stiffness!$E$40,Element_Stiffness!AA68,0)),0)),0)+IF(Element_Stiffness!$C$76,IF(Element_Stiffness!$C$75=1,IF(2=Element_Stiffness!$C$75,Element_Stiffness!U97,IF(2=Element_Stiffness!$E$75,Element_Stiffness!AA97,0)),IF(Element_Stiffness!$E$75=1,IF(2=Element_Stiffness!$C$75,Element_Stiffness!U103,IF(2=Element_Stiffness!$E$75,Element_Stiffness!AA103,0)),0)),0)+IF(Element_Stiffness!$C$111,IF(Element_Stiffness!$C$110=1,IF(2=Element_Stiffness!$C$110,Element_Stiffness!U132,IF(2=Element_Stiffness!$E$110,Element_Stiffness!AA132,0)),IF(Element_Stiffness!$E$110=1,IF(2=Element_Stiffness!$C$110,Element_Stiffness!U138,IF(2=Element_Stiffness!$E$110,Element_Stiffness!AA138,0)),0)),0)+IF(Element_Stiffness!$C$146,IF(Element_Stiffness!$C$145=1,IF(2=Element_Stiffness!$C$145,Element_Stiffness!U167,IF(2=Element_Stiffness!$E$145,Element_Stiffness!AA167,0)),IF(Element_Stiffness!$E$145=1,IF(2=Element_Stiffness!$C$145,Element_Stiffness!U173,IF(2=Element_Stiffness!$E$145,Element_Stiffness!AA173,0)),0)),0)+IF(Element_Stiffness!$C$181,IF(Element_Stiffness!$C$180=1,IF(2=Element_Stiffness!$C$180,Element_Stiffness!U202,IF(2=Element_Stiffness!$E$180,Element_Stiffness!AA202,0)),IF(Element_Stiffness!$E$180=1,IF(2=Element_Stiffness!$C$180,Element_Stiffness!U208,IF(2=Element_Stiffness!$E$180,Element_Stiffness!AA208,0)),0)),0)+IF(Element_Stiffness!$C$216,IF(Element_Stiffness!$C$215=1,IF(2=Element_Stiffness!$C$215,Element_Stiffness!U237,IF(2=Element_Stiffness!$E$215,Element_Stiffness!AA237,0)),IF(Element_Stiffness!$E$215=1,IF(2=Element_Stiffness!$C$215,Element_Stiffness!U243,IF(2=Element_Stiffness!$E$215,Element_Stiffness!AA243,0)),0)),0)</f>
        <v/>
      </c>
      <c r="U12" s="21">
        <f>IF(Element_Stiffness!$C$6,IF(Element_Stiffness!$C$5=1,IF(3=Element_Stiffness!$C$5,Element_Stiffness!P27,IF(3=Element_Stiffness!$E$5,Element_Stiffness!V27,0)),IF(Element_Stiffness!$E$5=1,IF(3=Element_Stiffness!$C$5,Element_Stiffness!P33,IF(3=Element_Stiffness!$E$5,Element_Stiffness!V33,0)),0)),0)+IF(Element_Stiffness!$C$41,IF(Element_Stiffness!$C$40=1,IF(3=Element_Stiffness!$C$40,Element_Stiffness!P62,IF(3=Element_Stiffness!$E$40,Element_Stiffness!V62,0)),IF(Element_Stiffness!$E$40=1,IF(3=Element_Stiffness!$C$40,Element_Stiffness!P68,IF(3=Element_Stiffness!$E$40,Element_Stiffness!V68,0)),0)),0)+IF(Element_Stiffness!$C$76,IF(Element_Stiffness!$C$75=1,IF(3=Element_Stiffness!$C$75,Element_Stiffness!P97,IF(3=Element_Stiffness!$E$75,Element_Stiffness!V97,0)),IF(Element_Stiffness!$E$75=1,IF(3=Element_Stiffness!$C$75,Element_Stiffness!P103,IF(3=Element_Stiffness!$E$75,Element_Stiffness!V103,0)),0)),0)+IF(Element_Stiffness!$C$111,IF(Element_Stiffness!$C$110=1,IF(3=Element_Stiffness!$C$110,Element_Stiffness!P132,IF(3=Element_Stiffness!$E$110,Element_Stiffness!V132,0)),IF(Element_Stiffness!$E$110=1,IF(3=Element_Stiffness!$C$110,Element_Stiffness!P138,IF(3=Element_Stiffness!$E$110,Element_Stiffness!V138,0)),0)),0)+IF(Element_Stiffness!$C$146,IF(Element_Stiffness!$C$145=1,IF(3=Element_Stiffness!$C$145,Element_Stiffness!P167,IF(3=Element_Stiffness!$E$145,Element_Stiffness!V167,0)),IF(Element_Stiffness!$E$145=1,IF(3=Element_Stiffness!$C$145,Element_Stiffness!P173,IF(3=Element_Stiffness!$E$145,Element_Stiffness!V173,0)),0)),0)+IF(Element_Stiffness!$C$181,IF(Element_Stiffness!$C$180=1,IF(3=Element_Stiffness!$C$180,Element_Stiffness!P202,IF(3=Element_Stiffness!$E$180,Element_Stiffness!V202,0)),IF(Element_Stiffness!$E$180=1,IF(3=Element_Stiffness!$C$180,Element_Stiffness!P208,IF(3=Element_Stiffness!$E$180,Element_Stiffness!V208,0)),0)),0)+IF(Element_Stiffness!$C$216,IF(Element_Stiffness!$C$215=1,IF(3=Element_Stiffness!$C$215,Element_Stiffness!P237,IF(3=Element_Stiffness!$E$215,Element_Stiffness!V237,0)),IF(Element_Stiffness!$E$215=1,IF(3=Element_Stiffness!$C$215,Element_Stiffness!P243,IF(3=Element_Stiffness!$E$215,Element_Stiffness!V243,0)),0)),0)</f>
        <v/>
      </c>
      <c r="V12" s="21">
        <f>IF(Element_Stiffness!$C$6,IF(Element_Stiffness!$C$5=1,IF(3=Element_Stiffness!$C$5,Element_Stiffness!Q27,IF(3=Element_Stiffness!$E$5,Element_Stiffness!W27,0)),IF(Element_Stiffness!$E$5=1,IF(3=Element_Stiffness!$C$5,Element_Stiffness!Q33,IF(3=Element_Stiffness!$E$5,Element_Stiffness!W33,0)),0)),0)+IF(Element_Stiffness!$C$41,IF(Element_Stiffness!$C$40=1,IF(3=Element_Stiffness!$C$40,Element_Stiffness!Q62,IF(3=Element_Stiffness!$E$40,Element_Stiffness!W62,0)),IF(Element_Stiffness!$E$40=1,IF(3=Element_Stiffness!$C$40,Element_Stiffness!Q68,IF(3=Element_Stiffness!$E$40,Element_Stiffness!W68,0)),0)),0)+IF(Element_Stiffness!$C$76,IF(Element_Stiffness!$C$75=1,IF(3=Element_Stiffness!$C$75,Element_Stiffness!Q97,IF(3=Element_Stiffness!$E$75,Element_Stiffness!W97,0)),IF(Element_Stiffness!$E$75=1,IF(3=Element_Stiffness!$C$75,Element_Stiffness!Q103,IF(3=Element_Stiffness!$E$75,Element_Stiffness!W103,0)),0)),0)+IF(Element_Stiffness!$C$111,IF(Element_Stiffness!$C$110=1,IF(3=Element_Stiffness!$C$110,Element_Stiffness!Q132,IF(3=Element_Stiffness!$E$110,Element_Stiffness!W132,0)),IF(Element_Stiffness!$E$110=1,IF(3=Element_Stiffness!$C$110,Element_Stiffness!Q138,IF(3=Element_Stiffness!$E$110,Element_Stiffness!W138,0)),0)),0)+IF(Element_Stiffness!$C$146,IF(Element_Stiffness!$C$145=1,IF(3=Element_Stiffness!$C$145,Element_Stiffness!Q167,IF(3=Element_Stiffness!$E$145,Element_Stiffness!W167,0)),IF(Element_Stiffness!$E$145=1,IF(3=Element_Stiffness!$C$145,Element_Stiffness!Q173,IF(3=Element_Stiffness!$E$145,Element_Stiffness!W173,0)),0)),0)+IF(Element_Stiffness!$C$181,IF(Element_Stiffness!$C$180=1,IF(3=Element_Stiffness!$C$180,Element_Stiffness!Q202,IF(3=Element_Stiffness!$E$180,Element_Stiffness!W202,0)),IF(Element_Stiffness!$E$180=1,IF(3=Element_Stiffness!$C$180,Element_Stiffness!Q208,IF(3=Element_Stiffness!$E$180,Element_Stiffness!W208,0)),0)),0)+IF(Element_Stiffness!$C$216,IF(Element_Stiffness!$C$215=1,IF(3=Element_Stiffness!$C$215,Element_Stiffness!Q237,IF(3=Element_Stiffness!$E$215,Element_Stiffness!W237,0)),IF(Element_Stiffness!$E$215=1,IF(3=Element_Stiffness!$C$215,Element_Stiffness!Q243,IF(3=Element_Stiffness!$E$215,Element_Stiffness!W243,0)),0)),0)</f>
        <v/>
      </c>
      <c r="W12" s="21">
        <f>IF(Element_Stiffness!$C$6,IF(Element_Stiffness!$C$5=1,IF(3=Element_Stiffness!$C$5,Element_Stiffness!R27,IF(3=Element_Stiffness!$E$5,Element_Stiffness!X27,0)),IF(Element_Stiffness!$E$5=1,IF(3=Element_Stiffness!$C$5,Element_Stiffness!R33,IF(3=Element_Stiffness!$E$5,Element_Stiffness!X33,0)),0)),0)+IF(Element_Stiffness!$C$41,IF(Element_Stiffness!$C$40=1,IF(3=Element_Stiffness!$C$40,Element_Stiffness!R62,IF(3=Element_Stiffness!$E$40,Element_Stiffness!X62,0)),IF(Element_Stiffness!$E$40=1,IF(3=Element_Stiffness!$C$40,Element_Stiffness!R68,IF(3=Element_Stiffness!$E$40,Element_Stiffness!X68,0)),0)),0)+IF(Element_Stiffness!$C$76,IF(Element_Stiffness!$C$75=1,IF(3=Element_Stiffness!$C$75,Element_Stiffness!R97,IF(3=Element_Stiffness!$E$75,Element_Stiffness!X97,0)),IF(Element_Stiffness!$E$75=1,IF(3=Element_Stiffness!$C$75,Element_Stiffness!R103,IF(3=Element_Stiffness!$E$75,Element_Stiffness!X103,0)),0)),0)+IF(Element_Stiffness!$C$111,IF(Element_Stiffness!$C$110=1,IF(3=Element_Stiffness!$C$110,Element_Stiffness!R132,IF(3=Element_Stiffness!$E$110,Element_Stiffness!X132,0)),IF(Element_Stiffness!$E$110=1,IF(3=Element_Stiffness!$C$110,Element_Stiffness!R138,IF(3=Element_Stiffness!$E$110,Element_Stiffness!X138,0)),0)),0)+IF(Element_Stiffness!$C$146,IF(Element_Stiffness!$C$145=1,IF(3=Element_Stiffness!$C$145,Element_Stiffness!R167,IF(3=Element_Stiffness!$E$145,Element_Stiffness!X167,0)),IF(Element_Stiffness!$E$145=1,IF(3=Element_Stiffness!$C$145,Element_Stiffness!R173,IF(3=Element_Stiffness!$E$145,Element_Stiffness!X173,0)),0)),0)+IF(Element_Stiffness!$C$181,IF(Element_Stiffness!$C$180=1,IF(3=Element_Stiffness!$C$180,Element_Stiffness!R202,IF(3=Element_Stiffness!$E$180,Element_Stiffness!X202,0)),IF(Element_Stiffness!$E$180=1,IF(3=Element_Stiffness!$C$180,Element_Stiffness!R208,IF(3=Element_Stiffness!$E$180,Element_Stiffness!X208,0)),0)),0)+IF(Element_Stiffness!$C$216,IF(Element_Stiffness!$C$215=1,IF(3=Element_Stiffness!$C$215,Element_Stiffness!R237,IF(3=Element_Stiffness!$E$215,Element_Stiffness!X237,0)),IF(Element_Stiffness!$E$215=1,IF(3=Element_Stiffness!$C$215,Element_Stiffness!R243,IF(3=Element_Stiffness!$E$215,Element_Stiffness!X243,0)),0)),0)</f>
        <v/>
      </c>
      <c r="X12" s="21">
        <f>IF(Element_Stiffness!$C$6,IF(Element_Stiffness!$C$5=1,IF(3=Element_Stiffness!$C$5,Element_Stiffness!S27,IF(3=Element_Stiffness!$E$5,Element_Stiffness!Y27,0)),IF(Element_Stiffness!$E$5=1,IF(3=Element_Stiffness!$C$5,Element_Stiffness!S33,IF(3=Element_Stiffness!$E$5,Element_Stiffness!Y33,0)),0)),0)+IF(Element_Stiffness!$C$41,IF(Element_Stiffness!$C$40=1,IF(3=Element_Stiffness!$C$40,Element_Stiffness!S62,IF(3=Element_Stiffness!$E$40,Element_Stiffness!Y62,0)),IF(Element_Stiffness!$E$40=1,IF(3=Element_Stiffness!$C$40,Element_Stiffness!S68,IF(3=Element_Stiffness!$E$40,Element_Stiffness!Y68,0)),0)),0)+IF(Element_Stiffness!$C$76,IF(Element_Stiffness!$C$75=1,IF(3=Element_Stiffness!$C$75,Element_Stiffness!S97,IF(3=Element_Stiffness!$E$75,Element_Stiffness!Y97,0)),IF(Element_Stiffness!$E$75=1,IF(3=Element_Stiffness!$C$75,Element_Stiffness!S103,IF(3=Element_Stiffness!$E$75,Element_Stiffness!Y103,0)),0)),0)+IF(Element_Stiffness!$C$111,IF(Element_Stiffness!$C$110=1,IF(3=Element_Stiffness!$C$110,Element_Stiffness!S132,IF(3=Element_Stiffness!$E$110,Element_Stiffness!Y132,0)),IF(Element_Stiffness!$E$110=1,IF(3=Element_Stiffness!$C$110,Element_Stiffness!S138,IF(3=Element_Stiffness!$E$110,Element_Stiffness!Y138,0)),0)),0)+IF(Element_Stiffness!$C$146,IF(Element_Stiffness!$C$145=1,IF(3=Element_Stiffness!$C$145,Element_Stiffness!S167,IF(3=Element_Stiffness!$E$145,Element_Stiffness!Y167,0)),IF(Element_Stiffness!$E$145=1,IF(3=Element_Stiffness!$C$145,Element_Stiffness!S173,IF(3=Element_Stiffness!$E$145,Element_Stiffness!Y173,0)),0)),0)+IF(Element_Stiffness!$C$181,IF(Element_Stiffness!$C$180=1,IF(3=Element_Stiffness!$C$180,Element_Stiffness!S202,IF(3=Element_Stiffness!$E$180,Element_Stiffness!Y202,0)),IF(Element_Stiffness!$E$180=1,IF(3=Element_Stiffness!$C$180,Element_Stiffness!S208,IF(3=Element_Stiffness!$E$180,Element_Stiffness!Y208,0)),0)),0)+IF(Element_Stiffness!$C$216,IF(Element_Stiffness!$C$215=1,IF(3=Element_Stiffness!$C$215,Element_Stiffness!S237,IF(3=Element_Stiffness!$E$215,Element_Stiffness!Y237,0)),IF(Element_Stiffness!$E$215=1,IF(3=Element_Stiffness!$C$215,Element_Stiffness!S243,IF(3=Element_Stiffness!$E$215,Element_Stiffness!Y243,0)),0)),0)</f>
        <v/>
      </c>
      <c r="Y12" s="21">
        <f>IF(Element_Stiffness!$C$6,IF(Element_Stiffness!$C$5=1,IF(3=Element_Stiffness!$C$5,Element_Stiffness!T27,IF(3=Element_Stiffness!$E$5,Element_Stiffness!Z27,0)),IF(Element_Stiffness!$E$5=1,IF(3=Element_Stiffness!$C$5,Element_Stiffness!T33,IF(3=Element_Stiffness!$E$5,Element_Stiffness!Z33,0)),0)),0)+IF(Element_Stiffness!$C$41,IF(Element_Stiffness!$C$40=1,IF(3=Element_Stiffness!$C$40,Element_Stiffness!T62,IF(3=Element_Stiffness!$E$40,Element_Stiffness!Z62,0)),IF(Element_Stiffness!$E$40=1,IF(3=Element_Stiffness!$C$40,Element_Stiffness!T68,IF(3=Element_Stiffness!$E$40,Element_Stiffness!Z68,0)),0)),0)+IF(Element_Stiffness!$C$76,IF(Element_Stiffness!$C$75=1,IF(3=Element_Stiffness!$C$75,Element_Stiffness!T97,IF(3=Element_Stiffness!$E$75,Element_Stiffness!Z97,0)),IF(Element_Stiffness!$E$75=1,IF(3=Element_Stiffness!$C$75,Element_Stiffness!T103,IF(3=Element_Stiffness!$E$75,Element_Stiffness!Z103,0)),0)),0)+IF(Element_Stiffness!$C$111,IF(Element_Stiffness!$C$110=1,IF(3=Element_Stiffness!$C$110,Element_Stiffness!T132,IF(3=Element_Stiffness!$E$110,Element_Stiffness!Z132,0)),IF(Element_Stiffness!$E$110=1,IF(3=Element_Stiffness!$C$110,Element_Stiffness!T138,IF(3=Element_Stiffness!$E$110,Element_Stiffness!Z138,0)),0)),0)+IF(Element_Stiffness!$C$146,IF(Element_Stiffness!$C$145=1,IF(3=Element_Stiffness!$C$145,Element_Stiffness!T167,IF(3=Element_Stiffness!$E$145,Element_Stiffness!Z167,0)),IF(Element_Stiffness!$E$145=1,IF(3=Element_Stiffness!$C$145,Element_Stiffness!T173,IF(3=Element_Stiffness!$E$145,Element_Stiffness!Z173,0)),0)),0)+IF(Element_Stiffness!$C$181,IF(Element_Stiffness!$C$180=1,IF(3=Element_Stiffness!$C$180,Element_Stiffness!T202,IF(3=Element_Stiffness!$E$180,Element_Stiffness!Z202,0)),IF(Element_Stiffness!$E$180=1,IF(3=Element_Stiffness!$C$180,Element_Stiffness!T208,IF(3=Element_Stiffness!$E$180,Element_Stiffness!Z208,0)),0)),0)+IF(Element_Stiffness!$C$216,IF(Element_Stiffness!$C$215=1,IF(3=Element_Stiffness!$C$215,Element_Stiffness!T237,IF(3=Element_Stiffness!$E$215,Element_Stiffness!Z237,0)),IF(Element_Stiffness!$E$215=1,IF(3=Element_Stiffness!$C$215,Element_Stiffness!T243,IF(3=Element_Stiffness!$E$215,Element_Stiffness!Z243,0)),0)),0)</f>
        <v/>
      </c>
      <c r="Z12" s="21">
        <f>IF(Element_Stiffness!$C$6,IF(Element_Stiffness!$C$5=1,IF(3=Element_Stiffness!$C$5,Element_Stiffness!U27,IF(3=Element_Stiffness!$E$5,Element_Stiffness!AA27,0)),IF(Element_Stiffness!$E$5=1,IF(3=Element_Stiffness!$C$5,Element_Stiffness!U33,IF(3=Element_Stiffness!$E$5,Element_Stiffness!AA33,0)),0)),0)+IF(Element_Stiffness!$C$41,IF(Element_Stiffness!$C$40=1,IF(3=Element_Stiffness!$C$40,Element_Stiffness!U62,IF(3=Element_Stiffness!$E$40,Element_Stiffness!AA62,0)),IF(Element_Stiffness!$E$40=1,IF(3=Element_Stiffness!$C$40,Element_Stiffness!U68,IF(3=Element_Stiffness!$E$40,Element_Stiffness!AA68,0)),0)),0)+IF(Element_Stiffness!$C$76,IF(Element_Stiffness!$C$75=1,IF(3=Element_Stiffness!$C$75,Element_Stiffness!U97,IF(3=Element_Stiffness!$E$75,Element_Stiffness!AA97,0)),IF(Element_Stiffness!$E$75=1,IF(3=Element_Stiffness!$C$75,Element_Stiffness!U103,IF(3=Element_Stiffness!$E$75,Element_Stiffness!AA103,0)),0)),0)+IF(Element_Stiffness!$C$111,IF(Element_Stiffness!$C$110=1,IF(3=Element_Stiffness!$C$110,Element_Stiffness!U132,IF(3=Element_Stiffness!$E$110,Element_Stiffness!AA132,0)),IF(Element_Stiffness!$E$110=1,IF(3=Element_Stiffness!$C$110,Element_Stiffness!U138,IF(3=Element_Stiffness!$E$110,Element_Stiffness!AA138,0)),0)),0)+IF(Element_Stiffness!$C$146,IF(Element_Stiffness!$C$145=1,IF(3=Element_Stiffness!$C$145,Element_Stiffness!U167,IF(3=Element_Stiffness!$E$145,Element_Stiffness!AA167,0)),IF(Element_Stiffness!$E$145=1,IF(3=Element_Stiffness!$C$145,Element_Stiffness!U173,IF(3=Element_Stiffness!$E$145,Element_Stiffness!AA173,0)),0)),0)+IF(Element_Stiffness!$C$181,IF(Element_Stiffness!$C$180=1,IF(3=Element_Stiffness!$C$180,Element_Stiffness!U202,IF(3=Element_Stiffness!$E$180,Element_Stiffness!AA202,0)),IF(Element_Stiffness!$E$180=1,IF(3=Element_Stiffness!$C$180,Element_Stiffness!U208,IF(3=Element_Stiffness!$E$180,Element_Stiffness!AA208,0)),0)),0)+IF(Element_Stiffness!$C$216,IF(Element_Stiffness!$C$215=1,IF(3=Element_Stiffness!$C$215,Element_Stiffness!U237,IF(3=Element_Stiffness!$E$215,Element_Stiffness!AA237,0)),IF(Element_Stiffness!$E$215=1,IF(3=Element_Stiffness!$C$215,Element_Stiffness!U243,IF(3=Element_Stiffness!$E$215,Element_Stiffness!AA243,0)),0)),0)</f>
        <v/>
      </c>
      <c r="AA12" s="21">
        <f>IF(Element_Stiffness!$C$6,IF(Element_Stiffness!$C$5=1,IF(4=Element_Stiffness!$C$5,Element_Stiffness!P27,IF(4=Element_Stiffness!$E$5,Element_Stiffness!V27,0)),IF(Element_Stiffness!$E$5=1,IF(4=Element_Stiffness!$C$5,Element_Stiffness!P33,IF(4=Element_Stiffness!$E$5,Element_Stiffness!V33,0)),0)),0)+IF(Element_Stiffness!$C$41,IF(Element_Stiffness!$C$40=1,IF(4=Element_Stiffness!$C$40,Element_Stiffness!P62,IF(4=Element_Stiffness!$E$40,Element_Stiffness!V62,0)),IF(Element_Stiffness!$E$40=1,IF(4=Element_Stiffness!$C$40,Element_Stiffness!P68,IF(4=Element_Stiffness!$E$40,Element_Stiffness!V68,0)),0)),0)+IF(Element_Stiffness!$C$76,IF(Element_Stiffness!$C$75=1,IF(4=Element_Stiffness!$C$75,Element_Stiffness!P97,IF(4=Element_Stiffness!$E$75,Element_Stiffness!V97,0)),IF(Element_Stiffness!$E$75=1,IF(4=Element_Stiffness!$C$75,Element_Stiffness!P103,IF(4=Element_Stiffness!$E$75,Element_Stiffness!V103,0)),0)),0)+IF(Element_Stiffness!$C$111,IF(Element_Stiffness!$C$110=1,IF(4=Element_Stiffness!$C$110,Element_Stiffness!P132,IF(4=Element_Stiffness!$E$110,Element_Stiffness!V132,0)),IF(Element_Stiffness!$E$110=1,IF(4=Element_Stiffness!$C$110,Element_Stiffness!P138,IF(4=Element_Stiffness!$E$110,Element_Stiffness!V138,0)),0)),0)+IF(Element_Stiffness!$C$146,IF(Element_Stiffness!$C$145=1,IF(4=Element_Stiffness!$C$145,Element_Stiffness!P167,IF(4=Element_Stiffness!$E$145,Element_Stiffness!V167,0)),IF(Element_Stiffness!$E$145=1,IF(4=Element_Stiffness!$C$145,Element_Stiffness!P173,IF(4=Element_Stiffness!$E$145,Element_Stiffness!V173,0)),0)),0)+IF(Element_Stiffness!$C$181,IF(Element_Stiffness!$C$180=1,IF(4=Element_Stiffness!$C$180,Element_Stiffness!P202,IF(4=Element_Stiffness!$E$180,Element_Stiffness!V202,0)),IF(Element_Stiffness!$E$180=1,IF(4=Element_Stiffness!$C$180,Element_Stiffness!P208,IF(4=Element_Stiffness!$E$180,Element_Stiffness!V208,0)),0)),0)+IF(Element_Stiffness!$C$216,IF(Element_Stiffness!$C$215=1,IF(4=Element_Stiffness!$C$215,Element_Stiffness!P237,IF(4=Element_Stiffness!$E$215,Element_Stiffness!V237,0)),IF(Element_Stiffness!$E$215=1,IF(4=Element_Stiffness!$C$215,Element_Stiffness!P243,IF(4=Element_Stiffness!$E$215,Element_Stiffness!V243,0)),0)),0)</f>
        <v/>
      </c>
      <c r="AB12" s="21">
        <f>IF(Element_Stiffness!$C$6,IF(Element_Stiffness!$C$5=1,IF(4=Element_Stiffness!$C$5,Element_Stiffness!Q27,IF(4=Element_Stiffness!$E$5,Element_Stiffness!W27,0)),IF(Element_Stiffness!$E$5=1,IF(4=Element_Stiffness!$C$5,Element_Stiffness!Q33,IF(4=Element_Stiffness!$E$5,Element_Stiffness!W33,0)),0)),0)+IF(Element_Stiffness!$C$41,IF(Element_Stiffness!$C$40=1,IF(4=Element_Stiffness!$C$40,Element_Stiffness!Q62,IF(4=Element_Stiffness!$E$40,Element_Stiffness!W62,0)),IF(Element_Stiffness!$E$40=1,IF(4=Element_Stiffness!$C$40,Element_Stiffness!Q68,IF(4=Element_Stiffness!$E$40,Element_Stiffness!W68,0)),0)),0)+IF(Element_Stiffness!$C$76,IF(Element_Stiffness!$C$75=1,IF(4=Element_Stiffness!$C$75,Element_Stiffness!Q97,IF(4=Element_Stiffness!$E$75,Element_Stiffness!W97,0)),IF(Element_Stiffness!$E$75=1,IF(4=Element_Stiffness!$C$75,Element_Stiffness!Q103,IF(4=Element_Stiffness!$E$75,Element_Stiffness!W103,0)),0)),0)+IF(Element_Stiffness!$C$111,IF(Element_Stiffness!$C$110=1,IF(4=Element_Stiffness!$C$110,Element_Stiffness!Q132,IF(4=Element_Stiffness!$E$110,Element_Stiffness!W132,0)),IF(Element_Stiffness!$E$110=1,IF(4=Element_Stiffness!$C$110,Element_Stiffness!Q138,IF(4=Element_Stiffness!$E$110,Element_Stiffness!W138,0)),0)),0)+IF(Element_Stiffness!$C$146,IF(Element_Stiffness!$C$145=1,IF(4=Element_Stiffness!$C$145,Element_Stiffness!Q167,IF(4=Element_Stiffness!$E$145,Element_Stiffness!W167,0)),IF(Element_Stiffness!$E$145=1,IF(4=Element_Stiffness!$C$145,Element_Stiffness!Q173,IF(4=Element_Stiffness!$E$145,Element_Stiffness!W173,0)),0)),0)+IF(Element_Stiffness!$C$181,IF(Element_Stiffness!$C$180=1,IF(4=Element_Stiffness!$C$180,Element_Stiffness!Q202,IF(4=Element_Stiffness!$E$180,Element_Stiffness!W202,0)),IF(Element_Stiffness!$E$180=1,IF(4=Element_Stiffness!$C$180,Element_Stiffness!Q208,IF(4=Element_Stiffness!$E$180,Element_Stiffness!W208,0)),0)),0)+IF(Element_Stiffness!$C$216,IF(Element_Stiffness!$C$215=1,IF(4=Element_Stiffness!$C$215,Element_Stiffness!Q237,IF(4=Element_Stiffness!$E$215,Element_Stiffness!W237,0)),IF(Element_Stiffness!$E$215=1,IF(4=Element_Stiffness!$C$215,Element_Stiffness!Q243,IF(4=Element_Stiffness!$E$215,Element_Stiffness!W243,0)),0)),0)</f>
        <v/>
      </c>
      <c r="AC12" s="21">
        <f>IF(Element_Stiffness!$C$6,IF(Element_Stiffness!$C$5=1,IF(4=Element_Stiffness!$C$5,Element_Stiffness!R27,IF(4=Element_Stiffness!$E$5,Element_Stiffness!X27,0)),IF(Element_Stiffness!$E$5=1,IF(4=Element_Stiffness!$C$5,Element_Stiffness!R33,IF(4=Element_Stiffness!$E$5,Element_Stiffness!X33,0)),0)),0)+IF(Element_Stiffness!$C$41,IF(Element_Stiffness!$C$40=1,IF(4=Element_Stiffness!$C$40,Element_Stiffness!R62,IF(4=Element_Stiffness!$E$40,Element_Stiffness!X62,0)),IF(Element_Stiffness!$E$40=1,IF(4=Element_Stiffness!$C$40,Element_Stiffness!R68,IF(4=Element_Stiffness!$E$40,Element_Stiffness!X68,0)),0)),0)+IF(Element_Stiffness!$C$76,IF(Element_Stiffness!$C$75=1,IF(4=Element_Stiffness!$C$75,Element_Stiffness!R97,IF(4=Element_Stiffness!$E$75,Element_Stiffness!X97,0)),IF(Element_Stiffness!$E$75=1,IF(4=Element_Stiffness!$C$75,Element_Stiffness!R103,IF(4=Element_Stiffness!$E$75,Element_Stiffness!X103,0)),0)),0)+IF(Element_Stiffness!$C$111,IF(Element_Stiffness!$C$110=1,IF(4=Element_Stiffness!$C$110,Element_Stiffness!R132,IF(4=Element_Stiffness!$E$110,Element_Stiffness!X132,0)),IF(Element_Stiffness!$E$110=1,IF(4=Element_Stiffness!$C$110,Element_Stiffness!R138,IF(4=Element_Stiffness!$E$110,Element_Stiffness!X138,0)),0)),0)+IF(Element_Stiffness!$C$146,IF(Element_Stiffness!$C$145=1,IF(4=Element_Stiffness!$C$145,Element_Stiffness!R167,IF(4=Element_Stiffness!$E$145,Element_Stiffness!X167,0)),IF(Element_Stiffness!$E$145=1,IF(4=Element_Stiffness!$C$145,Element_Stiffness!R173,IF(4=Element_Stiffness!$E$145,Element_Stiffness!X173,0)),0)),0)+IF(Element_Stiffness!$C$181,IF(Element_Stiffness!$C$180=1,IF(4=Element_Stiffness!$C$180,Element_Stiffness!R202,IF(4=Element_Stiffness!$E$180,Element_Stiffness!X202,0)),IF(Element_Stiffness!$E$180=1,IF(4=Element_Stiffness!$C$180,Element_Stiffness!R208,IF(4=Element_Stiffness!$E$180,Element_Stiffness!X208,0)),0)),0)+IF(Element_Stiffness!$C$216,IF(Element_Stiffness!$C$215=1,IF(4=Element_Stiffness!$C$215,Element_Stiffness!R237,IF(4=Element_Stiffness!$E$215,Element_Stiffness!X237,0)),IF(Element_Stiffness!$E$215=1,IF(4=Element_Stiffness!$C$215,Element_Stiffness!R243,IF(4=Element_Stiffness!$E$215,Element_Stiffness!X243,0)),0)),0)</f>
        <v/>
      </c>
      <c r="AD12" s="21">
        <f>IF(Element_Stiffness!$C$6,IF(Element_Stiffness!$C$5=1,IF(4=Element_Stiffness!$C$5,Element_Stiffness!S27,IF(4=Element_Stiffness!$E$5,Element_Stiffness!Y27,0)),IF(Element_Stiffness!$E$5=1,IF(4=Element_Stiffness!$C$5,Element_Stiffness!S33,IF(4=Element_Stiffness!$E$5,Element_Stiffness!Y33,0)),0)),0)+IF(Element_Stiffness!$C$41,IF(Element_Stiffness!$C$40=1,IF(4=Element_Stiffness!$C$40,Element_Stiffness!S62,IF(4=Element_Stiffness!$E$40,Element_Stiffness!Y62,0)),IF(Element_Stiffness!$E$40=1,IF(4=Element_Stiffness!$C$40,Element_Stiffness!S68,IF(4=Element_Stiffness!$E$40,Element_Stiffness!Y68,0)),0)),0)+IF(Element_Stiffness!$C$76,IF(Element_Stiffness!$C$75=1,IF(4=Element_Stiffness!$C$75,Element_Stiffness!S97,IF(4=Element_Stiffness!$E$75,Element_Stiffness!Y97,0)),IF(Element_Stiffness!$E$75=1,IF(4=Element_Stiffness!$C$75,Element_Stiffness!S103,IF(4=Element_Stiffness!$E$75,Element_Stiffness!Y103,0)),0)),0)+IF(Element_Stiffness!$C$111,IF(Element_Stiffness!$C$110=1,IF(4=Element_Stiffness!$C$110,Element_Stiffness!S132,IF(4=Element_Stiffness!$E$110,Element_Stiffness!Y132,0)),IF(Element_Stiffness!$E$110=1,IF(4=Element_Stiffness!$C$110,Element_Stiffness!S138,IF(4=Element_Stiffness!$E$110,Element_Stiffness!Y138,0)),0)),0)+IF(Element_Stiffness!$C$146,IF(Element_Stiffness!$C$145=1,IF(4=Element_Stiffness!$C$145,Element_Stiffness!S167,IF(4=Element_Stiffness!$E$145,Element_Stiffness!Y167,0)),IF(Element_Stiffness!$E$145=1,IF(4=Element_Stiffness!$C$145,Element_Stiffness!S173,IF(4=Element_Stiffness!$E$145,Element_Stiffness!Y173,0)),0)),0)+IF(Element_Stiffness!$C$181,IF(Element_Stiffness!$C$180=1,IF(4=Element_Stiffness!$C$180,Element_Stiffness!S202,IF(4=Element_Stiffness!$E$180,Element_Stiffness!Y202,0)),IF(Element_Stiffness!$E$180=1,IF(4=Element_Stiffness!$C$180,Element_Stiffness!S208,IF(4=Element_Stiffness!$E$180,Element_Stiffness!Y208,0)),0)),0)+IF(Element_Stiffness!$C$216,IF(Element_Stiffness!$C$215=1,IF(4=Element_Stiffness!$C$215,Element_Stiffness!S237,IF(4=Element_Stiffness!$E$215,Element_Stiffness!Y237,0)),IF(Element_Stiffness!$E$215=1,IF(4=Element_Stiffness!$C$215,Element_Stiffness!S243,IF(4=Element_Stiffness!$E$215,Element_Stiffness!Y243,0)),0)),0)</f>
        <v/>
      </c>
      <c r="AE12" s="21">
        <f>IF(Element_Stiffness!$C$6,IF(Element_Stiffness!$C$5=1,IF(4=Element_Stiffness!$C$5,Element_Stiffness!T27,IF(4=Element_Stiffness!$E$5,Element_Stiffness!Z27,0)),IF(Element_Stiffness!$E$5=1,IF(4=Element_Stiffness!$C$5,Element_Stiffness!T33,IF(4=Element_Stiffness!$E$5,Element_Stiffness!Z33,0)),0)),0)+IF(Element_Stiffness!$C$41,IF(Element_Stiffness!$C$40=1,IF(4=Element_Stiffness!$C$40,Element_Stiffness!T62,IF(4=Element_Stiffness!$E$40,Element_Stiffness!Z62,0)),IF(Element_Stiffness!$E$40=1,IF(4=Element_Stiffness!$C$40,Element_Stiffness!T68,IF(4=Element_Stiffness!$E$40,Element_Stiffness!Z68,0)),0)),0)+IF(Element_Stiffness!$C$76,IF(Element_Stiffness!$C$75=1,IF(4=Element_Stiffness!$C$75,Element_Stiffness!T97,IF(4=Element_Stiffness!$E$75,Element_Stiffness!Z97,0)),IF(Element_Stiffness!$E$75=1,IF(4=Element_Stiffness!$C$75,Element_Stiffness!T103,IF(4=Element_Stiffness!$E$75,Element_Stiffness!Z103,0)),0)),0)+IF(Element_Stiffness!$C$111,IF(Element_Stiffness!$C$110=1,IF(4=Element_Stiffness!$C$110,Element_Stiffness!T132,IF(4=Element_Stiffness!$E$110,Element_Stiffness!Z132,0)),IF(Element_Stiffness!$E$110=1,IF(4=Element_Stiffness!$C$110,Element_Stiffness!T138,IF(4=Element_Stiffness!$E$110,Element_Stiffness!Z138,0)),0)),0)+IF(Element_Stiffness!$C$146,IF(Element_Stiffness!$C$145=1,IF(4=Element_Stiffness!$C$145,Element_Stiffness!T167,IF(4=Element_Stiffness!$E$145,Element_Stiffness!Z167,0)),IF(Element_Stiffness!$E$145=1,IF(4=Element_Stiffness!$C$145,Element_Stiffness!T173,IF(4=Element_Stiffness!$E$145,Element_Stiffness!Z173,0)),0)),0)+IF(Element_Stiffness!$C$181,IF(Element_Stiffness!$C$180=1,IF(4=Element_Stiffness!$C$180,Element_Stiffness!T202,IF(4=Element_Stiffness!$E$180,Element_Stiffness!Z202,0)),IF(Element_Stiffness!$E$180=1,IF(4=Element_Stiffness!$C$180,Element_Stiffness!T208,IF(4=Element_Stiffness!$E$180,Element_Stiffness!Z208,0)),0)),0)+IF(Element_Stiffness!$C$216,IF(Element_Stiffness!$C$215=1,IF(4=Element_Stiffness!$C$215,Element_Stiffness!T237,IF(4=Element_Stiffness!$E$215,Element_Stiffness!Z237,0)),IF(Element_Stiffness!$E$215=1,IF(4=Element_Stiffness!$C$215,Element_Stiffness!T243,IF(4=Element_Stiffness!$E$215,Element_Stiffness!Z243,0)),0)),0)</f>
        <v/>
      </c>
      <c r="AF12" s="21">
        <f>IF(Element_Stiffness!$C$6,IF(Element_Stiffness!$C$5=1,IF(4=Element_Stiffness!$C$5,Element_Stiffness!U27,IF(4=Element_Stiffness!$E$5,Element_Stiffness!AA27,0)),IF(Element_Stiffness!$E$5=1,IF(4=Element_Stiffness!$C$5,Element_Stiffness!U33,IF(4=Element_Stiffness!$E$5,Element_Stiffness!AA33,0)),0)),0)+IF(Element_Stiffness!$C$41,IF(Element_Stiffness!$C$40=1,IF(4=Element_Stiffness!$C$40,Element_Stiffness!U62,IF(4=Element_Stiffness!$E$40,Element_Stiffness!AA62,0)),IF(Element_Stiffness!$E$40=1,IF(4=Element_Stiffness!$C$40,Element_Stiffness!U68,IF(4=Element_Stiffness!$E$40,Element_Stiffness!AA68,0)),0)),0)+IF(Element_Stiffness!$C$76,IF(Element_Stiffness!$C$75=1,IF(4=Element_Stiffness!$C$75,Element_Stiffness!U97,IF(4=Element_Stiffness!$E$75,Element_Stiffness!AA97,0)),IF(Element_Stiffness!$E$75=1,IF(4=Element_Stiffness!$C$75,Element_Stiffness!U103,IF(4=Element_Stiffness!$E$75,Element_Stiffness!AA103,0)),0)),0)+IF(Element_Stiffness!$C$111,IF(Element_Stiffness!$C$110=1,IF(4=Element_Stiffness!$C$110,Element_Stiffness!U132,IF(4=Element_Stiffness!$E$110,Element_Stiffness!AA132,0)),IF(Element_Stiffness!$E$110=1,IF(4=Element_Stiffness!$C$110,Element_Stiffness!U138,IF(4=Element_Stiffness!$E$110,Element_Stiffness!AA138,0)),0)),0)+IF(Element_Stiffness!$C$146,IF(Element_Stiffness!$C$145=1,IF(4=Element_Stiffness!$C$145,Element_Stiffness!U167,IF(4=Element_Stiffness!$E$145,Element_Stiffness!AA167,0)),IF(Element_Stiffness!$E$145=1,IF(4=Element_Stiffness!$C$145,Element_Stiffness!U173,IF(4=Element_Stiffness!$E$145,Element_Stiffness!AA173,0)),0)),0)+IF(Element_Stiffness!$C$181,IF(Element_Stiffness!$C$180=1,IF(4=Element_Stiffness!$C$180,Element_Stiffness!U202,IF(4=Element_Stiffness!$E$180,Element_Stiffness!AA202,0)),IF(Element_Stiffness!$E$180=1,IF(4=Element_Stiffness!$C$180,Element_Stiffness!U208,IF(4=Element_Stiffness!$E$180,Element_Stiffness!AA208,0)),0)),0)+IF(Element_Stiffness!$C$216,IF(Element_Stiffness!$C$215=1,IF(4=Element_Stiffness!$C$215,Element_Stiffness!U237,IF(4=Element_Stiffness!$E$215,Element_Stiffness!AA237,0)),IF(Element_Stiffness!$E$215=1,IF(4=Element_Stiffness!$C$215,Element_Stiffness!U243,IF(4=Element_Stiffness!$E$215,Element_Stiffness!AA243,0)),0)),0)</f>
        <v/>
      </c>
      <c r="AG12" s="21">
        <f>IF(Element_Stiffness!$C$6,IF(Element_Stiffness!$C$5=1,IF(5=Element_Stiffness!$C$5,Element_Stiffness!P27,IF(5=Element_Stiffness!$E$5,Element_Stiffness!V27,0)),IF(Element_Stiffness!$E$5=1,IF(5=Element_Stiffness!$C$5,Element_Stiffness!P33,IF(5=Element_Stiffness!$E$5,Element_Stiffness!V33,0)),0)),0)+IF(Element_Stiffness!$C$41,IF(Element_Stiffness!$C$40=1,IF(5=Element_Stiffness!$C$40,Element_Stiffness!P62,IF(5=Element_Stiffness!$E$40,Element_Stiffness!V62,0)),IF(Element_Stiffness!$E$40=1,IF(5=Element_Stiffness!$C$40,Element_Stiffness!P68,IF(5=Element_Stiffness!$E$40,Element_Stiffness!V68,0)),0)),0)+IF(Element_Stiffness!$C$76,IF(Element_Stiffness!$C$75=1,IF(5=Element_Stiffness!$C$75,Element_Stiffness!P97,IF(5=Element_Stiffness!$E$75,Element_Stiffness!V97,0)),IF(Element_Stiffness!$E$75=1,IF(5=Element_Stiffness!$C$75,Element_Stiffness!P103,IF(5=Element_Stiffness!$E$75,Element_Stiffness!V103,0)),0)),0)+IF(Element_Stiffness!$C$111,IF(Element_Stiffness!$C$110=1,IF(5=Element_Stiffness!$C$110,Element_Stiffness!P132,IF(5=Element_Stiffness!$E$110,Element_Stiffness!V132,0)),IF(Element_Stiffness!$E$110=1,IF(5=Element_Stiffness!$C$110,Element_Stiffness!P138,IF(5=Element_Stiffness!$E$110,Element_Stiffness!V138,0)),0)),0)+IF(Element_Stiffness!$C$146,IF(Element_Stiffness!$C$145=1,IF(5=Element_Stiffness!$C$145,Element_Stiffness!P167,IF(5=Element_Stiffness!$E$145,Element_Stiffness!V167,0)),IF(Element_Stiffness!$E$145=1,IF(5=Element_Stiffness!$C$145,Element_Stiffness!P173,IF(5=Element_Stiffness!$E$145,Element_Stiffness!V173,0)),0)),0)+IF(Element_Stiffness!$C$181,IF(Element_Stiffness!$C$180=1,IF(5=Element_Stiffness!$C$180,Element_Stiffness!P202,IF(5=Element_Stiffness!$E$180,Element_Stiffness!V202,0)),IF(Element_Stiffness!$E$180=1,IF(5=Element_Stiffness!$C$180,Element_Stiffness!P208,IF(5=Element_Stiffness!$E$180,Element_Stiffness!V208,0)),0)),0)+IF(Element_Stiffness!$C$216,IF(Element_Stiffness!$C$215=1,IF(5=Element_Stiffness!$C$215,Element_Stiffness!P237,IF(5=Element_Stiffness!$E$215,Element_Stiffness!V237,0)),IF(Element_Stiffness!$E$215=1,IF(5=Element_Stiffness!$C$215,Element_Stiffness!P243,IF(5=Element_Stiffness!$E$215,Element_Stiffness!V243,0)),0)),0)</f>
        <v/>
      </c>
      <c r="AH12" s="21">
        <f>IF(Element_Stiffness!$C$6,IF(Element_Stiffness!$C$5=1,IF(5=Element_Stiffness!$C$5,Element_Stiffness!Q27,IF(5=Element_Stiffness!$E$5,Element_Stiffness!W27,0)),IF(Element_Stiffness!$E$5=1,IF(5=Element_Stiffness!$C$5,Element_Stiffness!Q33,IF(5=Element_Stiffness!$E$5,Element_Stiffness!W33,0)),0)),0)+IF(Element_Stiffness!$C$41,IF(Element_Stiffness!$C$40=1,IF(5=Element_Stiffness!$C$40,Element_Stiffness!Q62,IF(5=Element_Stiffness!$E$40,Element_Stiffness!W62,0)),IF(Element_Stiffness!$E$40=1,IF(5=Element_Stiffness!$C$40,Element_Stiffness!Q68,IF(5=Element_Stiffness!$E$40,Element_Stiffness!W68,0)),0)),0)+IF(Element_Stiffness!$C$76,IF(Element_Stiffness!$C$75=1,IF(5=Element_Stiffness!$C$75,Element_Stiffness!Q97,IF(5=Element_Stiffness!$E$75,Element_Stiffness!W97,0)),IF(Element_Stiffness!$E$75=1,IF(5=Element_Stiffness!$C$75,Element_Stiffness!Q103,IF(5=Element_Stiffness!$E$75,Element_Stiffness!W103,0)),0)),0)+IF(Element_Stiffness!$C$111,IF(Element_Stiffness!$C$110=1,IF(5=Element_Stiffness!$C$110,Element_Stiffness!Q132,IF(5=Element_Stiffness!$E$110,Element_Stiffness!W132,0)),IF(Element_Stiffness!$E$110=1,IF(5=Element_Stiffness!$C$110,Element_Stiffness!Q138,IF(5=Element_Stiffness!$E$110,Element_Stiffness!W138,0)),0)),0)+IF(Element_Stiffness!$C$146,IF(Element_Stiffness!$C$145=1,IF(5=Element_Stiffness!$C$145,Element_Stiffness!Q167,IF(5=Element_Stiffness!$E$145,Element_Stiffness!W167,0)),IF(Element_Stiffness!$E$145=1,IF(5=Element_Stiffness!$C$145,Element_Stiffness!Q173,IF(5=Element_Stiffness!$E$145,Element_Stiffness!W173,0)),0)),0)+IF(Element_Stiffness!$C$181,IF(Element_Stiffness!$C$180=1,IF(5=Element_Stiffness!$C$180,Element_Stiffness!Q202,IF(5=Element_Stiffness!$E$180,Element_Stiffness!W202,0)),IF(Element_Stiffness!$E$180=1,IF(5=Element_Stiffness!$C$180,Element_Stiffness!Q208,IF(5=Element_Stiffness!$E$180,Element_Stiffness!W208,0)),0)),0)+IF(Element_Stiffness!$C$216,IF(Element_Stiffness!$C$215=1,IF(5=Element_Stiffness!$C$215,Element_Stiffness!Q237,IF(5=Element_Stiffness!$E$215,Element_Stiffness!W237,0)),IF(Element_Stiffness!$E$215=1,IF(5=Element_Stiffness!$C$215,Element_Stiffness!Q243,IF(5=Element_Stiffness!$E$215,Element_Stiffness!W243,0)),0)),0)</f>
        <v/>
      </c>
      <c r="AI12" s="21">
        <f>IF(Element_Stiffness!$C$6,IF(Element_Stiffness!$C$5=1,IF(5=Element_Stiffness!$C$5,Element_Stiffness!R27,IF(5=Element_Stiffness!$E$5,Element_Stiffness!X27,0)),IF(Element_Stiffness!$E$5=1,IF(5=Element_Stiffness!$C$5,Element_Stiffness!R33,IF(5=Element_Stiffness!$E$5,Element_Stiffness!X33,0)),0)),0)+IF(Element_Stiffness!$C$41,IF(Element_Stiffness!$C$40=1,IF(5=Element_Stiffness!$C$40,Element_Stiffness!R62,IF(5=Element_Stiffness!$E$40,Element_Stiffness!X62,0)),IF(Element_Stiffness!$E$40=1,IF(5=Element_Stiffness!$C$40,Element_Stiffness!R68,IF(5=Element_Stiffness!$E$40,Element_Stiffness!X68,0)),0)),0)+IF(Element_Stiffness!$C$76,IF(Element_Stiffness!$C$75=1,IF(5=Element_Stiffness!$C$75,Element_Stiffness!R97,IF(5=Element_Stiffness!$E$75,Element_Stiffness!X97,0)),IF(Element_Stiffness!$E$75=1,IF(5=Element_Stiffness!$C$75,Element_Stiffness!R103,IF(5=Element_Stiffness!$E$75,Element_Stiffness!X103,0)),0)),0)+IF(Element_Stiffness!$C$111,IF(Element_Stiffness!$C$110=1,IF(5=Element_Stiffness!$C$110,Element_Stiffness!R132,IF(5=Element_Stiffness!$E$110,Element_Stiffness!X132,0)),IF(Element_Stiffness!$E$110=1,IF(5=Element_Stiffness!$C$110,Element_Stiffness!R138,IF(5=Element_Stiffness!$E$110,Element_Stiffness!X138,0)),0)),0)+IF(Element_Stiffness!$C$146,IF(Element_Stiffness!$C$145=1,IF(5=Element_Stiffness!$C$145,Element_Stiffness!R167,IF(5=Element_Stiffness!$E$145,Element_Stiffness!X167,0)),IF(Element_Stiffness!$E$145=1,IF(5=Element_Stiffness!$C$145,Element_Stiffness!R173,IF(5=Element_Stiffness!$E$145,Element_Stiffness!X173,0)),0)),0)+IF(Element_Stiffness!$C$181,IF(Element_Stiffness!$C$180=1,IF(5=Element_Stiffness!$C$180,Element_Stiffness!R202,IF(5=Element_Stiffness!$E$180,Element_Stiffness!X202,0)),IF(Element_Stiffness!$E$180=1,IF(5=Element_Stiffness!$C$180,Element_Stiffness!R208,IF(5=Element_Stiffness!$E$180,Element_Stiffness!X208,0)),0)),0)+IF(Element_Stiffness!$C$216,IF(Element_Stiffness!$C$215=1,IF(5=Element_Stiffness!$C$215,Element_Stiffness!R237,IF(5=Element_Stiffness!$E$215,Element_Stiffness!X237,0)),IF(Element_Stiffness!$E$215=1,IF(5=Element_Stiffness!$C$215,Element_Stiffness!R243,IF(5=Element_Stiffness!$E$215,Element_Stiffness!X243,0)),0)),0)</f>
        <v/>
      </c>
      <c r="AJ12" s="21">
        <f>IF(Element_Stiffness!$C$6,IF(Element_Stiffness!$C$5=1,IF(5=Element_Stiffness!$C$5,Element_Stiffness!S27,IF(5=Element_Stiffness!$E$5,Element_Stiffness!Y27,0)),IF(Element_Stiffness!$E$5=1,IF(5=Element_Stiffness!$C$5,Element_Stiffness!S33,IF(5=Element_Stiffness!$E$5,Element_Stiffness!Y33,0)),0)),0)+IF(Element_Stiffness!$C$41,IF(Element_Stiffness!$C$40=1,IF(5=Element_Stiffness!$C$40,Element_Stiffness!S62,IF(5=Element_Stiffness!$E$40,Element_Stiffness!Y62,0)),IF(Element_Stiffness!$E$40=1,IF(5=Element_Stiffness!$C$40,Element_Stiffness!S68,IF(5=Element_Stiffness!$E$40,Element_Stiffness!Y68,0)),0)),0)+IF(Element_Stiffness!$C$76,IF(Element_Stiffness!$C$75=1,IF(5=Element_Stiffness!$C$75,Element_Stiffness!S97,IF(5=Element_Stiffness!$E$75,Element_Stiffness!Y97,0)),IF(Element_Stiffness!$E$75=1,IF(5=Element_Stiffness!$C$75,Element_Stiffness!S103,IF(5=Element_Stiffness!$E$75,Element_Stiffness!Y103,0)),0)),0)+IF(Element_Stiffness!$C$111,IF(Element_Stiffness!$C$110=1,IF(5=Element_Stiffness!$C$110,Element_Stiffness!S132,IF(5=Element_Stiffness!$E$110,Element_Stiffness!Y132,0)),IF(Element_Stiffness!$E$110=1,IF(5=Element_Stiffness!$C$110,Element_Stiffness!S138,IF(5=Element_Stiffness!$E$110,Element_Stiffness!Y138,0)),0)),0)+IF(Element_Stiffness!$C$146,IF(Element_Stiffness!$C$145=1,IF(5=Element_Stiffness!$C$145,Element_Stiffness!S167,IF(5=Element_Stiffness!$E$145,Element_Stiffness!Y167,0)),IF(Element_Stiffness!$E$145=1,IF(5=Element_Stiffness!$C$145,Element_Stiffness!S173,IF(5=Element_Stiffness!$E$145,Element_Stiffness!Y173,0)),0)),0)+IF(Element_Stiffness!$C$181,IF(Element_Stiffness!$C$180=1,IF(5=Element_Stiffness!$C$180,Element_Stiffness!S202,IF(5=Element_Stiffness!$E$180,Element_Stiffness!Y202,0)),IF(Element_Stiffness!$E$180=1,IF(5=Element_Stiffness!$C$180,Element_Stiffness!S208,IF(5=Element_Stiffness!$E$180,Element_Stiffness!Y208,0)),0)),0)+IF(Element_Stiffness!$C$216,IF(Element_Stiffness!$C$215=1,IF(5=Element_Stiffness!$C$215,Element_Stiffness!S237,IF(5=Element_Stiffness!$E$215,Element_Stiffness!Y237,0)),IF(Element_Stiffness!$E$215=1,IF(5=Element_Stiffness!$C$215,Element_Stiffness!S243,IF(5=Element_Stiffness!$E$215,Element_Stiffness!Y243,0)),0)),0)</f>
        <v/>
      </c>
      <c r="AK12" s="21">
        <f>IF(Element_Stiffness!$C$6,IF(Element_Stiffness!$C$5=1,IF(5=Element_Stiffness!$C$5,Element_Stiffness!T27,IF(5=Element_Stiffness!$E$5,Element_Stiffness!Z27,0)),IF(Element_Stiffness!$E$5=1,IF(5=Element_Stiffness!$C$5,Element_Stiffness!T33,IF(5=Element_Stiffness!$E$5,Element_Stiffness!Z33,0)),0)),0)+IF(Element_Stiffness!$C$41,IF(Element_Stiffness!$C$40=1,IF(5=Element_Stiffness!$C$40,Element_Stiffness!T62,IF(5=Element_Stiffness!$E$40,Element_Stiffness!Z62,0)),IF(Element_Stiffness!$E$40=1,IF(5=Element_Stiffness!$C$40,Element_Stiffness!T68,IF(5=Element_Stiffness!$E$40,Element_Stiffness!Z68,0)),0)),0)+IF(Element_Stiffness!$C$76,IF(Element_Stiffness!$C$75=1,IF(5=Element_Stiffness!$C$75,Element_Stiffness!T97,IF(5=Element_Stiffness!$E$75,Element_Stiffness!Z97,0)),IF(Element_Stiffness!$E$75=1,IF(5=Element_Stiffness!$C$75,Element_Stiffness!T103,IF(5=Element_Stiffness!$E$75,Element_Stiffness!Z103,0)),0)),0)+IF(Element_Stiffness!$C$111,IF(Element_Stiffness!$C$110=1,IF(5=Element_Stiffness!$C$110,Element_Stiffness!T132,IF(5=Element_Stiffness!$E$110,Element_Stiffness!Z132,0)),IF(Element_Stiffness!$E$110=1,IF(5=Element_Stiffness!$C$110,Element_Stiffness!T138,IF(5=Element_Stiffness!$E$110,Element_Stiffness!Z138,0)),0)),0)+IF(Element_Stiffness!$C$146,IF(Element_Stiffness!$C$145=1,IF(5=Element_Stiffness!$C$145,Element_Stiffness!T167,IF(5=Element_Stiffness!$E$145,Element_Stiffness!Z167,0)),IF(Element_Stiffness!$E$145=1,IF(5=Element_Stiffness!$C$145,Element_Stiffness!T173,IF(5=Element_Stiffness!$E$145,Element_Stiffness!Z173,0)),0)),0)+IF(Element_Stiffness!$C$181,IF(Element_Stiffness!$C$180=1,IF(5=Element_Stiffness!$C$180,Element_Stiffness!T202,IF(5=Element_Stiffness!$E$180,Element_Stiffness!Z202,0)),IF(Element_Stiffness!$E$180=1,IF(5=Element_Stiffness!$C$180,Element_Stiffness!T208,IF(5=Element_Stiffness!$E$180,Element_Stiffness!Z208,0)),0)),0)+IF(Element_Stiffness!$C$216,IF(Element_Stiffness!$C$215=1,IF(5=Element_Stiffness!$C$215,Element_Stiffness!T237,IF(5=Element_Stiffness!$E$215,Element_Stiffness!Z237,0)),IF(Element_Stiffness!$E$215=1,IF(5=Element_Stiffness!$C$215,Element_Stiffness!T243,IF(5=Element_Stiffness!$E$215,Element_Stiffness!Z243,0)),0)),0)</f>
        <v/>
      </c>
      <c r="AL12" s="21">
        <f>IF(Element_Stiffness!$C$6,IF(Element_Stiffness!$C$5=1,IF(5=Element_Stiffness!$C$5,Element_Stiffness!U27,IF(5=Element_Stiffness!$E$5,Element_Stiffness!AA27,0)),IF(Element_Stiffness!$E$5=1,IF(5=Element_Stiffness!$C$5,Element_Stiffness!U33,IF(5=Element_Stiffness!$E$5,Element_Stiffness!AA33,0)),0)),0)+IF(Element_Stiffness!$C$41,IF(Element_Stiffness!$C$40=1,IF(5=Element_Stiffness!$C$40,Element_Stiffness!U62,IF(5=Element_Stiffness!$E$40,Element_Stiffness!AA62,0)),IF(Element_Stiffness!$E$40=1,IF(5=Element_Stiffness!$C$40,Element_Stiffness!U68,IF(5=Element_Stiffness!$E$40,Element_Stiffness!AA68,0)),0)),0)+IF(Element_Stiffness!$C$76,IF(Element_Stiffness!$C$75=1,IF(5=Element_Stiffness!$C$75,Element_Stiffness!U97,IF(5=Element_Stiffness!$E$75,Element_Stiffness!AA97,0)),IF(Element_Stiffness!$E$75=1,IF(5=Element_Stiffness!$C$75,Element_Stiffness!U103,IF(5=Element_Stiffness!$E$75,Element_Stiffness!AA103,0)),0)),0)+IF(Element_Stiffness!$C$111,IF(Element_Stiffness!$C$110=1,IF(5=Element_Stiffness!$C$110,Element_Stiffness!U132,IF(5=Element_Stiffness!$E$110,Element_Stiffness!AA132,0)),IF(Element_Stiffness!$E$110=1,IF(5=Element_Stiffness!$C$110,Element_Stiffness!U138,IF(5=Element_Stiffness!$E$110,Element_Stiffness!AA138,0)),0)),0)+IF(Element_Stiffness!$C$146,IF(Element_Stiffness!$C$145=1,IF(5=Element_Stiffness!$C$145,Element_Stiffness!U167,IF(5=Element_Stiffness!$E$145,Element_Stiffness!AA167,0)),IF(Element_Stiffness!$E$145=1,IF(5=Element_Stiffness!$C$145,Element_Stiffness!U173,IF(5=Element_Stiffness!$E$145,Element_Stiffness!AA173,0)),0)),0)+IF(Element_Stiffness!$C$181,IF(Element_Stiffness!$C$180=1,IF(5=Element_Stiffness!$C$180,Element_Stiffness!U202,IF(5=Element_Stiffness!$E$180,Element_Stiffness!AA202,0)),IF(Element_Stiffness!$E$180=1,IF(5=Element_Stiffness!$C$180,Element_Stiffness!U208,IF(5=Element_Stiffness!$E$180,Element_Stiffness!AA208,0)),0)),0)+IF(Element_Stiffness!$C$216,IF(Element_Stiffness!$C$215=1,IF(5=Element_Stiffness!$C$215,Element_Stiffness!U237,IF(5=Element_Stiffness!$E$215,Element_Stiffness!AA237,0)),IF(Element_Stiffness!$E$215=1,IF(5=Element_Stiffness!$C$215,Element_Stiffness!U243,IF(5=Element_Stiffness!$E$215,Element_Stiffness!AA243,0)),0)),0)</f>
        <v/>
      </c>
      <c r="AM12" s="21">
        <f>IF(Element_Stiffness!$C$6,IF(Element_Stiffness!$C$5=1,IF(6=Element_Stiffness!$C$5,Element_Stiffness!P27,IF(6=Element_Stiffness!$E$5,Element_Stiffness!V27,0)),IF(Element_Stiffness!$E$5=1,IF(6=Element_Stiffness!$C$5,Element_Stiffness!P33,IF(6=Element_Stiffness!$E$5,Element_Stiffness!V33,0)),0)),0)+IF(Element_Stiffness!$C$41,IF(Element_Stiffness!$C$40=1,IF(6=Element_Stiffness!$C$40,Element_Stiffness!P62,IF(6=Element_Stiffness!$E$40,Element_Stiffness!V62,0)),IF(Element_Stiffness!$E$40=1,IF(6=Element_Stiffness!$C$40,Element_Stiffness!P68,IF(6=Element_Stiffness!$E$40,Element_Stiffness!V68,0)),0)),0)+IF(Element_Stiffness!$C$76,IF(Element_Stiffness!$C$75=1,IF(6=Element_Stiffness!$C$75,Element_Stiffness!P97,IF(6=Element_Stiffness!$E$75,Element_Stiffness!V97,0)),IF(Element_Stiffness!$E$75=1,IF(6=Element_Stiffness!$C$75,Element_Stiffness!P103,IF(6=Element_Stiffness!$E$75,Element_Stiffness!V103,0)),0)),0)+IF(Element_Stiffness!$C$111,IF(Element_Stiffness!$C$110=1,IF(6=Element_Stiffness!$C$110,Element_Stiffness!P132,IF(6=Element_Stiffness!$E$110,Element_Stiffness!V132,0)),IF(Element_Stiffness!$E$110=1,IF(6=Element_Stiffness!$C$110,Element_Stiffness!P138,IF(6=Element_Stiffness!$E$110,Element_Stiffness!V138,0)),0)),0)+IF(Element_Stiffness!$C$146,IF(Element_Stiffness!$C$145=1,IF(6=Element_Stiffness!$C$145,Element_Stiffness!P167,IF(6=Element_Stiffness!$E$145,Element_Stiffness!V167,0)),IF(Element_Stiffness!$E$145=1,IF(6=Element_Stiffness!$C$145,Element_Stiffness!P173,IF(6=Element_Stiffness!$E$145,Element_Stiffness!V173,0)),0)),0)+IF(Element_Stiffness!$C$181,IF(Element_Stiffness!$C$180=1,IF(6=Element_Stiffness!$C$180,Element_Stiffness!P202,IF(6=Element_Stiffness!$E$180,Element_Stiffness!V202,0)),IF(Element_Stiffness!$E$180=1,IF(6=Element_Stiffness!$C$180,Element_Stiffness!P208,IF(6=Element_Stiffness!$E$180,Element_Stiffness!V208,0)),0)),0)+IF(Element_Stiffness!$C$216,IF(Element_Stiffness!$C$215=1,IF(6=Element_Stiffness!$C$215,Element_Stiffness!P237,IF(6=Element_Stiffness!$E$215,Element_Stiffness!V237,0)),IF(Element_Stiffness!$E$215=1,IF(6=Element_Stiffness!$C$215,Element_Stiffness!P243,IF(6=Element_Stiffness!$E$215,Element_Stiffness!V243,0)),0)),0)</f>
        <v/>
      </c>
      <c r="AN12" s="21">
        <f>IF(Element_Stiffness!$C$6,IF(Element_Stiffness!$C$5=1,IF(6=Element_Stiffness!$C$5,Element_Stiffness!Q27,IF(6=Element_Stiffness!$E$5,Element_Stiffness!W27,0)),IF(Element_Stiffness!$E$5=1,IF(6=Element_Stiffness!$C$5,Element_Stiffness!Q33,IF(6=Element_Stiffness!$E$5,Element_Stiffness!W33,0)),0)),0)+IF(Element_Stiffness!$C$41,IF(Element_Stiffness!$C$40=1,IF(6=Element_Stiffness!$C$40,Element_Stiffness!Q62,IF(6=Element_Stiffness!$E$40,Element_Stiffness!W62,0)),IF(Element_Stiffness!$E$40=1,IF(6=Element_Stiffness!$C$40,Element_Stiffness!Q68,IF(6=Element_Stiffness!$E$40,Element_Stiffness!W68,0)),0)),0)+IF(Element_Stiffness!$C$76,IF(Element_Stiffness!$C$75=1,IF(6=Element_Stiffness!$C$75,Element_Stiffness!Q97,IF(6=Element_Stiffness!$E$75,Element_Stiffness!W97,0)),IF(Element_Stiffness!$E$75=1,IF(6=Element_Stiffness!$C$75,Element_Stiffness!Q103,IF(6=Element_Stiffness!$E$75,Element_Stiffness!W103,0)),0)),0)+IF(Element_Stiffness!$C$111,IF(Element_Stiffness!$C$110=1,IF(6=Element_Stiffness!$C$110,Element_Stiffness!Q132,IF(6=Element_Stiffness!$E$110,Element_Stiffness!W132,0)),IF(Element_Stiffness!$E$110=1,IF(6=Element_Stiffness!$C$110,Element_Stiffness!Q138,IF(6=Element_Stiffness!$E$110,Element_Stiffness!W138,0)),0)),0)+IF(Element_Stiffness!$C$146,IF(Element_Stiffness!$C$145=1,IF(6=Element_Stiffness!$C$145,Element_Stiffness!Q167,IF(6=Element_Stiffness!$E$145,Element_Stiffness!W167,0)),IF(Element_Stiffness!$E$145=1,IF(6=Element_Stiffness!$C$145,Element_Stiffness!Q173,IF(6=Element_Stiffness!$E$145,Element_Stiffness!W173,0)),0)),0)+IF(Element_Stiffness!$C$181,IF(Element_Stiffness!$C$180=1,IF(6=Element_Stiffness!$C$180,Element_Stiffness!Q202,IF(6=Element_Stiffness!$E$180,Element_Stiffness!W202,0)),IF(Element_Stiffness!$E$180=1,IF(6=Element_Stiffness!$C$180,Element_Stiffness!Q208,IF(6=Element_Stiffness!$E$180,Element_Stiffness!W208,0)),0)),0)+IF(Element_Stiffness!$C$216,IF(Element_Stiffness!$C$215=1,IF(6=Element_Stiffness!$C$215,Element_Stiffness!Q237,IF(6=Element_Stiffness!$E$215,Element_Stiffness!W237,0)),IF(Element_Stiffness!$E$215=1,IF(6=Element_Stiffness!$C$215,Element_Stiffness!Q243,IF(6=Element_Stiffness!$E$215,Element_Stiffness!W243,0)),0)),0)</f>
        <v/>
      </c>
      <c r="AO12" s="21">
        <f>IF(Element_Stiffness!$C$6,IF(Element_Stiffness!$C$5=1,IF(6=Element_Stiffness!$C$5,Element_Stiffness!R27,IF(6=Element_Stiffness!$E$5,Element_Stiffness!X27,0)),IF(Element_Stiffness!$E$5=1,IF(6=Element_Stiffness!$C$5,Element_Stiffness!R33,IF(6=Element_Stiffness!$E$5,Element_Stiffness!X33,0)),0)),0)+IF(Element_Stiffness!$C$41,IF(Element_Stiffness!$C$40=1,IF(6=Element_Stiffness!$C$40,Element_Stiffness!R62,IF(6=Element_Stiffness!$E$40,Element_Stiffness!X62,0)),IF(Element_Stiffness!$E$40=1,IF(6=Element_Stiffness!$C$40,Element_Stiffness!R68,IF(6=Element_Stiffness!$E$40,Element_Stiffness!X68,0)),0)),0)+IF(Element_Stiffness!$C$76,IF(Element_Stiffness!$C$75=1,IF(6=Element_Stiffness!$C$75,Element_Stiffness!R97,IF(6=Element_Stiffness!$E$75,Element_Stiffness!X97,0)),IF(Element_Stiffness!$E$75=1,IF(6=Element_Stiffness!$C$75,Element_Stiffness!R103,IF(6=Element_Stiffness!$E$75,Element_Stiffness!X103,0)),0)),0)+IF(Element_Stiffness!$C$111,IF(Element_Stiffness!$C$110=1,IF(6=Element_Stiffness!$C$110,Element_Stiffness!R132,IF(6=Element_Stiffness!$E$110,Element_Stiffness!X132,0)),IF(Element_Stiffness!$E$110=1,IF(6=Element_Stiffness!$C$110,Element_Stiffness!R138,IF(6=Element_Stiffness!$E$110,Element_Stiffness!X138,0)),0)),0)+IF(Element_Stiffness!$C$146,IF(Element_Stiffness!$C$145=1,IF(6=Element_Stiffness!$C$145,Element_Stiffness!R167,IF(6=Element_Stiffness!$E$145,Element_Stiffness!X167,0)),IF(Element_Stiffness!$E$145=1,IF(6=Element_Stiffness!$C$145,Element_Stiffness!R173,IF(6=Element_Stiffness!$E$145,Element_Stiffness!X173,0)),0)),0)+IF(Element_Stiffness!$C$181,IF(Element_Stiffness!$C$180=1,IF(6=Element_Stiffness!$C$180,Element_Stiffness!R202,IF(6=Element_Stiffness!$E$180,Element_Stiffness!X202,0)),IF(Element_Stiffness!$E$180=1,IF(6=Element_Stiffness!$C$180,Element_Stiffness!R208,IF(6=Element_Stiffness!$E$180,Element_Stiffness!X208,0)),0)),0)+IF(Element_Stiffness!$C$216,IF(Element_Stiffness!$C$215=1,IF(6=Element_Stiffness!$C$215,Element_Stiffness!R237,IF(6=Element_Stiffness!$E$215,Element_Stiffness!X237,0)),IF(Element_Stiffness!$E$215=1,IF(6=Element_Stiffness!$C$215,Element_Stiffness!R243,IF(6=Element_Stiffness!$E$215,Element_Stiffness!X243,0)),0)),0)</f>
        <v/>
      </c>
      <c r="AP12" s="21">
        <f>IF(Element_Stiffness!$C$6,IF(Element_Stiffness!$C$5=1,IF(6=Element_Stiffness!$C$5,Element_Stiffness!S27,IF(6=Element_Stiffness!$E$5,Element_Stiffness!Y27,0)),IF(Element_Stiffness!$E$5=1,IF(6=Element_Stiffness!$C$5,Element_Stiffness!S33,IF(6=Element_Stiffness!$E$5,Element_Stiffness!Y33,0)),0)),0)+IF(Element_Stiffness!$C$41,IF(Element_Stiffness!$C$40=1,IF(6=Element_Stiffness!$C$40,Element_Stiffness!S62,IF(6=Element_Stiffness!$E$40,Element_Stiffness!Y62,0)),IF(Element_Stiffness!$E$40=1,IF(6=Element_Stiffness!$C$40,Element_Stiffness!S68,IF(6=Element_Stiffness!$E$40,Element_Stiffness!Y68,0)),0)),0)+IF(Element_Stiffness!$C$76,IF(Element_Stiffness!$C$75=1,IF(6=Element_Stiffness!$C$75,Element_Stiffness!S97,IF(6=Element_Stiffness!$E$75,Element_Stiffness!Y97,0)),IF(Element_Stiffness!$E$75=1,IF(6=Element_Stiffness!$C$75,Element_Stiffness!S103,IF(6=Element_Stiffness!$E$75,Element_Stiffness!Y103,0)),0)),0)+IF(Element_Stiffness!$C$111,IF(Element_Stiffness!$C$110=1,IF(6=Element_Stiffness!$C$110,Element_Stiffness!S132,IF(6=Element_Stiffness!$E$110,Element_Stiffness!Y132,0)),IF(Element_Stiffness!$E$110=1,IF(6=Element_Stiffness!$C$110,Element_Stiffness!S138,IF(6=Element_Stiffness!$E$110,Element_Stiffness!Y138,0)),0)),0)+IF(Element_Stiffness!$C$146,IF(Element_Stiffness!$C$145=1,IF(6=Element_Stiffness!$C$145,Element_Stiffness!S167,IF(6=Element_Stiffness!$E$145,Element_Stiffness!Y167,0)),IF(Element_Stiffness!$E$145=1,IF(6=Element_Stiffness!$C$145,Element_Stiffness!S173,IF(6=Element_Stiffness!$E$145,Element_Stiffness!Y173,0)),0)),0)+IF(Element_Stiffness!$C$181,IF(Element_Stiffness!$C$180=1,IF(6=Element_Stiffness!$C$180,Element_Stiffness!S202,IF(6=Element_Stiffness!$E$180,Element_Stiffness!Y202,0)),IF(Element_Stiffness!$E$180=1,IF(6=Element_Stiffness!$C$180,Element_Stiffness!S208,IF(6=Element_Stiffness!$E$180,Element_Stiffness!Y208,0)),0)),0)+IF(Element_Stiffness!$C$216,IF(Element_Stiffness!$C$215=1,IF(6=Element_Stiffness!$C$215,Element_Stiffness!S237,IF(6=Element_Stiffness!$E$215,Element_Stiffness!Y237,0)),IF(Element_Stiffness!$E$215=1,IF(6=Element_Stiffness!$C$215,Element_Stiffness!S243,IF(6=Element_Stiffness!$E$215,Element_Stiffness!Y243,0)),0)),0)</f>
        <v/>
      </c>
      <c r="AQ12" s="21">
        <f>IF(Element_Stiffness!$C$6,IF(Element_Stiffness!$C$5=1,IF(6=Element_Stiffness!$C$5,Element_Stiffness!T27,IF(6=Element_Stiffness!$E$5,Element_Stiffness!Z27,0)),IF(Element_Stiffness!$E$5=1,IF(6=Element_Stiffness!$C$5,Element_Stiffness!T33,IF(6=Element_Stiffness!$E$5,Element_Stiffness!Z33,0)),0)),0)+IF(Element_Stiffness!$C$41,IF(Element_Stiffness!$C$40=1,IF(6=Element_Stiffness!$C$40,Element_Stiffness!T62,IF(6=Element_Stiffness!$E$40,Element_Stiffness!Z62,0)),IF(Element_Stiffness!$E$40=1,IF(6=Element_Stiffness!$C$40,Element_Stiffness!T68,IF(6=Element_Stiffness!$E$40,Element_Stiffness!Z68,0)),0)),0)+IF(Element_Stiffness!$C$76,IF(Element_Stiffness!$C$75=1,IF(6=Element_Stiffness!$C$75,Element_Stiffness!T97,IF(6=Element_Stiffness!$E$75,Element_Stiffness!Z97,0)),IF(Element_Stiffness!$E$75=1,IF(6=Element_Stiffness!$C$75,Element_Stiffness!T103,IF(6=Element_Stiffness!$E$75,Element_Stiffness!Z103,0)),0)),0)+IF(Element_Stiffness!$C$111,IF(Element_Stiffness!$C$110=1,IF(6=Element_Stiffness!$C$110,Element_Stiffness!T132,IF(6=Element_Stiffness!$E$110,Element_Stiffness!Z132,0)),IF(Element_Stiffness!$E$110=1,IF(6=Element_Stiffness!$C$110,Element_Stiffness!T138,IF(6=Element_Stiffness!$E$110,Element_Stiffness!Z138,0)),0)),0)+IF(Element_Stiffness!$C$146,IF(Element_Stiffness!$C$145=1,IF(6=Element_Stiffness!$C$145,Element_Stiffness!T167,IF(6=Element_Stiffness!$E$145,Element_Stiffness!Z167,0)),IF(Element_Stiffness!$E$145=1,IF(6=Element_Stiffness!$C$145,Element_Stiffness!T173,IF(6=Element_Stiffness!$E$145,Element_Stiffness!Z173,0)),0)),0)+IF(Element_Stiffness!$C$181,IF(Element_Stiffness!$C$180=1,IF(6=Element_Stiffness!$C$180,Element_Stiffness!T202,IF(6=Element_Stiffness!$E$180,Element_Stiffness!Z202,0)),IF(Element_Stiffness!$E$180=1,IF(6=Element_Stiffness!$C$180,Element_Stiffness!T208,IF(6=Element_Stiffness!$E$180,Element_Stiffness!Z208,0)),0)),0)+IF(Element_Stiffness!$C$216,IF(Element_Stiffness!$C$215=1,IF(6=Element_Stiffness!$C$215,Element_Stiffness!T237,IF(6=Element_Stiffness!$E$215,Element_Stiffness!Z237,0)),IF(Element_Stiffness!$E$215=1,IF(6=Element_Stiffness!$C$215,Element_Stiffness!T243,IF(6=Element_Stiffness!$E$215,Element_Stiffness!Z243,0)),0)),0)</f>
        <v/>
      </c>
      <c r="AR12" s="21">
        <f>IF(Element_Stiffness!$C$6,IF(Element_Stiffness!$C$5=1,IF(6=Element_Stiffness!$C$5,Element_Stiffness!U27,IF(6=Element_Stiffness!$E$5,Element_Stiffness!AA27,0)),IF(Element_Stiffness!$E$5=1,IF(6=Element_Stiffness!$C$5,Element_Stiffness!U33,IF(6=Element_Stiffness!$E$5,Element_Stiffness!AA33,0)),0)),0)+IF(Element_Stiffness!$C$41,IF(Element_Stiffness!$C$40=1,IF(6=Element_Stiffness!$C$40,Element_Stiffness!U62,IF(6=Element_Stiffness!$E$40,Element_Stiffness!AA62,0)),IF(Element_Stiffness!$E$40=1,IF(6=Element_Stiffness!$C$40,Element_Stiffness!U68,IF(6=Element_Stiffness!$E$40,Element_Stiffness!AA68,0)),0)),0)+IF(Element_Stiffness!$C$76,IF(Element_Stiffness!$C$75=1,IF(6=Element_Stiffness!$C$75,Element_Stiffness!U97,IF(6=Element_Stiffness!$E$75,Element_Stiffness!AA97,0)),IF(Element_Stiffness!$E$75=1,IF(6=Element_Stiffness!$C$75,Element_Stiffness!U103,IF(6=Element_Stiffness!$E$75,Element_Stiffness!AA103,0)),0)),0)+IF(Element_Stiffness!$C$111,IF(Element_Stiffness!$C$110=1,IF(6=Element_Stiffness!$C$110,Element_Stiffness!U132,IF(6=Element_Stiffness!$E$110,Element_Stiffness!AA132,0)),IF(Element_Stiffness!$E$110=1,IF(6=Element_Stiffness!$C$110,Element_Stiffness!U138,IF(6=Element_Stiffness!$E$110,Element_Stiffness!AA138,0)),0)),0)+IF(Element_Stiffness!$C$146,IF(Element_Stiffness!$C$145=1,IF(6=Element_Stiffness!$C$145,Element_Stiffness!U167,IF(6=Element_Stiffness!$E$145,Element_Stiffness!AA167,0)),IF(Element_Stiffness!$E$145=1,IF(6=Element_Stiffness!$C$145,Element_Stiffness!U173,IF(6=Element_Stiffness!$E$145,Element_Stiffness!AA173,0)),0)),0)+IF(Element_Stiffness!$C$181,IF(Element_Stiffness!$C$180=1,IF(6=Element_Stiffness!$C$180,Element_Stiffness!U202,IF(6=Element_Stiffness!$E$180,Element_Stiffness!AA202,0)),IF(Element_Stiffness!$E$180=1,IF(6=Element_Stiffness!$C$180,Element_Stiffness!U208,IF(6=Element_Stiffness!$E$180,Element_Stiffness!AA208,0)),0)),0)+IF(Element_Stiffness!$C$216,IF(Element_Stiffness!$C$215=1,IF(6=Element_Stiffness!$C$215,Element_Stiffness!U237,IF(6=Element_Stiffness!$E$215,Element_Stiffness!AA237,0)),IF(Element_Stiffness!$E$215=1,IF(6=Element_Stiffness!$C$215,Element_Stiffness!U243,IF(6=Element_Stiffness!$E$215,Element_Stiffness!AA243,0)),0)),0)</f>
        <v/>
      </c>
      <c r="AS12" s="21">
        <f>IF(Element_Stiffness!$C$6,IF(Element_Stiffness!$C$5=1,IF(7=Element_Stiffness!$C$5,Element_Stiffness!P27,IF(7=Element_Stiffness!$E$5,Element_Stiffness!V27,0)),IF(Element_Stiffness!$E$5=1,IF(7=Element_Stiffness!$C$5,Element_Stiffness!P33,IF(7=Element_Stiffness!$E$5,Element_Stiffness!V33,0)),0)),0)+IF(Element_Stiffness!$C$41,IF(Element_Stiffness!$C$40=1,IF(7=Element_Stiffness!$C$40,Element_Stiffness!P62,IF(7=Element_Stiffness!$E$40,Element_Stiffness!V62,0)),IF(Element_Stiffness!$E$40=1,IF(7=Element_Stiffness!$C$40,Element_Stiffness!P68,IF(7=Element_Stiffness!$E$40,Element_Stiffness!V68,0)),0)),0)+IF(Element_Stiffness!$C$76,IF(Element_Stiffness!$C$75=1,IF(7=Element_Stiffness!$C$75,Element_Stiffness!P97,IF(7=Element_Stiffness!$E$75,Element_Stiffness!V97,0)),IF(Element_Stiffness!$E$75=1,IF(7=Element_Stiffness!$C$75,Element_Stiffness!P103,IF(7=Element_Stiffness!$E$75,Element_Stiffness!V103,0)),0)),0)+IF(Element_Stiffness!$C$111,IF(Element_Stiffness!$C$110=1,IF(7=Element_Stiffness!$C$110,Element_Stiffness!P132,IF(7=Element_Stiffness!$E$110,Element_Stiffness!V132,0)),IF(Element_Stiffness!$E$110=1,IF(7=Element_Stiffness!$C$110,Element_Stiffness!P138,IF(7=Element_Stiffness!$E$110,Element_Stiffness!V138,0)),0)),0)+IF(Element_Stiffness!$C$146,IF(Element_Stiffness!$C$145=1,IF(7=Element_Stiffness!$C$145,Element_Stiffness!P167,IF(7=Element_Stiffness!$E$145,Element_Stiffness!V167,0)),IF(Element_Stiffness!$E$145=1,IF(7=Element_Stiffness!$C$145,Element_Stiffness!P173,IF(7=Element_Stiffness!$E$145,Element_Stiffness!V173,0)),0)),0)+IF(Element_Stiffness!$C$181,IF(Element_Stiffness!$C$180=1,IF(7=Element_Stiffness!$C$180,Element_Stiffness!P202,IF(7=Element_Stiffness!$E$180,Element_Stiffness!V202,0)),IF(Element_Stiffness!$E$180=1,IF(7=Element_Stiffness!$C$180,Element_Stiffness!P208,IF(7=Element_Stiffness!$E$180,Element_Stiffness!V208,0)),0)),0)+IF(Element_Stiffness!$C$216,IF(Element_Stiffness!$C$215=1,IF(7=Element_Stiffness!$C$215,Element_Stiffness!P237,IF(7=Element_Stiffness!$E$215,Element_Stiffness!V237,0)),IF(Element_Stiffness!$E$215=1,IF(7=Element_Stiffness!$C$215,Element_Stiffness!P243,IF(7=Element_Stiffness!$E$215,Element_Stiffness!V243,0)),0)),0)</f>
        <v/>
      </c>
      <c r="AT12" s="21">
        <f>IF(Element_Stiffness!$C$6,IF(Element_Stiffness!$C$5=1,IF(7=Element_Stiffness!$C$5,Element_Stiffness!Q27,IF(7=Element_Stiffness!$E$5,Element_Stiffness!W27,0)),IF(Element_Stiffness!$E$5=1,IF(7=Element_Stiffness!$C$5,Element_Stiffness!Q33,IF(7=Element_Stiffness!$E$5,Element_Stiffness!W33,0)),0)),0)+IF(Element_Stiffness!$C$41,IF(Element_Stiffness!$C$40=1,IF(7=Element_Stiffness!$C$40,Element_Stiffness!Q62,IF(7=Element_Stiffness!$E$40,Element_Stiffness!W62,0)),IF(Element_Stiffness!$E$40=1,IF(7=Element_Stiffness!$C$40,Element_Stiffness!Q68,IF(7=Element_Stiffness!$E$40,Element_Stiffness!W68,0)),0)),0)+IF(Element_Stiffness!$C$76,IF(Element_Stiffness!$C$75=1,IF(7=Element_Stiffness!$C$75,Element_Stiffness!Q97,IF(7=Element_Stiffness!$E$75,Element_Stiffness!W97,0)),IF(Element_Stiffness!$E$75=1,IF(7=Element_Stiffness!$C$75,Element_Stiffness!Q103,IF(7=Element_Stiffness!$E$75,Element_Stiffness!W103,0)),0)),0)+IF(Element_Stiffness!$C$111,IF(Element_Stiffness!$C$110=1,IF(7=Element_Stiffness!$C$110,Element_Stiffness!Q132,IF(7=Element_Stiffness!$E$110,Element_Stiffness!W132,0)),IF(Element_Stiffness!$E$110=1,IF(7=Element_Stiffness!$C$110,Element_Stiffness!Q138,IF(7=Element_Stiffness!$E$110,Element_Stiffness!W138,0)),0)),0)+IF(Element_Stiffness!$C$146,IF(Element_Stiffness!$C$145=1,IF(7=Element_Stiffness!$C$145,Element_Stiffness!Q167,IF(7=Element_Stiffness!$E$145,Element_Stiffness!W167,0)),IF(Element_Stiffness!$E$145=1,IF(7=Element_Stiffness!$C$145,Element_Stiffness!Q173,IF(7=Element_Stiffness!$E$145,Element_Stiffness!W173,0)),0)),0)+IF(Element_Stiffness!$C$181,IF(Element_Stiffness!$C$180=1,IF(7=Element_Stiffness!$C$180,Element_Stiffness!Q202,IF(7=Element_Stiffness!$E$180,Element_Stiffness!W202,0)),IF(Element_Stiffness!$E$180=1,IF(7=Element_Stiffness!$C$180,Element_Stiffness!Q208,IF(7=Element_Stiffness!$E$180,Element_Stiffness!W208,0)),0)),0)+IF(Element_Stiffness!$C$216,IF(Element_Stiffness!$C$215=1,IF(7=Element_Stiffness!$C$215,Element_Stiffness!Q237,IF(7=Element_Stiffness!$E$215,Element_Stiffness!W237,0)),IF(Element_Stiffness!$E$215=1,IF(7=Element_Stiffness!$C$215,Element_Stiffness!Q243,IF(7=Element_Stiffness!$E$215,Element_Stiffness!W243,0)),0)),0)</f>
        <v/>
      </c>
      <c r="AU12" s="21">
        <f>IF(Element_Stiffness!$C$6,IF(Element_Stiffness!$C$5=1,IF(7=Element_Stiffness!$C$5,Element_Stiffness!R27,IF(7=Element_Stiffness!$E$5,Element_Stiffness!X27,0)),IF(Element_Stiffness!$E$5=1,IF(7=Element_Stiffness!$C$5,Element_Stiffness!R33,IF(7=Element_Stiffness!$E$5,Element_Stiffness!X33,0)),0)),0)+IF(Element_Stiffness!$C$41,IF(Element_Stiffness!$C$40=1,IF(7=Element_Stiffness!$C$40,Element_Stiffness!R62,IF(7=Element_Stiffness!$E$40,Element_Stiffness!X62,0)),IF(Element_Stiffness!$E$40=1,IF(7=Element_Stiffness!$C$40,Element_Stiffness!R68,IF(7=Element_Stiffness!$E$40,Element_Stiffness!X68,0)),0)),0)+IF(Element_Stiffness!$C$76,IF(Element_Stiffness!$C$75=1,IF(7=Element_Stiffness!$C$75,Element_Stiffness!R97,IF(7=Element_Stiffness!$E$75,Element_Stiffness!X97,0)),IF(Element_Stiffness!$E$75=1,IF(7=Element_Stiffness!$C$75,Element_Stiffness!R103,IF(7=Element_Stiffness!$E$75,Element_Stiffness!X103,0)),0)),0)+IF(Element_Stiffness!$C$111,IF(Element_Stiffness!$C$110=1,IF(7=Element_Stiffness!$C$110,Element_Stiffness!R132,IF(7=Element_Stiffness!$E$110,Element_Stiffness!X132,0)),IF(Element_Stiffness!$E$110=1,IF(7=Element_Stiffness!$C$110,Element_Stiffness!R138,IF(7=Element_Stiffness!$E$110,Element_Stiffness!X138,0)),0)),0)+IF(Element_Stiffness!$C$146,IF(Element_Stiffness!$C$145=1,IF(7=Element_Stiffness!$C$145,Element_Stiffness!R167,IF(7=Element_Stiffness!$E$145,Element_Stiffness!X167,0)),IF(Element_Stiffness!$E$145=1,IF(7=Element_Stiffness!$C$145,Element_Stiffness!R173,IF(7=Element_Stiffness!$E$145,Element_Stiffness!X173,0)),0)),0)+IF(Element_Stiffness!$C$181,IF(Element_Stiffness!$C$180=1,IF(7=Element_Stiffness!$C$180,Element_Stiffness!R202,IF(7=Element_Stiffness!$E$180,Element_Stiffness!X202,0)),IF(Element_Stiffness!$E$180=1,IF(7=Element_Stiffness!$C$180,Element_Stiffness!R208,IF(7=Element_Stiffness!$E$180,Element_Stiffness!X208,0)),0)),0)+IF(Element_Stiffness!$C$216,IF(Element_Stiffness!$C$215=1,IF(7=Element_Stiffness!$C$215,Element_Stiffness!R237,IF(7=Element_Stiffness!$E$215,Element_Stiffness!X237,0)),IF(Element_Stiffness!$E$215=1,IF(7=Element_Stiffness!$C$215,Element_Stiffness!R243,IF(7=Element_Stiffness!$E$215,Element_Stiffness!X243,0)),0)),0)</f>
        <v/>
      </c>
      <c r="AV12" s="21">
        <f>IF(Element_Stiffness!$C$6,IF(Element_Stiffness!$C$5=1,IF(7=Element_Stiffness!$C$5,Element_Stiffness!S27,IF(7=Element_Stiffness!$E$5,Element_Stiffness!Y27,0)),IF(Element_Stiffness!$E$5=1,IF(7=Element_Stiffness!$C$5,Element_Stiffness!S33,IF(7=Element_Stiffness!$E$5,Element_Stiffness!Y33,0)),0)),0)+IF(Element_Stiffness!$C$41,IF(Element_Stiffness!$C$40=1,IF(7=Element_Stiffness!$C$40,Element_Stiffness!S62,IF(7=Element_Stiffness!$E$40,Element_Stiffness!Y62,0)),IF(Element_Stiffness!$E$40=1,IF(7=Element_Stiffness!$C$40,Element_Stiffness!S68,IF(7=Element_Stiffness!$E$40,Element_Stiffness!Y68,0)),0)),0)+IF(Element_Stiffness!$C$76,IF(Element_Stiffness!$C$75=1,IF(7=Element_Stiffness!$C$75,Element_Stiffness!S97,IF(7=Element_Stiffness!$E$75,Element_Stiffness!Y97,0)),IF(Element_Stiffness!$E$75=1,IF(7=Element_Stiffness!$C$75,Element_Stiffness!S103,IF(7=Element_Stiffness!$E$75,Element_Stiffness!Y103,0)),0)),0)+IF(Element_Stiffness!$C$111,IF(Element_Stiffness!$C$110=1,IF(7=Element_Stiffness!$C$110,Element_Stiffness!S132,IF(7=Element_Stiffness!$E$110,Element_Stiffness!Y132,0)),IF(Element_Stiffness!$E$110=1,IF(7=Element_Stiffness!$C$110,Element_Stiffness!S138,IF(7=Element_Stiffness!$E$110,Element_Stiffness!Y138,0)),0)),0)+IF(Element_Stiffness!$C$146,IF(Element_Stiffness!$C$145=1,IF(7=Element_Stiffness!$C$145,Element_Stiffness!S167,IF(7=Element_Stiffness!$E$145,Element_Stiffness!Y167,0)),IF(Element_Stiffness!$E$145=1,IF(7=Element_Stiffness!$C$145,Element_Stiffness!S173,IF(7=Element_Stiffness!$E$145,Element_Stiffness!Y173,0)),0)),0)+IF(Element_Stiffness!$C$181,IF(Element_Stiffness!$C$180=1,IF(7=Element_Stiffness!$C$180,Element_Stiffness!S202,IF(7=Element_Stiffness!$E$180,Element_Stiffness!Y202,0)),IF(Element_Stiffness!$E$180=1,IF(7=Element_Stiffness!$C$180,Element_Stiffness!S208,IF(7=Element_Stiffness!$E$180,Element_Stiffness!Y208,0)),0)),0)+IF(Element_Stiffness!$C$216,IF(Element_Stiffness!$C$215=1,IF(7=Element_Stiffness!$C$215,Element_Stiffness!S237,IF(7=Element_Stiffness!$E$215,Element_Stiffness!Y237,0)),IF(Element_Stiffness!$E$215=1,IF(7=Element_Stiffness!$C$215,Element_Stiffness!S243,IF(7=Element_Stiffness!$E$215,Element_Stiffness!Y243,0)),0)),0)</f>
        <v/>
      </c>
      <c r="AW12" s="21">
        <f>IF(Element_Stiffness!$C$6,IF(Element_Stiffness!$C$5=1,IF(7=Element_Stiffness!$C$5,Element_Stiffness!T27,IF(7=Element_Stiffness!$E$5,Element_Stiffness!Z27,0)),IF(Element_Stiffness!$E$5=1,IF(7=Element_Stiffness!$C$5,Element_Stiffness!T33,IF(7=Element_Stiffness!$E$5,Element_Stiffness!Z33,0)),0)),0)+IF(Element_Stiffness!$C$41,IF(Element_Stiffness!$C$40=1,IF(7=Element_Stiffness!$C$40,Element_Stiffness!T62,IF(7=Element_Stiffness!$E$40,Element_Stiffness!Z62,0)),IF(Element_Stiffness!$E$40=1,IF(7=Element_Stiffness!$C$40,Element_Stiffness!T68,IF(7=Element_Stiffness!$E$40,Element_Stiffness!Z68,0)),0)),0)+IF(Element_Stiffness!$C$76,IF(Element_Stiffness!$C$75=1,IF(7=Element_Stiffness!$C$75,Element_Stiffness!T97,IF(7=Element_Stiffness!$E$75,Element_Stiffness!Z97,0)),IF(Element_Stiffness!$E$75=1,IF(7=Element_Stiffness!$C$75,Element_Stiffness!T103,IF(7=Element_Stiffness!$E$75,Element_Stiffness!Z103,0)),0)),0)+IF(Element_Stiffness!$C$111,IF(Element_Stiffness!$C$110=1,IF(7=Element_Stiffness!$C$110,Element_Stiffness!T132,IF(7=Element_Stiffness!$E$110,Element_Stiffness!Z132,0)),IF(Element_Stiffness!$E$110=1,IF(7=Element_Stiffness!$C$110,Element_Stiffness!T138,IF(7=Element_Stiffness!$E$110,Element_Stiffness!Z138,0)),0)),0)+IF(Element_Stiffness!$C$146,IF(Element_Stiffness!$C$145=1,IF(7=Element_Stiffness!$C$145,Element_Stiffness!T167,IF(7=Element_Stiffness!$E$145,Element_Stiffness!Z167,0)),IF(Element_Stiffness!$E$145=1,IF(7=Element_Stiffness!$C$145,Element_Stiffness!T173,IF(7=Element_Stiffness!$E$145,Element_Stiffness!Z173,0)),0)),0)+IF(Element_Stiffness!$C$181,IF(Element_Stiffness!$C$180=1,IF(7=Element_Stiffness!$C$180,Element_Stiffness!T202,IF(7=Element_Stiffness!$E$180,Element_Stiffness!Z202,0)),IF(Element_Stiffness!$E$180=1,IF(7=Element_Stiffness!$C$180,Element_Stiffness!T208,IF(7=Element_Stiffness!$E$180,Element_Stiffness!Z208,0)),0)),0)+IF(Element_Stiffness!$C$216,IF(Element_Stiffness!$C$215=1,IF(7=Element_Stiffness!$C$215,Element_Stiffness!T237,IF(7=Element_Stiffness!$E$215,Element_Stiffness!Z237,0)),IF(Element_Stiffness!$E$215=1,IF(7=Element_Stiffness!$C$215,Element_Stiffness!T243,IF(7=Element_Stiffness!$E$215,Element_Stiffness!Z243,0)),0)),0)</f>
        <v/>
      </c>
      <c r="AX12" s="21">
        <f>IF(Element_Stiffness!$C$6,IF(Element_Stiffness!$C$5=1,IF(7=Element_Stiffness!$C$5,Element_Stiffness!U27,IF(7=Element_Stiffness!$E$5,Element_Stiffness!AA27,0)),IF(Element_Stiffness!$E$5=1,IF(7=Element_Stiffness!$C$5,Element_Stiffness!U33,IF(7=Element_Stiffness!$E$5,Element_Stiffness!AA33,0)),0)),0)+IF(Element_Stiffness!$C$41,IF(Element_Stiffness!$C$40=1,IF(7=Element_Stiffness!$C$40,Element_Stiffness!U62,IF(7=Element_Stiffness!$E$40,Element_Stiffness!AA62,0)),IF(Element_Stiffness!$E$40=1,IF(7=Element_Stiffness!$C$40,Element_Stiffness!U68,IF(7=Element_Stiffness!$E$40,Element_Stiffness!AA68,0)),0)),0)+IF(Element_Stiffness!$C$76,IF(Element_Stiffness!$C$75=1,IF(7=Element_Stiffness!$C$75,Element_Stiffness!U97,IF(7=Element_Stiffness!$E$75,Element_Stiffness!AA97,0)),IF(Element_Stiffness!$E$75=1,IF(7=Element_Stiffness!$C$75,Element_Stiffness!U103,IF(7=Element_Stiffness!$E$75,Element_Stiffness!AA103,0)),0)),0)+IF(Element_Stiffness!$C$111,IF(Element_Stiffness!$C$110=1,IF(7=Element_Stiffness!$C$110,Element_Stiffness!U132,IF(7=Element_Stiffness!$E$110,Element_Stiffness!AA132,0)),IF(Element_Stiffness!$E$110=1,IF(7=Element_Stiffness!$C$110,Element_Stiffness!U138,IF(7=Element_Stiffness!$E$110,Element_Stiffness!AA138,0)),0)),0)+IF(Element_Stiffness!$C$146,IF(Element_Stiffness!$C$145=1,IF(7=Element_Stiffness!$C$145,Element_Stiffness!U167,IF(7=Element_Stiffness!$E$145,Element_Stiffness!AA167,0)),IF(Element_Stiffness!$E$145=1,IF(7=Element_Stiffness!$C$145,Element_Stiffness!U173,IF(7=Element_Stiffness!$E$145,Element_Stiffness!AA173,0)),0)),0)+IF(Element_Stiffness!$C$181,IF(Element_Stiffness!$C$180=1,IF(7=Element_Stiffness!$C$180,Element_Stiffness!U202,IF(7=Element_Stiffness!$E$180,Element_Stiffness!AA202,0)),IF(Element_Stiffness!$E$180=1,IF(7=Element_Stiffness!$C$180,Element_Stiffness!U208,IF(7=Element_Stiffness!$E$180,Element_Stiffness!AA208,0)),0)),0)+IF(Element_Stiffness!$C$216,IF(Element_Stiffness!$C$215=1,IF(7=Element_Stiffness!$C$215,Element_Stiffness!U237,IF(7=Element_Stiffness!$E$215,Element_Stiffness!AA237,0)),IF(Element_Stiffness!$E$215=1,IF(7=Element_Stiffness!$C$215,Element_Stiffness!U243,IF(7=Element_Stiffness!$E$215,Element_Stiffness!AA243,0)),0)),0)</f>
        <v/>
      </c>
      <c r="AY12" s="21" t="n">
        <v>0</v>
      </c>
      <c r="AZ12" s="21">
        <f>IF(Element_Stiffness!$C$6,IF(Element_Stiffness!$C$5=1,Element_Stiffness!C27,IF(Element_Stiffness!$E$5=1,Element_Stiffness!C33,0)),0)+IF(Element_Stiffness!$C$41,IF(Element_Stiffness!$C$40=1,Element_Stiffness!C62,IF(Element_Stiffness!$E$40=1,Element_Stiffness!C68,0)),0)+IF(Element_Stiffness!$C$76,IF(Element_Stiffness!$C$75=1,Element_Stiffness!C97,IF(Element_Stiffness!$E$75=1,Element_Stiffness!C103,0)),0)+IF(Element_Stiffness!$C$111,IF(Element_Stiffness!$C$110=1,Element_Stiffness!C132,IF(Element_Stiffness!$E$110=1,Element_Stiffness!C138,0)),0)+IF(Element_Stiffness!$C$146,IF(Element_Stiffness!$C$145=1,Element_Stiffness!C167,IF(Element_Stiffness!$E$145=1,Element_Stiffness!C173,0)),0)+IF(Element_Stiffness!$C$181,IF(Element_Stiffness!$C$180=1,Element_Stiffness!C202,IF(Element_Stiffness!$E$180=1,Element_Stiffness!C208,0)),0)+IF(Element_Stiffness!$C$216,IF(Element_Stiffness!$C$215=1,Element_Stiffness!C237,IF(Element_Stiffness!$E$215=1,Element_Stiffness!C243,0)),0)</f>
        <v/>
      </c>
      <c r="BB12" s="28">
        <f>INDEX(MMULT(MINVERSE(C5:AX52), AY5:AY52), 8, 1)</f>
        <v/>
      </c>
      <c r="BC12" s="28">
        <f>INDEX(MMULT(MINVERSE(C5:AX52), AZ5:AZ52), 8, 1)</f>
        <v/>
      </c>
    </row>
    <row r="13">
      <c r="B13" s="27" t="inlineStr">
        <is>
          <t>N1_tz</t>
        </is>
      </c>
      <c r="C13" s="21">
        <f>IF(Element_Stiffness!$C$6,IF(Element_Stiffness!$C$5=1,IF(0=Element_Stiffness!$C$5,Element_Stiffness!P28,IF(0=Element_Stiffness!$E$5,Element_Stiffness!V28,0)),IF(Element_Stiffness!$E$5=1,IF(0=Element_Stiffness!$C$5,Element_Stiffness!P34,IF(0=Element_Stiffness!$E$5,Element_Stiffness!V34,0)),0)),0)+IF(Element_Stiffness!$C$41,IF(Element_Stiffness!$C$40=1,IF(0=Element_Stiffness!$C$40,Element_Stiffness!P63,IF(0=Element_Stiffness!$E$40,Element_Stiffness!V63,0)),IF(Element_Stiffness!$E$40=1,IF(0=Element_Stiffness!$C$40,Element_Stiffness!P69,IF(0=Element_Stiffness!$E$40,Element_Stiffness!V69,0)),0)),0)+IF(Element_Stiffness!$C$76,IF(Element_Stiffness!$C$75=1,IF(0=Element_Stiffness!$C$75,Element_Stiffness!P98,IF(0=Element_Stiffness!$E$75,Element_Stiffness!V98,0)),IF(Element_Stiffness!$E$75=1,IF(0=Element_Stiffness!$C$75,Element_Stiffness!P104,IF(0=Element_Stiffness!$E$75,Element_Stiffness!V104,0)),0)),0)+IF(Element_Stiffness!$C$111,IF(Element_Stiffness!$C$110=1,IF(0=Element_Stiffness!$C$110,Element_Stiffness!P133,IF(0=Element_Stiffness!$E$110,Element_Stiffness!V133,0)),IF(Element_Stiffness!$E$110=1,IF(0=Element_Stiffness!$C$110,Element_Stiffness!P139,IF(0=Element_Stiffness!$E$110,Element_Stiffness!V139,0)),0)),0)+IF(Element_Stiffness!$C$146,IF(Element_Stiffness!$C$145=1,IF(0=Element_Stiffness!$C$145,Element_Stiffness!P168,IF(0=Element_Stiffness!$E$145,Element_Stiffness!V168,0)),IF(Element_Stiffness!$E$145=1,IF(0=Element_Stiffness!$C$145,Element_Stiffness!P174,IF(0=Element_Stiffness!$E$145,Element_Stiffness!V174,0)),0)),0)+IF(Element_Stiffness!$C$181,IF(Element_Stiffness!$C$180=1,IF(0=Element_Stiffness!$C$180,Element_Stiffness!P203,IF(0=Element_Stiffness!$E$180,Element_Stiffness!V203,0)),IF(Element_Stiffness!$E$180=1,IF(0=Element_Stiffness!$C$180,Element_Stiffness!P209,IF(0=Element_Stiffness!$E$180,Element_Stiffness!V209,0)),0)),0)+IF(Element_Stiffness!$C$216,IF(Element_Stiffness!$C$215=1,IF(0=Element_Stiffness!$C$215,Element_Stiffness!P238,IF(0=Element_Stiffness!$E$215,Element_Stiffness!V238,0)),IF(Element_Stiffness!$E$215=1,IF(0=Element_Stiffness!$C$215,Element_Stiffness!P244,IF(0=Element_Stiffness!$E$215,Element_Stiffness!V244,0)),0)),0)</f>
        <v/>
      </c>
      <c r="D13" s="21">
        <f>IF(Element_Stiffness!$C$6,IF(Element_Stiffness!$C$5=1,IF(0=Element_Stiffness!$C$5,Element_Stiffness!Q28,IF(0=Element_Stiffness!$E$5,Element_Stiffness!W28,0)),IF(Element_Stiffness!$E$5=1,IF(0=Element_Stiffness!$C$5,Element_Stiffness!Q34,IF(0=Element_Stiffness!$E$5,Element_Stiffness!W34,0)),0)),0)+IF(Element_Stiffness!$C$41,IF(Element_Stiffness!$C$40=1,IF(0=Element_Stiffness!$C$40,Element_Stiffness!Q63,IF(0=Element_Stiffness!$E$40,Element_Stiffness!W63,0)),IF(Element_Stiffness!$E$40=1,IF(0=Element_Stiffness!$C$40,Element_Stiffness!Q69,IF(0=Element_Stiffness!$E$40,Element_Stiffness!W69,0)),0)),0)+IF(Element_Stiffness!$C$76,IF(Element_Stiffness!$C$75=1,IF(0=Element_Stiffness!$C$75,Element_Stiffness!Q98,IF(0=Element_Stiffness!$E$75,Element_Stiffness!W98,0)),IF(Element_Stiffness!$E$75=1,IF(0=Element_Stiffness!$C$75,Element_Stiffness!Q104,IF(0=Element_Stiffness!$E$75,Element_Stiffness!W104,0)),0)),0)+IF(Element_Stiffness!$C$111,IF(Element_Stiffness!$C$110=1,IF(0=Element_Stiffness!$C$110,Element_Stiffness!Q133,IF(0=Element_Stiffness!$E$110,Element_Stiffness!W133,0)),IF(Element_Stiffness!$E$110=1,IF(0=Element_Stiffness!$C$110,Element_Stiffness!Q139,IF(0=Element_Stiffness!$E$110,Element_Stiffness!W139,0)),0)),0)+IF(Element_Stiffness!$C$146,IF(Element_Stiffness!$C$145=1,IF(0=Element_Stiffness!$C$145,Element_Stiffness!Q168,IF(0=Element_Stiffness!$E$145,Element_Stiffness!W168,0)),IF(Element_Stiffness!$E$145=1,IF(0=Element_Stiffness!$C$145,Element_Stiffness!Q174,IF(0=Element_Stiffness!$E$145,Element_Stiffness!W174,0)),0)),0)+IF(Element_Stiffness!$C$181,IF(Element_Stiffness!$C$180=1,IF(0=Element_Stiffness!$C$180,Element_Stiffness!Q203,IF(0=Element_Stiffness!$E$180,Element_Stiffness!W203,0)),IF(Element_Stiffness!$E$180=1,IF(0=Element_Stiffness!$C$180,Element_Stiffness!Q209,IF(0=Element_Stiffness!$E$180,Element_Stiffness!W209,0)),0)),0)+IF(Element_Stiffness!$C$216,IF(Element_Stiffness!$C$215=1,IF(0=Element_Stiffness!$C$215,Element_Stiffness!Q238,IF(0=Element_Stiffness!$E$215,Element_Stiffness!W238,0)),IF(Element_Stiffness!$E$215=1,IF(0=Element_Stiffness!$C$215,Element_Stiffness!Q244,IF(0=Element_Stiffness!$E$215,Element_Stiffness!W244,0)),0)),0)</f>
        <v/>
      </c>
      <c r="E13" s="21">
        <f>IF(Element_Stiffness!$C$6,IF(Element_Stiffness!$C$5=1,IF(0=Element_Stiffness!$C$5,Element_Stiffness!R28,IF(0=Element_Stiffness!$E$5,Element_Stiffness!X28,0)),IF(Element_Stiffness!$E$5=1,IF(0=Element_Stiffness!$C$5,Element_Stiffness!R34,IF(0=Element_Stiffness!$E$5,Element_Stiffness!X34,0)),0)),0)+IF(Element_Stiffness!$C$41,IF(Element_Stiffness!$C$40=1,IF(0=Element_Stiffness!$C$40,Element_Stiffness!R63,IF(0=Element_Stiffness!$E$40,Element_Stiffness!X63,0)),IF(Element_Stiffness!$E$40=1,IF(0=Element_Stiffness!$C$40,Element_Stiffness!R69,IF(0=Element_Stiffness!$E$40,Element_Stiffness!X69,0)),0)),0)+IF(Element_Stiffness!$C$76,IF(Element_Stiffness!$C$75=1,IF(0=Element_Stiffness!$C$75,Element_Stiffness!R98,IF(0=Element_Stiffness!$E$75,Element_Stiffness!X98,0)),IF(Element_Stiffness!$E$75=1,IF(0=Element_Stiffness!$C$75,Element_Stiffness!R104,IF(0=Element_Stiffness!$E$75,Element_Stiffness!X104,0)),0)),0)+IF(Element_Stiffness!$C$111,IF(Element_Stiffness!$C$110=1,IF(0=Element_Stiffness!$C$110,Element_Stiffness!R133,IF(0=Element_Stiffness!$E$110,Element_Stiffness!X133,0)),IF(Element_Stiffness!$E$110=1,IF(0=Element_Stiffness!$C$110,Element_Stiffness!R139,IF(0=Element_Stiffness!$E$110,Element_Stiffness!X139,0)),0)),0)+IF(Element_Stiffness!$C$146,IF(Element_Stiffness!$C$145=1,IF(0=Element_Stiffness!$C$145,Element_Stiffness!R168,IF(0=Element_Stiffness!$E$145,Element_Stiffness!X168,0)),IF(Element_Stiffness!$E$145=1,IF(0=Element_Stiffness!$C$145,Element_Stiffness!R174,IF(0=Element_Stiffness!$E$145,Element_Stiffness!X174,0)),0)),0)+IF(Element_Stiffness!$C$181,IF(Element_Stiffness!$C$180=1,IF(0=Element_Stiffness!$C$180,Element_Stiffness!R203,IF(0=Element_Stiffness!$E$180,Element_Stiffness!X203,0)),IF(Element_Stiffness!$E$180=1,IF(0=Element_Stiffness!$C$180,Element_Stiffness!R209,IF(0=Element_Stiffness!$E$180,Element_Stiffness!X209,0)),0)),0)+IF(Element_Stiffness!$C$216,IF(Element_Stiffness!$C$215=1,IF(0=Element_Stiffness!$C$215,Element_Stiffness!R238,IF(0=Element_Stiffness!$E$215,Element_Stiffness!X238,0)),IF(Element_Stiffness!$E$215=1,IF(0=Element_Stiffness!$C$215,Element_Stiffness!R244,IF(0=Element_Stiffness!$E$215,Element_Stiffness!X244,0)),0)),0)</f>
        <v/>
      </c>
      <c r="F13" s="21">
        <f>IF(Element_Stiffness!$C$6,IF(Element_Stiffness!$C$5=1,IF(0=Element_Stiffness!$C$5,Element_Stiffness!S28,IF(0=Element_Stiffness!$E$5,Element_Stiffness!Y28,0)),IF(Element_Stiffness!$E$5=1,IF(0=Element_Stiffness!$C$5,Element_Stiffness!S34,IF(0=Element_Stiffness!$E$5,Element_Stiffness!Y34,0)),0)),0)+IF(Element_Stiffness!$C$41,IF(Element_Stiffness!$C$40=1,IF(0=Element_Stiffness!$C$40,Element_Stiffness!S63,IF(0=Element_Stiffness!$E$40,Element_Stiffness!Y63,0)),IF(Element_Stiffness!$E$40=1,IF(0=Element_Stiffness!$C$40,Element_Stiffness!S69,IF(0=Element_Stiffness!$E$40,Element_Stiffness!Y69,0)),0)),0)+IF(Element_Stiffness!$C$76,IF(Element_Stiffness!$C$75=1,IF(0=Element_Stiffness!$C$75,Element_Stiffness!S98,IF(0=Element_Stiffness!$E$75,Element_Stiffness!Y98,0)),IF(Element_Stiffness!$E$75=1,IF(0=Element_Stiffness!$C$75,Element_Stiffness!S104,IF(0=Element_Stiffness!$E$75,Element_Stiffness!Y104,0)),0)),0)+IF(Element_Stiffness!$C$111,IF(Element_Stiffness!$C$110=1,IF(0=Element_Stiffness!$C$110,Element_Stiffness!S133,IF(0=Element_Stiffness!$E$110,Element_Stiffness!Y133,0)),IF(Element_Stiffness!$E$110=1,IF(0=Element_Stiffness!$C$110,Element_Stiffness!S139,IF(0=Element_Stiffness!$E$110,Element_Stiffness!Y139,0)),0)),0)+IF(Element_Stiffness!$C$146,IF(Element_Stiffness!$C$145=1,IF(0=Element_Stiffness!$C$145,Element_Stiffness!S168,IF(0=Element_Stiffness!$E$145,Element_Stiffness!Y168,0)),IF(Element_Stiffness!$E$145=1,IF(0=Element_Stiffness!$C$145,Element_Stiffness!S174,IF(0=Element_Stiffness!$E$145,Element_Stiffness!Y174,0)),0)),0)+IF(Element_Stiffness!$C$181,IF(Element_Stiffness!$C$180=1,IF(0=Element_Stiffness!$C$180,Element_Stiffness!S203,IF(0=Element_Stiffness!$E$180,Element_Stiffness!Y203,0)),IF(Element_Stiffness!$E$180=1,IF(0=Element_Stiffness!$C$180,Element_Stiffness!S209,IF(0=Element_Stiffness!$E$180,Element_Stiffness!Y209,0)),0)),0)+IF(Element_Stiffness!$C$216,IF(Element_Stiffness!$C$215=1,IF(0=Element_Stiffness!$C$215,Element_Stiffness!S238,IF(0=Element_Stiffness!$E$215,Element_Stiffness!Y238,0)),IF(Element_Stiffness!$E$215=1,IF(0=Element_Stiffness!$C$215,Element_Stiffness!S244,IF(0=Element_Stiffness!$E$215,Element_Stiffness!Y244,0)),0)),0)</f>
        <v/>
      </c>
      <c r="G13" s="21">
        <f>IF(Element_Stiffness!$C$6,IF(Element_Stiffness!$C$5=1,IF(0=Element_Stiffness!$C$5,Element_Stiffness!T28,IF(0=Element_Stiffness!$E$5,Element_Stiffness!Z28,0)),IF(Element_Stiffness!$E$5=1,IF(0=Element_Stiffness!$C$5,Element_Stiffness!T34,IF(0=Element_Stiffness!$E$5,Element_Stiffness!Z34,0)),0)),0)+IF(Element_Stiffness!$C$41,IF(Element_Stiffness!$C$40=1,IF(0=Element_Stiffness!$C$40,Element_Stiffness!T63,IF(0=Element_Stiffness!$E$40,Element_Stiffness!Z63,0)),IF(Element_Stiffness!$E$40=1,IF(0=Element_Stiffness!$C$40,Element_Stiffness!T69,IF(0=Element_Stiffness!$E$40,Element_Stiffness!Z69,0)),0)),0)+IF(Element_Stiffness!$C$76,IF(Element_Stiffness!$C$75=1,IF(0=Element_Stiffness!$C$75,Element_Stiffness!T98,IF(0=Element_Stiffness!$E$75,Element_Stiffness!Z98,0)),IF(Element_Stiffness!$E$75=1,IF(0=Element_Stiffness!$C$75,Element_Stiffness!T104,IF(0=Element_Stiffness!$E$75,Element_Stiffness!Z104,0)),0)),0)+IF(Element_Stiffness!$C$111,IF(Element_Stiffness!$C$110=1,IF(0=Element_Stiffness!$C$110,Element_Stiffness!T133,IF(0=Element_Stiffness!$E$110,Element_Stiffness!Z133,0)),IF(Element_Stiffness!$E$110=1,IF(0=Element_Stiffness!$C$110,Element_Stiffness!T139,IF(0=Element_Stiffness!$E$110,Element_Stiffness!Z139,0)),0)),0)+IF(Element_Stiffness!$C$146,IF(Element_Stiffness!$C$145=1,IF(0=Element_Stiffness!$C$145,Element_Stiffness!T168,IF(0=Element_Stiffness!$E$145,Element_Stiffness!Z168,0)),IF(Element_Stiffness!$E$145=1,IF(0=Element_Stiffness!$C$145,Element_Stiffness!T174,IF(0=Element_Stiffness!$E$145,Element_Stiffness!Z174,0)),0)),0)+IF(Element_Stiffness!$C$181,IF(Element_Stiffness!$C$180=1,IF(0=Element_Stiffness!$C$180,Element_Stiffness!T203,IF(0=Element_Stiffness!$E$180,Element_Stiffness!Z203,0)),IF(Element_Stiffness!$E$180=1,IF(0=Element_Stiffness!$C$180,Element_Stiffness!T209,IF(0=Element_Stiffness!$E$180,Element_Stiffness!Z209,0)),0)),0)+IF(Element_Stiffness!$C$216,IF(Element_Stiffness!$C$215=1,IF(0=Element_Stiffness!$C$215,Element_Stiffness!T238,IF(0=Element_Stiffness!$E$215,Element_Stiffness!Z238,0)),IF(Element_Stiffness!$E$215=1,IF(0=Element_Stiffness!$C$215,Element_Stiffness!T244,IF(0=Element_Stiffness!$E$215,Element_Stiffness!Z244,0)),0)),0)</f>
        <v/>
      </c>
      <c r="H13" s="21">
        <f>IF(Element_Stiffness!$C$6,IF(Element_Stiffness!$C$5=1,IF(0=Element_Stiffness!$C$5,Element_Stiffness!U28,IF(0=Element_Stiffness!$E$5,Element_Stiffness!AA28,0)),IF(Element_Stiffness!$E$5=1,IF(0=Element_Stiffness!$C$5,Element_Stiffness!U34,IF(0=Element_Stiffness!$E$5,Element_Stiffness!AA34,0)),0)),0)+IF(Element_Stiffness!$C$41,IF(Element_Stiffness!$C$40=1,IF(0=Element_Stiffness!$C$40,Element_Stiffness!U63,IF(0=Element_Stiffness!$E$40,Element_Stiffness!AA63,0)),IF(Element_Stiffness!$E$40=1,IF(0=Element_Stiffness!$C$40,Element_Stiffness!U69,IF(0=Element_Stiffness!$E$40,Element_Stiffness!AA69,0)),0)),0)+IF(Element_Stiffness!$C$76,IF(Element_Stiffness!$C$75=1,IF(0=Element_Stiffness!$C$75,Element_Stiffness!U98,IF(0=Element_Stiffness!$E$75,Element_Stiffness!AA98,0)),IF(Element_Stiffness!$E$75=1,IF(0=Element_Stiffness!$C$75,Element_Stiffness!U104,IF(0=Element_Stiffness!$E$75,Element_Stiffness!AA104,0)),0)),0)+IF(Element_Stiffness!$C$111,IF(Element_Stiffness!$C$110=1,IF(0=Element_Stiffness!$C$110,Element_Stiffness!U133,IF(0=Element_Stiffness!$E$110,Element_Stiffness!AA133,0)),IF(Element_Stiffness!$E$110=1,IF(0=Element_Stiffness!$C$110,Element_Stiffness!U139,IF(0=Element_Stiffness!$E$110,Element_Stiffness!AA139,0)),0)),0)+IF(Element_Stiffness!$C$146,IF(Element_Stiffness!$C$145=1,IF(0=Element_Stiffness!$C$145,Element_Stiffness!U168,IF(0=Element_Stiffness!$E$145,Element_Stiffness!AA168,0)),IF(Element_Stiffness!$E$145=1,IF(0=Element_Stiffness!$C$145,Element_Stiffness!U174,IF(0=Element_Stiffness!$E$145,Element_Stiffness!AA174,0)),0)),0)+IF(Element_Stiffness!$C$181,IF(Element_Stiffness!$C$180=1,IF(0=Element_Stiffness!$C$180,Element_Stiffness!U203,IF(0=Element_Stiffness!$E$180,Element_Stiffness!AA203,0)),IF(Element_Stiffness!$E$180=1,IF(0=Element_Stiffness!$C$180,Element_Stiffness!U209,IF(0=Element_Stiffness!$E$180,Element_Stiffness!AA209,0)),0)),0)+IF(Element_Stiffness!$C$216,IF(Element_Stiffness!$C$215=1,IF(0=Element_Stiffness!$C$215,Element_Stiffness!U238,IF(0=Element_Stiffness!$E$215,Element_Stiffness!AA238,0)),IF(Element_Stiffness!$E$215=1,IF(0=Element_Stiffness!$C$215,Element_Stiffness!U244,IF(0=Element_Stiffness!$E$215,Element_Stiffness!AA244,0)),0)),0)</f>
        <v/>
      </c>
      <c r="I13" s="21">
        <f>IF(Element_Stiffness!$C$6,IF(Element_Stiffness!$C$5=1,IF(1=Element_Stiffness!$C$5,Element_Stiffness!P28,IF(1=Element_Stiffness!$E$5,Element_Stiffness!V28,0)),IF(Element_Stiffness!$E$5=1,IF(1=Element_Stiffness!$C$5,Element_Stiffness!P34,IF(1=Element_Stiffness!$E$5,Element_Stiffness!V34,0)),0)),0)+IF(Element_Stiffness!$C$41,IF(Element_Stiffness!$C$40=1,IF(1=Element_Stiffness!$C$40,Element_Stiffness!P63,IF(1=Element_Stiffness!$E$40,Element_Stiffness!V63,0)),IF(Element_Stiffness!$E$40=1,IF(1=Element_Stiffness!$C$40,Element_Stiffness!P69,IF(1=Element_Stiffness!$E$40,Element_Stiffness!V69,0)),0)),0)+IF(Element_Stiffness!$C$76,IF(Element_Stiffness!$C$75=1,IF(1=Element_Stiffness!$C$75,Element_Stiffness!P98,IF(1=Element_Stiffness!$E$75,Element_Stiffness!V98,0)),IF(Element_Stiffness!$E$75=1,IF(1=Element_Stiffness!$C$75,Element_Stiffness!P104,IF(1=Element_Stiffness!$E$75,Element_Stiffness!V104,0)),0)),0)+IF(Element_Stiffness!$C$111,IF(Element_Stiffness!$C$110=1,IF(1=Element_Stiffness!$C$110,Element_Stiffness!P133,IF(1=Element_Stiffness!$E$110,Element_Stiffness!V133,0)),IF(Element_Stiffness!$E$110=1,IF(1=Element_Stiffness!$C$110,Element_Stiffness!P139,IF(1=Element_Stiffness!$E$110,Element_Stiffness!V139,0)),0)),0)+IF(Element_Stiffness!$C$146,IF(Element_Stiffness!$C$145=1,IF(1=Element_Stiffness!$C$145,Element_Stiffness!P168,IF(1=Element_Stiffness!$E$145,Element_Stiffness!V168,0)),IF(Element_Stiffness!$E$145=1,IF(1=Element_Stiffness!$C$145,Element_Stiffness!P174,IF(1=Element_Stiffness!$E$145,Element_Stiffness!V174,0)),0)),0)+IF(Element_Stiffness!$C$181,IF(Element_Stiffness!$C$180=1,IF(1=Element_Stiffness!$C$180,Element_Stiffness!P203,IF(1=Element_Stiffness!$E$180,Element_Stiffness!V203,0)),IF(Element_Stiffness!$E$180=1,IF(1=Element_Stiffness!$C$180,Element_Stiffness!P209,IF(1=Element_Stiffness!$E$180,Element_Stiffness!V209,0)),0)),0)+IF(Element_Stiffness!$C$216,IF(Element_Stiffness!$C$215=1,IF(1=Element_Stiffness!$C$215,Element_Stiffness!P238,IF(1=Element_Stiffness!$E$215,Element_Stiffness!V238,0)),IF(Element_Stiffness!$E$215=1,IF(1=Element_Stiffness!$C$215,Element_Stiffness!P244,IF(1=Element_Stiffness!$E$215,Element_Stiffness!V244,0)),0)),0)</f>
        <v/>
      </c>
      <c r="J13" s="21">
        <f>IF(Element_Stiffness!$C$6,IF(Element_Stiffness!$C$5=1,IF(1=Element_Stiffness!$C$5,Element_Stiffness!Q28,IF(1=Element_Stiffness!$E$5,Element_Stiffness!W28,0)),IF(Element_Stiffness!$E$5=1,IF(1=Element_Stiffness!$C$5,Element_Stiffness!Q34,IF(1=Element_Stiffness!$E$5,Element_Stiffness!W34,0)),0)),0)+IF(Element_Stiffness!$C$41,IF(Element_Stiffness!$C$40=1,IF(1=Element_Stiffness!$C$40,Element_Stiffness!Q63,IF(1=Element_Stiffness!$E$40,Element_Stiffness!W63,0)),IF(Element_Stiffness!$E$40=1,IF(1=Element_Stiffness!$C$40,Element_Stiffness!Q69,IF(1=Element_Stiffness!$E$40,Element_Stiffness!W69,0)),0)),0)+IF(Element_Stiffness!$C$76,IF(Element_Stiffness!$C$75=1,IF(1=Element_Stiffness!$C$75,Element_Stiffness!Q98,IF(1=Element_Stiffness!$E$75,Element_Stiffness!W98,0)),IF(Element_Stiffness!$E$75=1,IF(1=Element_Stiffness!$C$75,Element_Stiffness!Q104,IF(1=Element_Stiffness!$E$75,Element_Stiffness!W104,0)),0)),0)+IF(Element_Stiffness!$C$111,IF(Element_Stiffness!$C$110=1,IF(1=Element_Stiffness!$C$110,Element_Stiffness!Q133,IF(1=Element_Stiffness!$E$110,Element_Stiffness!W133,0)),IF(Element_Stiffness!$E$110=1,IF(1=Element_Stiffness!$C$110,Element_Stiffness!Q139,IF(1=Element_Stiffness!$E$110,Element_Stiffness!W139,0)),0)),0)+IF(Element_Stiffness!$C$146,IF(Element_Stiffness!$C$145=1,IF(1=Element_Stiffness!$C$145,Element_Stiffness!Q168,IF(1=Element_Stiffness!$E$145,Element_Stiffness!W168,0)),IF(Element_Stiffness!$E$145=1,IF(1=Element_Stiffness!$C$145,Element_Stiffness!Q174,IF(1=Element_Stiffness!$E$145,Element_Stiffness!W174,0)),0)),0)+IF(Element_Stiffness!$C$181,IF(Element_Stiffness!$C$180=1,IF(1=Element_Stiffness!$C$180,Element_Stiffness!Q203,IF(1=Element_Stiffness!$E$180,Element_Stiffness!W203,0)),IF(Element_Stiffness!$E$180=1,IF(1=Element_Stiffness!$C$180,Element_Stiffness!Q209,IF(1=Element_Stiffness!$E$180,Element_Stiffness!W209,0)),0)),0)+IF(Element_Stiffness!$C$216,IF(Element_Stiffness!$C$215=1,IF(1=Element_Stiffness!$C$215,Element_Stiffness!Q238,IF(1=Element_Stiffness!$E$215,Element_Stiffness!W238,0)),IF(Element_Stiffness!$E$215=1,IF(1=Element_Stiffness!$C$215,Element_Stiffness!Q244,IF(1=Element_Stiffness!$E$215,Element_Stiffness!W244,0)),0)),0)</f>
        <v/>
      </c>
      <c r="K13" s="21">
        <f>IF(Element_Stiffness!$C$6,IF(Element_Stiffness!$C$5=1,IF(1=Element_Stiffness!$C$5,Element_Stiffness!R28,IF(1=Element_Stiffness!$E$5,Element_Stiffness!X28,0)),IF(Element_Stiffness!$E$5=1,IF(1=Element_Stiffness!$C$5,Element_Stiffness!R34,IF(1=Element_Stiffness!$E$5,Element_Stiffness!X34,0)),0)),0)+IF(Element_Stiffness!$C$41,IF(Element_Stiffness!$C$40=1,IF(1=Element_Stiffness!$C$40,Element_Stiffness!R63,IF(1=Element_Stiffness!$E$40,Element_Stiffness!X63,0)),IF(Element_Stiffness!$E$40=1,IF(1=Element_Stiffness!$C$40,Element_Stiffness!R69,IF(1=Element_Stiffness!$E$40,Element_Stiffness!X69,0)),0)),0)+IF(Element_Stiffness!$C$76,IF(Element_Stiffness!$C$75=1,IF(1=Element_Stiffness!$C$75,Element_Stiffness!R98,IF(1=Element_Stiffness!$E$75,Element_Stiffness!X98,0)),IF(Element_Stiffness!$E$75=1,IF(1=Element_Stiffness!$C$75,Element_Stiffness!R104,IF(1=Element_Stiffness!$E$75,Element_Stiffness!X104,0)),0)),0)+IF(Element_Stiffness!$C$111,IF(Element_Stiffness!$C$110=1,IF(1=Element_Stiffness!$C$110,Element_Stiffness!R133,IF(1=Element_Stiffness!$E$110,Element_Stiffness!X133,0)),IF(Element_Stiffness!$E$110=1,IF(1=Element_Stiffness!$C$110,Element_Stiffness!R139,IF(1=Element_Stiffness!$E$110,Element_Stiffness!X139,0)),0)),0)+IF(Element_Stiffness!$C$146,IF(Element_Stiffness!$C$145=1,IF(1=Element_Stiffness!$C$145,Element_Stiffness!R168,IF(1=Element_Stiffness!$E$145,Element_Stiffness!X168,0)),IF(Element_Stiffness!$E$145=1,IF(1=Element_Stiffness!$C$145,Element_Stiffness!R174,IF(1=Element_Stiffness!$E$145,Element_Stiffness!X174,0)),0)),0)+IF(Element_Stiffness!$C$181,IF(Element_Stiffness!$C$180=1,IF(1=Element_Stiffness!$C$180,Element_Stiffness!R203,IF(1=Element_Stiffness!$E$180,Element_Stiffness!X203,0)),IF(Element_Stiffness!$E$180=1,IF(1=Element_Stiffness!$C$180,Element_Stiffness!R209,IF(1=Element_Stiffness!$E$180,Element_Stiffness!X209,0)),0)),0)+IF(Element_Stiffness!$C$216,IF(Element_Stiffness!$C$215=1,IF(1=Element_Stiffness!$C$215,Element_Stiffness!R238,IF(1=Element_Stiffness!$E$215,Element_Stiffness!X238,0)),IF(Element_Stiffness!$E$215=1,IF(1=Element_Stiffness!$C$215,Element_Stiffness!R244,IF(1=Element_Stiffness!$E$215,Element_Stiffness!X244,0)),0)),0)+IF(Inputs!E41=TRUE,1E15,IF(ISNUMBER(Inputs!E41),Inputs!E41,0))</f>
        <v/>
      </c>
      <c r="L13" s="21">
        <f>IF(Element_Stiffness!$C$6,IF(Element_Stiffness!$C$5=1,IF(1=Element_Stiffness!$C$5,Element_Stiffness!S28,IF(1=Element_Stiffness!$E$5,Element_Stiffness!Y28,0)),IF(Element_Stiffness!$E$5=1,IF(1=Element_Stiffness!$C$5,Element_Stiffness!S34,IF(1=Element_Stiffness!$E$5,Element_Stiffness!Y34,0)),0)),0)+IF(Element_Stiffness!$C$41,IF(Element_Stiffness!$C$40=1,IF(1=Element_Stiffness!$C$40,Element_Stiffness!S63,IF(1=Element_Stiffness!$E$40,Element_Stiffness!Y63,0)),IF(Element_Stiffness!$E$40=1,IF(1=Element_Stiffness!$C$40,Element_Stiffness!S69,IF(1=Element_Stiffness!$E$40,Element_Stiffness!Y69,0)),0)),0)+IF(Element_Stiffness!$C$76,IF(Element_Stiffness!$C$75=1,IF(1=Element_Stiffness!$C$75,Element_Stiffness!S98,IF(1=Element_Stiffness!$E$75,Element_Stiffness!Y98,0)),IF(Element_Stiffness!$E$75=1,IF(1=Element_Stiffness!$C$75,Element_Stiffness!S104,IF(1=Element_Stiffness!$E$75,Element_Stiffness!Y104,0)),0)),0)+IF(Element_Stiffness!$C$111,IF(Element_Stiffness!$C$110=1,IF(1=Element_Stiffness!$C$110,Element_Stiffness!S133,IF(1=Element_Stiffness!$E$110,Element_Stiffness!Y133,0)),IF(Element_Stiffness!$E$110=1,IF(1=Element_Stiffness!$C$110,Element_Stiffness!S139,IF(1=Element_Stiffness!$E$110,Element_Stiffness!Y139,0)),0)),0)+IF(Element_Stiffness!$C$146,IF(Element_Stiffness!$C$145=1,IF(1=Element_Stiffness!$C$145,Element_Stiffness!S168,IF(1=Element_Stiffness!$E$145,Element_Stiffness!Y168,0)),IF(Element_Stiffness!$E$145=1,IF(1=Element_Stiffness!$C$145,Element_Stiffness!S174,IF(1=Element_Stiffness!$E$145,Element_Stiffness!Y174,0)),0)),0)+IF(Element_Stiffness!$C$181,IF(Element_Stiffness!$C$180=1,IF(1=Element_Stiffness!$C$180,Element_Stiffness!S203,IF(1=Element_Stiffness!$E$180,Element_Stiffness!Y203,0)),IF(Element_Stiffness!$E$180=1,IF(1=Element_Stiffness!$C$180,Element_Stiffness!S209,IF(1=Element_Stiffness!$E$180,Element_Stiffness!Y209,0)),0)),0)+IF(Element_Stiffness!$C$216,IF(Element_Stiffness!$C$215=1,IF(1=Element_Stiffness!$C$215,Element_Stiffness!S238,IF(1=Element_Stiffness!$E$215,Element_Stiffness!Y238,0)),IF(Element_Stiffness!$E$215=1,IF(1=Element_Stiffness!$C$215,Element_Stiffness!S244,IF(1=Element_Stiffness!$E$215,Element_Stiffness!Y244,0)),0)),0)</f>
        <v/>
      </c>
      <c r="M13" s="21">
        <f>IF(Element_Stiffness!$C$6,IF(Element_Stiffness!$C$5=1,IF(1=Element_Stiffness!$C$5,Element_Stiffness!T28,IF(1=Element_Stiffness!$E$5,Element_Stiffness!Z28,0)),IF(Element_Stiffness!$E$5=1,IF(1=Element_Stiffness!$C$5,Element_Stiffness!T34,IF(1=Element_Stiffness!$E$5,Element_Stiffness!Z34,0)),0)),0)+IF(Element_Stiffness!$C$41,IF(Element_Stiffness!$C$40=1,IF(1=Element_Stiffness!$C$40,Element_Stiffness!T63,IF(1=Element_Stiffness!$E$40,Element_Stiffness!Z63,0)),IF(Element_Stiffness!$E$40=1,IF(1=Element_Stiffness!$C$40,Element_Stiffness!T69,IF(1=Element_Stiffness!$E$40,Element_Stiffness!Z69,0)),0)),0)+IF(Element_Stiffness!$C$76,IF(Element_Stiffness!$C$75=1,IF(1=Element_Stiffness!$C$75,Element_Stiffness!T98,IF(1=Element_Stiffness!$E$75,Element_Stiffness!Z98,0)),IF(Element_Stiffness!$E$75=1,IF(1=Element_Stiffness!$C$75,Element_Stiffness!T104,IF(1=Element_Stiffness!$E$75,Element_Stiffness!Z104,0)),0)),0)+IF(Element_Stiffness!$C$111,IF(Element_Stiffness!$C$110=1,IF(1=Element_Stiffness!$C$110,Element_Stiffness!T133,IF(1=Element_Stiffness!$E$110,Element_Stiffness!Z133,0)),IF(Element_Stiffness!$E$110=1,IF(1=Element_Stiffness!$C$110,Element_Stiffness!T139,IF(1=Element_Stiffness!$E$110,Element_Stiffness!Z139,0)),0)),0)+IF(Element_Stiffness!$C$146,IF(Element_Stiffness!$C$145=1,IF(1=Element_Stiffness!$C$145,Element_Stiffness!T168,IF(1=Element_Stiffness!$E$145,Element_Stiffness!Z168,0)),IF(Element_Stiffness!$E$145=1,IF(1=Element_Stiffness!$C$145,Element_Stiffness!T174,IF(1=Element_Stiffness!$E$145,Element_Stiffness!Z174,0)),0)),0)+IF(Element_Stiffness!$C$181,IF(Element_Stiffness!$C$180=1,IF(1=Element_Stiffness!$C$180,Element_Stiffness!T203,IF(1=Element_Stiffness!$E$180,Element_Stiffness!Z203,0)),IF(Element_Stiffness!$E$180=1,IF(1=Element_Stiffness!$C$180,Element_Stiffness!T209,IF(1=Element_Stiffness!$E$180,Element_Stiffness!Z209,0)),0)),0)+IF(Element_Stiffness!$C$216,IF(Element_Stiffness!$C$215=1,IF(1=Element_Stiffness!$C$215,Element_Stiffness!T238,IF(1=Element_Stiffness!$E$215,Element_Stiffness!Z238,0)),IF(Element_Stiffness!$E$215=1,IF(1=Element_Stiffness!$C$215,Element_Stiffness!T244,IF(1=Element_Stiffness!$E$215,Element_Stiffness!Z244,0)),0)),0)</f>
        <v/>
      </c>
      <c r="N13" s="21">
        <f>IF(Element_Stiffness!$C$6,IF(Element_Stiffness!$C$5=1,IF(1=Element_Stiffness!$C$5,Element_Stiffness!U28,IF(1=Element_Stiffness!$E$5,Element_Stiffness!AA28,0)),IF(Element_Stiffness!$E$5=1,IF(1=Element_Stiffness!$C$5,Element_Stiffness!U34,IF(1=Element_Stiffness!$E$5,Element_Stiffness!AA34,0)),0)),0)+IF(Element_Stiffness!$C$41,IF(Element_Stiffness!$C$40=1,IF(1=Element_Stiffness!$C$40,Element_Stiffness!U63,IF(1=Element_Stiffness!$E$40,Element_Stiffness!AA63,0)),IF(Element_Stiffness!$E$40=1,IF(1=Element_Stiffness!$C$40,Element_Stiffness!U69,IF(1=Element_Stiffness!$E$40,Element_Stiffness!AA69,0)),0)),0)+IF(Element_Stiffness!$C$76,IF(Element_Stiffness!$C$75=1,IF(1=Element_Stiffness!$C$75,Element_Stiffness!U98,IF(1=Element_Stiffness!$E$75,Element_Stiffness!AA98,0)),IF(Element_Stiffness!$E$75=1,IF(1=Element_Stiffness!$C$75,Element_Stiffness!U104,IF(1=Element_Stiffness!$E$75,Element_Stiffness!AA104,0)),0)),0)+IF(Element_Stiffness!$C$111,IF(Element_Stiffness!$C$110=1,IF(1=Element_Stiffness!$C$110,Element_Stiffness!U133,IF(1=Element_Stiffness!$E$110,Element_Stiffness!AA133,0)),IF(Element_Stiffness!$E$110=1,IF(1=Element_Stiffness!$C$110,Element_Stiffness!U139,IF(1=Element_Stiffness!$E$110,Element_Stiffness!AA139,0)),0)),0)+IF(Element_Stiffness!$C$146,IF(Element_Stiffness!$C$145=1,IF(1=Element_Stiffness!$C$145,Element_Stiffness!U168,IF(1=Element_Stiffness!$E$145,Element_Stiffness!AA168,0)),IF(Element_Stiffness!$E$145=1,IF(1=Element_Stiffness!$C$145,Element_Stiffness!U174,IF(1=Element_Stiffness!$E$145,Element_Stiffness!AA174,0)),0)),0)+IF(Element_Stiffness!$C$181,IF(Element_Stiffness!$C$180=1,IF(1=Element_Stiffness!$C$180,Element_Stiffness!U203,IF(1=Element_Stiffness!$E$180,Element_Stiffness!AA203,0)),IF(Element_Stiffness!$E$180=1,IF(1=Element_Stiffness!$C$180,Element_Stiffness!U209,IF(1=Element_Stiffness!$E$180,Element_Stiffness!AA209,0)),0)),0)+IF(Element_Stiffness!$C$216,IF(Element_Stiffness!$C$215=1,IF(1=Element_Stiffness!$C$215,Element_Stiffness!U238,IF(1=Element_Stiffness!$E$215,Element_Stiffness!AA238,0)),IF(Element_Stiffness!$E$215=1,IF(1=Element_Stiffness!$C$215,Element_Stiffness!U244,IF(1=Element_Stiffness!$E$215,Element_Stiffness!AA244,0)),0)),0)</f>
        <v/>
      </c>
      <c r="O13" s="21">
        <f>IF(Element_Stiffness!$C$6,IF(Element_Stiffness!$C$5=1,IF(2=Element_Stiffness!$C$5,Element_Stiffness!P28,IF(2=Element_Stiffness!$E$5,Element_Stiffness!V28,0)),IF(Element_Stiffness!$E$5=1,IF(2=Element_Stiffness!$C$5,Element_Stiffness!P34,IF(2=Element_Stiffness!$E$5,Element_Stiffness!V34,0)),0)),0)+IF(Element_Stiffness!$C$41,IF(Element_Stiffness!$C$40=1,IF(2=Element_Stiffness!$C$40,Element_Stiffness!P63,IF(2=Element_Stiffness!$E$40,Element_Stiffness!V63,0)),IF(Element_Stiffness!$E$40=1,IF(2=Element_Stiffness!$C$40,Element_Stiffness!P69,IF(2=Element_Stiffness!$E$40,Element_Stiffness!V69,0)),0)),0)+IF(Element_Stiffness!$C$76,IF(Element_Stiffness!$C$75=1,IF(2=Element_Stiffness!$C$75,Element_Stiffness!P98,IF(2=Element_Stiffness!$E$75,Element_Stiffness!V98,0)),IF(Element_Stiffness!$E$75=1,IF(2=Element_Stiffness!$C$75,Element_Stiffness!P104,IF(2=Element_Stiffness!$E$75,Element_Stiffness!V104,0)),0)),0)+IF(Element_Stiffness!$C$111,IF(Element_Stiffness!$C$110=1,IF(2=Element_Stiffness!$C$110,Element_Stiffness!P133,IF(2=Element_Stiffness!$E$110,Element_Stiffness!V133,0)),IF(Element_Stiffness!$E$110=1,IF(2=Element_Stiffness!$C$110,Element_Stiffness!P139,IF(2=Element_Stiffness!$E$110,Element_Stiffness!V139,0)),0)),0)+IF(Element_Stiffness!$C$146,IF(Element_Stiffness!$C$145=1,IF(2=Element_Stiffness!$C$145,Element_Stiffness!P168,IF(2=Element_Stiffness!$E$145,Element_Stiffness!V168,0)),IF(Element_Stiffness!$E$145=1,IF(2=Element_Stiffness!$C$145,Element_Stiffness!P174,IF(2=Element_Stiffness!$E$145,Element_Stiffness!V174,0)),0)),0)+IF(Element_Stiffness!$C$181,IF(Element_Stiffness!$C$180=1,IF(2=Element_Stiffness!$C$180,Element_Stiffness!P203,IF(2=Element_Stiffness!$E$180,Element_Stiffness!V203,0)),IF(Element_Stiffness!$E$180=1,IF(2=Element_Stiffness!$C$180,Element_Stiffness!P209,IF(2=Element_Stiffness!$E$180,Element_Stiffness!V209,0)),0)),0)+IF(Element_Stiffness!$C$216,IF(Element_Stiffness!$C$215=1,IF(2=Element_Stiffness!$C$215,Element_Stiffness!P238,IF(2=Element_Stiffness!$E$215,Element_Stiffness!V238,0)),IF(Element_Stiffness!$E$215=1,IF(2=Element_Stiffness!$C$215,Element_Stiffness!P244,IF(2=Element_Stiffness!$E$215,Element_Stiffness!V244,0)),0)),0)</f>
        <v/>
      </c>
      <c r="P13" s="21">
        <f>IF(Element_Stiffness!$C$6,IF(Element_Stiffness!$C$5=1,IF(2=Element_Stiffness!$C$5,Element_Stiffness!Q28,IF(2=Element_Stiffness!$E$5,Element_Stiffness!W28,0)),IF(Element_Stiffness!$E$5=1,IF(2=Element_Stiffness!$C$5,Element_Stiffness!Q34,IF(2=Element_Stiffness!$E$5,Element_Stiffness!W34,0)),0)),0)+IF(Element_Stiffness!$C$41,IF(Element_Stiffness!$C$40=1,IF(2=Element_Stiffness!$C$40,Element_Stiffness!Q63,IF(2=Element_Stiffness!$E$40,Element_Stiffness!W63,0)),IF(Element_Stiffness!$E$40=1,IF(2=Element_Stiffness!$C$40,Element_Stiffness!Q69,IF(2=Element_Stiffness!$E$40,Element_Stiffness!W69,0)),0)),0)+IF(Element_Stiffness!$C$76,IF(Element_Stiffness!$C$75=1,IF(2=Element_Stiffness!$C$75,Element_Stiffness!Q98,IF(2=Element_Stiffness!$E$75,Element_Stiffness!W98,0)),IF(Element_Stiffness!$E$75=1,IF(2=Element_Stiffness!$C$75,Element_Stiffness!Q104,IF(2=Element_Stiffness!$E$75,Element_Stiffness!W104,0)),0)),0)+IF(Element_Stiffness!$C$111,IF(Element_Stiffness!$C$110=1,IF(2=Element_Stiffness!$C$110,Element_Stiffness!Q133,IF(2=Element_Stiffness!$E$110,Element_Stiffness!W133,0)),IF(Element_Stiffness!$E$110=1,IF(2=Element_Stiffness!$C$110,Element_Stiffness!Q139,IF(2=Element_Stiffness!$E$110,Element_Stiffness!W139,0)),0)),0)+IF(Element_Stiffness!$C$146,IF(Element_Stiffness!$C$145=1,IF(2=Element_Stiffness!$C$145,Element_Stiffness!Q168,IF(2=Element_Stiffness!$E$145,Element_Stiffness!W168,0)),IF(Element_Stiffness!$E$145=1,IF(2=Element_Stiffness!$C$145,Element_Stiffness!Q174,IF(2=Element_Stiffness!$E$145,Element_Stiffness!W174,0)),0)),0)+IF(Element_Stiffness!$C$181,IF(Element_Stiffness!$C$180=1,IF(2=Element_Stiffness!$C$180,Element_Stiffness!Q203,IF(2=Element_Stiffness!$E$180,Element_Stiffness!W203,0)),IF(Element_Stiffness!$E$180=1,IF(2=Element_Stiffness!$C$180,Element_Stiffness!Q209,IF(2=Element_Stiffness!$E$180,Element_Stiffness!W209,0)),0)),0)+IF(Element_Stiffness!$C$216,IF(Element_Stiffness!$C$215=1,IF(2=Element_Stiffness!$C$215,Element_Stiffness!Q238,IF(2=Element_Stiffness!$E$215,Element_Stiffness!W238,0)),IF(Element_Stiffness!$E$215=1,IF(2=Element_Stiffness!$C$215,Element_Stiffness!Q244,IF(2=Element_Stiffness!$E$215,Element_Stiffness!W244,0)),0)),0)</f>
        <v/>
      </c>
      <c r="Q13" s="21">
        <f>IF(Element_Stiffness!$C$6,IF(Element_Stiffness!$C$5=1,IF(2=Element_Stiffness!$C$5,Element_Stiffness!R28,IF(2=Element_Stiffness!$E$5,Element_Stiffness!X28,0)),IF(Element_Stiffness!$E$5=1,IF(2=Element_Stiffness!$C$5,Element_Stiffness!R34,IF(2=Element_Stiffness!$E$5,Element_Stiffness!X34,0)),0)),0)+IF(Element_Stiffness!$C$41,IF(Element_Stiffness!$C$40=1,IF(2=Element_Stiffness!$C$40,Element_Stiffness!R63,IF(2=Element_Stiffness!$E$40,Element_Stiffness!X63,0)),IF(Element_Stiffness!$E$40=1,IF(2=Element_Stiffness!$C$40,Element_Stiffness!R69,IF(2=Element_Stiffness!$E$40,Element_Stiffness!X69,0)),0)),0)+IF(Element_Stiffness!$C$76,IF(Element_Stiffness!$C$75=1,IF(2=Element_Stiffness!$C$75,Element_Stiffness!R98,IF(2=Element_Stiffness!$E$75,Element_Stiffness!X98,0)),IF(Element_Stiffness!$E$75=1,IF(2=Element_Stiffness!$C$75,Element_Stiffness!R104,IF(2=Element_Stiffness!$E$75,Element_Stiffness!X104,0)),0)),0)+IF(Element_Stiffness!$C$111,IF(Element_Stiffness!$C$110=1,IF(2=Element_Stiffness!$C$110,Element_Stiffness!R133,IF(2=Element_Stiffness!$E$110,Element_Stiffness!X133,0)),IF(Element_Stiffness!$E$110=1,IF(2=Element_Stiffness!$C$110,Element_Stiffness!R139,IF(2=Element_Stiffness!$E$110,Element_Stiffness!X139,0)),0)),0)+IF(Element_Stiffness!$C$146,IF(Element_Stiffness!$C$145=1,IF(2=Element_Stiffness!$C$145,Element_Stiffness!R168,IF(2=Element_Stiffness!$E$145,Element_Stiffness!X168,0)),IF(Element_Stiffness!$E$145=1,IF(2=Element_Stiffness!$C$145,Element_Stiffness!R174,IF(2=Element_Stiffness!$E$145,Element_Stiffness!X174,0)),0)),0)+IF(Element_Stiffness!$C$181,IF(Element_Stiffness!$C$180=1,IF(2=Element_Stiffness!$C$180,Element_Stiffness!R203,IF(2=Element_Stiffness!$E$180,Element_Stiffness!X203,0)),IF(Element_Stiffness!$E$180=1,IF(2=Element_Stiffness!$C$180,Element_Stiffness!R209,IF(2=Element_Stiffness!$E$180,Element_Stiffness!X209,0)),0)),0)+IF(Element_Stiffness!$C$216,IF(Element_Stiffness!$C$215=1,IF(2=Element_Stiffness!$C$215,Element_Stiffness!R238,IF(2=Element_Stiffness!$E$215,Element_Stiffness!X238,0)),IF(Element_Stiffness!$E$215=1,IF(2=Element_Stiffness!$C$215,Element_Stiffness!R244,IF(2=Element_Stiffness!$E$215,Element_Stiffness!X244,0)),0)),0)</f>
        <v/>
      </c>
      <c r="R13" s="21">
        <f>IF(Element_Stiffness!$C$6,IF(Element_Stiffness!$C$5=1,IF(2=Element_Stiffness!$C$5,Element_Stiffness!S28,IF(2=Element_Stiffness!$E$5,Element_Stiffness!Y28,0)),IF(Element_Stiffness!$E$5=1,IF(2=Element_Stiffness!$C$5,Element_Stiffness!S34,IF(2=Element_Stiffness!$E$5,Element_Stiffness!Y34,0)),0)),0)+IF(Element_Stiffness!$C$41,IF(Element_Stiffness!$C$40=1,IF(2=Element_Stiffness!$C$40,Element_Stiffness!S63,IF(2=Element_Stiffness!$E$40,Element_Stiffness!Y63,0)),IF(Element_Stiffness!$E$40=1,IF(2=Element_Stiffness!$C$40,Element_Stiffness!S69,IF(2=Element_Stiffness!$E$40,Element_Stiffness!Y69,0)),0)),0)+IF(Element_Stiffness!$C$76,IF(Element_Stiffness!$C$75=1,IF(2=Element_Stiffness!$C$75,Element_Stiffness!S98,IF(2=Element_Stiffness!$E$75,Element_Stiffness!Y98,0)),IF(Element_Stiffness!$E$75=1,IF(2=Element_Stiffness!$C$75,Element_Stiffness!S104,IF(2=Element_Stiffness!$E$75,Element_Stiffness!Y104,0)),0)),0)+IF(Element_Stiffness!$C$111,IF(Element_Stiffness!$C$110=1,IF(2=Element_Stiffness!$C$110,Element_Stiffness!S133,IF(2=Element_Stiffness!$E$110,Element_Stiffness!Y133,0)),IF(Element_Stiffness!$E$110=1,IF(2=Element_Stiffness!$C$110,Element_Stiffness!S139,IF(2=Element_Stiffness!$E$110,Element_Stiffness!Y139,0)),0)),0)+IF(Element_Stiffness!$C$146,IF(Element_Stiffness!$C$145=1,IF(2=Element_Stiffness!$C$145,Element_Stiffness!S168,IF(2=Element_Stiffness!$E$145,Element_Stiffness!Y168,0)),IF(Element_Stiffness!$E$145=1,IF(2=Element_Stiffness!$C$145,Element_Stiffness!S174,IF(2=Element_Stiffness!$E$145,Element_Stiffness!Y174,0)),0)),0)+IF(Element_Stiffness!$C$181,IF(Element_Stiffness!$C$180=1,IF(2=Element_Stiffness!$C$180,Element_Stiffness!S203,IF(2=Element_Stiffness!$E$180,Element_Stiffness!Y203,0)),IF(Element_Stiffness!$E$180=1,IF(2=Element_Stiffness!$C$180,Element_Stiffness!S209,IF(2=Element_Stiffness!$E$180,Element_Stiffness!Y209,0)),0)),0)+IF(Element_Stiffness!$C$216,IF(Element_Stiffness!$C$215=1,IF(2=Element_Stiffness!$C$215,Element_Stiffness!S238,IF(2=Element_Stiffness!$E$215,Element_Stiffness!Y238,0)),IF(Element_Stiffness!$E$215=1,IF(2=Element_Stiffness!$C$215,Element_Stiffness!S244,IF(2=Element_Stiffness!$E$215,Element_Stiffness!Y244,0)),0)),0)</f>
        <v/>
      </c>
      <c r="S13" s="21">
        <f>IF(Element_Stiffness!$C$6,IF(Element_Stiffness!$C$5=1,IF(2=Element_Stiffness!$C$5,Element_Stiffness!T28,IF(2=Element_Stiffness!$E$5,Element_Stiffness!Z28,0)),IF(Element_Stiffness!$E$5=1,IF(2=Element_Stiffness!$C$5,Element_Stiffness!T34,IF(2=Element_Stiffness!$E$5,Element_Stiffness!Z34,0)),0)),0)+IF(Element_Stiffness!$C$41,IF(Element_Stiffness!$C$40=1,IF(2=Element_Stiffness!$C$40,Element_Stiffness!T63,IF(2=Element_Stiffness!$E$40,Element_Stiffness!Z63,0)),IF(Element_Stiffness!$E$40=1,IF(2=Element_Stiffness!$C$40,Element_Stiffness!T69,IF(2=Element_Stiffness!$E$40,Element_Stiffness!Z69,0)),0)),0)+IF(Element_Stiffness!$C$76,IF(Element_Stiffness!$C$75=1,IF(2=Element_Stiffness!$C$75,Element_Stiffness!T98,IF(2=Element_Stiffness!$E$75,Element_Stiffness!Z98,0)),IF(Element_Stiffness!$E$75=1,IF(2=Element_Stiffness!$C$75,Element_Stiffness!T104,IF(2=Element_Stiffness!$E$75,Element_Stiffness!Z104,0)),0)),0)+IF(Element_Stiffness!$C$111,IF(Element_Stiffness!$C$110=1,IF(2=Element_Stiffness!$C$110,Element_Stiffness!T133,IF(2=Element_Stiffness!$E$110,Element_Stiffness!Z133,0)),IF(Element_Stiffness!$E$110=1,IF(2=Element_Stiffness!$C$110,Element_Stiffness!T139,IF(2=Element_Stiffness!$E$110,Element_Stiffness!Z139,0)),0)),0)+IF(Element_Stiffness!$C$146,IF(Element_Stiffness!$C$145=1,IF(2=Element_Stiffness!$C$145,Element_Stiffness!T168,IF(2=Element_Stiffness!$E$145,Element_Stiffness!Z168,0)),IF(Element_Stiffness!$E$145=1,IF(2=Element_Stiffness!$C$145,Element_Stiffness!T174,IF(2=Element_Stiffness!$E$145,Element_Stiffness!Z174,0)),0)),0)+IF(Element_Stiffness!$C$181,IF(Element_Stiffness!$C$180=1,IF(2=Element_Stiffness!$C$180,Element_Stiffness!T203,IF(2=Element_Stiffness!$E$180,Element_Stiffness!Z203,0)),IF(Element_Stiffness!$E$180=1,IF(2=Element_Stiffness!$C$180,Element_Stiffness!T209,IF(2=Element_Stiffness!$E$180,Element_Stiffness!Z209,0)),0)),0)+IF(Element_Stiffness!$C$216,IF(Element_Stiffness!$C$215=1,IF(2=Element_Stiffness!$C$215,Element_Stiffness!T238,IF(2=Element_Stiffness!$E$215,Element_Stiffness!Z238,0)),IF(Element_Stiffness!$E$215=1,IF(2=Element_Stiffness!$C$215,Element_Stiffness!T244,IF(2=Element_Stiffness!$E$215,Element_Stiffness!Z244,0)),0)),0)</f>
        <v/>
      </c>
      <c r="T13" s="21">
        <f>IF(Element_Stiffness!$C$6,IF(Element_Stiffness!$C$5=1,IF(2=Element_Stiffness!$C$5,Element_Stiffness!U28,IF(2=Element_Stiffness!$E$5,Element_Stiffness!AA28,0)),IF(Element_Stiffness!$E$5=1,IF(2=Element_Stiffness!$C$5,Element_Stiffness!U34,IF(2=Element_Stiffness!$E$5,Element_Stiffness!AA34,0)),0)),0)+IF(Element_Stiffness!$C$41,IF(Element_Stiffness!$C$40=1,IF(2=Element_Stiffness!$C$40,Element_Stiffness!U63,IF(2=Element_Stiffness!$E$40,Element_Stiffness!AA63,0)),IF(Element_Stiffness!$E$40=1,IF(2=Element_Stiffness!$C$40,Element_Stiffness!U69,IF(2=Element_Stiffness!$E$40,Element_Stiffness!AA69,0)),0)),0)+IF(Element_Stiffness!$C$76,IF(Element_Stiffness!$C$75=1,IF(2=Element_Stiffness!$C$75,Element_Stiffness!U98,IF(2=Element_Stiffness!$E$75,Element_Stiffness!AA98,0)),IF(Element_Stiffness!$E$75=1,IF(2=Element_Stiffness!$C$75,Element_Stiffness!U104,IF(2=Element_Stiffness!$E$75,Element_Stiffness!AA104,0)),0)),0)+IF(Element_Stiffness!$C$111,IF(Element_Stiffness!$C$110=1,IF(2=Element_Stiffness!$C$110,Element_Stiffness!U133,IF(2=Element_Stiffness!$E$110,Element_Stiffness!AA133,0)),IF(Element_Stiffness!$E$110=1,IF(2=Element_Stiffness!$C$110,Element_Stiffness!U139,IF(2=Element_Stiffness!$E$110,Element_Stiffness!AA139,0)),0)),0)+IF(Element_Stiffness!$C$146,IF(Element_Stiffness!$C$145=1,IF(2=Element_Stiffness!$C$145,Element_Stiffness!U168,IF(2=Element_Stiffness!$E$145,Element_Stiffness!AA168,0)),IF(Element_Stiffness!$E$145=1,IF(2=Element_Stiffness!$C$145,Element_Stiffness!U174,IF(2=Element_Stiffness!$E$145,Element_Stiffness!AA174,0)),0)),0)+IF(Element_Stiffness!$C$181,IF(Element_Stiffness!$C$180=1,IF(2=Element_Stiffness!$C$180,Element_Stiffness!U203,IF(2=Element_Stiffness!$E$180,Element_Stiffness!AA203,0)),IF(Element_Stiffness!$E$180=1,IF(2=Element_Stiffness!$C$180,Element_Stiffness!U209,IF(2=Element_Stiffness!$E$180,Element_Stiffness!AA209,0)),0)),0)+IF(Element_Stiffness!$C$216,IF(Element_Stiffness!$C$215=1,IF(2=Element_Stiffness!$C$215,Element_Stiffness!U238,IF(2=Element_Stiffness!$E$215,Element_Stiffness!AA238,0)),IF(Element_Stiffness!$E$215=1,IF(2=Element_Stiffness!$C$215,Element_Stiffness!U244,IF(2=Element_Stiffness!$E$215,Element_Stiffness!AA244,0)),0)),0)</f>
        <v/>
      </c>
      <c r="U13" s="21">
        <f>IF(Element_Stiffness!$C$6,IF(Element_Stiffness!$C$5=1,IF(3=Element_Stiffness!$C$5,Element_Stiffness!P28,IF(3=Element_Stiffness!$E$5,Element_Stiffness!V28,0)),IF(Element_Stiffness!$E$5=1,IF(3=Element_Stiffness!$C$5,Element_Stiffness!P34,IF(3=Element_Stiffness!$E$5,Element_Stiffness!V34,0)),0)),0)+IF(Element_Stiffness!$C$41,IF(Element_Stiffness!$C$40=1,IF(3=Element_Stiffness!$C$40,Element_Stiffness!P63,IF(3=Element_Stiffness!$E$40,Element_Stiffness!V63,0)),IF(Element_Stiffness!$E$40=1,IF(3=Element_Stiffness!$C$40,Element_Stiffness!P69,IF(3=Element_Stiffness!$E$40,Element_Stiffness!V69,0)),0)),0)+IF(Element_Stiffness!$C$76,IF(Element_Stiffness!$C$75=1,IF(3=Element_Stiffness!$C$75,Element_Stiffness!P98,IF(3=Element_Stiffness!$E$75,Element_Stiffness!V98,0)),IF(Element_Stiffness!$E$75=1,IF(3=Element_Stiffness!$C$75,Element_Stiffness!P104,IF(3=Element_Stiffness!$E$75,Element_Stiffness!V104,0)),0)),0)+IF(Element_Stiffness!$C$111,IF(Element_Stiffness!$C$110=1,IF(3=Element_Stiffness!$C$110,Element_Stiffness!P133,IF(3=Element_Stiffness!$E$110,Element_Stiffness!V133,0)),IF(Element_Stiffness!$E$110=1,IF(3=Element_Stiffness!$C$110,Element_Stiffness!P139,IF(3=Element_Stiffness!$E$110,Element_Stiffness!V139,0)),0)),0)+IF(Element_Stiffness!$C$146,IF(Element_Stiffness!$C$145=1,IF(3=Element_Stiffness!$C$145,Element_Stiffness!P168,IF(3=Element_Stiffness!$E$145,Element_Stiffness!V168,0)),IF(Element_Stiffness!$E$145=1,IF(3=Element_Stiffness!$C$145,Element_Stiffness!P174,IF(3=Element_Stiffness!$E$145,Element_Stiffness!V174,0)),0)),0)+IF(Element_Stiffness!$C$181,IF(Element_Stiffness!$C$180=1,IF(3=Element_Stiffness!$C$180,Element_Stiffness!P203,IF(3=Element_Stiffness!$E$180,Element_Stiffness!V203,0)),IF(Element_Stiffness!$E$180=1,IF(3=Element_Stiffness!$C$180,Element_Stiffness!P209,IF(3=Element_Stiffness!$E$180,Element_Stiffness!V209,0)),0)),0)+IF(Element_Stiffness!$C$216,IF(Element_Stiffness!$C$215=1,IF(3=Element_Stiffness!$C$215,Element_Stiffness!P238,IF(3=Element_Stiffness!$E$215,Element_Stiffness!V238,0)),IF(Element_Stiffness!$E$215=1,IF(3=Element_Stiffness!$C$215,Element_Stiffness!P244,IF(3=Element_Stiffness!$E$215,Element_Stiffness!V244,0)),0)),0)</f>
        <v/>
      </c>
      <c r="V13" s="21">
        <f>IF(Element_Stiffness!$C$6,IF(Element_Stiffness!$C$5=1,IF(3=Element_Stiffness!$C$5,Element_Stiffness!Q28,IF(3=Element_Stiffness!$E$5,Element_Stiffness!W28,0)),IF(Element_Stiffness!$E$5=1,IF(3=Element_Stiffness!$C$5,Element_Stiffness!Q34,IF(3=Element_Stiffness!$E$5,Element_Stiffness!W34,0)),0)),0)+IF(Element_Stiffness!$C$41,IF(Element_Stiffness!$C$40=1,IF(3=Element_Stiffness!$C$40,Element_Stiffness!Q63,IF(3=Element_Stiffness!$E$40,Element_Stiffness!W63,0)),IF(Element_Stiffness!$E$40=1,IF(3=Element_Stiffness!$C$40,Element_Stiffness!Q69,IF(3=Element_Stiffness!$E$40,Element_Stiffness!W69,0)),0)),0)+IF(Element_Stiffness!$C$76,IF(Element_Stiffness!$C$75=1,IF(3=Element_Stiffness!$C$75,Element_Stiffness!Q98,IF(3=Element_Stiffness!$E$75,Element_Stiffness!W98,0)),IF(Element_Stiffness!$E$75=1,IF(3=Element_Stiffness!$C$75,Element_Stiffness!Q104,IF(3=Element_Stiffness!$E$75,Element_Stiffness!W104,0)),0)),0)+IF(Element_Stiffness!$C$111,IF(Element_Stiffness!$C$110=1,IF(3=Element_Stiffness!$C$110,Element_Stiffness!Q133,IF(3=Element_Stiffness!$E$110,Element_Stiffness!W133,0)),IF(Element_Stiffness!$E$110=1,IF(3=Element_Stiffness!$C$110,Element_Stiffness!Q139,IF(3=Element_Stiffness!$E$110,Element_Stiffness!W139,0)),0)),0)+IF(Element_Stiffness!$C$146,IF(Element_Stiffness!$C$145=1,IF(3=Element_Stiffness!$C$145,Element_Stiffness!Q168,IF(3=Element_Stiffness!$E$145,Element_Stiffness!W168,0)),IF(Element_Stiffness!$E$145=1,IF(3=Element_Stiffness!$C$145,Element_Stiffness!Q174,IF(3=Element_Stiffness!$E$145,Element_Stiffness!W174,0)),0)),0)+IF(Element_Stiffness!$C$181,IF(Element_Stiffness!$C$180=1,IF(3=Element_Stiffness!$C$180,Element_Stiffness!Q203,IF(3=Element_Stiffness!$E$180,Element_Stiffness!W203,0)),IF(Element_Stiffness!$E$180=1,IF(3=Element_Stiffness!$C$180,Element_Stiffness!Q209,IF(3=Element_Stiffness!$E$180,Element_Stiffness!W209,0)),0)),0)+IF(Element_Stiffness!$C$216,IF(Element_Stiffness!$C$215=1,IF(3=Element_Stiffness!$C$215,Element_Stiffness!Q238,IF(3=Element_Stiffness!$E$215,Element_Stiffness!W238,0)),IF(Element_Stiffness!$E$215=1,IF(3=Element_Stiffness!$C$215,Element_Stiffness!Q244,IF(3=Element_Stiffness!$E$215,Element_Stiffness!W244,0)),0)),0)</f>
        <v/>
      </c>
      <c r="W13" s="21">
        <f>IF(Element_Stiffness!$C$6,IF(Element_Stiffness!$C$5=1,IF(3=Element_Stiffness!$C$5,Element_Stiffness!R28,IF(3=Element_Stiffness!$E$5,Element_Stiffness!X28,0)),IF(Element_Stiffness!$E$5=1,IF(3=Element_Stiffness!$C$5,Element_Stiffness!R34,IF(3=Element_Stiffness!$E$5,Element_Stiffness!X34,0)),0)),0)+IF(Element_Stiffness!$C$41,IF(Element_Stiffness!$C$40=1,IF(3=Element_Stiffness!$C$40,Element_Stiffness!R63,IF(3=Element_Stiffness!$E$40,Element_Stiffness!X63,0)),IF(Element_Stiffness!$E$40=1,IF(3=Element_Stiffness!$C$40,Element_Stiffness!R69,IF(3=Element_Stiffness!$E$40,Element_Stiffness!X69,0)),0)),0)+IF(Element_Stiffness!$C$76,IF(Element_Stiffness!$C$75=1,IF(3=Element_Stiffness!$C$75,Element_Stiffness!R98,IF(3=Element_Stiffness!$E$75,Element_Stiffness!X98,0)),IF(Element_Stiffness!$E$75=1,IF(3=Element_Stiffness!$C$75,Element_Stiffness!R104,IF(3=Element_Stiffness!$E$75,Element_Stiffness!X104,0)),0)),0)+IF(Element_Stiffness!$C$111,IF(Element_Stiffness!$C$110=1,IF(3=Element_Stiffness!$C$110,Element_Stiffness!R133,IF(3=Element_Stiffness!$E$110,Element_Stiffness!X133,0)),IF(Element_Stiffness!$E$110=1,IF(3=Element_Stiffness!$C$110,Element_Stiffness!R139,IF(3=Element_Stiffness!$E$110,Element_Stiffness!X139,0)),0)),0)+IF(Element_Stiffness!$C$146,IF(Element_Stiffness!$C$145=1,IF(3=Element_Stiffness!$C$145,Element_Stiffness!R168,IF(3=Element_Stiffness!$E$145,Element_Stiffness!X168,0)),IF(Element_Stiffness!$E$145=1,IF(3=Element_Stiffness!$C$145,Element_Stiffness!R174,IF(3=Element_Stiffness!$E$145,Element_Stiffness!X174,0)),0)),0)+IF(Element_Stiffness!$C$181,IF(Element_Stiffness!$C$180=1,IF(3=Element_Stiffness!$C$180,Element_Stiffness!R203,IF(3=Element_Stiffness!$E$180,Element_Stiffness!X203,0)),IF(Element_Stiffness!$E$180=1,IF(3=Element_Stiffness!$C$180,Element_Stiffness!R209,IF(3=Element_Stiffness!$E$180,Element_Stiffness!X209,0)),0)),0)+IF(Element_Stiffness!$C$216,IF(Element_Stiffness!$C$215=1,IF(3=Element_Stiffness!$C$215,Element_Stiffness!R238,IF(3=Element_Stiffness!$E$215,Element_Stiffness!X238,0)),IF(Element_Stiffness!$E$215=1,IF(3=Element_Stiffness!$C$215,Element_Stiffness!R244,IF(3=Element_Stiffness!$E$215,Element_Stiffness!X244,0)),0)),0)</f>
        <v/>
      </c>
      <c r="X13" s="21">
        <f>IF(Element_Stiffness!$C$6,IF(Element_Stiffness!$C$5=1,IF(3=Element_Stiffness!$C$5,Element_Stiffness!S28,IF(3=Element_Stiffness!$E$5,Element_Stiffness!Y28,0)),IF(Element_Stiffness!$E$5=1,IF(3=Element_Stiffness!$C$5,Element_Stiffness!S34,IF(3=Element_Stiffness!$E$5,Element_Stiffness!Y34,0)),0)),0)+IF(Element_Stiffness!$C$41,IF(Element_Stiffness!$C$40=1,IF(3=Element_Stiffness!$C$40,Element_Stiffness!S63,IF(3=Element_Stiffness!$E$40,Element_Stiffness!Y63,0)),IF(Element_Stiffness!$E$40=1,IF(3=Element_Stiffness!$C$40,Element_Stiffness!S69,IF(3=Element_Stiffness!$E$40,Element_Stiffness!Y69,0)),0)),0)+IF(Element_Stiffness!$C$76,IF(Element_Stiffness!$C$75=1,IF(3=Element_Stiffness!$C$75,Element_Stiffness!S98,IF(3=Element_Stiffness!$E$75,Element_Stiffness!Y98,0)),IF(Element_Stiffness!$E$75=1,IF(3=Element_Stiffness!$C$75,Element_Stiffness!S104,IF(3=Element_Stiffness!$E$75,Element_Stiffness!Y104,0)),0)),0)+IF(Element_Stiffness!$C$111,IF(Element_Stiffness!$C$110=1,IF(3=Element_Stiffness!$C$110,Element_Stiffness!S133,IF(3=Element_Stiffness!$E$110,Element_Stiffness!Y133,0)),IF(Element_Stiffness!$E$110=1,IF(3=Element_Stiffness!$C$110,Element_Stiffness!S139,IF(3=Element_Stiffness!$E$110,Element_Stiffness!Y139,0)),0)),0)+IF(Element_Stiffness!$C$146,IF(Element_Stiffness!$C$145=1,IF(3=Element_Stiffness!$C$145,Element_Stiffness!S168,IF(3=Element_Stiffness!$E$145,Element_Stiffness!Y168,0)),IF(Element_Stiffness!$E$145=1,IF(3=Element_Stiffness!$C$145,Element_Stiffness!S174,IF(3=Element_Stiffness!$E$145,Element_Stiffness!Y174,0)),0)),0)+IF(Element_Stiffness!$C$181,IF(Element_Stiffness!$C$180=1,IF(3=Element_Stiffness!$C$180,Element_Stiffness!S203,IF(3=Element_Stiffness!$E$180,Element_Stiffness!Y203,0)),IF(Element_Stiffness!$E$180=1,IF(3=Element_Stiffness!$C$180,Element_Stiffness!S209,IF(3=Element_Stiffness!$E$180,Element_Stiffness!Y209,0)),0)),0)+IF(Element_Stiffness!$C$216,IF(Element_Stiffness!$C$215=1,IF(3=Element_Stiffness!$C$215,Element_Stiffness!S238,IF(3=Element_Stiffness!$E$215,Element_Stiffness!Y238,0)),IF(Element_Stiffness!$E$215=1,IF(3=Element_Stiffness!$C$215,Element_Stiffness!S244,IF(3=Element_Stiffness!$E$215,Element_Stiffness!Y244,0)),0)),0)</f>
        <v/>
      </c>
      <c r="Y13" s="21">
        <f>IF(Element_Stiffness!$C$6,IF(Element_Stiffness!$C$5=1,IF(3=Element_Stiffness!$C$5,Element_Stiffness!T28,IF(3=Element_Stiffness!$E$5,Element_Stiffness!Z28,0)),IF(Element_Stiffness!$E$5=1,IF(3=Element_Stiffness!$C$5,Element_Stiffness!T34,IF(3=Element_Stiffness!$E$5,Element_Stiffness!Z34,0)),0)),0)+IF(Element_Stiffness!$C$41,IF(Element_Stiffness!$C$40=1,IF(3=Element_Stiffness!$C$40,Element_Stiffness!T63,IF(3=Element_Stiffness!$E$40,Element_Stiffness!Z63,0)),IF(Element_Stiffness!$E$40=1,IF(3=Element_Stiffness!$C$40,Element_Stiffness!T69,IF(3=Element_Stiffness!$E$40,Element_Stiffness!Z69,0)),0)),0)+IF(Element_Stiffness!$C$76,IF(Element_Stiffness!$C$75=1,IF(3=Element_Stiffness!$C$75,Element_Stiffness!T98,IF(3=Element_Stiffness!$E$75,Element_Stiffness!Z98,0)),IF(Element_Stiffness!$E$75=1,IF(3=Element_Stiffness!$C$75,Element_Stiffness!T104,IF(3=Element_Stiffness!$E$75,Element_Stiffness!Z104,0)),0)),0)+IF(Element_Stiffness!$C$111,IF(Element_Stiffness!$C$110=1,IF(3=Element_Stiffness!$C$110,Element_Stiffness!T133,IF(3=Element_Stiffness!$E$110,Element_Stiffness!Z133,0)),IF(Element_Stiffness!$E$110=1,IF(3=Element_Stiffness!$C$110,Element_Stiffness!T139,IF(3=Element_Stiffness!$E$110,Element_Stiffness!Z139,0)),0)),0)+IF(Element_Stiffness!$C$146,IF(Element_Stiffness!$C$145=1,IF(3=Element_Stiffness!$C$145,Element_Stiffness!T168,IF(3=Element_Stiffness!$E$145,Element_Stiffness!Z168,0)),IF(Element_Stiffness!$E$145=1,IF(3=Element_Stiffness!$C$145,Element_Stiffness!T174,IF(3=Element_Stiffness!$E$145,Element_Stiffness!Z174,0)),0)),0)+IF(Element_Stiffness!$C$181,IF(Element_Stiffness!$C$180=1,IF(3=Element_Stiffness!$C$180,Element_Stiffness!T203,IF(3=Element_Stiffness!$E$180,Element_Stiffness!Z203,0)),IF(Element_Stiffness!$E$180=1,IF(3=Element_Stiffness!$C$180,Element_Stiffness!T209,IF(3=Element_Stiffness!$E$180,Element_Stiffness!Z209,0)),0)),0)+IF(Element_Stiffness!$C$216,IF(Element_Stiffness!$C$215=1,IF(3=Element_Stiffness!$C$215,Element_Stiffness!T238,IF(3=Element_Stiffness!$E$215,Element_Stiffness!Z238,0)),IF(Element_Stiffness!$E$215=1,IF(3=Element_Stiffness!$C$215,Element_Stiffness!T244,IF(3=Element_Stiffness!$E$215,Element_Stiffness!Z244,0)),0)),0)</f>
        <v/>
      </c>
      <c r="Z13" s="21">
        <f>IF(Element_Stiffness!$C$6,IF(Element_Stiffness!$C$5=1,IF(3=Element_Stiffness!$C$5,Element_Stiffness!U28,IF(3=Element_Stiffness!$E$5,Element_Stiffness!AA28,0)),IF(Element_Stiffness!$E$5=1,IF(3=Element_Stiffness!$C$5,Element_Stiffness!U34,IF(3=Element_Stiffness!$E$5,Element_Stiffness!AA34,0)),0)),0)+IF(Element_Stiffness!$C$41,IF(Element_Stiffness!$C$40=1,IF(3=Element_Stiffness!$C$40,Element_Stiffness!U63,IF(3=Element_Stiffness!$E$40,Element_Stiffness!AA63,0)),IF(Element_Stiffness!$E$40=1,IF(3=Element_Stiffness!$C$40,Element_Stiffness!U69,IF(3=Element_Stiffness!$E$40,Element_Stiffness!AA69,0)),0)),0)+IF(Element_Stiffness!$C$76,IF(Element_Stiffness!$C$75=1,IF(3=Element_Stiffness!$C$75,Element_Stiffness!U98,IF(3=Element_Stiffness!$E$75,Element_Stiffness!AA98,0)),IF(Element_Stiffness!$E$75=1,IF(3=Element_Stiffness!$C$75,Element_Stiffness!U104,IF(3=Element_Stiffness!$E$75,Element_Stiffness!AA104,0)),0)),0)+IF(Element_Stiffness!$C$111,IF(Element_Stiffness!$C$110=1,IF(3=Element_Stiffness!$C$110,Element_Stiffness!U133,IF(3=Element_Stiffness!$E$110,Element_Stiffness!AA133,0)),IF(Element_Stiffness!$E$110=1,IF(3=Element_Stiffness!$C$110,Element_Stiffness!U139,IF(3=Element_Stiffness!$E$110,Element_Stiffness!AA139,0)),0)),0)+IF(Element_Stiffness!$C$146,IF(Element_Stiffness!$C$145=1,IF(3=Element_Stiffness!$C$145,Element_Stiffness!U168,IF(3=Element_Stiffness!$E$145,Element_Stiffness!AA168,0)),IF(Element_Stiffness!$E$145=1,IF(3=Element_Stiffness!$C$145,Element_Stiffness!U174,IF(3=Element_Stiffness!$E$145,Element_Stiffness!AA174,0)),0)),0)+IF(Element_Stiffness!$C$181,IF(Element_Stiffness!$C$180=1,IF(3=Element_Stiffness!$C$180,Element_Stiffness!U203,IF(3=Element_Stiffness!$E$180,Element_Stiffness!AA203,0)),IF(Element_Stiffness!$E$180=1,IF(3=Element_Stiffness!$C$180,Element_Stiffness!U209,IF(3=Element_Stiffness!$E$180,Element_Stiffness!AA209,0)),0)),0)+IF(Element_Stiffness!$C$216,IF(Element_Stiffness!$C$215=1,IF(3=Element_Stiffness!$C$215,Element_Stiffness!U238,IF(3=Element_Stiffness!$E$215,Element_Stiffness!AA238,0)),IF(Element_Stiffness!$E$215=1,IF(3=Element_Stiffness!$C$215,Element_Stiffness!U244,IF(3=Element_Stiffness!$E$215,Element_Stiffness!AA244,0)),0)),0)</f>
        <v/>
      </c>
      <c r="AA13" s="21">
        <f>IF(Element_Stiffness!$C$6,IF(Element_Stiffness!$C$5=1,IF(4=Element_Stiffness!$C$5,Element_Stiffness!P28,IF(4=Element_Stiffness!$E$5,Element_Stiffness!V28,0)),IF(Element_Stiffness!$E$5=1,IF(4=Element_Stiffness!$C$5,Element_Stiffness!P34,IF(4=Element_Stiffness!$E$5,Element_Stiffness!V34,0)),0)),0)+IF(Element_Stiffness!$C$41,IF(Element_Stiffness!$C$40=1,IF(4=Element_Stiffness!$C$40,Element_Stiffness!P63,IF(4=Element_Stiffness!$E$40,Element_Stiffness!V63,0)),IF(Element_Stiffness!$E$40=1,IF(4=Element_Stiffness!$C$40,Element_Stiffness!P69,IF(4=Element_Stiffness!$E$40,Element_Stiffness!V69,0)),0)),0)+IF(Element_Stiffness!$C$76,IF(Element_Stiffness!$C$75=1,IF(4=Element_Stiffness!$C$75,Element_Stiffness!P98,IF(4=Element_Stiffness!$E$75,Element_Stiffness!V98,0)),IF(Element_Stiffness!$E$75=1,IF(4=Element_Stiffness!$C$75,Element_Stiffness!P104,IF(4=Element_Stiffness!$E$75,Element_Stiffness!V104,0)),0)),0)+IF(Element_Stiffness!$C$111,IF(Element_Stiffness!$C$110=1,IF(4=Element_Stiffness!$C$110,Element_Stiffness!P133,IF(4=Element_Stiffness!$E$110,Element_Stiffness!V133,0)),IF(Element_Stiffness!$E$110=1,IF(4=Element_Stiffness!$C$110,Element_Stiffness!P139,IF(4=Element_Stiffness!$E$110,Element_Stiffness!V139,0)),0)),0)+IF(Element_Stiffness!$C$146,IF(Element_Stiffness!$C$145=1,IF(4=Element_Stiffness!$C$145,Element_Stiffness!P168,IF(4=Element_Stiffness!$E$145,Element_Stiffness!V168,0)),IF(Element_Stiffness!$E$145=1,IF(4=Element_Stiffness!$C$145,Element_Stiffness!P174,IF(4=Element_Stiffness!$E$145,Element_Stiffness!V174,0)),0)),0)+IF(Element_Stiffness!$C$181,IF(Element_Stiffness!$C$180=1,IF(4=Element_Stiffness!$C$180,Element_Stiffness!P203,IF(4=Element_Stiffness!$E$180,Element_Stiffness!V203,0)),IF(Element_Stiffness!$E$180=1,IF(4=Element_Stiffness!$C$180,Element_Stiffness!P209,IF(4=Element_Stiffness!$E$180,Element_Stiffness!V209,0)),0)),0)+IF(Element_Stiffness!$C$216,IF(Element_Stiffness!$C$215=1,IF(4=Element_Stiffness!$C$215,Element_Stiffness!P238,IF(4=Element_Stiffness!$E$215,Element_Stiffness!V238,0)),IF(Element_Stiffness!$E$215=1,IF(4=Element_Stiffness!$C$215,Element_Stiffness!P244,IF(4=Element_Stiffness!$E$215,Element_Stiffness!V244,0)),0)),0)</f>
        <v/>
      </c>
      <c r="AB13" s="21">
        <f>IF(Element_Stiffness!$C$6,IF(Element_Stiffness!$C$5=1,IF(4=Element_Stiffness!$C$5,Element_Stiffness!Q28,IF(4=Element_Stiffness!$E$5,Element_Stiffness!W28,0)),IF(Element_Stiffness!$E$5=1,IF(4=Element_Stiffness!$C$5,Element_Stiffness!Q34,IF(4=Element_Stiffness!$E$5,Element_Stiffness!W34,0)),0)),0)+IF(Element_Stiffness!$C$41,IF(Element_Stiffness!$C$40=1,IF(4=Element_Stiffness!$C$40,Element_Stiffness!Q63,IF(4=Element_Stiffness!$E$40,Element_Stiffness!W63,0)),IF(Element_Stiffness!$E$40=1,IF(4=Element_Stiffness!$C$40,Element_Stiffness!Q69,IF(4=Element_Stiffness!$E$40,Element_Stiffness!W69,0)),0)),0)+IF(Element_Stiffness!$C$76,IF(Element_Stiffness!$C$75=1,IF(4=Element_Stiffness!$C$75,Element_Stiffness!Q98,IF(4=Element_Stiffness!$E$75,Element_Stiffness!W98,0)),IF(Element_Stiffness!$E$75=1,IF(4=Element_Stiffness!$C$75,Element_Stiffness!Q104,IF(4=Element_Stiffness!$E$75,Element_Stiffness!W104,0)),0)),0)+IF(Element_Stiffness!$C$111,IF(Element_Stiffness!$C$110=1,IF(4=Element_Stiffness!$C$110,Element_Stiffness!Q133,IF(4=Element_Stiffness!$E$110,Element_Stiffness!W133,0)),IF(Element_Stiffness!$E$110=1,IF(4=Element_Stiffness!$C$110,Element_Stiffness!Q139,IF(4=Element_Stiffness!$E$110,Element_Stiffness!W139,0)),0)),0)+IF(Element_Stiffness!$C$146,IF(Element_Stiffness!$C$145=1,IF(4=Element_Stiffness!$C$145,Element_Stiffness!Q168,IF(4=Element_Stiffness!$E$145,Element_Stiffness!W168,0)),IF(Element_Stiffness!$E$145=1,IF(4=Element_Stiffness!$C$145,Element_Stiffness!Q174,IF(4=Element_Stiffness!$E$145,Element_Stiffness!W174,0)),0)),0)+IF(Element_Stiffness!$C$181,IF(Element_Stiffness!$C$180=1,IF(4=Element_Stiffness!$C$180,Element_Stiffness!Q203,IF(4=Element_Stiffness!$E$180,Element_Stiffness!W203,0)),IF(Element_Stiffness!$E$180=1,IF(4=Element_Stiffness!$C$180,Element_Stiffness!Q209,IF(4=Element_Stiffness!$E$180,Element_Stiffness!W209,0)),0)),0)+IF(Element_Stiffness!$C$216,IF(Element_Stiffness!$C$215=1,IF(4=Element_Stiffness!$C$215,Element_Stiffness!Q238,IF(4=Element_Stiffness!$E$215,Element_Stiffness!W238,0)),IF(Element_Stiffness!$E$215=1,IF(4=Element_Stiffness!$C$215,Element_Stiffness!Q244,IF(4=Element_Stiffness!$E$215,Element_Stiffness!W244,0)),0)),0)</f>
        <v/>
      </c>
      <c r="AC13" s="21">
        <f>IF(Element_Stiffness!$C$6,IF(Element_Stiffness!$C$5=1,IF(4=Element_Stiffness!$C$5,Element_Stiffness!R28,IF(4=Element_Stiffness!$E$5,Element_Stiffness!X28,0)),IF(Element_Stiffness!$E$5=1,IF(4=Element_Stiffness!$C$5,Element_Stiffness!R34,IF(4=Element_Stiffness!$E$5,Element_Stiffness!X34,0)),0)),0)+IF(Element_Stiffness!$C$41,IF(Element_Stiffness!$C$40=1,IF(4=Element_Stiffness!$C$40,Element_Stiffness!R63,IF(4=Element_Stiffness!$E$40,Element_Stiffness!X63,0)),IF(Element_Stiffness!$E$40=1,IF(4=Element_Stiffness!$C$40,Element_Stiffness!R69,IF(4=Element_Stiffness!$E$40,Element_Stiffness!X69,0)),0)),0)+IF(Element_Stiffness!$C$76,IF(Element_Stiffness!$C$75=1,IF(4=Element_Stiffness!$C$75,Element_Stiffness!R98,IF(4=Element_Stiffness!$E$75,Element_Stiffness!X98,0)),IF(Element_Stiffness!$E$75=1,IF(4=Element_Stiffness!$C$75,Element_Stiffness!R104,IF(4=Element_Stiffness!$E$75,Element_Stiffness!X104,0)),0)),0)+IF(Element_Stiffness!$C$111,IF(Element_Stiffness!$C$110=1,IF(4=Element_Stiffness!$C$110,Element_Stiffness!R133,IF(4=Element_Stiffness!$E$110,Element_Stiffness!X133,0)),IF(Element_Stiffness!$E$110=1,IF(4=Element_Stiffness!$C$110,Element_Stiffness!R139,IF(4=Element_Stiffness!$E$110,Element_Stiffness!X139,0)),0)),0)+IF(Element_Stiffness!$C$146,IF(Element_Stiffness!$C$145=1,IF(4=Element_Stiffness!$C$145,Element_Stiffness!R168,IF(4=Element_Stiffness!$E$145,Element_Stiffness!X168,0)),IF(Element_Stiffness!$E$145=1,IF(4=Element_Stiffness!$C$145,Element_Stiffness!R174,IF(4=Element_Stiffness!$E$145,Element_Stiffness!X174,0)),0)),0)+IF(Element_Stiffness!$C$181,IF(Element_Stiffness!$C$180=1,IF(4=Element_Stiffness!$C$180,Element_Stiffness!R203,IF(4=Element_Stiffness!$E$180,Element_Stiffness!X203,0)),IF(Element_Stiffness!$E$180=1,IF(4=Element_Stiffness!$C$180,Element_Stiffness!R209,IF(4=Element_Stiffness!$E$180,Element_Stiffness!X209,0)),0)),0)+IF(Element_Stiffness!$C$216,IF(Element_Stiffness!$C$215=1,IF(4=Element_Stiffness!$C$215,Element_Stiffness!R238,IF(4=Element_Stiffness!$E$215,Element_Stiffness!X238,0)),IF(Element_Stiffness!$E$215=1,IF(4=Element_Stiffness!$C$215,Element_Stiffness!R244,IF(4=Element_Stiffness!$E$215,Element_Stiffness!X244,0)),0)),0)</f>
        <v/>
      </c>
      <c r="AD13" s="21">
        <f>IF(Element_Stiffness!$C$6,IF(Element_Stiffness!$C$5=1,IF(4=Element_Stiffness!$C$5,Element_Stiffness!S28,IF(4=Element_Stiffness!$E$5,Element_Stiffness!Y28,0)),IF(Element_Stiffness!$E$5=1,IF(4=Element_Stiffness!$C$5,Element_Stiffness!S34,IF(4=Element_Stiffness!$E$5,Element_Stiffness!Y34,0)),0)),0)+IF(Element_Stiffness!$C$41,IF(Element_Stiffness!$C$40=1,IF(4=Element_Stiffness!$C$40,Element_Stiffness!S63,IF(4=Element_Stiffness!$E$40,Element_Stiffness!Y63,0)),IF(Element_Stiffness!$E$40=1,IF(4=Element_Stiffness!$C$40,Element_Stiffness!S69,IF(4=Element_Stiffness!$E$40,Element_Stiffness!Y69,0)),0)),0)+IF(Element_Stiffness!$C$76,IF(Element_Stiffness!$C$75=1,IF(4=Element_Stiffness!$C$75,Element_Stiffness!S98,IF(4=Element_Stiffness!$E$75,Element_Stiffness!Y98,0)),IF(Element_Stiffness!$E$75=1,IF(4=Element_Stiffness!$C$75,Element_Stiffness!S104,IF(4=Element_Stiffness!$E$75,Element_Stiffness!Y104,0)),0)),0)+IF(Element_Stiffness!$C$111,IF(Element_Stiffness!$C$110=1,IF(4=Element_Stiffness!$C$110,Element_Stiffness!S133,IF(4=Element_Stiffness!$E$110,Element_Stiffness!Y133,0)),IF(Element_Stiffness!$E$110=1,IF(4=Element_Stiffness!$C$110,Element_Stiffness!S139,IF(4=Element_Stiffness!$E$110,Element_Stiffness!Y139,0)),0)),0)+IF(Element_Stiffness!$C$146,IF(Element_Stiffness!$C$145=1,IF(4=Element_Stiffness!$C$145,Element_Stiffness!S168,IF(4=Element_Stiffness!$E$145,Element_Stiffness!Y168,0)),IF(Element_Stiffness!$E$145=1,IF(4=Element_Stiffness!$C$145,Element_Stiffness!S174,IF(4=Element_Stiffness!$E$145,Element_Stiffness!Y174,0)),0)),0)+IF(Element_Stiffness!$C$181,IF(Element_Stiffness!$C$180=1,IF(4=Element_Stiffness!$C$180,Element_Stiffness!S203,IF(4=Element_Stiffness!$E$180,Element_Stiffness!Y203,0)),IF(Element_Stiffness!$E$180=1,IF(4=Element_Stiffness!$C$180,Element_Stiffness!S209,IF(4=Element_Stiffness!$E$180,Element_Stiffness!Y209,0)),0)),0)+IF(Element_Stiffness!$C$216,IF(Element_Stiffness!$C$215=1,IF(4=Element_Stiffness!$C$215,Element_Stiffness!S238,IF(4=Element_Stiffness!$E$215,Element_Stiffness!Y238,0)),IF(Element_Stiffness!$E$215=1,IF(4=Element_Stiffness!$C$215,Element_Stiffness!S244,IF(4=Element_Stiffness!$E$215,Element_Stiffness!Y244,0)),0)),0)</f>
        <v/>
      </c>
      <c r="AE13" s="21">
        <f>IF(Element_Stiffness!$C$6,IF(Element_Stiffness!$C$5=1,IF(4=Element_Stiffness!$C$5,Element_Stiffness!T28,IF(4=Element_Stiffness!$E$5,Element_Stiffness!Z28,0)),IF(Element_Stiffness!$E$5=1,IF(4=Element_Stiffness!$C$5,Element_Stiffness!T34,IF(4=Element_Stiffness!$E$5,Element_Stiffness!Z34,0)),0)),0)+IF(Element_Stiffness!$C$41,IF(Element_Stiffness!$C$40=1,IF(4=Element_Stiffness!$C$40,Element_Stiffness!T63,IF(4=Element_Stiffness!$E$40,Element_Stiffness!Z63,0)),IF(Element_Stiffness!$E$40=1,IF(4=Element_Stiffness!$C$40,Element_Stiffness!T69,IF(4=Element_Stiffness!$E$40,Element_Stiffness!Z69,0)),0)),0)+IF(Element_Stiffness!$C$76,IF(Element_Stiffness!$C$75=1,IF(4=Element_Stiffness!$C$75,Element_Stiffness!T98,IF(4=Element_Stiffness!$E$75,Element_Stiffness!Z98,0)),IF(Element_Stiffness!$E$75=1,IF(4=Element_Stiffness!$C$75,Element_Stiffness!T104,IF(4=Element_Stiffness!$E$75,Element_Stiffness!Z104,0)),0)),0)+IF(Element_Stiffness!$C$111,IF(Element_Stiffness!$C$110=1,IF(4=Element_Stiffness!$C$110,Element_Stiffness!T133,IF(4=Element_Stiffness!$E$110,Element_Stiffness!Z133,0)),IF(Element_Stiffness!$E$110=1,IF(4=Element_Stiffness!$C$110,Element_Stiffness!T139,IF(4=Element_Stiffness!$E$110,Element_Stiffness!Z139,0)),0)),0)+IF(Element_Stiffness!$C$146,IF(Element_Stiffness!$C$145=1,IF(4=Element_Stiffness!$C$145,Element_Stiffness!T168,IF(4=Element_Stiffness!$E$145,Element_Stiffness!Z168,0)),IF(Element_Stiffness!$E$145=1,IF(4=Element_Stiffness!$C$145,Element_Stiffness!T174,IF(4=Element_Stiffness!$E$145,Element_Stiffness!Z174,0)),0)),0)+IF(Element_Stiffness!$C$181,IF(Element_Stiffness!$C$180=1,IF(4=Element_Stiffness!$C$180,Element_Stiffness!T203,IF(4=Element_Stiffness!$E$180,Element_Stiffness!Z203,0)),IF(Element_Stiffness!$E$180=1,IF(4=Element_Stiffness!$C$180,Element_Stiffness!T209,IF(4=Element_Stiffness!$E$180,Element_Stiffness!Z209,0)),0)),0)+IF(Element_Stiffness!$C$216,IF(Element_Stiffness!$C$215=1,IF(4=Element_Stiffness!$C$215,Element_Stiffness!T238,IF(4=Element_Stiffness!$E$215,Element_Stiffness!Z238,0)),IF(Element_Stiffness!$E$215=1,IF(4=Element_Stiffness!$C$215,Element_Stiffness!T244,IF(4=Element_Stiffness!$E$215,Element_Stiffness!Z244,0)),0)),0)</f>
        <v/>
      </c>
      <c r="AF13" s="21">
        <f>IF(Element_Stiffness!$C$6,IF(Element_Stiffness!$C$5=1,IF(4=Element_Stiffness!$C$5,Element_Stiffness!U28,IF(4=Element_Stiffness!$E$5,Element_Stiffness!AA28,0)),IF(Element_Stiffness!$E$5=1,IF(4=Element_Stiffness!$C$5,Element_Stiffness!U34,IF(4=Element_Stiffness!$E$5,Element_Stiffness!AA34,0)),0)),0)+IF(Element_Stiffness!$C$41,IF(Element_Stiffness!$C$40=1,IF(4=Element_Stiffness!$C$40,Element_Stiffness!U63,IF(4=Element_Stiffness!$E$40,Element_Stiffness!AA63,0)),IF(Element_Stiffness!$E$40=1,IF(4=Element_Stiffness!$C$40,Element_Stiffness!U69,IF(4=Element_Stiffness!$E$40,Element_Stiffness!AA69,0)),0)),0)+IF(Element_Stiffness!$C$76,IF(Element_Stiffness!$C$75=1,IF(4=Element_Stiffness!$C$75,Element_Stiffness!U98,IF(4=Element_Stiffness!$E$75,Element_Stiffness!AA98,0)),IF(Element_Stiffness!$E$75=1,IF(4=Element_Stiffness!$C$75,Element_Stiffness!U104,IF(4=Element_Stiffness!$E$75,Element_Stiffness!AA104,0)),0)),0)+IF(Element_Stiffness!$C$111,IF(Element_Stiffness!$C$110=1,IF(4=Element_Stiffness!$C$110,Element_Stiffness!U133,IF(4=Element_Stiffness!$E$110,Element_Stiffness!AA133,0)),IF(Element_Stiffness!$E$110=1,IF(4=Element_Stiffness!$C$110,Element_Stiffness!U139,IF(4=Element_Stiffness!$E$110,Element_Stiffness!AA139,0)),0)),0)+IF(Element_Stiffness!$C$146,IF(Element_Stiffness!$C$145=1,IF(4=Element_Stiffness!$C$145,Element_Stiffness!U168,IF(4=Element_Stiffness!$E$145,Element_Stiffness!AA168,0)),IF(Element_Stiffness!$E$145=1,IF(4=Element_Stiffness!$C$145,Element_Stiffness!U174,IF(4=Element_Stiffness!$E$145,Element_Stiffness!AA174,0)),0)),0)+IF(Element_Stiffness!$C$181,IF(Element_Stiffness!$C$180=1,IF(4=Element_Stiffness!$C$180,Element_Stiffness!U203,IF(4=Element_Stiffness!$E$180,Element_Stiffness!AA203,0)),IF(Element_Stiffness!$E$180=1,IF(4=Element_Stiffness!$C$180,Element_Stiffness!U209,IF(4=Element_Stiffness!$E$180,Element_Stiffness!AA209,0)),0)),0)+IF(Element_Stiffness!$C$216,IF(Element_Stiffness!$C$215=1,IF(4=Element_Stiffness!$C$215,Element_Stiffness!U238,IF(4=Element_Stiffness!$E$215,Element_Stiffness!AA238,0)),IF(Element_Stiffness!$E$215=1,IF(4=Element_Stiffness!$C$215,Element_Stiffness!U244,IF(4=Element_Stiffness!$E$215,Element_Stiffness!AA244,0)),0)),0)</f>
        <v/>
      </c>
      <c r="AG13" s="21">
        <f>IF(Element_Stiffness!$C$6,IF(Element_Stiffness!$C$5=1,IF(5=Element_Stiffness!$C$5,Element_Stiffness!P28,IF(5=Element_Stiffness!$E$5,Element_Stiffness!V28,0)),IF(Element_Stiffness!$E$5=1,IF(5=Element_Stiffness!$C$5,Element_Stiffness!P34,IF(5=Element_Stiffness!$E$5,Element_Stiffness!V34,0)),0)),0)+IF(Element_Stiffness!$C$41,IF(Element_Stiffness!$C$40=1,IF(5=Element_Stiffness!$C$40,Element_Stiffness!P63,IF(5=Element_Stiffness!$E$40,Element_Stiffness!V63,0)),IF(Element_Stiffness!$E$40=1,IF(5=Element_Stiffness!$C$40,Element_Stiffness!P69,IF(5=Element_Stiffness!$E$40,Element_Stiffness!V69,0)),0)),0)+IF(Element_Stiffness!$C$76,IF(Element_Stiffness!$C$75=1,IF(5=Element_Stiffness!$C$75,Element_Stiffness!P98,IF(5=Element_Stiffness!$E$75,Element_Stiffness!V98,0)),IF(Element_Stiffness!$E$75=1,IF(5=Element_Stiffness!$C$75,Element_Stiffness!P104,IF(5=Element_Stiffness!$E$75,Element_Stiffness!V104,0)),0)),0)+IF(Element_Stiffness!$C$111,IF(Element_Stiffness!$C$110=1,IF(5=Element_Stiffness!$C$110,Element_Stiffness!P133,IF(5=Element_Stiffness!$E$110,Element_Stiffness!V133,0)),IF(Element_Stiffness!$E$110=1,IF(5=Element_Stiffness!$C$110,Element_Stiffness!P139,IF(5=Element_Stiffness!$E$110,Element_Stiffness!V139,0)),0)),0)+IF(Element_Stiffness!$C$146,IF(Element_Stiffness!$C$145=1,IF(5=Element_Stiffness!$C$145,Element_Stiffness!P168,IF(5=Element_Stiffness!$E$145,Element_Stiffness!V168,0)),IF(Element_Stiffness!$E$145=1,IF(5=Element_Stiffness!$C$145,Element_Stiffness!P174,IF(5=Element_Stiffness!$E$145,Element_Stiffness!V174,0)),0)),0)+IF(Element_Stiffness!$C$181,IF(Element_Stiffness!$C$180=1,IF(5=Element_Stiffness!$C$180,Element_Stiffness!P203,IF(5=Element_Stiffness!$E$180,Element_Stiffness!V203,0)),IF(Element_Stiffness!$E$180=1,IF(5=Element_Stiffness!$C$180,Element_Stiffness!P209,IF(5=Element_Stiffness!$E$180,Element_Stiffness!V209,0)),0)),0)+IF(Element_Stiffness!$C$216,IF(Element_Stiffness!$C$215=1,IF(5=Element_Stiffness!$C$215,Element_Stiffness!P238,IF(5=Element_Stiffness!$E$215,Element_Stiffness!V238,0)),IF(Element_Stiffness!$E$215=1,IF(5=Element_Stiffness!$C$215,Element_Stiffness!P244,IF(5=Element_Stiffness!$E$215,Element_Stiffness!V244,0)),0)),0)</f>
        <v/>
      </c>
      <c r="AH13" s="21">
        <f>IF(Element_Stiffness!$C$6,IF(Element_Stiffness!$C$5=1,IF(5=Element_Stiffness!$C$5,Element_Stiffness!Q28,IF(5=Element_Stiffness!$E$5,Element_Stiffness!W28,0)),IF(Element_Stiffness!$E$5=1,IF(5=Element_Stiffness!$C$5,Element_Stiffness!Q34,IF(5=Element_Stiffness!$E$5,Element_Stiffness!W34,0)),0)),0)+IF(Element_Stiffness!$C$41,IF(Element_Stiffness!$C$40=1,IF(5=Element_Stiffness!$C$40,Element_Stiffness!Q63,IF(5=Element_Stiffness!$E$40,Element_Stiffness!W63,0)),IF(Element_Stiffness!$E$40=1,IF(5=Element_Stiffness!$C$40,Element_Stiffness!Q69,IF(5=Element_Stiffness!$E$40,Element_Stiffness!W69,0)),0)),0)+IF(Element_Stiffness!$C$76,IF(Element_Stiffness!$C$75=1,IF(5=Element_Stiffness!$C$75,Element_Stiffness!Q98,IF(5=Element_Stiffness!$E$75,Element_Stiffness!W98,0)),IF(Element_Stiffness!$E$75=1,IF(5=Element_Stiffness!$C$75,Element_Stiffness!Q104,IF(5=Element_Stiffness!$E$75,Element_Stiffness!W104,0)),0)),0)+IF(Element_Stiffness!$C$111,IF(Element_Stiffness!$C$110=1,IF(5=Element_Stiffness!$C$110,Element_Stiffness!Q133,IF(5=Element_Stiffness!$E$110,Element_Stiffness!W133,0)),IF(Element_Stiffness!$E$110=1,IF(5=Element_Stiffness!$C$110,Element_Stiffness!Q139,IF(5=Element_Stiffness!$E$110,Element_Stiffness!W139,0)),0)),0)+IF(Element_Stiffness!$C$146,IF(Element_Stiffness!$C$145=1,IF(5=Element_Stiffness!$C$145,Element_Stiffness!Q168,IF(5=Element_Stiffness!$E$145,Element_Stiffness!W168,0)),IF(Element_Stiffness!$E$145=1,IF(5=Element_Stiffness!$C$145,Element_Stiffness!Q174,IF(5=Element_Stiffness!$E$145,Element_Stiffness!W174,0)),0)),0)+IF(Element_Stiffness!$C$181,IF(Element_Stiffness!$C$180=1,IF(5=Element_Stiffness!$C$180,Element_Stiffness!Q203,IF(5=Element_Stiffness!$E$180,Element_Stiffness!W203,0)),IF(Element_Stiffness!$E$180=1,IF(5=Element_Stiffness!$C$180,Element_Stiffness!Q209,IF(5=Element_Stiffness!$E$180,Element_Stiffness!W209,0)),0)),0)+IF(Element_Stiffness!$C$216,IF(Element_Stiffness!$C$215=1,IF(5=Element_Stiffness!$C$215,Element_Stiffness!Q238,IF(5=Element_Stiffness!$E$215,Element_Stiffness!W238,0)),IF(Element_Stiffness!$E$215=1,IF(5=Element_Stiffness!$C$215,Element_Stiffness!Q244,IF(5=Element_Stiffness!$E$215,Element_Stiffness!W244,0)),0)),0)</f>
        <v/>
      </c>
      <c r="AI13" s="21">
        <f>IF(Element_Stiffness!$C$6,IF(Element_Stiffness!$C$5=1,IF(5=Element_Stiffness!$C$5,Element_Stiffness!R28,IF(5=Element_Stiffness!$E$5,Element_Stiffness!X28,0)),IF(Element_Stiffness!$E$5=1,IF(5=Element_Stiffness!$C$5,Element_Stiffness!R34,IF(5=Element_Stiffness!$E$5,Element_Stiffness!X34,0)),0)),0)+IF(Element_Stiffness!$C$41,IF(Element_Stiffness!$C$40=1,IF(5=Element_Stiffness!$C$40,Element_Stiffness!R63,IF(5=Element_Stiffness!$E$40,Element_Stiffness!X63,0)),IF(Element_Stiffness!$E$40=1,IF(5=Element_Stiffness!$C$40,Element_Stiffness!R69,IF(5=Element_Stiffness!$E$40,Element_Stiffness!X69,0)),0)),0)+IF(Element_Stiffness!$C$76,IF(Element_Stiffness!$C$75=1,IF(5=Element_Stiffness!$C$75,Element_Stiffness!R98,IF(5=Element_Stiffness!$E$75,Element_Stiffness!X98,0)),IF(Element_Stiffness!$E$75=1,IF(5=Element_Stiffness!$C$75,Element_Stiffness!R104,IF(5=Element_Stiffness!$E$75,Element_Stiffness!X104,0)),0)),0)+IF(Element_Stiffness!$C$111,IF(Element_Stiffness!$C$110=1,IF(5=Element_Stiffness!$C$110,Element_Stiffness!R133,IF(5=Element_Stiffness!$E$110,Element_Stiffness!X133,0)),IF(Element_Stiffness!$E$110=1,IF(5=Element_Stiffness!$C$110,Element_Stiffness!R139,IF(5=Element_Stiffness!$E$110,Element_Stiffness!X139,0)),0)),0)+IF(Element_Stiffness!$C$146,IF(Element_Stiffness!$C$145=1,IF(5=Element_Stiffness!$C$145,Element_Stiffness!R168,IF(5=Element_Stiffness!$E$145,Element_Stiffness!X168,0)),IF(Element_Stiffness!$E$145=1,IF(5=Element_Stiffness!$C$145,Element_Stiffness!R174,IF(5=Element_Stiffness!$E$145,Element_Stiffness!X174,0)),0)),0)+IF(Element_Stiffness!$C$181,IF(Element_Stiffness!$C$180=1,IF(5=Element_Stiffness!$C$180,Element_Stiffness!R203,IF(5=Element_Stiffness!$E$180,Element_Stiffness!X203,0)),IF(Element_Stiffness!$E$180=1,IF(5=Element_Stiffness!$C$180,Element_Stiffness!R209,IF(5=Element_Stiffness!$E$180,Element_Stiffness!X209,0)),0)),0)+IF(Element_Stiffness!$C$216,IF(Element_Stiffness!$C$215=1,IF(5=Element_Stiffness!$C$215,Element_Stiffness!R238,IF(5=Element_Stiffness!$E$215,Element_Stiffness!X238,0)),IF(Element_Stiffness!$E$215=1,IF(5=Element_Stiffness!$C$215,Element_Stiffness!R244,IF(5=Element_Stiffness!$E$215,Element_Stiffness!X244,0)),0)),0)</f>
        <v/>
      </c>
      <c r="AJ13" s="21">
        <f>IF(Element_Stiffness!$C$6,IF(Element_Stiffness!$C$5=1,IF(5=Element_Stiffness!$C$5,Element_Stiffness!S28,IF(5=Element_Stiffness!$E$5,Element_Stiffness!Y28,0)),IF(Element_Stiffness!$E$5=1,IF(5=Element_Stiffness!$C$5,Element_Stiffness!S34,IF(5=Element_Stiffness!$E$5,Element_Stiffness!Y34,0)),0)),0)+IF(Element_Stiffness!$C$41,IF(Element_Stiffness!$C$40=1,IF(5=Element_Stiffness!$C$40,Element_Stiffness!S63,IF(5=Element_Stiffness!$E$40,Element_Stiffness!Y63,0)),IF(Element_Stiffness!$E$40=1,IF(5=Element_Stiffness!$C$40,Element_Stiffness!S69,IF(5=Element_Stiffness!$E$40,Element_Stiffness!Y69,0)),0)),0)+IF(Element_Stiffness!$C$76,IF(Element_Stiffness!$C$75=1,IF(5=Element_Stiffness!$C$75,Element_Stiffness!S98,IF(5=Element_Stiffness!$E$75,Element_Stiffness!Y98,0)),IF(Element_Stiffness!$E$75=1,IF(5=Element_Stiffness!$C$75,Element_Stiffness!S104,IF(5=Element_Stiffness!$E$75,Element_Stiffness!Y104,0)),0)),0)+IF(Element_Stiffness!$C$111,IF(Element_Stiffness!$C$110=1,IF(5=Element_Stiffness!$C$110,Element_Stiffness!S133,IF(5=Element_Stiffness!$E$110,Element_Stiffness!Y133,0)),IF(Element_Stiffness!$E$110=1,IF(5=Element_Stiffness!$C$110,Element_Stiffness!S139,IF(5=Element_Stiffness!$E$110,Element_Stiffness!Y139,0)),0)),0)+IF(Element_Stiffness!$C$146,IF(Element_Stiffness!$C$145=1,IF(5=Element_Stiffness!$C$145,Element_Stiffness!S168,IF(5=Element_Stiffness!$E$145,Element_Stiffness!Y168,0)),IF(Element_Stiffness!$E$145=1,IF(5=Element_Stiffness!$C$145,Element_Stiffness!S174,IF(5=Element_Stiffness!$E$145,Element_Stiffness!Y174,0)),0)),0)+IF(Element_Stiffness!$C$181,IF(Element_Stiffness!$C$180=1,IF(5=Element_Stiffness!$C$180,Element_Stiffness!S203,IF(5=Element_Stiffness!$E$180,Element_Stiffness!Y203,0)),IF(Element_Stiffness!$E$180=1,IF(5=Element_Stiffness!$C$180,Element_Stiffness!S209,IF(5=Element_Stiffness!$E$180,Element_Stiffness!Y209,0)),0)),0)+IF(Element_Stiffness!$C$216,IF(Element_Stiffness!$C$215=1,IF(5=Element_Stiffness!$C$215,Element_Stiffness!S238,IF(5=Element_Stiffness!$E$215,Element_Stiffness!Y238,0)),IF(Element_Stiffness!$E$215=1,IF(5=Element_Stiffness!$C$215,Element_Stiffness!S244,IF(5=Element_Stiffness!$E$215,Element_Stiffness!Y244,0)),0)),0)</f>
        <v/>
      </c>
      <c r="AK13" s="21">
        <f>IF(Element_Stiffness!$C$6,IF(Element_Stiffness!$C$5=1,IF(5=Element_Stiffness!$C$5,Element_Stiffness!T28,IF(5=Element_Stiffness!$E$5,Element_Stiffness!Z28,0)),IF(Element_Stiffness!$E$5=1,IF(5=Element_Stiffness!$C$5,Element_Stiffness!T34,IF(5=Element_Stiffness!$E$5,Element_Stiffness!Z34,0)),0)),0)+IF(Element_Stiffness!$C$41,IF(Element_Stiffness!$C$40=1,IF(5=Element_Stiffness!$C$40,Element_Stiffness!T63,IF(5=Element_Stiffness!$E$40,Element_Stiffness!Z63,0)),IF(Element_Stiffness!$E$40=1,IF(5=Element_Stiffness!$C$40,Element_Stiffness!T69,IF(5=Element_Stiffness!$E$40,Element_Stiffness!Z69,0)),0)),0)+IF(Element_Stiffness!$C$76,IF(Element_Stiffness!$C$75=1,IF(5=Element_Stiffness!$C$75,Element_Stiffness!T98,IF(5=Element_Stiffness!$E$75,Element_Stiffness!Z98,0)),IF(Element_Stiffness!$E$75=1,IF(5=Element_Stiffness!$C$75,Element_Stiffness!T104,IF(5=Element_Stiffness!$E$75,Element_Stiffness!Z104,0)),0)),0)+IF(Element_Stiffness!$C$111,IF(Element_Stiffness!$C$110=1,IF(5=Element_Stiffness!$C$110,Element_Stiffness!T133,IF(5=Element_Stiffness!$E$110,Element_Stiffness!Z133,0)),IF(Element_Stiffness!$E$110=1,IF(5=Element_Stiffness!$C$110,Element_Stiffness!T139,IF(5=Element_Stiffness!$E$110,Element_Stiffness!Z139,0)),0)),0)+IF(Element_Stiffness!$C$146,IF(Element_Stiffness!$C$145=1,IF(5=Element_Stiffness!$C$145,Element_Stiffness!T168,IF(5=Element_Stiffness!$E$145,Element_Stiffness!Z168,0)),IF(Element_Stiffness!$E$145=1,IF(5=Element_Stiffness!$C$145,Element_Stiffness!T174,IF(5=Element_Stiffness!$E$145,Element_Stiffness!Z174,0)),0)),0)+IF(Element_Stiffness!$C$181,IF(Element_Stiffness!$C$180=1,IF(5=Element_Stiffness!$C$180,Element_Stiffness!T203,IF(5=Element_Stiffness!$E$180,Element_Stiffness!Z203,0)),IF(Element_Stiffness!$E$180=1,IF(5=Element_Stiffness!$C$180,Element_Stiffness!T209,IF(5=Element_Stiffness!$E$180,Element_Stiffness!Z209,0)),0)),0)+IF(Element_Stiffness!$C$216,IF(Element_Stiffness!$C$215=1,IF(5=Element_Stiffness!$C$215,Element_Stiffness!T238,IF(5=Element_Stiffness!$E$215,Element_Stiffness!Z238,0)),IF(Element_Stiffness!$E$215=1,IF(5=Element_Stiffness!$C$215,Element_Stiffness!T244,IF(5=Element_Stiffness!$E$215,Element_Stiffness!Z244,0)),0)),0)</f>
        <v/>
      </c>
      <c r="AL13" s="21">
        <f>IF(Element_Stiffness!$C$6,IF(Element_Stiffness!$C$5=1,IF(5=Element_Stiffness!$C$5,Element_Stiffness!U28,IF(5=Element_Stiffness!$E$5,Element_Stiffness!AA28,0)),IF(Element_Stiffness!$E$5=1,IF(5=Element_Stiffness!$C$5,Element_Stiffness!U34,IF(5=Element_Stiffness!$E$5,Element_Stiffness!AA34,0)),0)),0)+IF(Element_Stiffness!$C$41,IF(Element_Stiffness!$C$40=1,IF(5=Element_Stiffness!$C$40,Element_Stiffness!U63,IF(5=Element_Stiffness!$E$40,Element_Stiffness!AA63,0)),IF(Element_Stiffness!$E$40=1,IF(5=Element_Stiffness!$C$40,Element_Stiffness!U69,IF(5=Element_Stiffness!$E$40,Element_Stiffness!AA69,0)),0)),0)+IF(Element_Stiffness!$C$76,IF(Element_Stiffness!$C$75=1,IF(5=Element_Stiffness!$C$75,Element_Stiffness!U98,IF(5=Element_Stiffness!$E$75,Element_Stiffness!AA98,0)),IF(Element_Stiffness!$E$75=1,IF(5=Element_Stiffness!$C$75,Element_Stiffness!U104,IF(5=Element_Stiffness!$E$75,Element_Stiffness!AA104,0)),0)),0)+IF(Element_Stiffness!$C$111,IF(Element_Stiffness!$C$110=1,IF(5=Element_Stiffness!$C$110,Element_Stiffness!U133,IF(5=Element_Stiffness!$E$110,Element_Stiffness!AA133,0)),IF(Element_Stiffness!$E$110=1,IF(5=Element_Stiffness!$C$110,Element_Stiffness!U139,IF(5=Element_Stiffness!$E$110,Element_Stiffness!AA139,0)),0)),0)+IF(Element_Stiffness!$C$146,IF(Element_Stiffness!$C$145=1,IF(5=Element_Stiffness!$C$145,Element_Stiffness!U168,IF(5=Element_Stiffness!$E$145,Element_Stiffness!AA168,0)),IF(Element_Stiffness!$E$145=1,IF(5=Element_Stiffness!$C$145,Element_Stiffness!U174,IF(5=Element_Stiffness!$E$145,Element_Stiffness!AA174,0)),0)),0)+IF(Element_Stiffness!$C$181,IF(Element_Stiffness!$C$180=1,IF(5=Element_Stiffness!$C$180,Element_Stiffness!U203,IF(5=Element_Stiffness!$E$180,Element_Stiffness!AA203,0)),IF(Element_Stiffness!$E$180=1,IF(5=Element_Stiffness!$C$180,Element_Stiffness!U209,IF(5=Element_Stiffness!$E$180,Element_Stiffness!AA209,0)),0)),0)+IF(Element_Stiffness!$C$216,IF(Element_Stiffness!$C$215=1,IF(5=Element_Stiffness!$C$215,Element_Stiffness!U238,IF(5=Element_Stiffness!$E$215,Element_Stiffness!AA238,0)),IF(Element_Stiffness!$E$215=1,IF(5=Element_Stiffness!$C$215,Element_Stiffness!U244,IF(5=Element_Stiffness!$E$215,Element_Stiffness!AA244,0)),0)),0)</f>
        <v/>
      </c>
      <c r="AM13" s="21">
        <f>IF(Element_Stiffness!$C$6,IF(Element_Stiffness!$C$5=1,IF(6=Element_Stiffness!$C$5,Element_Stiffness!P28,IF(6=Element_Stiffness!$E$5,Element_Stiffness!V28,0)),IF(Element_Stiffness!$E$5=1,IF(6=Element_Stiffness!$C$5,Element_Stiffness!P34,IF(6=Element_Stiffness!$E$5,Element_Stiffness!V34,0)),0)),0)+IF(Element_Stiffness!$C$41,IF(Element_Stiffness!$C$40=1,IF(6=Element_Stiffness!$C$40,Element_Stiffness!P63,IF(6=Element_Stiffness!$E$40,Element_Stiffness!V63,0)),IF(Element_Stiffness!$E$40=1,IF(6=Element_Stiffness!$C$40,Element_Stiffness!P69,IF(6=Element_Stiffness!$E$40,Element_Stiffness!V69,0)),0)),0)+IF(Element_Stiffness!$C$76,IF(Element_Stiffness!$C$75=1,IF(6=Element_Stiffness!$C$75,Element_Stiffness!P98,IF(6=Element_Stiffness!$E$75,Element_Stiffness!V98,0)),IF(Element_Stiffness!$E$75=1,IF(6=Element_Stiffness!$C$75,Element_Stiffness!P104,IF(6=Element_Stiffness!$E$75,Element_Stiffness!V104,0)),0)),0)+IF(Element_Stiffness!$C$111,IF(Element_Stiffness!$C$110=1,IF(6=Element_Stiffness!$C$110,Element_Stiffness!P133,IF(6=Element_Stiffness!$E$110,Element_Stiffness!V133,0)),IF(Element_Stiffness!$E$110=1,IF(6=Element_Stiffness!$C$110,Element_Stiffness!P139,IF(6=Element_Stiffness!$E$110,Element_Stiffness!V139,0)),0)),0)+IF(Element_Stiffness!$C$146,IF(Element_Stiffness!$C$145=1,IF(6=Element_Stiffness!$C$145,Element_Stiffness!P168,IF(6=Element_Stiffness!$E$145,Element_Stiffness!V168,0)),IF(Element_Stiffness!$E$145=1,IF(6=Element_Stiffness!$C$145,Element_Stiffness!P174,IF(6=Element_Stiffness!$E$145,Element_Stiffness!V174,0)),0)),0)+IF(Element_Stiffness!$C$181,IF(Element_Stiffness!$C$180=1,IF(6=Element_Stiffness!$C$180,Element_Stiffness!P203,IF(6=Element_Stiffness!$E$180,Element_Stiffness!V203,0)),IF(Element_Stiffness!$E$180=1,IF(6=Element_Stiffness!$C$180,Element_Stiffness!P209,IF(6=Element_Stiffness!$E$180,Element_Stiffness!V209,0)),0)),0)+IF(Element_Stiffness!$C$216,IF(Element_Stiffness!$C$215=1,IF(6=Element_Stiffness!$C$215,Element_Stiffness!P238,IF(6=Element_Stiffness!$E$215,Element_Stiffness!V238,0)),IF(Element_Stiffness!$E$215=1,IF(6=Element_Stiffness!$C$215,Element_Stiffness!P244,IF(6=Element_Stiffness!$E$215,Element_Stiffness!V244,0)),0)),0)</f>
        <v/>
      </c>
      <c r="AN13" s="21">
        <f>IF(Element_Stiffness!$C$6,IF(Element_Stiffness!$C$5=1,IF(6=Element_Stiffness!$C$5,Element_Stiffness!Q28,IF(6=Element_Stiffness!$E$5,Element_Stiffness!W28,0)),IF(Element_Stiffness!$E$5=1,IF(6=Element_Stiffness!$C$5,Element_Stiffness!Q34,IF(6=Element_Stiffness!$E$5,Element_Stiffness!W34,0)),0)),0)+IF(Element_Stiffness!$C$41,IF(Element_Stiffness!$C$40=1,IF(6=Element_Stiffness!$C$40,Element_Stiffness!Q63,IF(6=Element_Stiffness!$E$40,Element_Stiffness!W63,0)),IF(Element_Stiffness!$E$40=1,IF(6=Element_Stiffness!$C$40,Element_Stiffness!Q69,IF(6=Element_Stiffness!$E$40,Element_Stiffness!W69,0)),0)),0)+IF(Element_Stiffness!$C$76,IF(Element_Stiffness!$C$75=1,IF(6=Element_Stiffness!$C$75,Element_Stiffness!Q98,IF(6=Element_Stiffness!$E$75,Element_Stiffness!W98,0)),IF(Element_Stiffness!$E$75=1,IF(6=Element_Stiffness!$C$75,Element_Stiffness!Q104,IF(6=Element_Stiffness!$E$75,Element_Stiffness!W104,0)),0)),0)+IF(Element_Stiffness!$C$111,IF(Element_Stiffness!$C$110=1,IF(6=Element_Stiffness!$C$110,Element_Stiffness!Q133,IF(6=Element_Stiffness!$E$110,Element_Stiffness!W133,0)),IF(Element_Stiffness!$E$110=1,IF(6=Element_Stiffness!$C$110,Element_Stiffness!Q139,IF(6=Element_Stiffness!$E$110,Element_Stiffness!W139,0)),0)),0)+IF(Element_Stiffness!$C$146,IF(Element_Stiffness!$C$145=1,IF(6=Element_Stiffness!$C$145,Element_Stiffness!Q168,IF(6=Element_Stiffness!$E$145,Element_Stiffness!W168,0)),IF(Element_Stiffness!$E$145=1,IF(6=Element_Stiffness!$C$145,Element_Stiffness!Q174,IF(6=Element_Stiffness!$E$145,Element_Stiffness!W174,0)),0)),0)+IF(Element_Stiffness!$C$181,IF(Element_Stiffness!$C$180=1,IF(6=Element_Stiffness!$C$180,Element_Stiffness!Q203,IF(6=Element_Stiffness!$E$180,Element_Stiffness!W203,0)),IF(Element_Stiffness!$E$180=1,IF(6=Element_Stiffness!$C$180,Element_Stiffness!Q209,IF(6=Element_Stiffness!$E$180,Element_Stiffness!W209,0)),0)),0)+IF(Element_Stiffness!$C$216,IF(Element_Stiffness!$C$215=1,IF(6=Element_Stiffness!$C$215,Element_Stiffness!Q238,IF(6=Element_Stiffness!$E$215,Element_Stiffness!W238,0)),IF(Element_Stiffness!$E$215=1,IF(6=Element_Stiffness!$C$215,Element_Stiffness!Q244,IF(6=Element_Stiffness!$E$215,Element_Stiffness!W244,0)),0)),0)</f>
        <v/>
      </c>
      <c r="AO13" s="21">
        <f>IF(Element_Stiffness!$C$6,IF(Element_Stiffness!$C$5=1,IF(6=Element_Stiffness!$C$5,Element_Stiffness!R28,IF(6=Element_Stiffness!$E$5,Element_Stiffness!X28,0)),IF(Element_Stiffness!$E$5=1,IF(6=Element_Stiffness!$C$5,Element_Stiffness!R34,IF(6=Element_Stiffness!$E$5,Element_Stiffness!X34,0)),0)),0)+IF(Element_Stiffness!$C$41,IF(Element_Stiffness!$C$40=1,IF(6=Element_Stiffness!$C$40,Element_Stiffness!R63,IF(6=Element_Stiffness!$E$40,Element_Stiffness!X63,0)),IF(Element_Stiffness!$E$40=1,IF(6=Element_Stiffness!$C$40,Element_Stiffness!R69,IF(6=Element_Stiffness!$E$40,Element_Stiffness!X69,0)),0)),0)+IF(Element_Stiffness!$C$76,IF(Element_Stiffness!$C$75=1,IF(6=Element_Stiffness!$C$75,Element_Stiffness!R98,IF(6=Element_Stiffness!$E$75,Element_Stiffness!X98,0)),IF(Element_Stiffness!$E$75=1,IF(6=Element_Stiffness!$C$75,Element_Stiffness!R104,IF(6=Element_Stiffness!$E$75,Element_Stiffness!X104,0)),0)),0)+IF(Element_Stiffness!$C$111,IF(Element_Stiffness!$C$110=1,IF(6=Element_Stiffness!$C$110,Element_Stiffness!R133,IF(6=Element_Stiffness!$E$110,Element_Stiffness!X133,0)),IF(Element_Stiffness!$E$110=1,IF(6=Element_Stiffness!$C$110,Element_Stiffness!R139,IF(6=Element_Stiffness!$E$110,Element_Stiffness!X139,0)),0)),0)+IF(Element_Stiffness!$C$146,IF(Element_Stiffness!$C$145=1,IF(6=Element_Stiffness!$C$145,Element_Stiffness!R168,IF(6=Element_Stiffness!$E$145,Element_Stiffness!X168,0)),IF(Element_Stiffness!$E$145=1,IF(6=Element_Stiffness!$C$145,Element_Stiffness!R174,IF(6=Element_Stiffness!$E$145,Element_Stiffness!X174,0)),0)),0)+IF(Element_Stiffness!$C$181,IF(Element_Stiffness!$C$180=1,IF(6=Element_Stiffness!$C$180,Element_Stiffness!R203,IF(6=Element_Stiffness!$E$180,Element_Stiffness!X203,0)),IF(Element_Stiffness!$E$180=1,IF(6=Element_Stiffness!$C$180,Element_Stiffness!R209,IF(6=Element_Stiffness!$E$180,Element_Stiffness!X209,0)),0)),0)+IF(Element_Stiffness!$C$216,IF(Element_Stiffness!$C$215=1,IF(6=Element_Stiffness!$C$215,Element_Stiffness!R238,IF(6=Element_Stiffness!$E$215,Element_Stiffness!X238,0)),IF(Element_Stiffness!$E$215=1,IF(6=Element_Stiffness!$C$215,Element_Stiffness!R244,IF(6=Element_Stiffness!$E$215,Element_Stiffness!X244,0)),0)),0)</f>
        <v/>
      </c>
      <c r="AP13" s="21">
        <f>IF(Element_Stiffness!$C$6,IF(Element_Stiffness!$C$5=1,IF(6=Element_Stiffness!$C$5,Element_Stiffness!S28,IF(6=Element_Stiffness!$E$5,Element_Stiffness!Y28,0)),IF(Element_Stiffness!$E$5=1,IF(6=Element_Stiffness!$C$5,Element_Stiffness!S34,IF(6=Element_Stiffness!$E$5,Element_Stiffness!Y34,0)),0)),0)+IF(Element_Stiffness!$C$41,IF(Element_Stiffness!$C$40=1,IF(6=Element_Stiffness!$C$40,Element_Stiffness!S63,IF(6=Element_Stiffness!$E$40,Element_Stiffness!Y63,0)),IF(Element_Stiffness!$E$40=1,IF(6=Element_Stiffness!$C$40,Element_Stiffness!S69,IF(6=Element_Stiffness!$E$40,Element_Stiffness!Y69,0)),0)),0)+IF(Element_Stiffness!$C$76,IF(Element_Stiffness!$C$75=1,IF(6=Element_Stiffness!$C$75,Element_Stiffness!S98,IF(6=Element_Stiffness!$E$75,Element_Stiffness!Y98,0)),IF(Element_Stiffness!$E$75=1,IF(6=Element_Stiffness!$C$75,Element_Stiffness!S104,IF(6=Element_Stiffness!$E$75,Element_Stiffness!Y104,0)),0)),0)+IF(Element_Stiffness!$C$111,IF(Element_Stiffness!$C$110=1,IF(6=Element_Stiffness!$C$110,Element_Stiffness!S133,IF(6=Element_Stiffness!$E$110,Element_Stiffness!Y133,0)),IF(Element_Stiffness!$E$110=1,IF(6=Element_Stiffness!$C$110,Element_Stiffness!S139,IF(6=Element_Stiffness!$E$110,Element_Stiffness!Y139,0)),0)),0)+IF(Element_Stiffness!$C$146,IF(Element_Stiffness!$C$145=1,IF(6=Element_Stiffness!$C$145,Element_Stiffness!S168,IF(6=Element_Stiffness!$E$145,Element_Stiffness!Y168,0)),IF(Element_Stiffness!$E$145=1,IF(6=Element_Stiffness!$C$145,Element_Stiffness!S174,IF(6=Element_Stiffness!$E$145,Element_Stiffness!Y174,0)),0)),0)+IF(Element_Stiffness!$C$181,IF(Element_Stiffness!$C$180=1,IF(6=Element_Stiffness!$C$180,Element_Stiffness!S203,IF(6=Element_Stiffness!$E$180,Element_Stiffness!Y203,0)),IF(Element_Stiffness!$E$180=1,IF(6=Element_Stiffness!$C$180,Element_Stiffness!S209,IF(6=Element_Stiffness!$E$180,Element_Stiffness!Y209,0)),0)),0)+IF(Element_Stiffness!$C$216,IF(Element_Stiffness!$C$215=1,IF(6=Element_Stiffness!$C$215,Element_Stiffness!S238,IF(6=Element_Stiffness!$E$215,Element_Stiffness!Y238,0)),IF(Element_Stiffness!$E$215=1,IF(6=Element_Stiffness!$C$215,Element_Stiffness!S244,IF(6=Element_Stiffness!$E$215,Element_Stiffness!Y244,0)),0)),0)</f>
        <v/>
      </c>
      <c r="AQ13" s="21">
        <f>IF(Element_Stiffness!$C$6,IF(Element_Stiffness!$C$5=1,IF(6=Element_Stiffness!$C$5,Element_Stiffness!T28,IF(6=Element_Stiffness!$E$5,Element_Stiffness!Z28,0)),IF(Element_Stiffness!$E$5=1,IF(6=Element_Stiffness!$C$5,Element_Stiffness!T34,IF(6=Element_Stiffness!$E$5,Element_Stiffness!Z34,0)),0)),0)+IF(Element_Stiffness!$C$41,IF(Element_Stiffness!$C$40=1,IF(6=Element_Stiffness!$C$40,Element_Stiffness!T63,IF(6=Element_Stiffness!$E$40,Element_Stiffness!Z63,0)),IF(Element_Stiffness!$E$40=1,IF(6=Element_Stiffness!$C$40,Element_Stiffness!T69,IF(6=Element_Stiffness!$E$40,Element_Stiffness!Z69,0)),0)),0)+IF(Element_Stiffness!$C$76,IF(Element_Stiffness!$C$75=1,IF(6=Element_Stiffness!$C$75,Element_Stiffness!T98,IF(6=Element_Stiffness!$E$75,Element_Stiffness!Z98,0)),IF(Element_Stiffness!$E$75=1,IF(6=Element_Stiffness!$C$75,Element_Stiffness!T104,IF(6=Element_Stiffness!$E$75,Element_Stiffness!Z104,0)),0)),0)+IF(Element_Stiffness!$C$111,IF(Element_Stiffness!$C$110=1,IF(6=Element_Stiffness!$C$110,Element_Stiffness!T133,IF(6=Element_Stiffness!$E$110,Element_Stiffness!Z133,0)),IF(Element_Stiffness!$E$110=1,IF(6=Element_Stiffness!$C$110,Element_Stiffness!T139,IF(6=Element_Stiffness!$E$110,Element_Stiffness!Z139,0)),0)),0)+IF(Element_Stiffness!$C$146,IF(Element_Stiffness!$C$145=1,IF(6=Element_Stiffness!$C$145,Element_Stiffness!T168,IF(6=Element_Stiffness!$E$145,Element_Stiffness!Z168,0)),IF(Element_Stiffness!$E$145=1,IF(6=Element_Stiffness!$C$145,Element_Stiffness!T174,IF(6=Element_Stiffness!$E$145,Element_Stiffness!Z174,0)),0)),0)+IF(Element_Stiffness!$C$181,IF(Element_Stiffness!$C$180=1,IF(6=Element_Stiffness!$C$180,Element_Stiffness!T203,IF(6=Element_Stiffness!$E$180,Element_Stiffness!Z203,0)),IF(Element_Stiffness!$E$180=1,IF(6=Element_Stiffness!$C$180,Element_Stiffness!T209,IF(6=Element_Stiffness!$E$180,Element_Stiffness!Z209,0)),0)),0)+IF(Element_Stiffness!$C$216,IF(Element_Stiffness!$C$215=1,IF(6=Element_Stiffness!$C$215,Element_Stiffness!T238,IF(6=Element_Stiffness!$E$215,Element_Stiffness!Z238,0)),IF(Element_Stiffness!$E$215=1,IF(6=Element_Stiffness!$C$215,Element_Stiffness!T244,IF(6=Element_Stiffness!$E$215,Element_Stiffness!Z244,0)),0)),0)</f>
        <v/>
      </c>
      <c r="AR13" s="21">
        <f>IF(Element_Stiffness!$C$6,IF(Element_Stiffness!$C$5=1,IF(6=Element_Stiffness!$C$5,Element_Stiffness!U28,IF(6=Element_Stiffness!$E$5,Element_Stiffness!AA28,0)),IF(Element_Stiffness!$E$5=1,IF(6=Element_Stiffness!$C$5,Element_Stiffness!U34,IF(6=Element_Stiffness!$E$5,Element_Stiffness!AA34,0)),0)),0)+IF(Element_Stiffness!$C$41,IF(Element_Stiffness!$C$40=1,IF(6=Element_Stiffness!$C$40,Element_Stiffness!U63,IF(6=Element_Stiffness!$E$40,Element_Stiffness!AA63,0)),IF(Element_Stiffness!$E$40=1,IF(6=Element_Stiffness!$C$40,Element_Stiffness!U69,IF(6=Element_Stiffness!$E$40,Element_Stiffness!AA69,0)),0)),0)+IF(Element_Stiffness!$C$76,IF(Element_Stiffness!$C$75=1,IF(6=Element_Stiffness!$C$75,Element_Stiffness!U98,IF(6=Element_Stiffness!$E$75,Element_Stiffness!AA98,0)),IF(Element_Stiffness!$E$75=1,IF(6=Element_Stiffness!$C$75,Element_Stiffness!U104,IF(6=Element_Stiffness!$E$75,Element_Stiffness!AA104,0)),0)),0)+IF(Element_Stiffness!$C$111,IF(Element_Stiffness!$C$110=1,IF(6=Element_Stiffness!$C$110,Element_Stiffness!U133,IF(6=Element_Stiffness!$E$110,Element_Stiffness!AA133,0)),IF(Element_Stiffness!$E$110=1,IF(6=Element_Stiffness!$C$110,Element_Stiffness!U139,IF(6=Element_Stiffness!$E$110,Element_Stiffness!AA139,0)),0)),0)+IF(Element_Stiffness!$C$146,IF(Element_Stiffness!$C$145=1,IF(6=Element_Stiffness!$C$145,Element_Stiffness!U168,IF(6=Element_Stiffness!$E$145,Element_Stiffness!AA168,0)),IF(Element_Stiffness!$E$145=1,IF(6=Element_Stiffness!$C$145,Element_Stiffness!U174,IF(6=Element_Stiffness!$E$145,Element_Stiffness!AA174,0)),0)),0)+IF(Element_Stiffness!$C$181,IF(Element_Stiffness!$C$180=1,IF(6=Element_Stiffness!$C$180,Element_Stiffness!U203,IF(6=Element_Stiffness!$E$180,Element_Stiffness!AA203,0)),IF(Element_Stiffness!$E$180=1,IF(6=Element_Stiffness!$C$180,Element_Stiffness!U209,IF(6=Element_Stiffness!$E$180,Element_Stiffness!AA209,0)),0)),0)+IF(Element_Stiffness!$C$216,IF(Element_Stiffness!$C$215=1,IF(6=Element_Stiffness!$C$215,Element_Stiffness!U238,IF(6=Element_Stiffness!$E$215,Element_Stiffness!AA238,0)),IF(Element_Stiffness!$E$215=1,IF(6=Element_Stiffness!$C$215,Element_Stiffness!U244,IF(6=Element_Stiffness!$E$215,Element_Stiffness!AA244,0)),0)),0)</f>
        <v/>
      </c>
      <c r="AS13" s="21">
        <f>IF(Element_Stiffness!$C$6,IF(Element_Stiffness!$C$5=1,IF(7=Element_Stiffness!$C$5,Element_Stiffness!P28,IF(7=Element_Stiffness!$E$5,Element_Stiffness!V28,0)),IF(Element_Stiffness!$E$5=1,IF(7=Element_Stiffness!$C$5,Element_Stiffness!P34,IF(7=Element_Stiffness!$E$5,Element_Stiffness!V34,0)),0)),0)+IF(Element_Stiffness!$C$41,IF(Element_Stiffness!$C$40=1,IF(7=Element_Stiffness!$C$40,Element_Stiffness!P63,IF(7=Element_Stiffness!$E$40,Element_Stiffness!V63,0)),IF(Element_Stiffness!$E$40=1,IF(7=Element_Stiffness!$C$40,Element_Stiffness!P69,IF(7=Element_Stiffness!$E$40,Element_Stiffness!V69,0)),0)),0)+IF(Element_Stiffness!$C$76,IF(Element_Stiffness!$C$75=1,IF(7=Element_Stiffness!$C$75,Element_Stiffness!P98,IF(7=Element_Stiffness!$E$75,Element_Stiffness!V98,0)),IF(Element_Stiffness!$E$75=1,IF(7=Element_Stiffness!$C$75,Element_Stiffness!P104,IF(7=Element_Stiffness!$E$75,Element_Stiffness!V104,0)),0)),0)+IF(Element_Stiffness!$C$111,IF(Element_Stiffness!$C$110=1,IF(7=Element_Stiffness!$C$110,Element_Stiffness!P133,IF(7=Element_Stiffness!$E$110,Element_Stiffness!V133,0)),IF(Element_Stiffness!$E$110=1,IF(7=Element_Stiffness!$C$110,Element_Stiffness!P139,IF(7=Element_Stiffness!$E$110,Element_Stiffness!V139,0)),0)),0)+IF(Element_Stiffness!$C$146,IF(Element_Stiffness!$C$145=1,IF(7=Element_Stiffness!$C$145,Element_Stiffness!P168,IF(7=Element_Stiffness!$E$145,Element_Stiffness!V168,0)),IF(Element_Stiffness!$E$145=1,IF(7=Element_Stiffness!$C$145,Element_Stiffness!P174,IF(7=Element_Stiffness!$E$145,Element_Stiffness!V174,0)),0)),0)+IF(Element_Stiffness!$C$181,IF(Element_Stiffness!$C$180=1,IF(7=Element_Stiffness!$C$180,Element_Stiffness!P203,IF(7=Element_Stiffness!$E$180,Element_Stiffness!V203,0)),IF(Element_Stiffness!$E$180=1,IF(7=Element_Stiffness!$C$180,Element_Stiffness!P209,IF(7=Element_Stiffness!$E$180,Element_Stiffness!V209,0)),0)),0)+IF(Element_Stiffness!$C$216,IF(Element_Stiffness!$C$215=1,IF(7=Element_Stiffness!$C$215,Element_Stiffness!P238,IF(7=Element_Stiffness!$E$215,Element_Stiffness!V238,0)),IF(Element_Stiffness!$E$215=1,IF(7=Element_Stiffness!$C$215,Element_Stiffness!P244,IF(7=Element_Stiffness!$E$215,Element_Stiffness!V244,0)),0)),0)</f>
        <v/>
      </c>
      <c r="AT13" s="21">
        <f>IF(Element_Stiffness!$C$6,IF(Element_Stiffness!$C$5=1,IF(7=Element_Stiffness!$C$5,Element_Stiffness!Q28,IF(7=Element_Stiffness!$E$5,Element_Stiffness!W28,0)),IF(Element_Stiffness!$E$5=1,IF(7=Element_Stiffness!$C$5,Element_Stiffness!Q34,IF(7=Element_Stiffness!$E$5,Element_Stiffness!W34,0)),0)),0)+IF(Element_Stiffness!$C$41,IF(Element_Stiffness!$C$40=1,IF(7=Element_Stiffness!$C$40,Element_Stiffness!Q63,IF(7=Element_Stiffness!$E$40,Element_Stiffness!W63,0)),IF(Element_Stiffness!$E$40=1,IF(7=Element_Stiffness!$C$40,Element_Stiffness!Q69,IF(7=Element_Stiffness!$E$40,Element_Stiffness!W69,0)),0)),0)+IF(Element_Stiffness!$C$76,IF(Element_Stiffness!$C$75=1,IF(7=Element_Stiffness!$C$75,Element_Stiffness!Q98,IF(7=Element_Stiffness!$E$75,Element_Stiffness!W98,0)),IF(Element_Stiffness!$E$75=1,IF(7=Element_Stiffness!$C$75,Element_Stiffness!Q104,IF(7=Element_Stiffness!$E$75,Element_Stiffness!W104,0)),0)),0)+IF(Element_Stiffness!$C$111,IF(Element_Stiffness!$C$110=1,IF(7=Element_Stiffness!$C$110,Element_Stiffness!Q133,IF(7=Element_Stiffness!$E$110,Element_Stiffness!W133,0)),IF(Element_Stiffness!$E$110=1,IF(7=Element_Stiffness!$C$110,Element_Stiffness!Q139,IF(7=Element_Stiffness!$E$110,Element_Stiffness!W139,0)),0)),0)+IF(Element_Stiffness!$C$146,IF(Element_Stiffness!$C$145=1,IF(7=Element_Stiffness!$C$145,Element_Stiffness!Q168,IF(7=Element_Stiffness!$E$145,Element_Stiffness!W168,0)),IF(Element_Stiffness!$E$145=1,IF(7=Element_Stiffness!$C$145,Element_Stiffness!Q174,IF(7=Element_Stiffness!$E$145,Element_Stiffness!W174,0)),0)),0)+IF(Element_Stiffness!$C$181,IF(Element_Stiffness!$C$180=1,IF(7=Element_Stiffness!$C$180,Element_Stiffness!Q203,IF(7=Element_Stiffness!$E$180,Element_Stiffness!W203,0)),IF(Element_Stiffness!$E$180=1,IF(7=Element_Stiffness!$C$180,Element_Stiffness!Q209,IF(7=Element_Stiffness!$E$180,Element_Stiffness!W209,0)),0)),0)+IF(Element_Stiffness!$C$216,IF(Element_Stiffness!$C$215=1,IF(7=Element_Stiffness!$C$215,Element_Stiffness!Q238,IF(7=Element_Stiffness!$E$215,Element_Stiffness!W238,0)),IF(Element_Stiffness!$E$215=1,IF(7=Element_Stiffness!$C$215,Element_Stiffness!Q244,IF(7=Element_Stiffness!$E$215,Element_Stiffness!W244,0)),0)),0)</f>
        <v/>
      </c>
      <c r="AU13" s="21">
        <f>IF(Element_Stiffness!$C$6,IF(Element_Stiffness!$C$5=1,IF(7=Element_Stiffness!$C$5,Element_Stiffness!R28,IF(7=Element_Stiffness!$E$5,Element_Stiffness!X28,0)),IF(Element_Stiffness!$E$5=1,IF(7=Element_Stiffness!$C$5,Element_Stiffness!R34,IF(7=Element_Stiffness!$E$5,Element_Stiffness!X34,0)),0)),0)+IF(Element_Stiffness!$C$41,IF(Element_Stiffness!$C$40=1,IF(7=Element_Stiffness!$C$40,Element_Stiffness!R63,IF(7=Element_Stiffness!$E$40,Element_Stiffness!X63,0)),IF(Element_Stiffness!$E$40=1,IF(7=Element_Stiffness!$C$40,Element_Stiffness!R69,IF(7=Element_Stiffness!$E$40,Element_Stiffness!X69,0)),0)),0)+IF(Element_Stiffness!$C$76,IF(Element_Stiffness!$C$75=1,IF(7=Element_Stiffness!$C$75,Element_Stiffness!R98,IF(7=Element_Stiffness!$E$75,Element_Stiffness!X98,0)),IF(Element_Stiffness!$E$75=1,IF(7=Element_Stiffness!$C$75,Element_Stiffness!R104,IF(7=Element_Stiffness!$E$75,Element_Stiffness!X104,0)),0)),0)+IF(Element_Stiffness!$C$111,IF(Element_Stiffness!$C$110=1,IF(7=Element_Stiffness!$C$110,Element_Stiffness!R133,IF(7=Element_Stiffness!$E$110,Element_Stiffness!X133,0)),IF(Element_Stiffness!$E$110=1,IF(7=Element_Stiffness!$C$110,Element_Stiffness!R139,IF(7=Element_Stiffness!$E$110,Element_Stiffness!X139,0)),0)),0)+IF(Element_Stiffness!$C$146,IF(Element_Stiffness!$C$145=1,IF(7=Element_Stiffness!$C$145,Element_Stiffness!R168,IF(7=Element_Stiffness!$E$145,Element_Stiffness!X168,0)),IF(Element_Stiffness!$E$145=1,IF(7=Element_Stiffness!$C$145,Element_Stiffness!R174,IF(7=Element_Stiffness!$E$145,Element_Stiffness!X174,0)),0)),0)+IF(Element_Stiffness!$C$181,IF(Element_Stiffness!$C$180=1,IF(7=Element_Stiffness!$C$180,Element_Stiffness!R203,IF(7=Element_Stiffness!$E$180,Element_Stiffness!X203,0)),IF(Element_Stiffness!$E$180=1,IF(7=Element_Stiffness!$C$180,Element_Stiffness!R209,IF(7=Element_Stiffness!$E$180,Element_Stiffness!X209,0)),0)),0)+IF(Element_Stiffness!$C$216,IF(Element_Stiffness!$C$215=1,IF(7=Element_Stiffness!$C$215,Element_Stiffness!R238,IF(7=Element_Stiffness!$E$215,Element_Stiffness!X238,0)),IF(Element_Stiffness!$E$215=1,IF(7=Element_Stiffness!$C$215,Element_Stiffness!R244,IF(7=Element_Stiffness!$E$215,Element_Stiffness!X244,0)),0)),0)</f>
        <v/>
      </c>
      <c r="AV13" s="21">
        <f>IF(Element_Stiffness!$C$6,IF(Element_Stiffness!$C$5=1,IF(7=Element_Stiffness!$C$5,Element_Stiffness!S28,IF(7=Element_Stiffness!$E$5,Element_Stiffness!Y28,0)),IF(Element_Stiffness!$E$5=1,IF(7=Element_Stiffness!$C$5,Element_Stiffness!S34,IF(7=Element_Stiffness!$E$5,Element_Stiffness!Y34,0)),0)),0)+IF(Element_Stiffness!$C$41,IF(Element_Stiffness!$C$40=1,IF(7=Element_Stiffness!$C$40,Element_Stiffness!S63,IF(7=Element_Stiffness!$E$40,Element_Stiffness!Y63,0)),IF(Element_Stiffness!$E$40=1,IF(7=Element_Stiffness!$C$40,Element_Stiffness!S69,IF(7=Element_Stiffness!$E$40,Element_Stiffness!Y69,0)),0)),0)+IF(Element_Stiffness!$C$76,IF(Element_Stiffness!$C$75=1,IF(7=Element_Stiffness!$C$75,Element_Stiffness!S98,IF(7=Element_Stiffness!$E$75,Element_Stiffness!Y98,0)),IF(Element_Stiffness!$E$75=1,IF(7=Element_Stiffness!$C$75,Element_Stiffness!S104,IF(7=Element_Stiffness!$E$75,Element_Stiffness!Y104,0)),0)),0)+IF(Element_Stiffness!$C$111,IF(Element_Stiffness!$C$110=1,IF(7=Element_Stiffness!$C$110,Element_Stiffness!S133,IF(7=Element_Stiffness!$E$110,Element_Stiffness!Y133,0)),IF(Element_Stiffness!$E$110=1,IF(7=Element_Stiffness!$C$110,Element_Stiffness!S139,IF(7=Element_Stiffness!$E$110,Element_Stiffness!Y139,0)),0)),0)+IF(Element_Stiffness!$C$146,IF(Element_Stiffness!$C$145=1,IF(7=Element_Stiffness!$C$145,Element_Stiffness!S168,IF(7=Element_Stiffness!$E$145,Element_Stiffness!Y168,0)),IF(Element_Stiffness!$E$145=1,IF(7=Element_Stiffness!$C$145,Element_Stiffness!S174,IF(7=Element_Stiffness!$E$145,Element_Stiffness!Y174,0)),0)),0)+IF(Element_Stiffness!$C$181,IF(Element_Stiffness!$C$180=1,IF(7=Element_Stiffness!$C$180,Element_Stiffness!S203,IF(7=Element_Stiffness!$E$180,Element_Stiffness!Y203,0)),IF(Element_Stiffness!$E$180=1,IF(7=Element_Stiffness!$C$180,Element_Stiffness!S209,IF(7=Element_Stiffness!$E$180,Element_Stiffness!Y209,0)),0)),0)+IF(Element_Stiffness!$C$216,IF(Element_Stiffness!$C$215=1,IF(7=Element_Stiffness!$C$215,Element_Stiffness!S238,IF(7=Element_Stiffness!$E$215,Element_Stiffness!Y238,0)),IF(Element_Stiffness!$E$215=1,IF(7=Element_Stiffness!$C$215,Element_Stiffness!S244,IF(7=Element_Stiffness!$E$215,Element_Stiffness!Y244,0)),0)),0)</f>
        <v/>
      </c>
      <c r="AW13" s="21">
        <f>IF(Element_Stiffness!$C$6,IF(Element_Stiffness!$C$5=1,IF(7=Element_Stiffness!$C$5,Element_Stiffness!T28,IF(7=Element_Stiffness!$E$5,Element_Stiffness!Z28,0)),IF(Element_Stiffness!$E$5=1,IF(7=Element_Stiffness!$C$5,Element_Stiffness!T34,IF(7=Element_Stiffness!$E$5,Element_Stiffness!Z34,0)),0)),0)+IF(Element_Stiffness!$C$41,IF(Element_Stiffness!$C$40=1,IF(7=Element_Stiffness!$C$40,Element_Stiffness!T63,IF(7=Element_Stiffness!$E$40,Element_Stiffness!Z63,0)),IF(Element_Stiffness!$E$40=1,IF(7=Element_Stiffness!$C$40,Element_Stiffness!T69,IF(7=Element_Stiffness!$E$40,Element_Stiffness!Z69,0)),0)),0)+IF(Element_Stiffness!$C$76,IF(Element_Stiffness!$C$75=1,IF(7=Element_Stiffness!$C$75,Element_Stiffness!T98,IF(7=Element_Stiffness!$E$75,Element_Stiffness!Z98,0)),IF(Element_Stiffness!$E$75=1,IF(7=Element_Stiffness!$C$75,Element_Stiffness!T104,IF(7=Element_Stiffness!$E$75,Element_Stiffness!Z104,0)),0)),0)+IF(Element_Stiffness!$C$111,IF(Element_Stiffness!$C$110=1,IF(7=Element_Stiffness!$C$110,Element_Stiffness!T133,IF(7=Element_Stiffness!$E$110,Element_Stiffness!Z133,0)),IF(Element_Stiffness!$E$110=1,IF(7=Element_Stiffness!$C$110,Element_Stiffness!T139,IF(7=Element_Stiffness!$E$110,Element_Stiffness!Z139,0)),0)),0)+IF(Element_Stiffness!$C$146,IF(Element_Stiffness!$C$145=1,IF(7=Element_Stiffness!$C$145,Element_Stiffness!T168,IF(7=Element_Stiffness!$E$145,Element_Stiffness!Z168,0)),IF(Element_Stiffness!$E$145=1,IF(7=Element_Stiffness!$C$145,Element_Stiffness!T174,IF(7=Element_Stiffness!$E$145,Element_Stiffness!Z174,0)),0)),0)+IF(Element_Stiffness!$C$181,IF(Element_Stiffness!$C$180=1,IF(7=Element_Stiffness!$C$180,Element_Stiffness!T203,IF(7=Element_Stiffness!$E$180,Element_Stiffness!Z203,0)),IF(Element_Stiffness!$E$180=1,IF(7=Element_Stiffness!$C$180,Element_Stiffness!T209,IF(7=Element_Stiffness!$E$180,Element_Stiffness!Z209,0)),0)),0)+IF(Element_Stiffness!$C$216,IF(Element_Stiffness!$C$215=1,IF(7=Element_Stiffness!$C$215,Element_Stiffness!T238,IF(7=Element_Stiffness!$E$215,Element_Stiffness!Z238,0)),IF(Element_Stiffness!$E$215=1,IF(7=Element_Stiffness!$C$215,Element_Stiffness!T244,IF(7=Element_Stiffness!$E$215,Element_Stiffness!Z244,0)),0)),0)</f>
        <v/>
      </c>
      <c r="AX13" s="21">
        <f>IF(Element_Stiffness!$C$6,IF(Element_Stiffness!$C$5=1,IF(7=Element_Stiffness!$C$5,Element_Stiffness!U28,IF(7=Element_Stiffness!$E$5,Element_Stiffness!AA28,0)),IF(Element_Stiffness!$E$5=1,IF(7=Element_Stiffness!$C$5,Element_Stiffness!U34,IF(7=Element_Stiffness!$E$5,Element_Stiffness!AA34,0)),0)),0)+IF(Element_Stiffness!$C$41,IF(Element_Stiffness!$C$40=1,IF(7=Element_Stiffness!$C$40,Element_Stiffness!U63,IF(7=Element_Stiffness!$E$40,Element_Stiffness!AA63,0)),IF(Element_Stiffness!$E$40=1,IF(7=Element_Stiffness!$C$40,Element_Stiffness!U69,IF(7=Element_Stiffness!$E$40,Element_Stiffness!AA69,0)),0)),0)+IF(Element_Stiffness!$C$76,IF(Element_Stiffness!$C$75=1,IF(7=Element_Stiffness!$C$75,Element_Stiffness!U98,IF(7=Element_Stiffness!$E$75,Element_Stiffness!AA98,0)),IF(Element_Stiffness!$E$75=1,IF(7=Element_Stiffness!$C$75,Element_Stiffness!U104,IF(7=Element_Stiffness!$E$75,Element_Stiffness!AA104,0)),0)),0)+IF(Element_Stiffness!$C$111,IF(Element_Stiffness!$C$110=1,IF(7=Element_Stiffness!$C$110,Element_Stiffness!U133,IF(7=Element_Stiffness!$E$110,Element_Stiffness!AA133,0)),IF(Element_Stiffness!$E$110=1,IF(7=Element_Stiffness!$C$110,Element_Stiffness!U139,IF(7=Element_Stiffness!$E$110,Element_Stiffness!AA139,0)),0)),0)+IF(Element_Stiffness!$C$146,IF(Element_Stiffness!$C$145=1,IF(7=Element_Stiffness!$C$145,Element_Stiffness!U168,IF(7=Element_Stiffness!$E$145,Element_Stiffness!AA168,0)),IF(Element_Stiffness!$E$145=1,IF(7=Element_Stiffness!$C$145,Element_Stiffness!U174,IF(7=Element_Stiffness!$E$145,Element_Stiffness!AA174,0)),0)),0)+IF(Element_Stiffness!$C$181,IF(Element_Stiffness!$C$180=1,IF(7=Element_Stiffness!$C$180,Element_Stiffness!U203,IF(7=Element_Stiffness!$E$180,Element_Stiffness!AA203,0)),IF(Element_Stiffness!$E$180=1,IF(7=Element_Stiffness!$C$180,Element_Stiffness!U209,IF(7=Element_Stiffness!$E$180,Element_Stiffness!AA209,0)),0)),0)+IF(Element_Stiffness!$C$216,IF(Element_Stiffness!$C$215=1,IF(7=Element_Stiffness!$C$215,Element_Stiffness!U238,IF(7=Element_Stiffness!$E$215,Element_Stiffness!AA238,0)),IF(Element_Stiffness!$E$215=1,IF(7=Element_Stiffness!$C$215,Element_Stiffness!U244,IF(7=Element_Stiffness!$E$215,Element_Stiffness!AA244,0)),0)),0)</f>
        <v/>
      </c>
      <c r="AY13" s="21" t="n">
        <v>0</v>
      </c>
      <c r="AZ13" s="21">
        <f>IF(Element_Stiffness!$C$6,IF(Element_Stiffness!$C$5=1,Element_Stiffness!C28,IF(Element_Stiffness!$E$5=1,Element_Stiffness!C34,0)),0)+IF(Element_Stiffness!$C$41,IF(Element_Stiffness!$C$40=1,Element_Stiffness!C63,IF(Element_Stiffness!$E$40=1,Element_Stiffness!C69,0)),0)+IF(Element_Stiffness!$C$76,IF(Element_Stiffness!$C$75=1,Element_Stiffness!C98,IF(Element_Stiffness!$E$75=1,Element_Stiffness!C104,0)),0)+IF(Element_Stiffness!$C$111,IF(Element_Stiffness!$C$110=1,Element_Stiffness!C133,IF(Element_Stiffness!$E$110=1,Element_Stiffness!C139,0)),0)+IF(Element_Stiffness!$C$146,IF(Element_Stiffness!$C$145=1,Element_Stiffness!C168,IF(Element_Stiffness!$E$145=1,Element_Stiffness!C174,0)),0)+IF(Element_Stiffness!$C$181,IF(Element_Stiffness!$C$180=1,Element_Stiffness!C203,IF(Element_Stiffness!$E$180=1,Element_Stiffness!C209,0)),0)+IF(Element_Stiffness!$C$216,IF(Element_Stiffness!$C$215=1,Element_Stiffness!C238,IF(Element_Stiffness!$E$215=1,Element_Stiffness!C244,0)),0)</f>
        <v/>
      </c>
      <c r="BB13" s="28">
        <f>INDEX(MMULT(MINVERSE(C5:AX52), AY5:AY52), 9, 1)</f>
        <v/>
      </c>
      <c r="BC13" s="28">
        <f>INDEX(MMULT(MINVERSE(C5:AX52), AZ5:AZ52), 9, 1)</f>
        <v/>
      </c>
    </row>
    <row r="14">
      <c r="B14" s="27" t="inlineStr">
        <is>
          <t>N1_rx</t>
        </is>
      </c>
      <c r="C14" s="21">
        <f>IF(Element_Stiffness!$C$6,IF(Element_Stiffness!$C$5=1,IF(0=Element_Stiffness!$C$5,Element_Stiffness!P29,IF(0=Element_Stiffness!$E$5,Element_Stiffness!V29,0)),IF(Element_Stiffness!$E$5=1,IF(0=Element_Stiffness!$C$5,Element_Stiffness!P35,IF(0=Element_Stiffness!$E$5,Element_Stiffness!V35,0)),0)),0)+IF(Element_Stiffness!$C$41,IF(Element_Stiffness!$C$40=1,IF(0=Element_Stiffness!$C$40,Element_Stiffness!P64,IF(0=Element_Stiffness!$E$40,Element_Stiffness!V64,0)),IF(Element_Stiffness!$E$40=1,IF(0=Element_Stiffness!$C$40,Element_Stiffness!P70,IF(0=Element_Stiffness!$E$40,Element_Stiffness!V70,0)),0)),0)+IF(Element_Stiffness!$C$76,IF(Element_Stiffness!$C$75=1,IF(0=Element_Stiffness!$C$75,Element_Stiffness!P99,IF(0=Element_Stiffness!$E$75,Element_Stiffness!V99,0)),IF(Element_Stiffness!$E$75=1,IF(0=Element_Stiffness!$C$75,Element_Stiffness!P105,IF(0=Element_Stiffness!$E$75,Element_Stiffness!V105,0)),0)),0)+IF(Element_Stiffness!$C$111,IF(Element_Stiffness!$C$110=1,IF(0=Element_Stiffness!$C$110,Element_Stiffness!P134,IF(0=Element_Stiffness!$E$110,Element_Stiffness!V134,0)),IF(Element_Stiffness!$E$110=1,IF(0=Element_Stiffness!$C$110,Element_Stiffness!P140,IF(0=Element_Stiffness!$E$110,Element_Stiffness!V140,0)),0)),0)+IF(Element_Stiffness!$C$146,IF(Element_Stiffness!$C$145=1,IF(0=Element_Stiffness!$C$145,Element_Stiffness!P169,IF(0=Element_Stiffness!$E$145,Element_Stiffness!V169,0)),IF(Element_Stiffness!$E$145=1,IF(0=Element_Stiffness!$C$145,Element_Stiffness!P175,IF(0=Element_Stiffness!$E$145,Element_Stiffness!V175,0)),0)),0)+IF(Element_Stiffness!$C$181,IF(Element_Stiffness!$C$180=1,IF(0=Element_Stiffness!$C$180,Element_Stiffness!P204,IF(0=Element_Stiffness!$E$180,Element_Stiffness!V204,0)),IF(Element_Stiffness!$E$180=1,IF(0=Element_Stiffness!$C$180,Element_Stiffness!P210,IF(0=Element_Stiffness!$E$180,Element_Stiffness!V210,0)),0)),0)+IF(Element_Stiffness!$C$216,IF(Element_Stiffness!$C$215=1,IF(0=Element_Stiffness!$C$215,Element_Stiffness!P239,IF(0=Element_Stiffness!$E$215,Element_Stiffness!V239,0)),IF(Element_Stiffness!$E$215=1,IF(0=Element_Stiffness!$C$215,Element_Stiffness!P245,IF(0=Element_Stiffness!$E$215,Element_Stiffness!V245,0)),0)),0)</f>
        <v/>
      </c>
      <c r="D14" s="21">
        <f>IF(Element_Stiffness!$C$6,IF(Element_Stiffness!$C$5=1,IF(0=Element_Stiffness!$C$5,Element_Stiffness!Q29,IF(0=Element_Stiffness!$E$5,Element_Stiffness!W29,0)),IF(Element_Stiffness!$E$5=1,IF(0=Element_Stiffness!$C$5,Element_Stiffness!Q35,IF(0=Element_Stiffness!$E$5,Element_Stiffness!W35,0)),0)),0)+IF(Element_Stiffness!$C$41,IF(Element_Stiffness!$C$40=1,IF(0=Element_Stiffness!$C$40,Element_Stiffness!Q64,IF(0=Element_Stiffness!$E$40,Element_Stiffness!W64,0)),IF(Element_Stiffness!$E$40=1,IF(0=Element_Stiffness!$C$40,Element_Stiffness!Q70,IF(0=Element_Stiffness!$E$40,Element_Stiffness!W70,0)),0)),0)+IF(Element_Stiffness!$C$76,IF(Element_Stiffness!$C$75=1,IF(0=Element_Stiffness!$C$75,Element_Stiffness!Q99,IF(0=Element_Stiffness!$E$75,Element_Stiffness!W99,0)),IF(Element_Stiffness!$E$75=1,IF(0=Element_Stiffness!$C$75,Element_Stiffness!Q105,IF(0=Element_Stiffness!$E$75,Element_Stiffness!W105,0)),0)),0)+IF(Element_Stiffness!$C$111,IF(Element_Stiffness!$C$110=1,IF(0=Element_Stiffness!$C$110,Element_Stiffness!Q134,IF(0=Element_Stiffness!$E$110,Element_Stiffness!W134,0)),IF(Element_Stiffness!$E$110=1,IF(0=Element_Stiffness!$C$110,Element_Stiffness!Q140,IF(0=Element_Stiffness!$E$110,Element_Stiffness!W140,0)),0)),0)+IF(Element_Stiffness!$C$146,IF(Element_Stiffness!$C$145=1,IF(0=Element_Stiffness!$C$145,Element_Stiffness!Q169,IF(0=Element_Stiffness!$E$145,Element_Stiffness!W169,0)),IF(Element_Stiffness!$E$145=1,IF(0=Element_Stiffness!$C$145,Element_Stiffness!Q175,IF(0=Element_Stiffness!$E$145,Element_Stiffness!W175,0)),0)),0)+IF(Element_Stiffness!$C$181,IF(Element_Stiffness!$C$180=1,IF(0=Element_Stiffness!$C$180,Element_Stiffness!Q204,IF(0=Element_Stiffness!$E$180,Element_Stiffness!W204,0)),IF(Element_Stiffness!$E$180=1,IF(0=Element_Stiffness!$C$180,Element_Stiffness!Q210,IF(0=Element_Stiffness!$E$180,Element_Stiffness!W210,0)),0)),0)+IF(Element_Stiffness!$C$216,IF(Element_Stiffness!$C$215=1,IF(0=Element_Stiffness!$C$215,Element_Stiffness!Q239,IF(0=Element_Stiffness!$E$215,Element_Stiffness!W239,0)),IF(Element_Stiffness!$E$215=1,IF(0=Element_Stiffness!$C$215,Element_Stiffness!Q245,IF(0=Element_Stiffness!$E$215,Element_Stiffness!W245,0)),0)),0)</f>
        <v/>
      </c>
      <c r="E14" s="21">
        <f>IF(Element_Stiffness!$C$6,IF(Element_Stiffness!$C$5=1,IF(0=Element_Stiffness!$C$5,Element_Stiffness!R29,IF(0=Element_Stiffness!$E$5,Element_Stiffness!X29,0)),IF(Element_Stiffness!$E$5=1,IF(0=Element_Stiffness!$C$5,Element_Stiffness!R35,IF(0=Element_Stiffness!$E$5,Element_Stiffness!X35,0)),0)),0)+IF(Element_Stiffness!$C$41,IF(Element_Stiffness!$C$40=1,IF(0=Element_Stiffness!$C$40,Element_Stiffness!R64,IF(0=Element_Stiffness!$E$40,Element_Stiffness!X64,0)),IF(Element_Stiffness!$E$40=1,IF(0=Element_Stiffness!$C$40,Element_Stiffness!R70,IF(0=Element_Stiffness!$E$40,Element_Stiffness!X70,0)),0)),0)+IF(Element_Stiffness!$C$76,IF(Element_Stiffness!$C$75=1,IF(0=Element_Stiffness!$C$75,Element_Stiffness!R99,IF(0=Element_Stiffness!$E$75,Element_Stiffness!X99,0)),IF(Element_Stiffness!$E$75=1,IF(0=Element_Stiffness!$C$75,Element_Stiffness!R105,IF(0=Element_Stiffness!$E$75,Element_Stiffness!X105,0)),0)),0)+IF(Element_Stiffness!$C$111,IF(Element_Stiffness!$C$110=1,IF(0=Element_Stiffness!$C$110,Element_Stiffness!R134,IF(0=Element_Stiffness!$E$110,Element_Stiffness!X134,0)),IF(Element_Stiffness!$E$110=1,IF(0=Element_Stiffness!$C$110,Element_Stiffness!R140,IF(0=Element_Stiffness!$E$110,Element_Stiffness!X140,0)),0)),0)+IF(Element_Stiffness!$C$146,IF(Element_Stiffness!$C$145=1,IF(0=Element_Stiffness!$C$145,Element_Stiffness!R169,IF(0=Element_Stiffness!$E$145,Element_Stiffness!X169,0)),IF(Element_Stiffness!$E$145=1,IF(0=Element_Stiffness!$C$145,Element_Stiffness!R175,IF(0=Element_Stiffness!$E$145,Element_Stiffness!X175,0)),0)),0)+IF(Element_Stiffness!$C$181,IF(Element_Stiffness!$C$180=1,IF(0=Element_Stiffness!$C$180,Element_Stiffness!R204,IF(0=Element_Stiffness!$E$180,Element_Stiffness!X204,0)),IF(Element_Stiffness!$E$180=1,IF(0=Element_Stiffness!$C$180,Element_Stiffness!R210,IF(0=Element_Stiffness!$E$180,Element_Stiffness!X210,0)),0)),0)+IF(Element_Stiffness!$C$216,IF(Element_Stiffness!$C$215=1,IF(0=Element_Stiffness!$C$215,Element_Stiffness!R239,IF(0=Element_Stiffness!$E$215,Element_Stiffness!X239,0)),IF(Element_Stiffness!$E$215=1,IF(0=Element_Stiffness!$C$215,Element_Stiffness!R245,IF(0=Element_Stiffness!$E$215,Element_Stiffness!X245,0)),0)),0)</f>
        <v/>
      </c>
      <c r="F14" s="21">
        <f>IF(Element_Stiffness!$C$6,IF(Element_Stiffness!$C$5=1,IF(0=Element_Stiffness!$C$5,Element_Stiffness!S29,IF(0=Element_Stiffness!$E$5,Element_Stiffness!Y29,0)),IF(Element_Stiffness!$E$5=1,IF(0=Element_Stiffness!$C$5,Element_Stiffness!S35,IF(0=Element_Stiffness!$E$5,Element_Stiffness!Y35,0)),0)),0)+IF(Element_Stiffness!$C$41,IF(Element_Stiffness!$C$40=1,IF(0=Element_Stiffness!$C$40,Element_Stiffness!S64,IF(0=Element_Stiffness!$E$40,Element_Stiffness!Y64,0)),IF(Element_Stiffness!$E$40=1,IF(0=Element_Stiffness!$C$40,Element_Stiffness!S70,IF(0=Element_Stiffness!$E$40,Element_Stiffness!Y70,0)),0)),0)+IF(Element_Stiffness!$C$76,IF(Element_Stiffness!$C$75=1,IF(0=Element_Stiffness!$C$75,Element_Stiffness!S99,IF(0=Element_Stiffness!$E$75,Element_Stiffness!Y99,0)),IF(Element_Stiffness!$E$75=1,IF(0=Element_Stiffness!$C$75,Element_Stiffness!S105,IF(0=Element_Stiffness!$E$75,Element_Stiffness!Y105,0)),0)),0)+IF(Element_Stiffness!$C$111,IF(Element_Stiffness!$C$110=1,IF(0=Element_Stiffness!$C$110,Element_Stiffness!S134,IF(0=Element_Stiffness!$E$110,Element_Stiffness!Y134,0)),IF(Element_Stiffness!$E$110=1,IF(0=Element_Stiffness!$C$110,Element_Stiffness!S140,IF(0=Element_Stiffness!$E$110,Element_Stiffness!Y140,0)),0)),0)+IF(Element_Stiffness!$C$146,IF(Element_Stiffness!$C$145=1,IF(0=Element_Stiffness!$C$145,Element_Stiffness!S169,IF(0=Element_Stiffness!$E$145,Element_Stiffness!Y169,0)),IF(Element_Stiffness!$E$145=1,IF(0=Element_Stiffness!$C$145,Element_Stiffness!S175,IF(0=Element_Stiffness!$E$145,Element_Stiffness!Y175,0)),0)),0)+IF(Element_Stiffness!$C$181,IF(Element_Stiffness!$C$180=1,IF(0=Element_Stiffness!$C$180,Element_Stiffness!S204,IF(0=Element_Stiffness!$E$180,Element_Stiffness!Y204,0)),IF(Element_Stiffness!$E$180=1,IF(0=Element_Stiffness!$C$180,Element_Stiffness!S210,IF(0=Element_Stiffness!$E$180,Element_Stiffness!Y210,0)),0)),0)+IF(Element_Stiffness!$C$216,IF(Element_Stiffness!$C$215=1,IF(0=Element_Stiffness!$C$215,Element_Stiffness!S239,IF(0=Element_Stiffness!$E$215,Element_Stiffness!Y239,0)),IF(Element_Stiffness!$E$215=1,IF(0=Element_Stiffness!$C$215,Element_Stiffness!S245,IF(0=Element_Stiffness!$E$215,Element_Stiffness!Y245,0)),0)),0)</f>
        <v/>
      </c>
      <c r="G14" s="21">
        <f>IF(Element_Stiffness!$C$6,IF(Element_Stiffness!$C$5=1,IF(0=Element_Stiffness!$C$5,Element_Stiffness!T29,IF(0=Element_Stiffness!$E$5,Element_Stiffness!Z29,0)),IF(Element_Stiffness!$E$5=1,IF(0=Element_Stiffness!$C$5,Element_Stiffness!T35,IF(0=Element_Stiffness!$E$5,Element_Stiffness!Z35,0)),0)),0)+IF(Element_Stiffness!$C$41,IF(Element_Stiffness!$C$40=1,IF(0=Element_Stiffness!$C$40,Element_Stiffness!T64,IF(0=Element_Stiffness!$E$40,Element_Stiffness!Z64,0)),IF(Element_Stiffness!$E$40=1,IF(0=Element_Stiffness!$C$40,Element_Stiffness!T70,IF(0=Element_Stiffness!$E$40,Element_Stiffness!Z70,0)),0)),0)+IF(Element_Stiffness!$C$76,IF(Element_Stiffness!$C$75=1,IF(0=Element_Stiffness!$C$75,Element_Stiffness!T99,IF(0=Element_Stiffness!$E$75,Element_Stiffness!Z99,0)),IF(Element_Stiffness!$E$75=1,IF(0=Element_Stiffness!$C$75,Element_Stiffness!T105,IF(0=Element_Stiffness!$E$75,Element_Stiffness!Z105,0)),0)),0)+IF(Element_Stiffness!$C$111,IF(Element_Stiffness!$C$110=1,IF(0=Element_Stiffness!$C$110,Element_Stiffness!T134,IF(0=Element_Stiffness!$E$110,Element_Stiffness!Z134,0)),IF(Element_Stiffness!$E$110=1,IF(0=Element_Stiffness!$C$110,Element_Stiffness!T140,IF(0=Element_Stiffness!$E$110,Element_Stiffness!Z140,0)),0)),0)+IF(Element_Stiffness!$C$146,IF(Element_Stiffness!$C$145=1,IF(0=Element_Stiffness!$C$145,Element_Stiffness!T169,IF(0=Element_Stiffness!$E$145,Element_Stiffness!Z169,0)),IF(Element_Stiffness!$E$145=1,IF(0=Element_Stiffness!$C$145,Element_Stiffness!T175,IF(0=Element_Stiffness!$E$145,Element_Stiffness!Z175,0)),0)),0)+IF(Element_Stiffness!$C$181,IF(Element_Stiffness!$C$180=1,IF(0=Element_Stiffness!$C$180,Element_Stiffness!T204,IF(0=Element_Stiffness!$E$180,Element_Stiffness!Z204,0)),IF(Element_Stiffness!$E$180=1,IF(0=Element_Stiffness!$C$180,Element_Stiffness!T210,IF(0=Element_Stiffness!$E$180,Element_Stiffness!Z210,0)),0)),0)+IF(Element_Stiffness!$C$216,IF(Element_Stiffness!$C$215=1,IF(0=Element_Stiffness!$C$215,Element_Stiffness!T239,IF(0=Element_Stiffness!$E$215,Element_Stiffness!Z239,0)),IF(Element_Stiffness!$E$215=1,IF(0=Element_Stiffness!$C$215,Element_Stiffness!T245,IF(0=Element_Stiffness!$E$215,Element_Stiffness!Z245,0)),0)),0)</f>
        <v/>
      </c>
      <c r="H14" s="21">
        <f>IF(Element_Stiffness!$C$6,IF(Element_Stiffness!$C$5=1,IF(0=Element_Stiffness!$C$5,Element_Stiffness!U29,IF(0=Element_Stiffness!$E$5,Element_Stiffness!AA29,0)),IF(Element_Stiffness!$E$5=1,IF(0=Element_Stiffness!$C$5,Element_Stiffness!U35,IF(0=Element_Stiffness!$E$5,Element_Stiffness!AA35,0)),0)),0)+IF(Element_Stiffness!$C$41,IF(Element_Stiffness!$C$40=1,IF(0=Element_Stiffness!$C$40,Element_Stiffness!U64,IF(0=Element_Stiffness!$E$40,Element_Stiffness!AA64,0)),IF(Element_Stiffness!$E$40=1,IF(0=Element_Stiffness!$C$40,Element_Stiffness!U70,IF(0=Element_Stiffness!$E$40,Element_Stiffness!AA70,0)),0)),0)+IF(Element_Stiffness!$C$76,IF(Element_Stiffness!$C$75=1,IF(0=Element_Stiffness!$C$75,Element_Stiffness!U99,IF(0=Element_Stiffness!$E$75,Element_Stiffness!AA99,0)),IF(Element_Stiffness!$E$75=1,IF(0=Element_Stiffness!$C$75,Element_Stiffness!U105,IF(0=Element_Stiffness!$E$75,Element_Stiffness!AA105,0)),0)),0)+IF(Element_Stiffness!$C$111,IF(Element_Stiffness!$C$110=1,IF(0=Element_Stiffness!$C$110,Element_Stiffness!U134,IF(0=Element_Stiffness!$E$110,Element_Stiffness!AA134,0)),IF(Element_Stiffness!$E$110=1,IF(0=Element_Stiffness!$C$110,Element_Stiffness!U140,IF(0=Element_Stiffness!$E$110,Element_Stiffness!AA140,0)),0)),0)+IF(Element_Stiffness!$C$146,IF(Element_Stiffness!$C$145=1,IF(0=Element_Stiffness!$C$145,Element_Stiffness!U169,IF(0=Element_Stiffness!$E$145,Element_Stiffness!AA169,0)),IF(Element_Stiffness!$E$145=1,IF(0=Element_Stiffness!$C$145,Element_Stiffness!U175,IF(0=Element_Stiffness!$E$145,Element_Stiffness!AA175,0)),0)),0)+IF(Element_Stiffness!$C$181,IF(Element_Stiffness!$C$180=1,IF(0=Element_Stiffness!$C$180,Element_Stiffness!U204,IF(0=Element_Stiffness!$E$180,Element_Stiffness!AA204,0)),IF(Element_Stiffness!$E$180=1,IF(0=Element_Stiffness!$C$180,Element_Stiffness!U210,IF(0=Element_Stiffness!$E$180,Element_Stiffness!AA210,0)),0)),0)+IF(Element_Stiffness!$C$216,IF(Element_Stiffness!$C$215=1,IF(0=Element_Stiffness!$C$215,Element_Stiffness!U239,IF(0=Element_Stiffness!$E$215,Element_Stiffness!AA239,0)),IF(Element_Stiffness!$E$215=1,IF(0=Element_Stiffness!$C$215,Element_Stiffness!U245,IF(0=Element_Stiffness!$E$215,Element_Stiffness!AA245,0)),0)),0)</f>
        <v/>
      </c>
      <c r="I14" s="21">
        <f>IF(Element_Stiffness!$C$6,IF(Element_Stiffness!$C$5=1,IF(1=Element_Stiffness!$C$5,Element_Stiffness!P29,IF(1=Element_Stiffness!$E$5,Element_Stiffness!V29,0)),IF(Element_Stiffness!$E$5=1,IF(1=Element_Stiffness!$C$5,Element_Stiffness!P35,IF(1=Element_Stiffness!$E$5,Element_Stiffness!V35,0)),0)),0)+IF(Element_Stiffness!$C$41,IF(Element_Stiffness!$C$40=1,IF(1=Element_Stiffness!$C$40,Element_Stiffness!P64,IF(1=Element_Stiffness!$E$40,Element_Stiffness!V64,0)),IF(Element_Stiffness!$E$40=1,IF(1=Element_Stiffness!$C$40,Element_Stiffness!P70,IF(1=Element_Stiffness!$E$40,Element_Stiffness!V70,0)),0)),0)+IF(Element_Stiffness!$C$76,IF(Element_Stiffness!$C$75=1,IF(1=Element_Stiffness!$C$75,Element_Stiffness!P99,IF(1=Element_Stiffness!$E$75,Element_Stiffness!V99,0)),IF(Element_Stiffness!$E$75=1,IF(1=Element_Stiffness!$C$75,Element_Stiffness!P105,IF(1=Element_Stiffness!$E$75,Element_Stiffness!V105,0)),0)),0)+IF(Element_Stiffness!$C$111,IF(Element_Stiffness!$C$110=1,IF(1=Element_Stiffness!$C$110,Element_Stiffness!P134,IF(1=Element_Stiffness!$E$110,Element_Stiffness!V134,0)),IF(Element_Stiffness!$E$110=1,IF(1=Element_Stiffness!$C$110,Element_Stiffness!P140,IF(1=Element_Stiffness!$E$110,Element_Stiffness!V140,0)),0)),0)+IF(Element_Stiffness!$C$146,IF(Element_Stiffness!$C$145=1,IF(1=Element_Stiffness!$C$145,Element_Stiffness!P169,IF(1=Element_Stiffness!$E$145,Element_Stiffness!V169,0)),IF(Element_Stiffness!$E$145=1,IF(1=Element_Stiffness!$C$145,Element_Stiffness!P175,IF(1=Element_Stiffness!$E$145,Element_Stiffness!V175,0)),0)),0)+IF(Element_Stiffness!$C$181,IF(Element_Stiffness!$C$180=1,IF(1=Element_Stiffness!$C$180,Element_Stiffness!P204,IF(1=Element_Stiffness!$E$180,Element_Stiffness!V204,0)),IF(Element_Stiffness!$E$180=1,IF(1=Element_Stiffness!$C$180,Element_Stiffness!P210,IF(1=Element_Stiffness!$E$180,Element_Stiffness!V210,0)),0)),0)+IF(Element_Stiffness!$C$216,IF(Element_Stiffness!$C$215=1,IF(1=Element_Stiffness!$C$215,Element_Stiffness!P239,IF(1=Element_Stiffness!$E$215,Element_Stiffness!V239,0)),IF(Element_Stiffness!$E$215=1,IF(1=Element_Stiffness!$C$215,Element_Stiffness!P245,IF(1=Element_Stiffness!$E$215,Element_Stiffness!V245,0)),0)),0)</f>
        <v/>
      </c>
      <c r="J14" s="21">
        <f>IF(Element_Stiffness!$C$6,IF(Element_Stiffness!$C$5=1,IF(1=Element_Stiffness!$C$5,Element_Stiffness!Q29,IF(1=Element_Stiffness!$E$5,Element_Stiffness!W29,0)),IF(Element_Stiffness!$E$5=1,IF(1=Element_Stiffness!$C$5,Element_Stiffness!Q35,IF(1=Element_Stiffness!$E$5,Element_Stiffness!W35,0)),0)),0)+IF(Element_Stiffness!$C$41,IF(Element_Stiffness!$C$40=1,IF(1=Element_Stiffness!$C$40,Element_Stiffness!Q64,IF(1=Element_Stiffness!$E$40,Element_Stiffness!W64,0)),IF(Element_Stiffness!$E$40=1,IF(1=Element_Stiffness!$C$40,Element_Stiffness!Q70,IF(1=Element_Stiffness!$E$40,Element_Stiffness!W70,0)),0)),0)+IF(Element_Stiffness!$C$76,IF(Element_Stiffness!$C$75=1,IF(1=Element_Stiffness!$C$75,Element_Stiffness!Q99,IF(1=Element_Stiffness!$E$75,Element_Stiffness!W99,0)),IF(Element_Stiffness!$E$75=1,IF(1=Element_Stiffness!$C$75,Element_Stiffness!Q105,IF(1=Element_Stiffness!$E$75,Element_Stiffness!W105,0)),0)),0)+IF(Element_Stiffness!$C$111,IF(Element_Stiffness!$C$110=1,IF(1=Element_Stiffness!$C$110,Element_Stiffness!Q134,IF(1=Element_Stiffness!$E$110,Element_Stiffness!W134,0)),IF(Element_Stiffness!$E$110=1,IF(1=Element_Stiffness!$C$110,Element_Stiffness!Q140,IF(1=Element_Stiffness!$E$110,Element_Stiffness!W140,0)),0)),0)+IF(Element_Stiffness!$C$146,IF(Element_Stiffness!$C$145=1,IF(1=Element_Stiffness!$C$145,Element_Stiffness!Q169,IF(1=Element_Stiffness!$E$145,Element_Stiffness!W169,0)),IF(Element_Stiffness!$E$145=1,IF(1=Element_Stiffness!$C$145,Element_Stiffness!Q175,IF(1=Element_Stiffness!$E$145,Element_Stiffness!W175,0)),0)),0)+IF(Element_Stiffness!$C$181,IF(Element_Stiffness!$C$180=1,IF(1=Element_Stiffness!$C$180,Element_Stiffness!Q204,IF(1=Element_Stiffness!$E$180,Element_Stiffness!W204,0)),IF(Element_Stiffness!$E$180=1,IF(1=Element_Stiffness!$C$180,Element_Stiffness!Q210,IF(1=Element_Stiffness!$E$180,Element_Stiffness!W210,0)),0)),0)+IF(Element_Stiffness!$C$216,IF(Element_Stiffness!$C$215=1,IF(1=Element_Stiffness!$C$215,Element_Stiffness!Q239,IF(1=Element_Stiffness!$E$215,Element_Stiffness!W239,0)),IF(Element_Stiffness!$E$215=1,IF(1=Element_Stiffness!$C$215,Element_Stiffness!Q245,IF(1=Element_Stiffness!$E$215,Element_Stiffness!W245,0)),0)),0)</f>
        <v/>
      </c>
      <c r="K14" s="21">
        <f>IF(Element_Stiffness!$C$6,IF(Element_Stiffness!$C$5=1,IF(1=Element_Stiffness!$C$5,Element_Stiffness!R29,IF(1=Element_Stiffness!$E$5,Element_Stiffness!X29,0)),IF(Element_Stiffness!$E$5=1,IF(1=Element_Stiffness!$C$5,Element_Stiffness!R35,IF(1=Element_Stiffness!$E$5,Element_Stiffness!X35,0)),0)),0)+IF(Element_Stiffness!$C$41,IF(Element_Stiffness!$C$40=1,IF(1=Element_Stiffness!$C$40,Element_Stiffness!R64,IF(1=Element_Stiffness!$E$40,Element_Stiffness!X64,0)),IF(Element_Stiffness!$E$40=1,IF(1=Element_Stiffness!$C$40,Element_Stiffness!R70,IF(1=Element_Stiffness!$E$40,Element_Stiffness!X70,0)),0)),0)+IF(Element_Stiffness!$C$76,IF(Element_Stiffness!$C$75=1,IF(1=Element_Stiffness!$C$75,Element_Stiffness!R99,IF(1=Element_Stiffness!$E$75,Element_Stiffness!X99,0)),IF(Element_Stiffness!$E$75=1,IF(1=Element_Stiffness!$C$75,Element_Stiffness!R105,IF(1=Element_Stiffness!$E$75,Element_Stiffness!X105,0)),0)),0)+IF(Element_Stiffness!$C$111,IF(Element_Stiffness!$C$110=1,IF(1=Element_Stiffness!$C$110,Element_Stiffness!R134,IF(1=Element_Stiffness!$E$110,Element_Stiffness!X134,0)),IF(Element_Stiffness!$E$110=1,IF(1=Element_Stiffness!$C$110,Element_Stiffness!R140,IF(1=Element_Stiffness!$E$110,Element_Stiffness!X140,0)),0)),0)+IF(Element_Stiffness!$C$146,IF(Element_Stiffness!$C$145=1,IF(1=Element_Stiffness!$C$145,Element_Stiffness!R169,IF(1=Element_Stiffness!$E$145,Element_Stiffness!X169,0)),IF(Element_Stiffness!$E$145=1,IF(1=Element_Stiffness!$C$145,Element_Stiffness!R175,IF(1=Element_Stiffness!$E$145,Element_Stiffness!X175,0)),0)),0)+IF(Element_Stiffness!$C$181,IF(Element_Stiffness!$C$180=1,IF(1=Element_Stiffness!$C$180,Element_Stiffness!R204,IF(1=Element_Stiffness!$E$180,Element_Stiffness!X204,0)),IF(Element_Stiffness!$E$180=1,IF(1=Element_Stiffness!$C$180,Element_Stiffness!R210,IF(1=Element_Stiffness!$E$180,Element_Stiffness!X210,0)),0)),0)+IF(Element_Stiffness!$C$216,IF(Element_Stiffness!$C$215=1,IF(1=Element_Stiffness!$C$215,Element_Stiffness!R239,IF(1=Element_Stiffness!$E$215,Element_Stiffness!X239,0)),IF(Element_Stiffness!$E$215=1,IF(1=Element_Stiffness!$C$215,Element_Stiffness!R245,IF(1=Element_Stiffness!$E$215,Element_Stiffness!X245,0)),0)),0)</f>
        <v/>
      </c>
      <c r="L14" s="21">
        <f>IF(Element_Stiffness!$C$6,IF(Element_Stiffness!$C$5=1,IF(1=Element_Stiffness!$C$5,Element_Stiffness!S29,IF(1=Element_Stiffness!$E$5,Element_Stiffness!Y29,0)),IF(Element_Stiffness!$E$5=1,IF(1=Element_Stiffness!$C$5,Element_Stiffness!S35,IF(1=Element_Stiffness!$E$5,Element_Stiffness!Y35,0)),0)),0)+IF(Element_Stiffness!$C$41,IF(Element_Stiffness!$C$40=1,IF(1=Element_Stiffness!$C$40,Element_Stiffness!S64,IF(1=Element_Stiffness!$E$40,Element_Stiffness!Y64,0)),IF(Element_Stiffness!$E$40=1,IF(1=Element_Stiffness!$C$40,Element_Stiffness!S70,IF(1=Element_Stiffness!$E$40,Element_Stiffness!Y70,0)),0)),0)+IF(Element_Stiffness!$C$76,IF(Element_Stiffness!$C$75=1,IF(1=Element_Stiffness!$C$75,Element_Stiffness!S99,IF(1=Element_Stiffness!$E$75,Element_Stiffness!Y99,0)),IF(Element_Stiffness!$E$75=1,IF(1=Element_Stiffness!$C$75,Element_Stiffness!S105,IF(1=Element_Stiffness!$E$75,Element_Stiffness!Y105,0)),0)),0)+IF(Element_Stiffness!$C$111,IF(Element_Stiffness!$C$110=1,IF(1=Element_Stiffness!$C$110,Element_Stiffness!S134,IF(1=Element_Stiffness!$E$110,Element_Stiffness!Y134,0)),IF(Element_Stiffness!$E$110=1,IF(1=Element_Stiffness!$C$110,Element_Stiffness!S140,IF(1=Element_Stiffness!$E$110,Element_Stiffness!Y140,0)),0)),0)+IF(Element_Stiffness!$C$146,IF(Element_Stiffness!$C$145=1,IF(1=Element_Stiffness!$C$145,Element_Stiffness!S169,IF(1=Element_Stiffness!$E$145,Element_Stiffness!Y169,0)),IF(Element_Stiffness!$E$145=1,IF(1=Element_Stiffness!$C$145,Element_Stiffness!S175,IF(1=Element_Stiffness!$E$145,Element_Stiffness!Y175,0)),0)),0)+IF(Element_Stiffness!$C$181,IF(Element_Stiffness!$C$180=1,IF(1=Element_Stiffness!$C$180,Element_Stiffness!S204,IF(1=Element_Stiffness!$E$180,Element_Stiffness!Y204,0)),IF(Element_Stiffness!$E$180=1,IF(1=Element_Stiffness!$C$180,Element_Stiffness!S210,IF(1=Element_Stiffness!$E$180,Element_Stiffness!Y210,0)),0)),0)+IF(Element_Stiffness!$C$216,IF(Element_Stiffness!$C$215=1,IF(1=Element_Stiffness!$C$215,Element_Stiffness!S239,IF(1=Element_Stiffness!$E$215,Element_Stiffness!Y239,0)),IF(Element_Stiffness!$E$215=1,IF(1=Element_Stiffness!$C$215,Element_Stiffness!S245,IF(1=Element_Stiffness!$E$215,Element_Stiffness!Y245,0)),0)),0)+IF(Inputs!F41=TRUE,1E15,IF(ISNUMBER(Inputs!F41),Inputs!F41,0))</f>
        <v/>
      </c>
      <c r="M14" s="21">
        <f>IF(Element_Stiffness!$C$6,IF(Element_Stiffness!$C$5=1,IF(1=Element_Stiffness!$C$5,Element_Stiffness!T29,IF(1=Element_Stiffness!$E$5,Element_Stiffness!Z29,0)),IF(Element_Stiffness!$E$5=1,IF(1=Element_Stiffness!$C$5,Element_Stiffness!T35,IF(1=Element_Stiffness!$E$5,Element_Stiffness!Z35,0)),0)),0)+IF(Element_Stiffness!$C$41,IF(Element_Stiffness!$C$40=1,IF(1=Element_Stiffness!$C$40,Element_Stiffness!T64,IF(1=Element_Stiffness!$E$40,Element_Stiffness!Z64,0)),IF(Element_Stiffness!$E$40=1,IF(1=Element_Stiffness!$C$40,Element_Stiffness!T70,IF(1=Element_Stiffness!$E$40,Element_Stiffness!Z70,0)),0)),0)+IF(Element_Stiffness!$C$76,IF(Element_Stiffness!$C$75=1,IF(1=Element_Stiffness!$C$75,Element_Stiffness!T99,IF(1=Element_Stiffness!$E$75,Element_Stiffness!Z99,0)),IF(Element_Stiffness!$E$75=1,IF(1=Element_Stiffness!$C$75,Element_Stiffness!T105,IF(1=Element_Stiffness!$E$75,Element_Stiffness!Z105,0)),0)),0)+IF(Element_Stiffness!$C$111,IF(Element_Stiffness!$C$110=1,IF(1=Element_Stiffness!$C$110,Element_Stiffness!T134,IF(1=Element_Stiffness!$E$110,Element_Stiffness!Z134,0)),IF(Element_Stiffness!$E$110=1,IF(1=Element_Stiffness!$C$110,Element_Stiffness!T140,IF(1=Element_Stiffness!$E$110,Element_Stiffness!Z140,0)),0)),0)+IF(Element_Stiffness!$C$146,IF(Element_Stiffness!$C$145=1,IF(1=Element_Stiffness!$C$145,Element_Stiffness!T169,IF(1=Element_Stiffness!$E$145,Element_Stiffness!Z169,0)),IF(Element_Stiffness!$E$145=1,IF(1=Element_Stiffness!$C$145,Element_Stiffness!T175,IF(1=Element_Stiffness!$E$145,Element_Stiffness!Z175,0)),0)),0)+IF(Element_Stiffness!$C$181,IF(Element_Stiffness!$C$180=1,IF(1=Element_Stiffness!$C$180,Element_Stiffness!T204,IF(1=Element_Stiffness!$E$180,Element_Stiffness!Z204,0)),IF(Element_Stiffness!$E$180=1,IF(1=Element_Stiffness!$C$180,Element_Stiffness!T210,IF(1=Element_Stiffness!$E$180,Element_Stiffness!Z210,0)),0)),0)+IF(Element_Stiffness!$C$216,IF(Element_Stiffness!$C$215=1,IF(1=Element_Stiffness!$C$215,Element_Stiffness!T239,IF(1=Element_Stiffness!$E$215,Element_Stiffness!Z239,0)),IF(Element_Stiffness!$E$215=1,IF(1=Element_Stiffness!$C$215,Element_Stiffness!T245,IF(1=Element_Stiffness!$E$215,Element_Stiffness!Z245,0)),0)),0)</f>
        <v/>
      </c>
      <c r="N14" s="21">
        <f>IF(Element_Stiffness!$C$6,IF(Element_Stiffness!$C$5=1,IF(1=Element_Stiffness!$C$5,Element_Stiffness!U29,IF(1=Element_Stiffness!$E$5,Element_Stiffness!AA29,0)),IF(Element_Stiffness!$E$5=1,IF(1=Element_Stiffness!$C$5,Element_Stiffness!U35,IF(1=Element_Stiffness!$E$5,Element_Stiffness!AA35,0)),0)),0)+IF(Element_Stiffness!$C$41,IF(Element_Stiffness!$C$40=1,IF(1=Element_Stiffness!$C$40,Element_Stiffness!U64,IF(1=Element_Stiffness!$E$40,Element_Stiffness!AA64,0)),IF(Element_Stiffness!$E$40=1,IF(1=Element_Stiffness!$C$40,Element_Stiffness!U70,IF(1=Element_Stiffness!$E$40,Element_Stiffness!AA70,0)),0)),0)+IF(Element_Stiffness!$C$76,IF(Element_Stiffness!$C$75=1,IF(1=Element_Stiffness!$C$75,Element_Stiffness!U99,IF(1=Element_Stiffness!$E$75,Element_Stiffness!AA99,0)),IF(Element_Stiffness!$E$75=1,IF(1=Element_Stiffness!$C$75,Element_Stiffness!U105,IF(1=Element_Stiffness!$E$75,Element_Stiffness!AA105,0)),0)),0)+IF(Element_Stiffness!$C$111,IF(Element_Stiffness!$C$110=1,IF(1=Element_Stiffness!$C$110,Element_Stiffness!U134,IF(1=Element_Stiffness!$E$110,Element_Stiffness!AA134,0)),IF(Element_Stiffness!$E$110=1,IF(1=Element_Stiffness!$C$110,Element_Stiffness!U140,IF(1=Element_Stiffness!$E$110,Element_Stiffness!AA140,0)),0)),0)+IF(Element_Stiffness!$C$146,IF(Element_Stiffness!$C$145=1,IF(1=Element_Stiffness!$C$145,Element_Stiffness!U169,IF(1=Element_Stiffness!$E$145,Element_Stiffness!AA169,0)),IF(Element_Stiffness!$E$145=1,IF(1=Element_Stiffness!$C$145,Element_Stiffness!U175,IF(1=Element_Stiffness!$E$145,Element_Stiffness!AA175,0)),0)),0)+IF(Element_Stiffness!$C$181,IF(Element_Stiffness!$C$180=1,IF(1=Element_Stiffness!$C$180,Element_Stiffness!U204,IF(1=Element_Stiffness!$E$180,Element_Stiffness!AA204,0)),IF(Element_Stiffness!$E$180=1,IF(1=Element_Stiffness!$C$180,Element_Stiffness!U210,IF(1=Element_Stiffness!$E$180,Element_Stiffness!AA210,0)),0)),0)+IF(Element_Stiffness!$C$216,IF(Element_Stiffness!$C$215=1,IF(1=Element_Stiffness!$C$215,Element_Stiffness!U239,IF(1=Element_Stiffness!$E$215,Element_Stiffness!AA239,0)),IF(Element_Stiffness!$E$215=1,IF(1=Element_Stiffness!$C$215,Element_Stiffness!U245,IF(1=Element_Stiffness!$E$215,Element_Stiffness!AA245,0)),0)),0)</f>
        <v/>
      </c>
      <c r="O14" s="21">
        <f>IF(Element_Stiffness!$C$6,IF(Element_Stiffness!$C$5=1,IF(2=Element_Stiffness!$C$5,Element_Stiffness!P29,IF(2=Element_Stiffness!$E$5,Element_Stiffness!V29,0)),IF(Element_Stiffness!$E$5=1,IF(2=Element_Stiffness!$C$5,Element_Stiffness!P35,IF(2=Element_Stiffness!$E$5,Element_Stiffness!V35,0)),0)),0)+IF(Element_Stiffness!$C$41,IF(Element_Stiffness!$C$40=1,IF(2=Element_Stiffness!$C$40,Element_Stiffness!P64,IF(2=Element_Stiffness!$E$40,Element_Stiffness!V64,0)),IF(Element_Stiffness!$E$40=1,IF(2=Element_Stiffness!$C$40,Element_Stiffness!P70,IF(2=Element_Stiffness!$E$40,Element_Stiffness!V70,0)),0)),0)+IF(Element_Stiffness!$C$76,IF(Element_Stiffness!$C$75=1,IF(2=Element_Stiffness!$C$75,Element_Stiffness!P99,IF(2=Element_Stiffness!$E$75,Element_Stiffness!V99,0)),IF(Element_Stiffness!$E$75=1,IF(2=Element_Stiffness!$C$75,Element_Stiffness!P105,IF(2=Element_Stiffness!$E$75,Element_Stiffness!V105,0)),0)),0)+IF(Element_Stiffness!$C$111,IF(Element_Stiffness!$C$110=1,IF(2=Element_Stiffness!$C$110,Element_Stiffness!P134,IF(2=Element_Stiffness!$E$110,Element_Stiffness!V134,0)),IF(Element_Stiffness!$E$110=1,IF(2=Element_Stiffness!$C$110,Element_Stiffness!P140,IF(2=Element_Stiffness!$E$110,Element_Stiffness!V140,0)),0)),0)+IF(Element_Stiffness!$C$146,IF(Element_Stiffness!$C$145=1,IF(2=Element_Stiffness!$C$145,Element_Stiffness!P169,IF(2=Element_Stiffness!$E$145,Element_Stiffness!V169,0)),IF(Element_Stiffness!$E$145=1,IF(2=Element_Stiffness!$C$145,Element_Stiffness!P175,IF(2=Element_Stiffness!$E$145,Element_Stiffness!V175,0)),0)),0)+IF(Element_Stiffness!$C$181,IF(Element_Stiffness!$C$180=1,IF(2=Element_Stiffness!$C$180,Element_Stiffness!P204,IF(2=Element_Stiffness!$E$180,Element_Stiffness!V204,0)),IF(Element_Stiffness!$E$180=1,IF(2=Element_Stiffness!$C$180,Element_Stiffness!P210,IF(2=Element_Stiffness!$E$180,Element_Stiffness!V210,0)),0)),0)+IF(Element_Stiffness!$C$216,IF(Element_Stiffness!$C$215=1,IF(2=Element_Stiffness!$C$215,Element_Stiffness!P239,IF(2=Element_Stiffness!$E$215,Element_Stiffness!V239,0)),IF(Element_Stiffness!$E$215=1,IF(2=Element_Stiffness!$C$215,Element_Stiffness!P245,IF(2=Element_Stiffness!$E$215,Element_Stiffness!V245,0)),0)),0)</f>
        <v/>
      </c>
      <c r="P14" s="21">
        <f>IF(Element_Stiffness!$C$6,IF(Element_Stiffness!$C$5=1,IF(2=Element_Stiffness!$C$5,Element_Stiffness!Q29,IF(2=Element_Stiffness!$E$5,Element_Stiffness!W29,0)),IF(Element_Stiffness!$E$5=1,IF(2=Element_Stiffness!$C$5,Element_Stiffness!Q35,IF(2=Element_Stiffness!$E$5,Element_Stiffness!W35,0)),0)),0)+IF(Element_Stiffness!$C$41,IF(Element_Stiffness!$C$40=1,IF(2=Element_Stiffness!$C$40,Element_Stiffness!Q64,IF(2=Element_Stiffness!$E$40,Element_Stiffness!W64,0)),IF(Element_Stiffness!$E$40=1,IF(2=Element_Stiffness!$C$40,Element_Stiffness!Q70,IF(2=Element_Stiffness!$E$40,Element_Stiffness!W70,0)),0)),0)+IF(Element_Stiffness!$C$76,IF(Element_Stiffness!$C$75=1,IF(2=Element_Stiffness!$C$75,Element_Stiffness!Q99,IF(2=Element_Stiffness!$E$75,Element_Stiffness!W99,0)),IF(Element_Stiffness!$E$75=1,IF(2=Element_Stiffness!$C$75,Element_Stiffness!Q105,IF(2=Element_Stiffness!$E$75,Element_Stiffness!W105,0)),0)),0)+IF(Element_Stiffness!$C$111,IF(Element_Stiffness!$C$110=1,IF(2=Element_Stiffness!$C$110,Element_Stiffness!Q134,IF(2=Element_Stiffness!$E$110,Element_Stiffness!W134,0)),IF(Element_Stiffness!$E$110=1,IF(2=Element_Stiffness!$C$110,Element_Stiffness!Q140,IF(2=Element_Stiffness!$E$110,Element_Stiffness!W140,0)),0)),0)+IF(Element_Stiffness!$C$146,IF(Element_Stiffness!$C$145=1,IF(2=Element_Stiffness!$C$145,Element_Stiffness!Q169,IF(2=Element_Stiffness!$E$145,Element_Stiffness!W169,0)),IF(Element_Stiffness!$E$145=1,IF(2=Element_Stiffness!$C$145,Element_Stiffness!Q175,IF(2=Element_Stiffness!$E$145,Element_Stiffness!W175,0)),0)),0)+IF(Element_Stiffness!$C$181,IF(Element_Stiffness!$C$180=1,IF(2=Element_Stiffness!$C$180,Element_Stiffness!Q204,IF(2=Element_Stiffness!$E$180,Element_Stiffness!W204,0)),IF(Element_Stiffness!$E$180=1,IF(2=Element_Stiffness!$C$180,Element_Stiffness!Q210,IF(2=Element_Stiffness!$E$180,Element_Stiffness!W210,0)),0)),0)+IF(Element_Stiffness!$C$216,IF(Element_Stiffness!$C$215=1,IF(2=Element_Stiffness!$C$215,Element_Stiffness!Q239,IF(2=Element_Stiffness!$E$215,Element_Stiffness!W239,0)),IF(Element_Stiffness!$E$215=1,IF(2=Element_Stiffness!$C$215,Element_Stiffness!Q245,IF(2=Element_Stiffness!$E$215,Element_Stiffness!W245,0)),0)),0)</f>
        <v/>
      </c>
      <c r="Q14" s="21">
        <f>IF(Element_Stiffness!$C$6,IF(Element_Stiffness!$C$5=1,IF(2=Element_Stiffness!$C$5,Element_Stiffness!R29,IF(2=Element_Stiffness!$E$5,Element_Stiffness!X29,0)),IF(Element_Stiffness!$E$5=1,IF(2=Element_Stiffness!$C$5,Element_Stiffness!R35,IF(2=Element_Stiffness!$E$5,Element_Stiffness!X35,0)),0)),0)+IF(Element_Stiffness!$C$41,IF(Element_Stiffness!$C$40=1,IF(2=Element_Stiffness!$C$40,Element_Stiffness!R64,IF(2=Element_Stiffness!$E$40,Element_Stiffness!X64,0)),IF(Element_Stiffness!$E$40=1,IF(2=Element_Stiffness!$C$40,Element_Stiffness!R70,IF(2=Element_Stiffness!$E$40,Element_Stiffness!X70,0)),0)),0)+IF(Element_Stiffness!$C$76,IF(Element_Stiffness!$C$75=1,IF(2=Element_Stiffness!$C$75,Element_Stiffness!R99,IF(2=Element_Stiffness!$E$75,Element_Stiffness!X99,0)),IF(Element_Stiffness!$E$75=1,IF(2=Element_Stiffness!$C$75,Element_Stiffness!R105,IF(2=Element_Stiffness!$E$75,Element_Stiffness!X105,0)),0)),0)+IF(Element_Stiffness!$C$111,IF(Element_Stiffness!$C$110=1,IF(2=Element_Stiffness!$C$110,Element_Stiffness!R134,IF(2=Element_Stiffness!$E$110,Element_Stiffness!X134,0)),IF(Element_Stiffness!$E$110=1,IF(2=Element_Stiffness!$C$110,Element_Stiffness!R140,IF(2=Element_Stiffness!$E$110,Element_Stiffness!X140,0)),0)),0)+IF(Element_Stiffness!$C$146,IF(Element_Stiffness!$C$145=1,IF(2=Element_Stiffness!$C$145,Element_Stiffness!R169,IF(2=Element_Stiffness!$E$145,Element_Stiffness!X169,0)),IF(Element_Stiffness!$E$145=1,IF(2=Element_Stiffness!$C$145,Element_Stiffness!R175,IF(2=Element_Stiffness!$E$145,Element_Stiffness!X175,0)),0)),0)+IF(Element_Stiffness!$C$181,IF(Element_Stiffness!$C$180=1,IF(2=Element_Stiffness!$C$180,Element_Stiffness!R204,IF(2=Element_Stiffness!$E$180,Element_Stiffness!X204,0)),IF(Element_Stiffness!$E$180=1,IF(2=Element_Stiffness!$C$180,Element_Stiffness!R210,IF(2=Element_Stiffness!$E$180,Element_Stiffness!X210,0)),0)),0)+IF(Element_Stiffness!$C$216,IF(Element_Stiffness!$C$215=1,IF(2=Element_Stiffness!$C$215,Element_Stiffness!R239,IF(2=Element_Stiffness!$E$215,Element_Stiffness!X239,0)),IF(Element_Stiffness!$E$215=1,IF(2=Element_Stiffness!$C$215,Element_Stiffness!R245,IF(2=Element_Stiffness!$E$215,Element_Stiffness!X245,0)),0)),0)</f>
        <v/>
      </c>
      <c r="R14" s="21">
        <f>IF(Element_Stiffness!$C$6,IF(Element_Stiffness!$C$5=1,IF(2=Element_Stiffness!$C$5,Element_Stiffness!S29,IF(2=Element_Stiffness!$E$5,Element_Stiffness!Y29,0)),IF(Element_Stiffness!$E$5=1,IF(2=Element_Stiffness!$C$5,Element_Stiffness!S35,IF(2=Element_Stiffness!$E$5,Element_Stiffness!Y35,0)),0)),0)+IF(Element_Stiffness!$C$41,IF(Element_Stiffness!$C$40=1,IF(2=Element_Stiffness!$C$40,Element_Stiffness!S64,IF(2=Element_Stiffness!$E$40,Element_Stiffness!Y64,0)),IF(Element_Stiffness!$E$40=1,IF(2=Element_Stiffness!$C$40,Element_Stiffness!S70,IF(2=Element_Stiffness!$E$40,Element_Stiffness!Y70,0)),0)),0)+IF(Element_Stiffness!$C$76,IF(Element_Stiffness!$C$75=1,IF(2=Element_Stiffness!$C$75,Element_Stiffness!S99,IF(2=Element_Stiffness!$E$75,Element_Stiffness!Y99,0)),IF(Element_Stiffness!$E$75=1,IF(2=Element_Stiffness!$C$75,Element_Stiffness!S105,IF(2=Element_Stiffness!$E$75,Element_Stiffness!Y105,0)),0)),0)+IF(Element_Stiffness!$C$111,IF(Element_Stiffness!$C$110=1,IF(2=Element_Stiffness!$C$110,Element_Stiffness!S134,IF(2=Element_Stiffness!$E$110,Element_Stiffness!Y134,0)),IF(Element_Stiffness!$E$110=1,IF(2=Element_Stiffness!$C$110,Element_Stiffness!S140,IF(2=Element_Stiffness!$E$110,Element_Stiffness!Y140,0)),0)),0)+IF(Element_Stiffness!$C$146,IF(Element_Stiffness!$C$145=1,IF(2=Element_Stiffness!$C$145,Element_Stiffness!S169,IF(2=Element_Stiffness!$E$145,Element_Stiffness!Y169,0)),IF(Element_Stiffness!$E$145=1,IF(2=Element_Stiffness!$C$145,Element_Stiffness!S175,IF(2=Element_Stiffness!$E$145,Element_Stiffness!Y175,0)),0)),0)+IF(Element_Stiffness!$C$181,IF(Element_Stiffness!$C$180=1,IF(2=Element_Stiffness!$C$180,Element_Stiffness!S204,IF(2=Element_Stiffness!$E$180,Element_Stiffness!Y204,0)),IF(Element_Stiffness!$E$180=1,IF(2=Element_Stiffness!$C$180,Element_Stiffness!S210,IF(2=Element_Stiffness!$E$180,Element_Stiffness!Y210,0)),0)),0)+IF(Element_Stiffness!$C$216,IF(Element_Stiffness!$C$215=1,IF(2=Element_Stiffness!$C$215,Element_Stiffness!S239,IF(2=Element_Stiffness!$E$215,Element_Stiffness!Y239,0)),IF(Element_Stiffness!$E$215=1,IF(2=Element_Stiffness!$C$215,Element_Stiffness!S245,IF(2=Element_Stiffness!$E$215,Element_Stiffness!Y245,0)),0)),0)</f>
        <v/>
      </c>
      <c r="S14" s="21">
        <f>IF(Element_Stiffness!$C$6,IF(Element_Stiffness!$C$5=1,IF(2=Element_Stiffness!$C$5,Element_Stiffness!T29,IF(2=Element_Stiffness!$E$5,Element_Stiffness!Z29,0)),IF(Element_Stiffness!$E$5=1,IF(2=Element_Stiffness!$C$5,Element_Stiffness!T35,IF(2=Element_Stiffness!$E$5,Element_Stiffness!Z35,0)),0)),0)+IF(Element_Stiffness!$C$41,IF(Element_Stiffness!$C$40=1,IF(2=Element_Stiffness!$C$40,Element_Stiffness!T64,IF(2=Element_Stiffness!$E$40,Element_Stiffness!Z64,0)),IF(Element_Stiffness!$E$40=1,IF(2=Element_Stiffness!$C$40,Element_Stiffness!T70,IF(2=Element_Stiffness!$E$40,Element_Stiffness!Z70,0)),0)),0)+IF(Element_Stiffness!$C$76,IF(Element_Stiffness!$C$75=1,IF(2=Element_Stiffness!$C$75,Element_Stiffness!T99,IF(2=Element_Stiffness!$E$75,Element_Stiffness!Z99,0)),IF(Element_Stiffness!$E$75=1,IF(2=Element_Stiffness!$C$75,Element_Stiffness!T105,IF(2=Element_Stiffness!$E$75,Element_Stiffness!Z105,0)),0)),0)+IF(Element_Stiffness!$C$111,IF(Element_Stiffness!$C$110=1,IF(2=Element_Stiffness!$C$110,Element_Stiffness!T134,IF(2=Element_Stiffness!$E$110,Element_Stiffness!Z134,0)),IF(Element_Stiffness!$E$110=1,IF(2=Element_Stiffness!$C$110,Element_Stiffness!T140,IF(2=Element_Stiffness!$E$110,Element_Stiffness!Z140,0)),0)),0)+IF(Element_Stiffness!$C$146,IF(Element_Stiffness!$C$145=1,IF(2=Element_Stiffness!$C$145,Element_Stiffness!T169,IF(2=Element_Stiffness!$E$145,Element_Stiffness!Z169,0)),IF(Element_Stiffness!$E$145=1,IF(2=Element_Stiffness!$C$145,Element_Stiffness!T175,IF(2=Element_Stiffness!$E$145,Element_Stiffness!Z175,0)),0)),0)+IF(Element_Stiffness!$C$181,IF(Element_Stiffness!$C$180=1,IF(2=Element_Stiffness!$C$180,Element_Stiffness!T204,IF(2=Element_Stiffness!$E$180,Element_Stiffness!Z204,0)),IF(Element_Stiffness!$E$180=1,IF(2=Element_Stiffness!$C$180,Element_Stiffness!T210,IF(2=Element_Stiffness!$E$180,Element_Stiffness!Z210,0)),0)),0)+IF(Element_Stiffness!$C$216,IF(Element_Stiffness!$C$215=1,IF(2=Element_Stiffness!$C$215,Element_Stiffness!T239,IF(2=Element_Stiffness!$E$215,Element_Stiffness!Z239,0)),IF(Element_Stiffness!$E$215=1,IF(2=Element_Stiffness!$C$215,Element_Stiffness!T245,IF(2=Element_Stiffness!$E$215,Element_Stiffness!Z245,0)),0)),0)</f>
        <v/>
      </c>
      <c r="T14" s="21">
        <f>IF(Element_Stiffness!$C$6,IF(Element_Stiffness!$C$5=1,IF(2=Element_Stiffness!$C$5,Element_Stiffness!U29,IF(2=Element_Stiffness!$E$5,Element_Stiffness!AA29,0)),IF(Element_Stiffness!$E$5=1,IF(2=Element_Stiffness!$C$5,Element_Stiffness!U35,IF(2=Element_Stiffness!$E$5,Element_Stiffness!AA35,0)),0)),0)+IF(Element_Stiffness!$C$41,IF(Element_Stiffness!$C$40=1,IF(2=Element_Stiffness!$C$40,Element_Stiffness!U64,IF(2=Element_Stiffness!$E$40,Element_Stiffness!AA64,0)),IF(Element_Stiffness!$E$40=1,IF(2=Element_Stiffness!$C$40,Element_Stiffness!U70,IF(2=Element_Stiffness!$E$40,Element_Stiffness!AA70,0)),0)),0)+IF(Element_Stiffness!$C$76,IF(Element_Stiffness!$C$75=1,IF(2=Element_Stiffness!$C$75,Element_Stiffness!U99,IF(2=Element_Stiffness!$E$75,Element_Stiffness!AA99,0)),IF(Element_Stiffness!$E$75=1,IF(2=Element_Stiffness!$C$75,Element_Stiffness!U105,IF(2=Element_Stiffness!$E$75,Element_Stiffness!AA105,0)),0)),0)+IF(Element_Stiffness!$C$111,IF(Element_Stiffness!$C$110=1,IF(2=Element_Stiffness!$C$110,Element_Stiffness!U134,IF(2=Element_Stiffness!$E$110,Element_Stiffness!AA134,0)),IF(Element_Stiffness!$E$110=1,IF(2=Element_Stiffness!$C$110,Element_Stiffness!U140,IF(2=Element_Stiffness!$E$110,Element_Stiffness!AA140,0)),0)),0)+IF(Element_Stiffness!$C$146,IF(Element_Stiffness!$C$145=1,IF(2=Element_Stiffness!$C$145,Element_Stiffness!U169,IF(2=Element_Stiffness!$E$145,Element_Stiffness!AA169,0)),IF(Element_Stiffness!$E$145=1,IF(2=Element_Stiffness!$C$145,Element_Stiffness!U175,IF(2=Element_Stiffness!$E$145,Element_Stiffness!AA175,0)),0)),0)+IF(Element_Stiffness!$C$181,IF(Element_Stiffness!$C$180=1,IF(2=Element_Stiffness!$C$180,Element_Stiffness!U204,IF(2=Element_Stiffness!$E$180,Element_Stiffness!AA204,0)),IF(Element_Stiffness!$E$180=1,IF(2=Element_Stiffness!$C$180,Element_Stiffness!U210,IF(2=Element_Stiffness!$E$180,Element_Stiffness!AA210,0)),0)),0)+IF(Element_Stiffness!$C$216,IF(Element_Stiffness!$C$215=1,IF(2=Element_Stiffness!$C$215,Element_Stiffness!U239,IF(2=Element_Stiffness!$E$215,Element_Stiffness!AA239,0)),IF(Element_Stiffness!$E$215=1,IF(2=Element_Stiffness!$C$215,Element_Stiffness!U245,IF(2=Element_Stiffness!$E$215,Element_Stiffness!AA245,0)),0)),0)</f>
        <v/>
      </c>
      <c r="U14" s="21">
        <f>IF(Element_Stiffness!$C$6,IF(Element_Stiffness!$C$5=1,IF(3=Element_Stiffness!$C$5,Element_Stiffness!P29,IF(3=Element_Stiffness!$E$5,Element_Stiffness!V29,0)),IF(Element_Stiffness!$E$5=1,IF(3=Element_Stiffness!$C$5,Element_Stiffness!P35,IF(3=Element_Stiffness!$E$5,Element_Stiffness!V35,0)),0)),0)+IF(Element_Stiffness!$C$41,IF(Element_Stiffness!$C$40=1,IF(3=Element_Stiffness!$C$40,Element_Stiffness!P64,IF(3=Element_Stiffness!$E$40,Element_Stiffness!V64,0)),IF(Element_Stiffness!$E$40=1,IF(3=Element_Stiffness!$C$40,Element_Stiffness!P70,IF(3=Element_Stiffness!$E$40,Element_Stiffness!V70,0)),0)),0)+IF(Element_Stiffness!$C$76,IF(Element_Stiffness!$C$75=1,IF(3=Element_Stiffness!$C$75,Element_Stiffness!P99,IF(3=Element_Stiffness!$E$75,Element_Stiffness!V99,0)),IF(Element_Stiffness!$E$75=1,IF(3=Element_Stiffness!$C$75,Element_Stiffness!P105,IF(3=Element_Stiffness!$E$75,Element_Stiffness!V105,0)),0)),0)+IF(Element_Stiffness!$C$111,IF(Element_Stiffness!$C$110=1,IF(3=Element_Stiffness!$C$110,Element_Stiffness!P134,IF(3=Element_Stiffness!$E$110,Element_Stiffness!V134,0)),IF(Element_Stiffness!$E$110=1,IF(3=Element_Stiffness!$C$110,Element_Stiffness!P140,IF(3=Element_Stiffness!$E$110,Element_Stiffness!V140,0)),0)),0)+IF(Element_Stiffness!$C$146,IF(Element_Stiffness!$C$145=1,IF(3=Element_Stiffness!$C$145,Element_Stiffness!P169,IF(3=Element_Stiffness!$E$145,Element_Stiffness!V169,0)),IF(Element_Stiffness!$E$145=1,IF(3=Element_Stiffness!$C$145,Element_Stiffness!P175,IF(3=Element_Stiffness!$E$145,Element_Stiffness!V175,0)),0)),0)+IF(Element_Stiffness!$C$181,IF(Element_Stiffness!$C$180=1,IF(3=Element_Stiffness!$C$180,Element_Stiffness!P204,IF(3=Element_Stiffness!$E$180,Element_Stiffness!V204,0)),IF(Element_Stiffness!$E$180=1,IF(3=Element_Stiffness!$C$180,Element_Stiffness!P210,IF(3=Element_Stiffness!$E$180,Element_Stiffness!V210,0)),0)),0)+IF(Element_Stiffness!$C$216,IF(Element_Stiffness!$C$215=1,IF(3=Element_Stiffness!$C$215,Element_Stiffness!P239,IF(3=Element_Stiffness!$E$215,Element_Stiffness!V239,0)),IF(Element_Stiffness!$E$215=1,IF(3=Element_Stiffness!$C$215,Element_Stiffness!P245,IF(3=Element_Stiffness!$E$215,Element_Stiffness!V245,0)),0)),0)</f>
        <v/>
      </c>
      <c r="V14" s="21">
        <f>IF(Element_Stiffness!$C$6,IF(Element_Stiffness!$C$5=1,IF(3=Element_Stiffness!$C$5,Element_Stiffness!Q29,IF(3=Element_Stiffness!$E$5,Element_Stiffness!W29,0)),IF(Element_Stiffness!$E$5=1,IF(3=Element_Stiffness!$C$5,Element_Stiffness!Q35,IF(3=Element_Stiffness!$E$5,Element_Stiffness!W35,0)),0)),0)+IF(Element_Stiffness!$C$41,IF(Element_Stiffness!$C$40=1,IF(3=Element_Stiffness!$C$40,Element_Stiffness!Q64,IF(3=Element_Stiffness!$E$40,Element_Stiffness!W64,0)),IF(Element_Stiffness!$E$40=1,IF(3=Element_Stiffness!$C$40,Element_Stiffness!Q70,IF(3=Element_Stiffness!$E$40,Element_Stiffness!W70,0)),0)),0)+IF(Element_Stiffness!$C$76,IF(Element_Stiffness!$C$75=1,IF(3=Element_Stiffness!$C$75,Element_Stiffness!Q99,IF(3=Element_Stiffness!$E$75,Element_Stiffness!W99,0)),IF(Element_Stiffness!$E$75=1,IF(3=Element_Stiffness!$C$75,Element_Stiffness!Q105,IF(3=Element_Stiffness!$E$75,Element_Stiffness!W105,0)),0)),0)+IF(Element_Stiffness!$C$111,IF(Element_Stiffness!$C$110=1,IF(3=Element_Stiffness!$C$110,Element_Stiffness!Q134,IF(3=Element_Stiffness!$E$110,Element_Stiffness!W134,0)),IF(Element_Stiffness!$E$110=1,IF(3=Element_Stiffness!$C$110,Element_Stiffness!Q140,IF(3=Element_Stiffness!$E$110,Element_Stiffness!W140,0)),0)),0)+IF(Element_Stiffness!$C$146,IF(Element_Stiffness!$C$145=1,IF(3=Element_Stiffness!$C$145,Element_Stiffness!Q169,IF(3=Element_Stiffness!$E$145,Element_Stiffness!W169,0)),IF(Element_Stiffness!$E$145=1,IF(3=Element_Stiffness!$C$145,Element_Stiffness!Q175,IF(3=Element_Stiffness!$E$145,Element_Stiffness!W175,0)),0)),0)+IF(Element_Stiffness!$C$181,IF(Element_Stiffness!$C$180=1,IF(3=Element_Stiffness!$C$180,Element_Stiffness!Q204,IF(3=Element_Stiffness!$E$180,Element_Stiffness!W204,0)),IF(Element_Stiffness!$E$180=1,IF(3=Element_Stiffness!$C$180,Element_Stiffness!Q210,IF(3=Element_Stiffness!$E$180,Element_Stiffness!W210,0)),0)),0)+IF(Element_Stiffness!$C$216,IF(Element_Stiffness!$C$215=1,IF(3=Element_Stiffness!$C$215,Element_Stiffness!Q239,IF(3=Element_Stiffness!$E$215,Element_Stiffness!W239,0)),IF(Element_Stiffness!$E$215=1,IF(3=Element_Stiffness!$C$215,Element_Stiffness!Q245,IF(3=Element_Stiffness!$E$215,Element_Stiffness!W245,0)),0)),0)</f>
        <v/>
      </c>
      <c r="W14" s="21">
        <f>IF(Element_Stiffness!$C$6,IF(Element_Stiffness!$C$5=1,IF(3=Element_Stiffness!$C$5,Element_Stiffness!R29,IF(3=Element_Stiffness!$E$5,Element_Stiffness!X29,0)),IF(Element_Stiffness!$E$5=1,IF(3=Element_Stiffness!$C$5,Element_Stiffness!R35,IF(3=Element_Stiffness!$E$5,Element_Stiffness!X35,0)),0)),0)+IF(Element_Stiffness!$C$41,IF(Element_Stiffness!$C$40=1,IF(3=Element_Stiffness!$C$40,Element_Stiffness!R64,IF(3=Element_Stiffness!$E$40,Element_Stiffness!X64,0)),IF(Element_Stiffness!$E$40=1,IF(3=Element_Stiffness!$C$40,Element_Stiffness!R70,IF(3=Element_Stiffness!$E$40,Element_Stiffness!X70,0)),0)),0)+IF(Element_Stiffness!$C$76,IF(Element_Stiffness!$C$75=1,IF(3=Element_Stiffness!$C$75,Element_Stiffness!R99,IF(3=Element_Stiffness!$E$75,Element_Stiffness!X99,0)),IF(Element_Stiffness!$E$75=1,IF(3=Element_Stiffness!$C$75,Element_Stiffness!R105,IF(3=Element_Stiffness!$E$75,Element_Stiffness!X105,0)),0)),0)+IF(Element_Stiffness!$C$111,IF(Element_Stiffness!$C$110=1,IF(3=Element_Stiffness!$C$110,Element_Stiffness!R134,IF(3=Element_Stiffness!$E$110,Element_Stiffness!X134,0)),IF(Element_Stiffness!$E$110=1,IF(3=Element_Stiffness!$C$110,Element_Stiffness!R140,IF(3=Element_Stiffness!$E$110,Element_Stiffness!X140,0)),0)),0)+IF(Element_Stiffness!$C$146,IF(Element_Stiffness!$C$145=1,IF(3=Element_Stiffness!$C$145,Element_Stiffness!R169,IF(3=Element_Stiffness!$E$145,Element_Stiffness!X169,0)),IF(Element_Stiffness!$E$145=1,IF(3=Element_Stiffness!$C$145,Element_Stiffness!R175,IF(3=Element_Stiffness!$E$145,Element_Stiffness!X175,0)),0)),0)+IF(Element_Stiffness!$C$181,IF(Element_Stiffness!$C$180=1,IF(3=Element_Stiffness!$C$180,Element_Stiffness!R204,IF(3=Element_Stiffness!$E$180,Element_Stiffness!X204,0)),IF(Element_Stiffness!$E$180=1,IF(3=Element_Stiffness!$C$180,Element_Stiffness!R210,IF(3=Element_Stiffness!$E$180,Element_Stiffness!X210,0)),0)),0)+IF(Element_Stiffness!$C$216,IF(Element_Stiffness!$C$215=1,IF(3=Element_Stiffness!$C$215,Element_Stiffness!R239,IF(3=Element_Stiffness!$E$215,Element_Stiffness!X239,0)),IF(Element_Stiffness!$E$215=1,IF(3=Element_Stiffness!$C$215,Element_Stiffness!R245,IF(3=Element_Stiffness!$E$215,Element_Stiffness!X245,0)),0)),0)</f>
        <v/>
      </c>
      <c r="X14" s="21">
        <f>IF(Element_Stiffness!$C$6,IF(Element_Stiffness!$C$5=1,IF(3=Element_Stiffness!$C$5,Element_Stiffness!S29,IF(3=Element_Stiffness!$E$5,Element_Stiffness!Y29,0)),IF(Element_Stiffness!$E$5=1,IF(3=Element_Stiffness!$C$5,Element_Stiffness!S35,IF(3=Element_Stiffness!$E$5,Element_Stiffness!Y35,0)),0)),0)+IF(Element_Stiffness!$C$41,IF(Element_Stiffness!$C$40=1,IF(3=Element_Stiffness!$C$40,Element_Stiffness!S64,IF(3=Element_Stiffness!$E$40,Element_Stiffness!Y64,0)),IF(Element_Stiffness!$E$40=1,IF(3=Element_Stiffness!$C$40,Element_Stiffness!S70,IF(3=Element_Stiffness!$E$40,Element_Stiffness!Y70,0)),0)),0)+IF(Element_Stiffness!$C$76,IF(Element_Stiffness!$C$75=1,IF(3=Element_Stiffness!$C$75,Element_Stiffness!S99,IF(3=Element_Stiffness!$E$75,Element_Stiffness!Y99,0)),IF(Element_Stiffness!$E$75=1,IF(3=Element_Stiffness!$C$75,Element_Stiffness!S105,IF(3=Element_Stiffness!$E$75,Element_Stiffness!Y105,0)),0)),0)+IF(Element_Stiffness!$C$111,IF(Element_Stiffness!$C$110=1,IF(3=Element_Stiffness!$C$110,Element_Stiffness!S134,IF(3=Element_Stiffness!$E$110,Element_Stiffness!Y134,0)),IF(Element_Stiffness!$E$110=1,IF(3=Element_Stiffness!$C$110,Element_Stiffness!S140,IF(3=Element_Stiffness!$E$110,Element_Stiffness!Y140,0)),0)),0)+IF(Element_Stiffness!$C$146,IF(Element_Stiffness!$C$145=1,IF(3=Element_Stiffness!$C$145,Element_Stiffness!S169,IF(3=Element_Stiffness!$E$145,Element_Stiffness!Y169,0)),IF(Element_Stiffness!$E$145=1,IF(3=Element_Stiffness!$C$145,Element_Stiffness!S175,IF(3=Element_Stiffness!$E$145,Element_Stiffness!Y175,0)),0)),0)+IF(Element_Stiffness!$C$181,IF(Element_Stiffness!$C$180=1,IF(3=Element_Stiffness!$C$180,Element_Stiffness!S204,IF(3=Element_Stiffness!$E$180,Element_Stiffness!Y204,0)),IF(Element_Stiffness!$E$180=1,IF(3=Element_Stiffness!$C$180,Element_Stiffness!S210,IF(3=Element_Stiffness!$E$180,Element_Stiffness!Y210,0)),0)),0)+IF(Element_Stiffness!$C$216,IF(Element_Stiffness!$C$215=1,IF(3=Element_Stiffness!$C$215,Element_Stiffness!S239,IF(3=Element_Stiffness!$E$215,Element_Stiffness!Y239,0)),IF(Element_Stiffness!$E$215=1,IF(3=Element_Stiffness!$C$215,Element_Stiffness!S245,IF(3=Element_Stiffness!$E$215,Element_Stiffness!Y245,0)),0)),0)</f>
        <v/>
      </c>
      <c r="Y14" s="21">
        <f>IF(Element_Stiffness!$C$6,IF(Element_Stiffness!$C$5=1,IF(3=Element_Stiffness!$C$5,Element_Stiffness!T29,IF(3=Element_Stiffness!$E$5,Element_Stiffness!Z29,0)),IF(Element_Stiffness!$E$5=1,IF(3=Element_Stiffness!$C$5,Element_Stiffness!T35,IF(3=Element_Stiffness!$E$5,Element_Stiffness!Z35,0)),0)),0)+IF(Element_Stiffness!$C$41,IF(Element_Stiffness!$C$40=1,IF(3=Element_Stiffness!$C$40,Element_Stiffness!T64,IF(3=Element_Stiffness!$E$40,Element_Stiffness!Z64,0)),IF(Element_Stiffness!$E$40=1,IF(3=Element_Stiffness!$C$40,Element_Stiffness!T70,IF(3=Element_Stiffness!$E$40,Element_Stiffness!Z70,0)),0)),0)+IF(Element_Stiffness!$C$76,IF(Element_Stiffness!$C$75=1,IF(3=Element_Stiffness!$C$75,Element_Stiffness!T99,IF(3=Element_Stiffness!$E$75,Element_Stiffness!Z99,0)),IF(Element_Stiffness!$E$75=1,IF(3=Element_Stiffness!$C$75,Element_Stiffness!T105,IF(3=Element_Stiffness!$E$75,Element_Stiffness!Z105,0)),0)),0)+IF(Element_Stiffness!$C$111,IF(Element_Stiffness!$C$110=1,IF(3=Element_Stiffness!$C$110,Element_Stiffness!T134,IF(3=Element_Stiffness!$E$110,Element_Stiffness!Z134,0)),IF(Element_Stiffness!$E$110=1,IF(3=Element_Stiffness!$C$110,Element_Stiffness!T140,IF(3=Element_Stiffness!$E$110,Element_Stiffness!Z140,0)),0)),0)+IF(Element_Stiffness!$C$146,IF(Element_Stiffness!$C$145=1,IF(3=Element_Stiffness!$C$145,Element_Stiffness!T169,IF(3=Element_Stiffness!$E$145,Element_Stiffness!Z169,0)),IF(Element_Stiffness!$E$145=1,IF(3=Element_Stiffness!$C$145,Element_Stiffness!T175,IF(3=Element_Stiffness!$E$145,Element_Stiffness!Z175,0)),0)),0)+IF(Element_Stiffness!$C$181,IF(Element_Stiffness!$C$180=1,IF(3=Element_Stiffness!$C$180,Element_Stiffness!T204,IF(3=Element_Stiffness!$E$180,Element_Stiffness!Z204,0)),IF(Element_Stiffness!$E$180=1,IF(3=Element_Stiffness!$C$180,Element_Stiffness!T210,IF(3=Element_Stiffness!$E$180,Element_Stiffness!Z210,0)),0)),0)+IF(Element_Stiffness!$C$216,IF(Element_Stiffness!$C$215=1,IF(3=Element_Stiffness!$C$215,Element_Stiffness!T239,IF(3=Element_Stiffness!$E$215,Element_Stiffness!Z239,0)),IF(Element_Stiffness!$E$215=1,IF(3=Element_Stiffness!$C$215,Element_Stiffness!T245,IF(3=Element_Stiffness!$E$215,Element_Stiffness!Z245,0)),0)),0)</f>
        <v/>
      </c>
      <c r="Z14" s="21">
        <f>IF(Element_Stiffness!$C$6,IF(Element_Stiffness!$C$5=1,IF(3=Element_Stiffness!$C$5,Element_Stiffness!U29,IF(3=Element_Stiffness!$E$5,Element_Stiffness!AA29,0)),IF(Element_Stiffness!$E$5=1,IF(3=Element_Stiffness!$C$5,Element_Stiffness!U35,IF(3=Element_Stiffness!$E$5,Element_Stiffness!AA35,0)),0)),0)+IF(Element_Stiffness!$C$41,IF(Element_Stiffness!$C$40=1,IF(3=Element_Stiffness!$C$40,Element_Stiffness!U64,IF(3=Element_Stiffness!$E$40,Element_Stiffness!AA64,0)),IF(Element_Stiffness!$E$40=1,IF(3=Element_Stiffness!$C$40,Element_Stiffness!U70,IF(3=Element_Stiffness!$E$40,Element_Stiffness!AA70,0)),0)),0)+IF(Element_Stiffness!$C$76,IF(Element_Stiffness!$C$75=1,IF(3=Element_Stiffness!$C$75,Element_Stiffness!U99,IF(3=Element_Stiffness!$E$75,Element_Stiffness!AA99,0)),IF(Element_Stiffness!$E$75=1,IF(3=Element_Stiffness!$C$75,Element_Stiffness!U105,IF(3=Element_Stiffness!$E$75,Element_Stiffness!AA105,0)),0)),0)+IF(Element_Stiffness!$C$111,IF(Element_Stiffness!$C$110=1,IF(3=Element_Stiffness!$C$110,Element_Stiffness!U134,IF(3=Element_Stiffness!$E$110,Element_Stiffness!AA134,0)),IF(Element_Stiffness!$E$110=1,IF(3=Element_Stiffness!$C$110,Element_Stiffness!U140,IF(3=Element_Stiffness!$E$110,Element_Stiffness!AA140,0)),0)),0)+IF(Element_Stiffness!$C$146,IF(Element_Stiffness!$C$145=1,IF(3=Element_Stiffness!$C$145,Element_Stiffness!U169,IF(3=Element_Stiffness!$E$145,Element_Stiffness!AA169,0)),IF(Element_Stiffness!$E$145=1,IF(3=Element_Stiffness!$C$145,Element_Stiffness!U175,IF(3=Element_Stiffness!$E$145,Element_Stiffness!AA175,0)),0)),0)+IF(Element_Stiffness!$C$181,IF(Element_Stiffness!$C$180=1,IF(3=Element_Stiffness!$C$180,Element_Stiffness!U204,IF(3=Element_Stiffness!$E$180,Element_Stiffness!AA204,0)),IF(Element_Stiffness!$E$180=1,IF(3=Element_Stiffness!$C$180,Element_Stiffness!U210,IF(3=Element_Stiffness!$E$180,Element_Stiffness!AA210,0)),0)),0)+IF(Element_Stiffness!$C$216,IF(Element_Stiffness!$C$215=1,IF(3=Element_Stiffness!$C$215,Element_Stiffness!U239,IF(3=Element_Stiffness!$E$215,Element_Stiffness!AA239,0)),IF(Element_Stiffness!$E$215=1,IF(3=Element_Stiffness!$C$215,Element_Stiffness!U245,IF(3=Element_Stiffness!$E$215,Element_Stiffness!AA245,0)),0)),0)</f>
        <v/>
      </c>
      <c r="AA14" s="21">
        <f>IF(Element_Stiffness!$C$6,IF(Element_Stiffness!$C$5=1,IF(4=Element_Stiffness!$C$5,Element_Stiffness!P29,IF(4=Element_Stiffness!$E$5,Element_Stiffness!V29,0)),IF(Element_Stiffness!$E$5=1,IF(4=Element_Stiffness!$C$5,Element_Stiffness!P35,IF(4=Element_Stiffness!$E$5,Element_Stiffness!V35,0)),0)),0)+IF(Element_Stiffness!$C$41,IF(Element_Stiffness!$C$40=1,IF(4=Element_Stiffness!$C$40,Element_Stiffness!P64,IF(4=Element_Stiffness!$E$40,Element_Stiffness!V64,0)),IF(Element_Stiffness!$E$40=1,IF(4=Element_Stiffness!$C$40,Element_Stiffness!P70,IF(4=Element_Stiffness!$E$40,Element_Stiffness!V70,0)),0)),0)+IF(Element_Stiffness!$C$76,IF(Element_Stiffness!$C$75=1,IF(4=Element_Stiffness!$C$75,Element_Stiffness!P99,IF(4=Element_Stiffness!$E$75,Element_Stiffness!V99,0)),IF(Element_Stiffness!$E$75=1,IF(4=Element_Stiffness!$C$75,Element_Stiffness!P105,IF(4=Element_Stiffness!$E$75,Element_Stiffness!V105,0)),0)),0)+IF(Element_Stiffness!$C$111,IF(Element_Stiffness!$C$110=1,IF(4=Element_Stiffness!$C$110,Element_Stiffness!P134,IF(4=Element_Stiffness!$E$110,Element_Stiffness!V134,0)),IF(Element_Stiffness!$E$110=1,IF(4=Element_Stiffness!$C$110,Element_Stiffness!P140,IF(4=Element_Stiffness!$E$110,Element_Stiffness!V140,0)),0)),0)+IF(Element_Stiffness!$C$146,IF(Element_Stiffness!$C$145=1,IF(4=Element_Stiffness!$C$145,Element_Stiffness!P169,IF(4=Element_Stiffness!$E$145,Element_Stiffness!V169,0)),IF(Element_Stiffness!$E$145=1,IF(4=Element_Stiffness!$C$145,Element_Stiffness!P175,IF(4=Element_Stiffness!$E$145,Element_Stiffness!V175,0)),0)),0)+IF(Element_Stiffness!$C$181,IF(Element_Stiffness!$C$180=1,IF(4=Element_Stiffness!$C$180,Element_Stiffness!P204,IF(4=Element_Stiffness!$E$180,Element_Stiffness!V204,0)),IF(Element_Stiffness!$E$180=1,IF(4=Element_Stiffness!$C$180,Element_Stiffness!P210,IF(4=Element_Stiffness!$E$180,Element_Stiffness!V210,0)),0)),0)+IF(Element_Stiffness!$C$216,IF(Element_Stiffness!$C$215=1,IF(4=Element_Stiffness!$C$215,Element_Stiffness!P239,IF(4=Element_Stiffness!$E$215,Element_Stiffness!V239,0)),IF(Element_Stiffness!$E$215=1,IF(4=Element_Stiffness!$C$215,Element_Stiffness!P245,IF(4=Element_Stiffness!$E$215,Element_Stiffness!V245,0)),0)),0)</f>
        <v/>
      </c>
      <c r="AB14" s="21">
        <f>IF(Element_Stiffness!$C$6,IF(Element_Stiffness!$C$5=1,IF(4=Element_Stiffness!$C$5,Element_Stiffness!Q29,IF(4=Element_Stiffness!$E$5,Element_Stiffness!W29,0)),IF(Element_Stiffness!$E$5=1,IF(4=Element_Stiffness!$C$5,Element_Stiffness!Q35,IF(4=Element_Stiffness!$E$5,Element_Stiffness!W35,0)),0)),0)+IF(Element_Stiffness!$C$41,IF(Element_Stiffness!$C$40=1,IF(4=Element_Stiffness!$C$40,Element_Stiffness!Q64,IF(4=Element_Stiffness!$E$40,Element_Stiffness!W64,0)),IF(Element_Stiffness!$E$40=1,IF(4=Element_Stiffness!$C$40,Element_Stiffness!Q70,IF(4=Element_Stiffness!$E$40,Element_Stiffness!W70,0)),0)),0)+IF(Element_Stiffness!$C$76,IF(Element_Stiffness!$C$75=1,IF(4=Element_Stiffness!$C$75,Element_Stiffness!Q99,IF(4=Element_Stiffness!$E$75,Element_Stiffness!W99,0)),IF(Element_Stiffness!$E$75=1,IF(4=Element_Stiffness!$C$75,Element_Stiffness!Q105,IF(4=Element_Stiffness!$E$75,Element_Stiffness!W105,0)),0)),0)+IF(Element_Stiffness!$C$111,IF(Element_Stiffness!$C$110=1,IF(4=Element_Stiffness!$C$110,Element_Stiffness!Q134,IF(4=Element_Stiffness!$E$110,Element_Stiffness!W134,0)),IF(Element_Stiffness!$E$110=1,IF(4=Element_Stiffness!$C$110,Element_Stiffness!Q140,IF(4=Element_Stiffness!$E$110,Element_Stiffness!W140,0)),0)),0)+IF(Element_Stiffness!$C$146,IF(Element_Stiffness!$C$145=1,IF(4=Element_Stiffness!$C$145,Element_Stiffness!Q169,IF(4=Element_Stiffness!$E$145,Element_Stiffness!W169,0)),IF(Element_Stiffness!$E$145=1,IF(4=Element_Stiffness!$C$145,Element_Stiffness!Q175,IF(4=Element_Stiffness!$E$145,Element_Stiffness!W175,0)),0)),0)+IF(Element_Stiffness!$C$181,IF(Element_Stiffness!$C$180=1,IF(4=Element_Stiffness!$C$180,Element_Stiffness!Q204,IF(4=Element_Stiffness!$E$180,Element_Stiffness!W204,0)),IF(Element_Stiffness!$E$180=1,IF(4=Element_Stiffness!$C$180,Element_Stiffness!Q210,IF(4=Element_Stiffness!$E$180,Element_Stiffness!W210,0)),0)),0)+IF(Element_Stiffness!$C$216,IF(Element_Stiffness!$C$215=1,IF(4=Element_Stiffness!$C$215,Element_Stiffness!Q239,IF(4=Element_Stiffness!$E$215,Element_Stiffness!W239,0)),IF(Element_Stiffness!$E$215=1,IF(4=Element_Stiffness!$C$215,Element_Stiffness!Q245,IF(4=Element_Stiffness!$E$215,Element_Stiffness!W245,0)),0)),0)</f>
        <v/>
      </c>
      <c r="AC14" s="21">
        <f>IF(Element_Stiffness!$C$6,IF(Element_Stiffness!$C$5=1,IF(4=Element_Stiffness!$C$5,Element_Stiffness!R29,IF(4=Element_Stiffness!$E$5,Element_Stiffness!X29,0)),IF(Element_Stiffness!$E$5=1,IF(4=Element_Stiffness!$C$5,Element_Stiffness!R35,IF(4=Element_Stiffness!$E$5,Element_Stiffness!X35,0)),0)),0)+IF(Element_Stiffness!$C$41,IF(Element_Stiffness!$C$40=1,IF(4=Element_Stiffness!$C$40,Element_Stiffness!R64,IF(4=Element_Stiffness!$E$40,Element_Stiffness!X64,0)),IF(Element_Stiffness!$E$40=1,IF(4=Element_Stiffness!$C$40,Element_Stiffness!R70,IF(4=Element_Stiffness!$E$40,Element_Stiffness!X70,0)),0)),0)+IF(Element_Stiffness!$C$76,IF(Element_Stiffness!$C$75=1,IF(4=Element_Stiffness!$C$75,Element_Stiffness!R99,IF(4=Element_Stiffness!$E$75,Element_Stiffness!X99,0)),IF(Element_Stiffness!$E$75=1,IF(4=Element_Stiffness!$C$75,Element_Stiffness!R105,IF(4=Element_Stiffness!$E$75,Element_Stiffness!X105,0)),0)),0)+IF(Element_Stiffness!$C$111,IF(Element_Stiffness!$C$110=1,IF(4=Element_Stiffness!$C$110,Element_Stiffness!R134,IF(4=Element_Stiffness!$E$110,Element_Stiffness!X134,0)),IF(Element_Stiffness!$E$110=1,IF(4=Element_Stiffness!$C$110,Element_Stiffness!R140,IF(4=Element_Stiffness!$E$110,Element_Stiffness!X140,0)),0)),0)+IF(Element_Stiffness!$C$146,IF(Element_Stiffness!$C$145=1,IF(4=Element_Stiffness!$C$145,Element_Stiffness!R169,IF(4=Element_Stiffness!$E$145,Element_Stiffness!X169,0)),IF(Element_Stiffness!$E$145=1,IF(4=Element_Stiffness!$C$145,Element_Stiffness!R175,IF(4=Element_Stiffness!$E$145,Element_Stiffness!X175,0)),0)),0)+IF(Element_Stiffness!$C$181,IF(Element_Stiffness!$C$180=1,IF(4=Element_Stiffness!$C$180,Element_Stiffness!R204,IF(4=Element_Stiffness!$E$180,Element_Stiffness!X204,0)),IF(Element_Stiffness!$E$180=1,IF(4=Element_Stiffness!$C$180,Element_Stiffness!R210,IF(4=Element_Stiffness!$E$180,Element_Stiffness!X210,0)),0)),0)+IF(Element_Stiffness!$C$216,IF(Element_Stiffness!$C$215=1,IF(4=Element_Stiffness!$C$215,Element_Stiffness!R239,IF(4=Element_Stiffness!$E$215,Element_Stiffness!X239,0)),IF(Element_Stiffness!$E$215=1,IF(4=Element_Stiffness!$C$215,Element_Stiffness!R245,IF(4=Element_Stiffness!$E$215,Element_Stiffness!X245,0)),0)),0)</f>
        <v/>
      </c>
      <c r="AD14" s="21">
        <f>IF(Element_Stiffness!$C$6,IF(Element_Stiffness!$C$5=1,IF(4=Element_Stiffness!$C$5,Element_Stiffness!S29,IF(4=Element_Stiffness!$E$5,Element_Stiffness!Y29,0)),IF(Element_Stiffness!$E$5=1,IF(4=Element_Stiffness!$C$5,Element_Stiffness!S35,IF(4=Element_Stiffness!$E$5,Element_Stiffness!Y35,0)),0)),0)+IF(Element_Stiffness!$C$41,IF(Element_Stiffness!$C$40=1,IF(4=Element_Stiffness!$C$40,Element_Stiffness!S64,IF(4=Element_Stiffness!$E$40,Element_Stiffness!Y64,0)),IF(Element_Stiffness!$E$40=1,IF(4=Element_Stiffness!$C$40,Element_Stiffness!S70,IF(4=Element_Stiffness!$E$40,Element_Stiffness!Y70,0)),0)),0)+IF(Element_Stiffness!$C$76,IF(Element_Stiffness!$C$75=1,IF(4=Element_Stiffness!$C$75,Element_Stiffness!S99,IF(4=Element_Stiffness!$E$75,Element_Stiffness!Y99,0)),IF(Element_Stiffness!$E$75=1,IF(4=Element_Stiffness!$C$75,Element_Stiffness!S105,IF(4=Element_Stiffness!$E$75,Element_Stiffness!Y105,0)),0)),0)+IF(Element_Stiffness!$C$111,IF(Element_Stiffness!$C$110=1,IF(4=Element_Stiffness!$C$110,Element_Stiffness!S134,IF(4=Element_Stiffness!$E$110,Element_Stiffness!Y134,0)),IF(Element_Stiffness!$E$110=1,IF(4=Element_Stiffness!$C$110,Element_Stiffness!S140,IF(4=Element_Stiffness!$E$110,Element_Stiffness!Y140,0)),0)),0)+IF(Element_Stiffness!$C$146,IF(Element_Stiffness!$C$145=1,IF(4=Element_Stiffness!$C$145,Element_Stiffness!S169,IF(4=Element_Stiffness!$E$145,Element_Stiffness!Y169,0)),IF(Element_Stiffness!$E$145=1,IF(4=Element_Stiffness!$C$145,Element_Stiffness!S175,IF(4=Element_Stiffness!$E$145,Element_Stiffness!Y175,0)),0)),0)+IF(Element_Stiffness!$C$181,IF(Element_Stiffness!$C$180=1,IF(4=Element_Stiffness!$C$180,Element_Stiffness!S204,IF(4=Element_Stiffness!$E$180,Element_Stiffness!Y204,0)),IF(Element_Stiffness!$E$180=1,IF(4=Element_Stiffness!$C$180,Element_Stiffness!S210,IF(4=Element_Stiffness!$E$180,Element_Stiffness!Y210,0)),0)),0)+IF(Element_Stiffness!$C$216,IF(Element_Stiffness!$C$215=1,IF(4=Element_Stiffness!$C$215,Element_Stiffness!S239,IF(4=Element_Stiffness!$E$215,Element_Stiffness!Y239,0)),IF(Element_Stiffness!$E$215=1,IF(4=Element_Stiffness!$C$215,Element_Stiffness!S245,IF(4=Element_Stiffness!$E$215,Element_Stiffness!Y245,0)),0)),0)</f>
        <v/>
      </c>
      <c r="AE14" s="21">
        <f>IF(Element_Stiffness!$C$6,IF(Element_Stiffness!$C$5=1,IF(4=Element_Stiffness!$C$5,Element_Stiffness!T29,IF(4=Element_Stiffness!$E$5,Element_Stiffness!Z29,0)),IF(Element_Stiffness!$E$5=1,IF(4=Element_Stiffness!$C$5,Element_Stiffness!T35,IF(4=Element_Stiffness!$E$5,Element_Stiffness!Z35,0)),0)),0)+IF(Element_Stiffness!$C$41,IF(Element_Stiffness!$C$40=1,IF(4=Element_Stiffness!$C$40,Element_Stiffness!T64,IF(4=Element_Stiffness!$E$40,Element_Stiffness!Z64,0)),IF(Element_Stiffness!$E$40=1,IF(4=Element_Stiffness!$C$40,Element_Stiffness!T70,IF(4=Element_Stiffness!$E$40,Element_Stiffness!Z70,0)),0)),0)+IF(Element_Stiffness!$C$76,IF(Element_Stiffness!$C$75=1,IF(4=Element_Stiffness!$C$75,Element_Stiffness!T99,IF(4=Element_Stiffness!$E$75,Element_Stiffness!Z99,0)),IF(Element_Stiffness!$E$75=1,IF(4=Element_Stiffness!$C$75,Element_Stiffness!T105,IF(4=Element_Stiffness!$E$75,Element_Stiffness!Z105,0)),0)),0)+IF(Element_Stiffness!$C$111,IF(Element_Stiffness!$C$110=1,IF(4=Element_Stiffness!$C$110,Element_Stiffness!T134,IF(4=Element_Stiffness!$E$110,Element_Stiffness!Z134,0)),IF(Element_Stiffness!$E$110=1,IF(4=Element_Stiffness!$C$110,Element_Stiffness!T140,IF(4=Element_Stiffness!$E$110,Element_Stiffness!Z140,0)),0)),0)+IF(Element_Stiffness!$C$146,IF(Element_Stiffness!$C$145=1,IF(4=Element_Stiffness!$C$145,Element_Stiffness!T169,IF(4=Element_Stiffness!$E$145,Element_Stiffness!Z169,0)),IF(Element_Stiffness!$E$145=1,IF(4=Element_Stiffness!$C$145,Element_Stiffness!T175,IF(4=Element_Stiffness!$E$145,Element_Stiffness!Z175,0)),0)),0)+IF(Element_Stiffness!$C$181,IF(Element_Stiffness!$C$180=1,IF(4=Element_Stiffness!$C$180,Element_Stiffness!T204,IF(4=Element_Stiffness!$E$180,Element_Stiffness!Z204,0)),IF(Element_Stiffness!$E$180=1,IF(4=Element_Stiffness!$C$180,Element_Stiffness!T210,IF(4=Element_Stiffness!$E$180,Element_Stiffness!Z210,0)),0)),0)+IF(Element_Stiffness!$C$216,IF(Element_Stiffness!$C$215=1,IF(4=Element_Stiffness!$C$215,Element_Stiffness!T239,IF(4=Element_Stiffness!$E$215,Element_Stiffness!Z239,0)),IF(Element_Stiffness!$E$215=1,IF(4=Element_Stiffness!$C$215,Element_Stiffness!T245,IF(4=Element_Stiffness!$E$215,Element_Stiffness!Z245,0)),0)),0)</f>
        <v/>
      </c>
      <c r="AF14" s="21">
        <f>IF(Element_Stiffness!$C$6,IF(Element_Stiffness!$C$5=1,IF(4=Element_Stiffness!$C$5,Element_Stiffness!U29,IF(4=Element_Stiffness!$E$5,Element_Stiffness!AA29,0)),IF(Element_Stiffness!$E$5=1,IF(4=Element_Stiffness!$C$5,Element_Stiffness!U35,IF(4=Element_Stiffness!$E$5,Element_Stiffness!AA35,0)),0)),0)+IF(Element_Stiffness!$C$41,IF(Element_Stiffness!$C$40=1,IF(4=Element_Stiffness!$C$40,Element_Stiffness!U64,IF(4=Element_Stiffness!$E$40,Element_Stiffness!AA64,0)),IF(Element_Stiffness!$E$40=1,IF(4=Element_Stiffness!$C$40,Element_Stiffness!U70,IF(4=Element_Stiffness!$E$40,Element_Stiffness!AA70,0)),0)),0)+IF(Element_Stiffness!$C$76,IF(Element_Stiffness!$C$75=1,IF(4=Element_Stiffness!$C$75,Element_Stiffness!U99,IF(4=Element_Stiffness!$E$75,Element_Stiffness!AA99,0)),IF(Element_Stiffness!$E$75=1,IF(4=Element_Stiffness!$C$75,Element_Stiffness!U105,IF(4=Element_Stiffness!$E$75,Element_Stiffness!AA105,0)),0)),0)+IF(Element_Stiffness!$C$111,IF(Element_Stiffness!$C$110=1,IF(4=Element_Stiffness!$C$110,Element_Stiffness!U134,IF(4=Element_Stiffness!$E$110,Element_Stiffness!AA134,0)),IF(Element_Stiffness!$E$110=1,IF(4=Element_Stiffness!$C$110,Element_Stiffness!U140,IF(4=Element_Stiffness!$E$110,Element_Stiffness!AA140,0)),0)),0)+IF(Element_Stiffness!$C$146,IF(Element_Stiffness!$C$145=1,IF(4=Element_Stiffness!$C$145,Element_Stiffness!U169,IF(4=Element_Stiffness!$E$145,Element_Stiffness!AA169,0)),IF(Element_Stiffness!$E$145=1,IF(4=Element_Stiffness!$C$145,Element_Stiffness!U175,IF(4=Element_Stiffness!$E$145,Element_Stiffness!AA175,0)),0)),0)+IF(Element_Stiffness!$C$181,IF(Element_Stiffness!$C$180=1,IF(4=Element_Stiffness!$C$180,Element_Stiffness!U204,IF(4=Element_Stiffness!$E$180,Element_Stiffness!AA204,0)),IF(Element_Stiffness!$E$180=1,IF(4=Element_Stiffness!$C$180,Element_Stiffness!U210,IF(4=Element_Stiffness!$E$180,Element_Stiffness!AA210,0)),0)),0)+IF(Element_Stiffness!$C$216,IF(Element_Stiffness!$C$215=1,IF(4=Element_Stiffness!$C$215,Element_Stiffness!U239,IF(4=Element_Stiffness!$E$215,Element_Stiffness!AA239,0)),IF(Element_Stiffness!$E$215=1,IF(4=Element_Stiffness!$C$215,Element_Stiffness!U245,IF(4=Element_Stiffness!$E$215,Element_Stiffness!AA245,0)),0)),0)</f>
        <v/>
      </c>
      <c r="AG14" s="21">
        <f>IF(Element_Stiffness!$C$6,IF(Element_Stiffness!$C$5=1,IF(5=Element_Stiffness!$C$5,Element_Stiffness!P29,IF(5=Element_Stiffness!$E$5,Element_Stiffness!V29,0)),IF(Element_Stiffness!$E$5=1,IF(5=Element_Stiffness!$C$5,Element_Stiffness!P35,IF(5=Element_Stiffness!$E$5,Element_Stiffness!V35,0)),0)),0)+IF(Element_Stiffness!$C$41,IF(Element_Stiffness!$C$40=1,IF(5=Element_Stiffness!$C$40,Element_Stiffness!P64,IF(5=Element_Stiffness!$E$40,Element_Stiffness!V64,0)),IF(Element_Stiffness!$E$40=1,IF(5=Element_Stiffness!$C$40,Element_Stiffness!P70,IF(5=Element_Stiffness!$E$40,Element_Stiffness!V70,0)),0)),0)+IF(Element_Stiffness!$C$76,IF(Element_Stiffness!$C$75=1,IF(5=Element_Stiffness!$C$75,Element_Stiffness!P99,IF(5=Element_Stiffness!$E$75,Element_Stiffness!V99,0)),IF(Element_Stiffness!$E$75=1,IF(5=Element_Stiffness!$C$75,Element_Stiffness!P105,IF(5=Element_Stiffness!$E$75,Element_Stiffness!V105,0)),0)),0)+IF(Element_Stiffness!$C$111,IF(Element_Stiffness!$C$110=1,IF(5=Element_Stiffness!$C$110,Element_Stiffness!P134,IF(5=Element_Stiffness!$E$110,Element_Stiffness!V134,0)),IF(Element_Stiffness!$E$110=1,IF(5=Element_Stiffness!$C$110,Element_Stiffness!P140,IF(5=Element_Stiffness!$E$110,Element_Stiffness!V140,0)),0)),0)+IF(Element_Stiffness!$C$146,IF(Element_Stiffness!$C$145=1,IF(5=Element_Stiffness!$C$145,Element_Stiffness!P169,IF(5=Element_Stiffness!$E$145,Element_Stiffness!V169,0)),IF(Element_Stiffness!$E$145=1,IF(5=Element_Stiffness!$C$145,Element_Stiffness!P175,IF(5=Element_Stiffness!$E$145,Element_Stiffness!V175,0)),0)),0)+IF(Element_Stiffness!$C$181,IF(Element_Stiffness!$C$180=1,IF(5=Element_Stiffness!$C$180,Element_Stiffness!P204,IF(5=Element_Stiffness!$E$180,Element_Stiffness!V204,0)),IF(Element_Stiffness!$E$180=1,IF(5=Element_Stiffness!$C$180,Element_Stiffness!P210,IF(5=Element_Stiffness!$E$180,Element_Stiffness!V210,0)),0)),0)+IF(Element_Stiffness!$C$216,IF(Element_Stiffness!$C$215=1,IF(5=Element_Stiffness!$C$215,Element_Stiffness!P239,IF(5=Element_Stiffness!$E$215,Element_Stiffness!V239,0)),IF(Element_Stiffness!$E$215=1,IF(5=Element_Stiffness!$C$215,Element_Stiffness!P245,IF(5=Element_Stiffness!$E$215,Element_Stiffness!V245,0)),0)),0)</f>
        <v/>
      </c>
      <c r="AH14" s="21">
        <f>IF(Element_Stiffness!$C$6,IF(Element_Stiffness!$C$5=1,IF(5=Element_Stiffness!$C$5,Element_Stiffness!Q29,IF(5=Element_Stiffness!$E$5,Element_Stiffness!W29,0)),IF(Element_Stiffness!$E$5=1,IF(5=Element_Stiffness!$C$5,Element_Stiffness!Q35,IF(5=Element_Stiffness!$E$5,Element_Stiffness!W35,0)),0)),0)+IF(Element_Stiffness!$C$41,IF(Element_Stiffness!$C$40=1,IF(5=Element_Stiffness!$C$40,Element_Stiffness!Q64,IF(5=Element_Stiffness!$E$40,Element_Stiffness!W64,0)),IF(Element_Stiffness!$E$40=1,IF(5=Element_Stiffness!$C$40,Element_Stiffness!Q70,IF(5=Element_Stiffness!$E$40,Element_Stiffness!W70,0)),0)),0)+IF(Element_Stiffness!$C$76,IF(Element_Stiffness!$C$75=1,IF(5=Element_Stiffness!$C$75,Element_Stiffness!Q99,IF(5=Element_Stiffness!$E$75,Element_Stiffness!W99,0)),IF(Element_Stiffness!$E$75=1,IF(5=Element_Stiffness!$C$75,Element_Stiffness!Q105,IF(5=Element_Stiffness!$E$75,Element_Stiffness!W105,0)),0)),0)+IF(Element_Stiffness!$C$111,IF(Element_Stiffness!$C$110=1,IF(5=Element_Stiffness!$C$110,Element_Stiffness!Q134,IF(5=Element_Stiffness!$E$110,Element_Stiffness!W134,0)),IF(Element_Stiffness!$E$110=1,IF(5=Element_Stiffness!$C$110,Element_Stiffness!Q140,IF(5=Element_Stiffness!$E$110,Element_Stiffness!W140,0)),0)),0)+IF(Element_Stiffness!$C$146,IF(Element_Stiffness!$C$145=1,IF(5=Element_Stiffness!$C$145,Element_Stiffness!Q169,IF(5=Element_Stiffness!$E$145,Element_Stiffness!W169,0)),IF(Element_Stiffness!$E$145=1,IF(5=Element_Stiffness!$C$145,Element_Stiffness!Q175,IF(5=Element_Stiffness!$E$145,Element_Stiffness!W175,0)),0)),0)+IF(Element_Stiffness!$C$181,IF(Element_Stiffness!$C$180=1,IF(5=Element_Stiffness!$C$180,Element_Stiffness!Q204,IF(5=Element_Stiffness!$E$180,Element_Stiffness!W204,0)),IF(Element_Stiffness!$E$180=1,IF(5=Element_Stiffness!$C$180,Element_Stiffness!Q210,IF(5=Element_Stiffness!$E$180,Element_Stiffness!W210,0)),0)),0)+IF(Element_Stiffness!$C$216,IF(Element_Stiffness!$C$215=1,IF(5=Element_Stiffness!$C$215,Element_Stiffness!Q239,IF(5=Element_Stiffness!$E$215,Element_Stiffness!W239,0)),IF(Element_Stiffness!$E$215=1,IF(5=Element_Stiffness!$C$215,Element_Stiffness!Q245,IF(5=Element_Stiffness!$E$215,Element_Stiffness!W245,0)),0)),0)</f>
        <v/>
      </c>
      <c r="AI14" s="21">
        <f>IF(Element_Stiffness!$C$6,IF(Element_Stiffness!$C$5=1,IF(5=Element_Stiffness!$C$5,Element_Stiffness!R29,IF(5=Element_Stiffness!$E$5,Element_Stiffness!X29,0)),IF(Element_Stiffness!$E$5=1,IF(5=Element_Stiffness!$C$5,Element_Stiffness!R35,IF(5=Element_Stiffness!$E$5,Element_Stiffness!X35,0)),0)),0)+IF(Element_Stiffness!$C$41,IF(Element_Stiffness!$C$40=1,IF(5=Element_Stiffness!$C$40,Element_Stiffness!R64,IF(5=Element_Stiffness!$E$40,Element_Stiffness!X64,0)),IF(Element_Stiffness!$E$40=1,IF(5=Element_Stiffness!$C$40,Element_Stiffness!R70,IF(5=Element_Stiffness!$E$40,Element_Stiffness!X70,0)),0)),0)+IF(Element_Stiffness!$C$76,IF(Element_Stiffness!$C$75=1,IF(5=Element_Stiffness!$C$75,Element_Stiffness!R99,IF(5=Element_Stiffness!$E$75,Element_Stiffness!X99,0)),IF(Element_Stiffness!$E$75=1,IF(5=Element_Stiffness!$C$75,Element_Stiffness!R105,IF(5=Element_Stiffness!$E$75,Element_Stiffness!X105,0)),0)),0)+IF(Element_Stiffness!$C$111,IF(Element_Stiffness!$C$110=1,IF(5=Element_Stiffness!$C$110,Element_Stiffness!R134,IF(5=Element_Stiffness!$E$110,Element_Stiffness!X134,0)),IF(Element_Stiffness!$E$110=1,IF(5=Element_Stiffness!$C$110,Element_Stiffness!R140,IF(5=Element_Stiffness!$E$110,Element_Stiffness!X140,0)),0)),0)+IF(Element_Stiffness!$C$146,IF(Element_Stiffness!$C$145=1,IF(5=Element_Stiffness!$C$145,Element_Stiffness!R169,IF(5=Element_Stiffness!$E$145,Element_Stiffness!X169,0)),IF(Element_Stiffness!$E$145=1,IF(5=Element_Stiffness!$C$145,Element_Stiffness!R175,IF(5=Element_Stiffness!$E$145,Element_Stiffness!X175,0)),0)),0)+IF(Element_Stiffness!$C$181,IF(Element_Stiffness!$C$180=1,IF(5=Element_Stiffness!$C$180,Element_Stiffness!R204,IF(5=Element_Stiffness!$E$180,Element_Stiffness!X204,0)),IF(Element_Stiffness!$E$180=1,IF(5=Element_Stiffness!$C$180,Element_Stiffness!R210,IF(5=Element_Stiffness!$E$180,Element_Stiffness!X210,0)),0)),0)+IF(Element_Stiffness!$C$216,IF(Element_Stiffness!$C$215=1,IF(5=Element_Stiffness!$C$215,Element_Stiffness!R239,IF(5=Element_Stiffness!$E$215,Element_Stiffness!X239,0)),IF(Element_Stiffness!$E$215=1,IF(5=Element_Stiffness!$C$215,Element_Stiffness!R245,IF(5=Element_Stiffness!$E$215,Element_Stiffness!X245,0)),0)),0)</f>
        <v/>
      </c>
      <c r="AJ14" s="21">
        <f>IF(Element_Stiffness!$C$6,IF(Element_Stiffness!$C$5=1,IF(5=Element_Stiffness!$C$5,Element_Stiffness!S29,IF(5=Element_Stiffness!$E$5,Element_Stiffness!Y29,0)),IF(Element_Stiffness!$E$5=1,IF(5=Element_Stiffness!$C$5,Element_Stiffness!S35,IF(5=Element_Stiffness!$E$5,Element_Stiffness!Y35,0)),0)),0)+IF(Element_Stiffness!$C$41,IF(Element_Stiffness!$C$40=1,IF(5=Element_Stiffness!$C$40,Element_Stiffness!S64,IF(5=Element_Stiffness!$E$40,Element_Stiffness!Y64,0)),IF(Element_Stiffness!$E$40=1,IF(5=Element_Stiffness!$C$40,Element_Stiffness!S70,IF(5=Element_Stiffness!$E$40,Element_Stiffness!Y70,0)),0)),0)+IF(Element_Stiffness!$C$76,IF(Element_Stiffness!$C$75=1,IF(5=Element_Stiffness!$C$75,Element_Stiffness!S99,IF(5=Element_Stiffness!$E$75,Element_Stiffness!Y99,0)),IF(Element_Stiffness!$E$75=1,IF(5=Element_Stiffness!$C$75,Element_Stiffness!S105,IF(5=Element_Stiffness!$E$75,Element_Stiffness!Y105,0)),0)),0)+IF(Element_Stiffness!$C$111,IF(Element_Stiffness!$C$110=1,IF(5=Element_Stiffness!$C$110,Element_Stiffness!S134,IF(5=Element_Stiffness!$E$110,Element_Stiffness!Y134,0)),IF(Element_Stiffness!$E$110=1,IF(5=Element_Stiffness!$C$110,Element_Stiffness!S140,IF(5=Element_Stiffness!$E$110,Element_Stiffness!Y140,0)),0)),0)+IF(Element_Stiffness!$C$146,IF(Element_Stiffness!$C$145=1,IF(5=Element_Stiffness!$C$145,Element_Stiffness!S169,IF(5=Element_Stiffness!$E$145,Element_Stiffness!Y169,0)),IF(Element_Stiffness!$E$145=1,IF(5=Element_Stiffness!$C$145,Element_Stiffness!S175,IF(5=Element_Stiffness!$E$145,Element_Stiffness!Y175,0)),0)),0)+IF(Element_Stiffness!$C$181,IF(Element_Stiffness!$C$180=1,IF(5=Element_Stiffness!$C$180,Element_Stiffness!S204,IF(5=Element_Stiffness!$E$180,Element_Stiffness!Y204,0)),IF(Element_Stiffness!$E$180=1,IF(5=Element_Stiffness!$C$180,Element_Stiffness!S210,IF(5=Element_Stiffness!$E$180,Element_Stiffness!Y210,0)),0)),0)+IF(Element_Stiffness!$C$216,IF(Element_Stiffness!$C$215=1,IF(5=Element_Stiffness!$C$215,Element_Stiffness!S239,IF(5=Element_Stiffness!$E$215,Element_Stiffness!Y239,0)),IF(Element_Stiffness!$E$215=1,IF(5=Element_Stiffness!$C$215,Element_Stiffness!S245,IF(5=Element_Stiffness!$E$215,Element_Stiffness!Y245,0)),0)),0)</f>
        <v/>
      </c>
      <c r="AK14" s="21">
        <f>IF(Element_Stiffness!$C$6,IF(Element_Stiffness!$C$5=1,IF(5=Element_Stiffness!$C$5,Element_Stiffness!T29,IF(5=Element_Stiffness!$E$5,Element_Stiffness!Z29,0)),IF(Element_Stiffness!$E$5=1,IF(5=Element_Stiffness!$C$5,Element_Stiffness!T35,IF(5=Element_Stiffness!$E$5,Element_Stiffness!Z35,0)),0)),0)+IF(Element_Stiffness!$C$41,IF(Element_Stiffness!$C$40=1,IF(5=Element_Stiffness!$C$40,Element_Stiffness!T64,IF(5=Element_Stiffness!$E$40,Element_Stiffness!Z64,0)),IF(Element_Stiffness!$E$40=1,IF(5=Element_Stiffness!$C$40,Element_Stiffness!T70,IF(5=Element_Stiffness!$E$40,Element_Stiffness!Z70,0)),0)),0)+IF(Element_Stiffness!$C$76,IF(Element_Stiffness!$C$75=1,IF(5=Element_Stiffness!$C$75,Element_Stiffness!T99,IF(5=Element_Stiffness!$E$75,Element_Stiffness!Z99,0)),IF(Element_Stiffness!$E$75=1,IF(5=Element_Stiffness!$C$75,Element_Stiffness!T105,IF(5=Element_Stiffness!$E$75,Element_Stiffness!Z105,0)),0)),0)+IF(Element_Stiffness!$C$111,IF(Element_Stiffness!$C$110=1,IF(5=Element_Stiffness!$C$110,Element_Stiffness!T134,IF(5=Element_Stiffness!$E$110,Element_Stiffness!Z134,0)),IF(Element_Stiffness!$E$110=1,IF(5=Element_Stiffness!$C$110,Element_Stiffness!T140,IF(5=Element_Stiffness!$E$110,Element_Stiffness!Z140,0)),0)),0)+IF(Element_Stiffness!$C$146,IF(Element_Stiffness!$C$145=1,IF(5=Element_Stiffness!$C$145,Element_Stiffness!T169,IF(5=Element_Stiffness!$E$145,Element_Stiffness!Z169,0)),IF(Element_Stiffness!$E$145=1,IF(5=Element_Stiffness!$C$145,Element_Stiffness!T175,IF(5=Element_Stiffness!$E$145,Element_Stiffness!Z175,0)),0)),0)+IF(Element_Stiffness!$C$181,IF(Element_Stiffness!$C$180=1,IF(5=Element_Stiffness!$C$180,Element_Stiffness!T204,IF(5=Element_Stiffness!$E$180,Element_Stiffness!Z204,0)),IF(Element_Stiffness!$E$180=1,IF(5=Element_Stiffness!$C$180,Element_Stiffness!T210,IF(5=Element_Stiffness!$E$180,Element_Stiffness!Z210,0)),0)),0)+IF(Element_Stiffness!$C$216,IF(Element_Stiffness!$C$215=1,IF(5=Element_Stiffness!$C$215,Element_Stiffness!T239,IF(5=Element_Stiffness!$E$215,Element_Stiffness!Z239,0)),IF(Element_Stiffness!$E$215=1,IF(5=Element_Stiffness!$C$215,Element_Stiffness!T245,IF(5=Element_Stiffness!$E$215,Element_Stiffness!Z245,0)),0)),0)</f>
        <v/>
      </c>
      <c r="AL14" s="21">
        <f>IF(Element_Stiffness!$C$6,IF(Element_Stiffness!$C$5=1,IF(5=Element_Stiffness!$C$5,Element_Stiffness!U29,IF(5=Element_Stiffness!$E$5,Element_Stiffness!AA29,0)),IF(Element_Stiffness!$E$5=1,IF(5=Element_Stiffness!$C$5,Element_Stiffness!U35,IF(5=Element_Stiffness!$E$5,Element_Stiffness!AA35,0)),0)),0)+IF(Element_Stiffness!$C$41,IF(Element_Stiffness!$C$40=1,IF(5=Element_Stiffness!$C$40,Element_Stiffness!U64,IF(5=Element_Stiffness!$E$40,Element_Stiffness!AA64,0)),IF(Element_Stiffness!$E$40=1,IF(5=Element_Stiffness!$C$40,Element_Stiffness!U70,IF(5=Element_Stiffness!$E$40,Element_Stiffness!AA70,0)),0)),0)+IF(Element_Stiffness!$C$76,IF(Element_Stiffness!$C$75=1,IF(5=Element_Stiffness!$C$75,Element_Stiffness!U99,IF(5=Element_Stiffness!$E$75,Element_Stiffness!AA99,0)),IF(Element_Stiffness!$E$75=1,IF(5=Element_Stiffness!$C$75,Element_Stiffness!U105,IF(5=Element_Stiffness!$E$75,Element_Stiffness!AA105,0)),0)),0)+IF(Element_Stiffness!$C$111,IF(Element_Stiffness!$C$110=1,IF(5=Element_Stiffness!$C$110,Element_Stiffness!U134,IF(5=Element_Stiffness!$E$110,Element_Stiffness!AA134,0)),IF(Element_Stiffness!$E$110=1,IF(5=Element_Stiffness!$C$110,Element_Stiffness!U140,IF(5=Element_Stiffness!$E$110,Element_Stiffness!AA140,0)),0)),0)+IF(Element_Stiffness!$C$146,IF(Element_Stiffness!$C$145=1,IF(5=Element_Stiffness!$C$145,Element_Stiffness!U169,IF(5=Element_Stiffness!$E$145,Element_Stiffness!AA169,0)),IF(Element_Stiffness!$E$145=1,IF(5=Element_Stiffness!$C$145,Element_Stiffness!U175,IF(5=Element_Stiffness!$E$145,Element_Stiffness!AA175,0)),0)),0)+IF(Element_Stiffness!$C$181,IF(Element_Stiffness!$C$180=1,IF(5=Element_Stiffness!$C$180,Element_Stiffness!U204,IF(5=Element_Stiffness!$E$180,Element_Stiffness!AA204,0)),IF(Element_Stiffness!$E$180=1,IF(5=Element_Stiffness!$C$180,Element_Stiffness!U210,IF(5=Element_Stiffness!$E$180,Element_Stiffness!AA210,0)),0)),0)+IF(Element_Stiffness!$C$216,IF(Element_Stiffness!$C$215=1,IF(5=Element_Stiffness!$C$215,Element_Stiffness!U239,IF(5=Element_Stiffness!$E$215,Element_Stiffness!AA239,0)),IF(Element_Stiffness!$E$215=1,IF(5=Element_Stiffness!$C$215,Element_Stiffness!U245,IF(5=Element_Stiffness!$E$215,Element_Stiffness!AA245,0)),0)),0)</f>
        <v/>
      </c>
      <c r="AM14" s="21">
        <f>IF(Element_Stiffness!$C$6,IF(Element_Stiffness!$C$5=1,IF(6=Element_Stiffness!$C$5,Element_Stiffness!P29,IF(6=Element_Stiffness!$E$5,Element_Stiffness!V29,0)),IF(Element_Stiffness!$E$5=1,IF(6=Element_Stiffness!$C$5,Element_Stiffness!P35,IF(6=Element_Stiffness!$E$5,Element_Stiffness!V35,0)),0)),0)+IF(Element_Stiffness!$C$41,IF(Element_Stiffness!$C$40=1,IF(6=Element_Stiffness!$C$40,Element_Stiffness!P64,IF(6=Element_Stiffness!$E$40,Element_Stiffness!V64,0)),IF(Element_Stiffness!$E$40=1,IF(6=Element_Stiffness!$C$40,Element_Stiffness!P70,IF(6=Element_Stiffness!$E$40,Element_Stiffness!V70,0)),0)),0)+IF(Element_Stiffness!$C$76,IF(Element_Stiffness!$C$75=1,IF(6=Element_Stiffness!$C$75,Element_Stiffness!P99,IF(6=Element_Stiffness!$E$75,Element_Stiffness!V99,0)),IF(Element_Stiffness!$E$75=1,IF(6=Element_Stiffness!$C$75,Element_Stiffness!P105,IF(6=Element_Stiffness!$E$75,Element_Stiffness!V105,0)),0)),0)+IF(Element_Stiffness!$C$111,IF(Element_Stiffness!$C$110=1,IF(6=Element_Stiffness!$C$110,Element_Stiffness!P134,IF(6=Element_Stiffness!$E$110,Element_Stiffness!V134,0)),IF(Element_Stiffness!$E$110=1,IF(6=Element_Stiffness!$C$110,Element_Stiffness!P140,IF(6=Element_Stiffness!$E$110,Element_Stiffness!V140,0)),0)),0)+IF(Element_Stiffness!$C$146,IF(Element_Stiffness!$C$145=1,IF(6=Element_Stiffness!$C$145,Element_Stiffness!P169,IF(6=Element_Stiffness!$E$145,Element_Stiffness!V169,0)),IF(Element_Stiffness!$E$145=1,IF(6=Element_Stiffness!$C$145,Element_Stiffness!P175,IF(6=Element_Stiffness!$E$145,Element_Stiffness!V175,0)),0)),0)+IF(Element_Stiffness!$C$181,IF(Element_Stiffness!$C$180=1,IF(6=Element_Stiffness!$C$180,Element_Stiffness!P204,IF(6=Element_Stiffness!$E$180,Element_Stiffness!V204,0)),IF(Element_Stiffness!$E$180=1,IF(6=Element_Stiffness!$C$180,Element_Stiffness!P210,IF(6=Element_Stiffness!$E$180,Element_Stiffness!V210,0)),0)),0)+IF(Element_Stiffness!$C$216,IF(Element_Stiffness!$C$215=1,IF(6=Element_Stiffness!$C$215,Element_Stiffness!P239,IF(6=Element_Stiffness!$E$215,Element_Stiffness!V239,0)),IF(Element_Stiffness!$E$215=1,IF(6=Element_Stiffness!$C$215,Element_Stiffness!P245,IF(6=Element_Stiffness!$E$215,Element_Stiffness!V245,0)),0)),0)</f>
        <v/>
      </c>
      <c r="AN14" s="21">
        <f>IF(Element_Stiffness!$C$6,IF(Element_Stiffness!$C$5=1,IF(6=Element_Stiffness!$C$5,Element_Stiffness!Q29,IF(6=Element_Stiffness!$E$5,Element_Stiffness!W29,0)),IF(Element_Stiffness!$E$5=1,IF(6=Element_Stiffness!$C$5,Element_Stiffness!Q35,IF(6=Element_Stiffness!$E$5,Element_Stiffness!W35,0)),0)),0)+IF(Element_Stiffness!$C$41,IF(Element_Stiffness!$C$40=1,IF(6=Element_Stiffness!$C$40,Element_Stiffness!Q64,IF(6=Element_Stiffness!$E$40,Element_Stiffness!W64,0)),IF(Element_Stiffness!$E$40=1,IF(6=Element_Stiffness!$C$40,Element_Stiffness!Q70,IF(6=Element_Stiffness!$E$40,Element_Stiffness!W70,0)),0)),0)+IF(Element_Stiffness!$C$76,IF(Element_Stiffness!$C$75=1,IF(6=Element_Stiffness!$C$75,Element_Stiffness!Q99,IF(6=Element_Stiffness!$E$75,Element_Stiffness!W99,0)),IF(Element_Stiffness!$E$75=1,IF(6=Element_Stiffness!$C$75,Element_Stiffness!Q105,IF(6=Element_Stiffness!$E$75,Element_Stiffness!W105,0)),0)),0)+IF(Element_Stiffness!$C$111,IF(Element_Stiffness!$C$110=1,IF(6=Element_Stiffness!$C$110,Element_Stiffness!Q134,IF(6=Element_Stiffness!$E$110,Element_Stiffness!W134,0)),IF(Element_Stiffness!$E$110=1,IF(6=Element_Stiffness!$C$110,Element_Stiffness!Q140,IF(6=Element_Stiffness!$E$110,Element_Stiffness!W140,0)),0)),0)+IF(Element_Stiffness!$C$146,IF(Element_Stiffness!$C$145=1,IF(6=Element_Stiffness!$C$145,Element_Stiffness!Q169,IF(6=Element_Stiffness!$E$145,Element_Stiffness!W169,0)),IF(Element_Stiffness!$E$145=1,IF(6=Element_Stiffness!$C$145,Element_Stiffness!Q175,IF(6=Element_Stiffness!$E$145,Element_Stiffness!W175,0)),0)),0)+IF(Element_Stiffness!$C$181,IF(Element_Stiffness!$C$180=1,IF(6=Element_Stiffness!$C$180,Element_Stiffness!Q204,IF(6=Element_Stiffness!$E$180,Element_Stiffness!W204,0)),IF(Element_Stiffness!$E$180=1,IF(6=Element_Stiffness!$C$180,Element_Stiffness!Q210,IF(6=Element_Stiffness!$E$180,Element_Stiffness!W210,0)),0)),0)+IF(Element_Stiffness!$C$216,IF(Element_Stiffness!$C$215=1,IF(6=Element_Stiffness!$C$215,Element_Stiffness!Q239,IF(6=Element_Stiffness!$E$215,Element_Stiffness!W239,0)),IF(Element_Stiffness!$E$215=1,IF(6=Element_Stiffness!$C$215,Element_Stiffness!Q245,IF(6=Element_Stiffness!$E$215,Element_Stiffness!W245,0)),0)),0)</f>
        <v/>
      </c>
      <c r="AO14" s="21">
        <f>IF(Element_Stiffness!$C$6,IF(Element_Stiffness!$C$5=1,IF(6=Element_Stiffness!$C$5,Element_Stiffness!R29,IF(6=Element_Stiffness!$E$5,Element_Stiffness!X29,0)),IF(Element_Stiffness!$E$5=1,IF(6=Element_Stiffness!$C$5,Element_Stiffness!R35,IF(6=Element_Stiffness!$E$5,Element_Stiffness!X35,0)),0)),0)+IF(Element_Stiffness!$C$41,IF(Element_Stiffness!$C$40=1,IF(6=Element_Stiffness!$C$40,Element_Stiffness!R64,IF(6=Element_Stiffness!$E$40,Element_Stiffness!X64,0)),IF(Element_Stiffness!$E$40=1,IF(6=Element_Stiffness!$C$40,Element_Stiffness!R70,IF(6=Element_Stiffness!$E$40,Element_Stiffness!X70,0)),0)),0)+IF(Element_Stiffness!$C$76,IF(Element_Stiffness!$C$75=1,IF(6=Element_Stiffness!$C$75,Element_Stiffness!R99,IF(6=Element_Stiffness!$E$75,Element_Stiffness!X99,0)),IF(Element_Stiffness!$E$75=1,IF(6=Element_Stiffness!$C$75,Element_Stiffness!R105,IF(6=Element_Stiffness!$E$75,Element_Stiffness!X105,0)),0)),0)+IF(Element_Stiffness!$C$111,IF(Element_Stiffness!$C$110=1,IF(6=Element_Stiffness!$C$110,Element_Stiffness!R134,IF(6=Element_Stiffness!$E$110,Element_Stiffness!X134,0)),IF(Element_Stiffness!$E$110=1,IF(6=Element_Stiffness!$C$110,Element_Stiffness!R140,IF(6=Element_Stiffness!$E$110,Element_Stiffness!X140,0)),0)),0)+IF(Element_Stiffness!$C$146,IF(Element_Stiffness!$C$145=1,IF(6=Element_Stiffness!$C$145,Element_Stiffness!R169,IF(6=Element_Stiffness!$E$145,Element_Stiffness!X169,0)),IF(Element_Stiffness!$E$145=1,IF(6=Element_Stiffness!$C$145,Element_Stiffness!R175,IF(6=Element_Stiffness!$E$145,Element_Stiffness!X175,0)),0)),0)+IF(Element_Stiffness!$C$181,IF(Element_Stiffness!$C$180=1,IF(6=Element_Stiffness!$C$180,Element_Stiffness!R204,IF(6=Element_Stiffness!$E$180,Element_Stiffness!X204,0)),IF(Element_Stiffness!$E$180=1,IF(6=Element_Stiffness!$C$180,Element_Stiffness!R210,IF(6=Element_Stiffness!$E$180,Element_Stiffness!X210,0)),0)),0)+IF(Element_Stiffness!$C$216,IF(Element_Stiffness!$C$215=1,IF(6=Element_Stiffness!$C$215,Element_Stiffness!R239,IF(6=Element_Stiffness!$E$215,Element_Stiffness!X239,0)),IF(Element_Stiffness!$E$215=1,IF(6=Element_Stiffness!$C$215,Element_Stiffness!R245,IF(6=Element_Stiffness!$E$215,Element_Stiffness!X245,0)),0)),0)</f>
        <v/>
      </c>
      <c r="AP14" s="21">
        <f>IF(Element_Stiffness!$C$6,IF(Element_Stiffness!$C$5=1,IF(6=Element_Stiffness!$C$5,Element_Stiffness!S29,IF(6=Element_Stiffness!$E$5,Element_Stiffness!Y29,0)),IF(Element_Stiffness!$E$5=1,IF(6=Element_Stiffness!$C$5,Element_Stiffness!S35,IF(6=Element_Stiffness!$E$5,Element_Stiffness!Y35,0)),0)),0)+IF(Element_Stiffness!$C$41,IF(Element_Stiffness!$C$40=1,IF(6=Element_Stiffness!$C$40,Element_Stiffness!S64,IF(6=Element_Stiffness!$E$40,Element_Stiffness!Y64,0)),IF(Element_Stiffness!$E$40=1,IF(6=Element_Stiffness!$C$40,Element_Stiffness!S70,IF(6=Element_Stiffness!$E$40,Element_Stiffness!Y70,0)),0)),0)+IF(Element_Stiffness!$C$76,IF(Element_Stiffness!$C$75=1,IF(6=Element_Stiffness!$C$75,Element_Stiffness!S99,IF(6=Element_Stiffness!$E$75,Element_Stiffness!Y99,0)),IF(Element_Stiffness!$E$75=1,IF(6=Element_Stiffness!$C$75,Element_Stiffness!S105,IF(6=Element_Stiffness!$E$75,Element_Stiffness!Y105,0)),0)),0)+IF(Element_Stiffness!$C$111,IF(Element_Stiffness!$C$110=1,IF(6=Element_Stiffness!$C$110,Element_Stiffness!S134,IF(6=Element_Stiffness!$E$110,Element_Stiffness!Y134,0)),IF(Element_Stiffness!$E$110=1,IF(6=Element_Stiffness!$C$110,Element_Stiffness!S140,IF(6=Element_Stiffness!$E$110,Element_Stiffness!Y140,0)),0)),0)+IF(Element_Stiffness!$C$146,IF(Element_Stiffness!$C$145=1,IF(6=Element_Stiffness!$C$145,Element_Stiffness!S169,IF(6=Element_Stiffness!$E$145,Element_Stiffness!Y169,0)),IF(Element_Stiffness!$E$145=1,IF(6=Element_Stiffness!$C$145,Element_Stiffness!S175,IF(6=Element_Stiffness!$E$145,Element_Stiffness!Y175,0)),0)),0)+IF(Element_Stiffness!$C$181,IF(Element_Stiffness!$C$180=1,IF(6=Element_Stiffness!$C$180,Element_Stiffness!S204,IF(6=Element_Stiffness!$E$180,Element_Stiffness!Y204,0)),IF(Element_Stiffness!$E$180=1,IF(6=Element_Stiffness!$C$180,Element_Stiffness!S210,IF(6=Element_Stiffness!$E$180,Element_Stiffness!Y210,0)),0)),0)+IF(Element_Stiffness!$C$216,IF(Element_Stiffness!$C$215=1,IF(6=Element_Stiffness!$C$215,Element_Stiffness!S239,IF(6=Element_Stiffness!$E$215,Element_Stiffness!Y239,0)),IF(Element_Stiffness!$E$215=1,IF(6=Element_Stiffness!$C$215,Element_Stiffness!S245,IF(6=Element_Stiffness!$E$215,Element_Stiffness!Y245,0)),0)),0)</f>
        <v/>
      </c>
      <c r="AQ14" s="21">
        <f>IF(Element_Stiffness!$C$6,IF(Element_Stiffness!$C$5=1,IF(6=Element_Stiffness!$C$5,Element_Stiffness!T29,IF(6=Element_Stiffness!$E$5,Element_Stiffness!Z29,0)),IF(Element_Stiffness!$E$5=1,IF(6=Element_Stiffness!$C$5,Element_Stiffness!T35,IF(6=Element_Stiffness!$E$5,Element_Stiffness!Z35,0)),0)),0)+IF(Element_Stiffness!$C$41,IF(Element_Stiffness!$C$40=1,IF(6=Element_Stiffness!$C$40,Element_Stiffness!T64,IF(6=Element_Stiffness!$E$40,Element_Stiffness!Z64,0)),IF(Element_Stiffness!$E$40=1,IF(6=Element_Stiffness!$C$40,Element_Stiffness!T70,IF(6=Element_Stiffness!$E$40,Element_Stiffness!Z70,0)),0)),0)+IF(Element_Stiffness!$C$76,IF(Element_Stiffness!$C$75=1,IF(6=Element_Stiffness!$C$75,Element_Stiffness!T99,IF(6=Element_Stiffness!$E$75,Element_Stiffness!Z99,0)),IF(Element_Stiffness!$E$75=1,IF(6=Element_Stiffness!$C$75,Element_Stiffness!T105,IF(6=Element_Stiffness!$E$75,Element_Stiffness!Z105,0)),0)),0)+IF(Element_Stiffness!$C$111,IF(Element_Stiffness!$C$110=1,IF(6=Element_Stiffness!$C$110,Element_Stiffness!T134,IF(6=Element_Stiffness!$E$110,Element_Stiffness!Z134,0)),IF(Element_Stiffness!$E$110=1,IF(6=Element_Stiffness!$C$110,Element_Stiffness!T140,IF(6=Element_Stiffness!$E$110,Element_Stiffness!Z140,0)),0)),0)+IF(Element_Stiffness!$C$146,IF(Element_Stiffness!$C$145=1,IF(6=Element_Stiffness!$C$145,Element_Stiffness!T169,IF(6=Element_Stiffness!$E$145,Element_Stiffness!Z169,0)),IF(Element_Stiffness!$E$145=1,IF(6=Element_Stiffness!$C$145,Element_Stiffness!T175,IF(6=Element_Stiffness!$E$145,Element_Stiffness!Z175,0)),0)),0)+IF(Element_Stiffness!$C$181,IF(Element_Stiffness!$C$180=1,IF(6=Element_Stiffness!$C$180,Element_Stiffness!T204,IF(6=Element_Stiffness!$E$180,Element_Stiffness!Z204,0)),IF(Element_Stiffness!$E$180=1,IF(6=Element_Stiffness!$C$180,Element_Stiffness!T210,IF(6=Element_Stiffness!$E$180,Element_Stiffness!Z210,0)),0)),0)+IF(Element_Stiffness!$C$216,IF(Element_Stiffness!$C$215=1,IF(6=Element_Stiffness!$C$215,Element_Stiffness!T239,IF(6=Element_Stiffness!$E$215,Element_Stiffness!Z239,0)),IF(Element_Stiffness!$E$215=1,IF(6=Element_Stiffness!$C$215,Element_Stiffness!T245,IF(6=Element_Stiffness!$E$215,Element_Stiffness!Z245,0)),0)),0)</f>
        <v/>
      </c>
      <c r="AR14" s="21">
        <f>IF(Element_Stiffness!$C$6,IF(Element_Stiffness!$C$5=1,IF(6=Element_Stiffness!$C$5,Element_Stiffness!U29,IF(6=Element_Stiffness!$E$5,Element_Stiffness!AA29,0)),IF(Element_Stiffness!$E$5=1,IF(6=Element_Stiffness!$C$5,Element_Stiffness!U35,IF(6=Element_Stiffness!$E$5,Element_Stiffness!AA35,0)),0)),0)+IF(Element_Stiffness!$C$41,IF(Element_Stiffness!$C$40=1,IF(6=Element_Stiffness!$C$40,Element_Stiffness!U64,IF(6=Element_Stiffness!$E$40,Element_Stiffness!AA64,0)),IF(Element_Stiffness!$E$40=1,IF(6=Element_Stiffness!$C$40,Element_Stiffness!U70,IF(6=Element_Stiffness!$E$40,Element_Stiffness!AA70,0)),0)),0)+IF(Element_Stiffness!$C$76,IF(Element_Stiffness!$C$75=1,IF(6=Element_Stiffness!$C$75,Element_Stiffness!U99,IF(6=Element_Stiffness!$E$75,Element_Stiffness!AA99,0)),IF(Element_Stiffness!$E$75=1,IF(6=Element_Stiffness!$C$75,Element_Stiffness!U105,IF(6=Element_Stiffness!$E$75,Element_Stiffness!AA105,0)),0)),0)+IF(Element_Stiffness!$C$111,IF(Element_Stiffness!$C$110=1,IF(6=Element_Stiffness!$C$110,Element_Stiffness!U134,IF(6=Element_Stiffness!$E$110,Element_Stiffness!AA134,0)),IF(Element_Stiffness!$E$110=1,IF(6=Element_Stiffness!$C$110,Element_Stiffness!U140,IF(6=Element_Stiffness!$E$110,Element_Stiffness!AA140,0)),0)),0)+IF(Element_Stiffness!$C$146,IF(Element_Stiffness!$C$145=1,IF(6=Element_Stiffness!$C$145,Element_Stiffness!U169,IF(6=Element_Stiffness!$E$145,Element_Stiffness!AA169,0)),IF(Element_Stiffness!$E$145=1,IF(6=Element_Stiffness!$C$145,Element_Stiffness!U175,IF(6=Element_Stiffness!$E$145,Element_Stiffness!AA175,0)),0)),0)+IF(Element_Stiffness!$C$181,IF(Element_Stiffness!$C$180=1,IF(6=Element_Stiffness!$C$180,Element_Stiffness!U204,IF(6=Element_Stiffness!$E$180,Element_Stiffness!AA204,0)),IF(Element_Stiffness!$E$180=1,IF(6=Element_Stiffness!$C$180,Element_Stiffness!U210,IF(6=Element_Stiffness!$E$180,Element_Stiffness!AA210,0)),0)),0)+IF(Element_Stiffness!$C$216,IF(Element_Stiffness!$C$215=1,IF(6=Element_Stiffness!$C$215,Element_Stiffness!U239,IF(6=Element_Stiffness!$E$215,Element_Stiffness!AA239,0)),IF(Element_Stiffness!$E$215=1,IF(6=Element_Stiffness!$C$215,Element_Stiffness!U245,IF(6=Element_Stiffness!$E$215,Element_Stiffness!AA245,0)),0)),0)</f>
        <v/>
      </c>
      <c r="AS14" s="21">
        <f>IF(Element_Stiffness!$C$6,IF(Element_Stiffness!$C$5=1,IF(7=Element_Stiffness!$C$5,Element_Stiffness!P29,IF(7=Element_Stiffness!$E$5,Element_Stiffness!V29,0)),IF(Element_Stiffness!$E$5=1,IF(7=Element_Stiffness!$C$5,Element_Stiffness!P35,IF(7=Element_Stiffness!$E$5,Element_Stiffness!V35,0)),0)),0)+IF(Element_Stiffness!$C$41,IF(Element_Stiffness!$C$40=1,IF(7=Element_Stiffness!$C$40,Element_Stiffness!P64,IF(7=Element_Stiffness!$E$40,Element_Stiffness!V64,0)),IF(Element_Stiffness!$E$40=1,IF(7=Element_Stiffness!$C$40,Element_Stiffness!P70,IF(7=Element_Stiffness!$E$40,Element_Stiffness!V70,0)),0)),0)+IF(Element_Stiffness!$C$76,IF(Element_Stiffness!$C$75=1,IF(7=Element_Stiffness!$C$75,Element_Stiffness!P99,IF(7=Element_Stiffness!$E$75,Element_Stiffness!V99,0)),IF(Element_Stiffness!$E$75=1,IF(7=Element_Stiffness!$C$75,Element_Stiffness!P105,IF(7=Element_Stiffness!$E$75,Element_Stiffness!V105,0)),0)),0)+IF(Element_Stiffness!$C$111,IF(Element_Stiffness!$C$110=1,IF(7=Element_Stiffness!$C$110,Element_Stiffness!P134,IF(7=Element_Stiffness!$E$110,Element_Stiffness!V134,0)),IF(Element_Stiffness!$E$110=1,IF(7=Element_Stiffness!$C$110,Element_Stiffness!P140,IF(7=Element_Stiffness!$E$110,Element_Stiffness!V140,0)),0)),0)+IF(Element_Stiffness!$C$146,IF(Element_Stiffness!$C$145=1,IF(7=Element_Stiffness!$C$145,Element_Stiffness!P169,IF(7=Element_Stiffness!$E$145,Element_Stiffness!V169,0)),IF(Element_Stiffness!$E$145=1,IF(7=Element_Stiffness!$C$145,Element_Stiffness!P175,IF(7=Element_Stiffness!$E$145,Element_Stiffness!V175,0)),0)),0)+IF(Element_Stiffness!$C$181,IF(Element_Stiffness!$C$180=1,IF(7=Element_Stiffness!$C$180,Element_Stiffness!P204,IF(7=Element_Stiffness!$E$180,Element_Stiffness!V204,0)),IF(Element_Stiffness!$E$180=1,IF(7=Element_Stiffness!$C$180,Element_Stiffness!P210,IF(7=Element_Stiffness!$E$180,Element_Stiffness!V210,0)),0)),0)+IF(Element_Stiffness!$C$216,IF(Element_Stiffness!$C$215=1,IF(7=Element_Stiffness!$C$215,Element_Stiffness!P239,IF(7=Element_Stiffness!$E$215,Element_Stiffness!V239,0)),IF(Element_Stiffness!$E$215=1,IF(7=Element_Stiffness!$C$215,Element_Stiffness!P245,IF(7=Element_Stiffness!$E$215,Element_Stiffness!V245,0)),0)),0)</f>
        <v/>
      </c>
      <c r="AT14" s="21">
        <f>IF(Element_Stiffness!$C$6,IF(Element_Stiffness!$C$5=1,IF(7=Element_Stiffness!$C$5,Element_Stiffness!Q29,IF(7=Element_Stiffness!$E$5,Element_Stiffness!W29,0)),IF(Element_Stiffness!$E$5=1,IF(7=Element_Stiffness!$C$5,Element_Stiffness!Q35,IF(7=Element_Stiffness!$E$5,Element_Stiffness!W35,0)),0)),0)+IF(Element_Stiffness!$C$41,IF(Element_Stiffness!$C$40=1,IF(7=Element_Stiffness!$C$40,Element_Stiffness!Q64,IF(7=Element_Stiffness!$E$40,Element_Stiffness!W64,0)),IF(Element_Stiffness!$E$40=1,IF(7=Element_Stiffness!$C$40,Element_Stiffness!Q70,IF(7=Element_Stiffness!$E$40,Element_Stiffness!W70,0)),0)),0)+IF(Element_Stiffness!$C$76,IF(Element_Stiffness!$C$75=1,IF(7=Element_Stiffness!$C$75,Element_Stiffness!Q99,IF(7=Element_Stiffness!$E$75,Element_Stiffness!W99,0)),IF(Element_Stiffness!$E$75=1,IF(7=Element_Stiffness!$C$75,Element_Stiffness!Q105,IF(7=Element_Stiffness!$E$75,Element_Stiffness!W105,0)),0)),0)+IF(Element_Stiffness!$C$111,IF(Element_Stiffness!$C$110=1,IF(7=Element_Stiffness!$C$110,Element_Stiffness!Q134,IF(7=Element_Stiffness!$E$110,Element_Stiffness!W134,0)),IF(Element_Stiffness!$E$110=1,IF(7=Element_Stiffness!$C$110,Element_Stiffness!Q140,IF(7=Element_Stiffness!$E$110,Element_Stiffness!W140,0)),0)),0)+IF(Element_Stiffness!$C$146,IF(Element_Stiffness!$C$145=1,IF(7=Element_Stiffness!$C$145,Element_Stiffness!Q169,IF(7=Element_Stiffness!$E$145,Element_Stiffness!W169,0)),IF(Element_Stiffness!$E$145=1,IF(7=Element_Stiffness!$C$145,Element_Stiffness!Q175,IF(7=Element_Stiffness!$E$145,Element_Stiffness!W175,0)),0)),0)+IF(Element_Stiffness!$C$181,IF(Element_Stiffness!$C$180=1,IF(7=Element_Stiffness!$C$180,Element_Stiffness!Q204,IF(7=Element_Stiffness!$E$180,Element_Stiffness!W204,0)),IF(Element_Stiffness!$E$180=1,IF(7=Element_Stiffness!$C$180,Element_Stiffness!Q210,IF(7=Element_Stiffness!$E$180,Element_Stiffness!W210,0)),0)),0)+IF(Element_Stiffness!$C$216,IF(Element_Stiffness!$C$215=1,IF(7=Element_Stiffness!$C$215,Element_Stiffness!Q239,IF(7=Element_Stiffness!$E$215,Element_Stiffness!W239,0)),IF(Element_Stiffness!$E$215=1,IF(7=Element_Stiffness!$C$215,Element_Stiffness!Q245,IF(7=Element_Stiffness!$E$215,Element_Stiffness!W245,0)),0)),0)</f>
        <v/>
      </c>
      <c r="AU14" s="21">
        <f>IF(Element_Stiffness!$C$6,IF(Element_Stiffness!$C$5=1,IF(7=Element_Stiffness!$C$5,Element_Stiffness!R29,IF(7=Element_Stiffness!$E$5,Element_Stiffness!X29,0)),IF(Element_Stiffness!$E$5=1,IF(7=Element_Stiffness!$C$5,Element_Stiffness!R35,IF(7=Element_Stiffness!$E$5,Element_Stiffness!X35,0)),0)),0)+IF(Element_Stiffness!$C$41,IF(Element_Stiffness!$C$40=1,IF(7=Element_Stiffness!$C$40,Element_Stiffness!R64,IF(7=Element_Stiffness!$E$40,Element_Stiffness!X64,0)),IF(Element_Stiffness!$E$40=1,IF(7=Element_Stiffness!$C$40,Element_Stiffness!R70,IF(7=Element_Stiffness!$E$40,Element_Stiffness!X70,0)),0)),0)+IF(Element_Stiffness!$C$76,IF(Element_Stiffness!$C$75=1,IF(7=Element_Stiffness!$C$75,Element_Stiffness!R99,IF(7=Element_Stiffness!$E$75,Element_Stiffness!X99,0)),IF(Element_Stiffness!$E$75=1,IF(7=Element_Stiffness!$C$75,Element_Stiffness!R105,IF(7=Element_Stiffness!$E$75,Element_Stiffness!X105,0)),0)),0)+IF(Element_Stiffness!$C$111,IF(Element_Stiffness!$C$110=1,IF(7=Element_Stiffness!$C$110,Element_Stiffness!R134,IF(7=Element_Stiffness!$E$110,Element_Stiffness!X134,0)),IF(Element_Stiffness!$E$110=1,IF(7=Element_Stiffness!$C$110,Element_Stiffness!R140,IF(7=Element_Stiffness!$E$110,Element_Stiffness!X140,0)),0)),0)+IF(Element_Stiffness!$C$146,IF(Element_Stiffness!$C$145=1,IF(7=Element_Stiffness!$C$145,Element_Stiffness!R169,IF(7=Element_Stiffness!$E$145,Element_Stiffness!X169,0)),IF(Element_Stiffness!$E$145=1,IF(7=Element_Stiffness!$C$145,Element_Stiffness!R175,IF(7=Element_Stiffness!$E$145,Element_Stiffness!X175,0)),0)),0)+IF(Element_Stiffness!$C$181,IF(Element_Stiffness!$C$180=1,IF(7=Element_Stiffness!$C$180,Element_Stiffness!R204,IF(7=Element_Stiffness!$E$180,Element_Stiffness!X204,0)),IF(Element_Stiffness!$E$180=1,IF(7=Element_Stiffness!$C$180,Element_Stiffness!R210,IF(7=Element_Stiffness!$E$180,Element_Stiffness!X210,0)),0)),0)+IF(Element_Stiffness!$C$216,IF(Element_Stiffness!$C$215=1,IF(7=Element_Stiffness!$C$215,Element_Stiffness!R239,IF(7=Element_Stiffness!$E$215,Element_Stiffness!X239,0)),IF(Element_Stiffness!$E$215=1,IF(7=Element_Stiffness!$C$215,Element_Stiffness!R245,IF(7=Element_Stiffness!$E$215,Element_Stiffness!X245,0)),0)),0)</f>
        <v/>
      </c>
      <c r="AV14" s="21">
        <f>IF(Element_Stiffness!$C$6,IF(Element_Stiffness!$C$5=1,IF(7=Element_Stiffness!$C$5,Element_Stiffness!S29,IF(7=Element_Stiffness!$E$5,Element_Stiffness!Y29,0)),IF(Element_Stiffness!$E$5=1,IF(7=Element_Stiffness!$C$5,Element_Stiffness!S35,IF(7=Element_Stiffness!$E$5,Element_Stiffness!Y35,0)),0)),0)+IF(Element_Stiffness!$C$41,IF(Element_Stiffness!$C$40=1,IF(7=Element_Stiffness!$C$40,Element_Stiffness!S64,IF(7=Element_Stiffness!$E$40,Element_Stiffness!Y64,0)),IF(Element_Stiffness!$E$40=1,IF(7=Element_Stiffness!$C$40,Element_Stiffness!S70,IF(7=Element_Stiffness!$E$40,Element_Stiffness!Y70,0)),0)),0)+IF(Element_Stiffness!$C$76,IF(Element_Stiffness!$C$75=1,IF(7=Element_Stiffness!$C$75,Element_Stiffness!S99,IF(7=Element_Stiffness!$E$75,Element_Stiffness!Y99,0)),IF(Element_Stiffness!$E$75=1,IF(7=Element_Stiffness!$C$75,Element_Stiffness!S105,IF(7=Element_Stiffness!$E$75,Element_Stiffness!Y105,0)),0)),0)+IF(Element_Stiffness!$C$111,IF(Element_Stiffness!$C$110=1,IF(7=Element_Stiffness!$C$110,Element_Stiffness!S134,IF(7=Element_Stiffness!$E$110,Element_Stiffness!Y134,0)),IF(Element_Stiffness!$E$110=1,IF(7=Element_Stiffness!$C$110,Element_Stiffness!S140,IF(7=Element_Stiffness!$E$110,Element_Stiffness!Y140,0)),0)),0)+IF(Element_Stiffness!$C$146,IF(Element_Stiffness!$C$145=1,IF(7=Element_Stiffness!$C$145,Element_Stiffness!S169,IF(7=Element_Stiffness!$E$145,Element_Stiffness!Y169,0)),IF(Element_Stiffness!$E$145=1,IF(7=Element_Stiffness!$C$145,Element_Stiffness!S175,IF(7=Element_Stiffness!$E$145,Element_Stiffness!Y175,0)),0)),0)+IF(Element_Stiffness!$C$181,IF(Element_Stiffness!$C$180=1,IF(7=Element_Stiffness!$C$180,Element_Stiffness!S204,IF(7=Element_Stiffness!$E$180,Element_Stiffness!Y204,0)),IF(Element_Stiffness!$E$180=1,IF(7=Element_Stiffness!$C$180,Element_Stiffness!S210,IF(7=Element_Stiffness!$E$180,Element_Stiffness!Y210,0)),0)),0)+IF(Element_Stiffness!$C$216,IF(Element_Stiffness!$C$215=1,IF(7=Element_Stiffness!$C$215,Element_Stiffness!S239,IF(7=Element_Stiffness!$E$215,Element_Stiffness!Y239,0)),IF(Element_Stiffness!$E$215=1,IF(7=Element_Stiffness!$C$215,Element_Stiffness!S245,IF(7=Element_Stiffness!$E$215,Element_Stiffness!Y245,0)),0)),0)</f>
        <v/>
      </c>
      <c r="AW14" s="21">
        <f>IF(Element_Stiffness!$C$6,IF(Element_Stiffness!$C$5=1,IF(7=Element_Stiffness!$C$5,Element_Stiffness!T29,IF(7=Element_Stiffness!$E$5,Element_Stiffness!Z29,0)),IF(Element_Stiffness!$E$5=1,IF(7=Element_Stiffness!$C$5,Element_Stiffness!T35,IF(7=Element_Stiffness!$E$5,Element_Stiffness!Z35,0)),0)),0)+IF(Element_Stiffness!$C$41,IF(Element_Stiffness!$C$40=1,IF(7=Element_Stiffness!$C$40,Element_Stiffness!T64,IF(7=Element_Stiffness!$E$40,Element_Stiffness!Z64,0)),IF(Element_Stiffness!$E$40=1,IF(7=Element_Stiffness!$C$40,Element_Stiffness!T70,IF(7=Element_Stiffness!$E$40,Element_Stiffness!Z70,0)),0)),0)+IF(Element_Stiffness!$C$76,IF(Element_Stiffness!$C$75=1,IF(7=Element_Stiffness!$C$75,Element_Stiffness!T99,IF(7=Element_Stiffness!$E$75,Element_Stiffness!Z99,0)),IF(Element_Stiffness!$E$75=1,IF(7=Element_Stiffness!$C$75,Element_Stiffness!T105,IF(7=Element_Stiffness!$E$75,Element_Stiffness!Z105,0)),0)),0)+IF(Element_Stiffness!$C$111,IF(Element_Stiffness!$C$110=1,IF(7=Element_Stiffness!$C$110,Element_Stiffness!T134,IF(7=Element_Stiffness!$E$110,Element_Stiffness!Z134,0)),IF(Element_Stiffness!$E$110=1,IF(7=Element_Stiffness!$C$110,Element_Stiffness!T140,IF(7=Element_Stiffness!$E$110,Element_Stiffness!Z140,0)),0)),0)+IF(Element_Stiffness!$C$146,IF(Element_Stiffness!$C$145=1,IF(7=Element_Stiffness!$C$145,Element_Stiffness!T169,IF(7=Element_Stiffness!$E$145,Element_Stiffness!Z169,0)),IF(Element_Stiffness!$E$145=1,IF(7=Element_Stiffness!$C$145,Element_Stiffness!T175,IF(7=Element_Stiffness!$E$145,Element_Stiffness!Z175,0)),0)),0)+IF(Element_Stiffness!$C$181,IF(Element_Stiffness!$C$180=1,IF(7=Element_Stiffness!$C$180,Element_Stiffness!T204,IF(7=Element_Stiffness!$E$180,Element_Stiffness!Z204,0)),IF(Element_Stiffness!$E$180=1,IF(7=Element_Stiffness!$C$180,Element_Stiffness!T210,IF(7=Element_Stiffness!$E$180,Element_Stiffness!Z210,0)),0)),0)+IF(Element_Stiffness!$C$216,IF(Element_Stiffness!$C$215=1,IF(7=Element_Stiffness!$C$215,Element_Stiffness!T239,IF(7=Element_Stiffness!$E$215,Element_Stiffness!Z239,0)),IF(Element_Stiffness!$E$215=1,IF(7=Element_Stiffness!$C$215,Element_Stiffness!T245,IF(7=Element_Stiffness!$E$215,Element_Stiffness!Z245,0)),0)),0)</f>
        <v/>
      </c>
      <c r="AX14" s="21">
        <f>IF(Element_Stiffness!$C$6,IF(Element_Stiffness!$C$5=1,IF(7=Element_Stiffness!$C$5,Element_Stiffness!U29,IF(7=Element_Stiffness!$E$5,Element_Stiffness!AA29,0)),IF(Element_Stiffness!$E$5=1,IF(7=Element_Stiffness!$C$5,Element_Stiffness!U35,IF(7=Element_Stiffness!$E$5,Element_Stiffness!AA35,0)),0)),0)+IF(Element_Stiffness!$C$41,IF(Element_Stiffness!$C$40=1,IF(7=Element_Stiffness!$C$40,Element_Stiffness!U64,IF(7=Element_Stiffness!$E$40,Element_Stiffness!AA64,0)),IF(Element_Stiffness!$E$40=1,IF(7=Element_Stiffness!$C$40,Element_Stiffness!U70,IF(7=Element_Stiffness!$E$40,Element_Stiffness!AA70,0)),0)),0)+IF(Element_Stiffness!$C$76,IF(Element_Stiffness!$C$75=1,IF(7=Element_Stiffness!$C$75,Element_Stiffness!U99,IF(7=Element_Stiffness!$E$75,Element_Stiffness!AA99,0)),IF(Element_Stiffness!$E$75=1,IF(7=Element_Stiffness!$C$75,Element_Stiffness!U105,IF(7=Element_Stiffness!$E$75,Element_Stiffness!AA105,0)),0)),0)+IF(Element_Stiffness!$C$111,IF(Element_Stiffness!$C$110=1,IF(7=Element_Stiffness!$C$110,Element_Stiffness!U134,IF(7=Element_Stiffness!$E$110,Element_Stiffness!AA134,0)),IF(Element_Stiffness!$E$110=1,IF(7=Element_Stiffness!$C$110,Element_Stiffness!U140,IF(7=Element_Stiffness!$E$110,Element_Stiffness!AA140,0)),0)),0)+IF(Element_Stiffness!$C$146,IF(Element_Stiffness!$C$145=1,IF(7=Element_Stiffness!$C$145,Element_Stiffness!U169,IF(7=Element_Stiffness!$E$145,Element_Stiffness!AA169,0)),IF(Element_Stiffness!$E$145=1,IF(7=Element_Stiffness!$C$145,Element_Stiffness!U175,IF(7=Element_Stiffness!$E$145,Element_Stiffness!AA175,0)),0)),0)+IF(Element_Stiffness!$C$181,IF(Element_Stiffness!$C$180=1,IF(7=Element_Stiffness!$C$180,Element_Stiffness!U204,IF(7=Element_Stiffness!$E$180,Element_Stiffness!AA204,0)),IF(Element_Stiffness!$E$180=1,IF(7=Element_Stiffness!$C$180,Element_Stiffness!U210,IF(7=Element_Stiffness!$E$180,Element_Stiffness!AA210,0)),0)),0)+IF(Element_Stiffness!$C$216,IF(Element_Stiffness!$C$215=1,IF(7=Element_Stiffness!$C$215,Element_Stiffness!U239,IF(7=Element_Stiffness!$E$215,Element_Stiffness!AA239,0)),IF(Element_Stiffness!$E$215=1,IF(7=Element_Stiffness!$C$215,Element_Stiffness!U245,IF(7=Element_Stiffness!$E$215,Element_Stiffness!AA245,0)),0)),0)</f>
        <v/>
      </c>
      <c r="AY14" s="21" t="n">
        <v>0</v>
      </c>
      <c r="AZ14" s="21">
        <f>IF(Element_Stiffness!$C$6,IF(Element_Stiffness!$C$5=1,Element_Stiffness!C29,IF(Element_Stiffness!$E$5=1,Element_Stiffness!C35,0)),0)+IF(Element_Stiffness!$C$41,IF(Element_Stiffness!$C$40=1,Element_Stiffness!C64,IF(Element_Stiffness!$E$40=1,Element_Stiffness!C70,0)),0)+IF(Element_Stiffness!$C$76,IF(Element_Stiffness!$C$75=1,Element_Stiffness!C99,IF(Element_Stiffness!$E$75=1,Element_Stiffness!C105,0)),0)+IF(Element_Stiffness!$C$111,IF(Element_Stiffness!$C$110=1,Element_Stiffness!C134,IF(Element_Stiffness!$E$110=1,Element_Stiffness!C140,0)),0)+IF(Element_Stiffness!$C$146,IF(Element_Stiffness!$C$145=1,Element_Stiffness!C169,IF(Element_Stiffness!$E$145=1,Element_Stiffness!C175,0)),0)+IF(Element_Stiffness!$C$181,IF(Element_Stiffness!$C$180=1,Element_Stiffness!C204,IF(Element_Stiffness!$E$180=1,Element_Stiffness!C210,0)),0)+IF(Element_Stiffness!$C$216,IF(Element_Stiffness!$C$215=1,Element_Stiffness!C239,IF(Element_Stiffness!$E$215=1,Element_Stiffness!C245,0)),0)</f>
        <v/>
      </c>
      <c r="BB14" s="28">
        <f>INDEX(MMULT(MINVERSE(C5:AX52), AY5:AY52), 10, 1)</f>
        <v/>
      </c>
      <c r="BC14" s="28">
        <f>INDEX(MMULT(MINVERSE(C5:AX52), AZ5:AZ52), 10, 1)</f>
        <v/>
      </c>
    </row>
    <row r="15">
      <c r="B15" s="27" t="inlineStr">
        <is>
          <t>N1_ry</t>
        </is>
      </c>
      <c r="C15" s="21">
        <f>IF(Element_Stiffness!$C$6,IF(Element_Stiffness!$C$5=1,IF(0=Element_Stiffness!$C$5,Element_Stiffness!P30,IF(0=Element_Stiffness!$E$5,Element_Stiffness!V30,0)),IF(Element_Stiffness!$E$5=1,IF(0=Element_Stiffness!$C$5,Element_Stiffness!P36,IF(0=Element_Stiffness!$E$5,Element_Stiffness!V36,0)),0)),0)+IF(Element_Stiffness!$C$41,IF(Element_Stiffness!$C$40=1,IF(0=Element_Stiffness!$C$40,Element_Stiffness!P65,IF(0=Element_Stiffness!$E$40,Element_Stiffness!V65,0)),IF(Element_Stiffness!$E$40=1,IF(0=Element_Stiffness!$C$40,Element_Stiffness!P71,IF(0=Element_Stiffness!$E$40,Element_Stiffness!V71,0)),0)),0)+IF(Element_Stiffness!$C$76,IF(Element_Stiffness!$C$75=1,IF(0=Element_Stiffness!$C$75,Element_Stiffness!P100,IF(0=Element_Stiffness!$E$75,Element_Stiffness!V100,0)),IF(Element_Stiffness!$E$75=1,IF(0=Element_Stiffness!$C$75,Element_Stiffness!P106,IF(0=Element_Stiffness!$E$75,Element_Stiffness!V106,0)),0)),0)+IF(Element_Stiffness!$C$111,IF(Element_Stiffness!$C$110=1,IF(0=Element_Stiffness!$C$110,Element_Stiffness!P135,IF(0=Element_Stiffness!$E$110,Element_Stiffness!V135,0)),IF(Element_Stiffness!$E$110=1,IF(0=Element_Stiffness!$C$110,Element_Stiffness!P141,IF(0=Element_Stiffness!$E$110,Element_Stiffness!V141,0)),0)),0)+IF(Element_Stiffness!$C$146,IF(Element_Stiffness!$C$145=1,IF(0=Element_Stiffness!$C$145,Element_Stiffness!P170,IF(0=Element_Stiffness!$E$145,Element_Stiffness!V170,0)),IF(Element_Stiffness!$E$145=1,IF(0=Element_Stiffness!$C$145,Element_Stiffness!P176,IF(0=Element_Stiffness!$E$145,Element_Stiffness!V176,0)),0)),0)+IF(Element_Stiffness!$C$181,IF(Element_Stiffness!$C$180=1,IF(0=Element_Stiffness!$C$180,Element_Stiffness!P205,IF(0=Element_Stiffness!$E$180,Element_Stiffness!V205,0)),IF(Element_Stiffness!$E$180=1,IF(0=Element_Stiffness!$C$180,Element_Stiffness!P211,IF(0=Element_Stiffness!$E$180,Element_Stiffness!V211,0)),0)),0)+IF(Element_Stiffness!$C$216,IF(Element_Stiffness!$C$215=1,IF(0=Element_Stiffness!$C$215,Element_Stiffness!P240,IF(0=Element_Stiffness!$E$215,Element_Stiffness!V240,0)),IF(Element_Stiffness!$E$215=1,IF(0=Element_Stiffness!$C$215,Element_Stiffness!P246,IF(0=Element_Stiffness!$E$215,Element_Stiffness!V246,0)),0)),0)</f>
        <v/>
      </c>
      <c r="D15" s="21">
        <f>IF(Element_Stiffness!$C$6,IF(Element_Stiffness!$C$5=1,IF(0=Element_Stiffness!$C$5,Element_Stiffness!Q30,IF(0=Element_Stiffness!$E$5,Element_Stiffness!W30,0)),IF(Element_Stiffness!$E$5=1,IF(0=Element_Stiffness!$C$5,Element_Stiffness!Q36,IF(0=Element_Stiffness!$E$5,Element_Stiffness!W36,0)),0)),0)+IF(Element_Stiffness!$C$41,IF(Element_Stiffness!$C$40=1,IF(0=Element_Stiffness!$C$40,Element_Stiffness!Q65,IF(0=Element_Stiffness!$E$40,Element_Stiffness!W65,0)),IF(Element_Stiffness!$E$40=1,IF(0=Element_Stiffness!$C$40,Element_Stiffness!Q71,IF(0=Element_Stiffness!$E$40,Element_Stiffness!W71,0)),0)),0)+IF(Element_Stiffness!$C$76,IF(Element_Stiffness!$C$75=1,IF(0=Element_Stiffness!$C$75,Element_Stiffness!Q100,IF(0=Element_Stiffness!$E$75,Element_Stiffness!W100,0)),IF(Element_Stiffness!$E$75=1,IF(0=Element_Stiffness!$C$75,Element_Stiffness!Q106,IF(0=Element_Stiffness!$E$75,Element_Stiffness!W106,0)),0)),0)+IF(Element_Stiffness!$C$111,IF(Element_Stiffness!$C$110=1,IF(0=Element_Stiffness!$C$110,Element_Stiffness!Q135,IF(0=Element_Stiffness!$E$110,Element_Stiffness!W135,0)),IF(Element_Stiffness!$E$110=1,IF(0=Element_Stiffness!$C$110,Element_Stiffness!Q141,IF(0=Element_Stiffness!$E$110,Element_Stiffness!W141,0)),0)),0)+IF(Element_Stiffness!$C$146,IF(Element_Stiffness!$C$145=1,IF(0=Element_Stiffness!$C$145,Element_Stiffness!Q170,IF(0=Element_Stiffness!$E$145,Element_Stiffness!W170,0)),IF(Element_Stiffness!$E$145=1,IF(0=Element_Stiffness!$C$145,Element_Stiffness!Q176,IF(0=Element_Stiffness!$E$145,Element_Stiffness!W176,0)),0)),0)+IF(Element_Stiffness!$C$181,IF(Element_Stiffness!$C$180=1,IF(0=Element_Stiffness!$C$180,Element_Stiffness!Q205,IF(0=Element_Stiffness!$E$180,Element_Stiffness!W205,0)),IF(Element_Stiffness!$E$180=1,IF(0=Element_Stiffness!$C$180,Element_Stiffness!Q211,IF(0=Element_Stiffness!$E$180,Element_Stiffness!W211,0)),0)),0)+IF(Element_Stiffness!$C$216,IF(Element_Stiffness!$C$215=1,IF(0=Element_Stiffness!$C$215,Element_Stiffness!Q240,IF(0=Element_Stiffness!$E$215,Element_Stiffness!W240,0)),IF(Element_Stiffness!$E$215=1,IF(0=Element_Stiffness!$C$215,Element_Stiffness!Q246,IF(0=Element_Stiffness!$E$215,Element_Stiffness!W246,0)),0)),0)</f>
        <v/>
      </c>
      <c r="E15" s="21">
        <f>IF(Element_Stiffness!$C$6,IF(Element_Stiffness!$C$5=1,IF(0=Element_Stiffness!$C$5,Element_Stiffness!R30,IF(0=Element_Stiffness!$E$5,Element_Stiffness!X30,0)),IF(Element_Stiffness!$E$5=1,IF(0=Element_Stiffness!$C$5,Element_Stiffness!R36,IF(0=Element_Stiffness!$E$5,Element_Stiffness!X36,0)),0)),0)+IF(Element_Stiffness!$C$41,IF(Element_Stiffness!$C$40=1,IF(0=Element_Stiffness!$C$40,Element_Stiffness!R65,IF(0=Element_Stiffness!$E$40,Element_Stiffness!X65,0)),IF(Element_Stiffness!$E$40=1,IF(0=Element_Stiffness!$C$40,Element_Stiffness!R71,IF(0=Element_Stiffness!$E$40,Element_Stiffness!X71,0)),0)),0)+IF(Element_Stiffness!$C$76,IF(Element_Stiffness!$C$75=1,IF(0=Element_Stiffness!$C$75,Element_Stiffness!R100,IF(0=Element_Stiffness!$E$75,Element_Stiffness!X100,0)),IF(Element_Stiffness!$E$75=1,IF(0=Element_Stiffness!$C$75,Element_Stiffness!R106,IF(0=Element_Stiffness!$E$75,Element_Stiffness!X106,0)),0)),0)+IF(Element_Stiffness!$C$111,IF(Element_Stiffness!$C$110=1,IF(0=Element_Stiffness!$C$110,Element_Stiffness!R135,IF(0=Element_Stiffness!$E$110,Element_Stiffness!X135,0)),IF(Element_Stiffness!$E$110=1,IF(0=Element_Stiffness!$C$110,Element_Stiffness!R141,IF(0=Element_Stiffness!$E$110,Element_Stiffness!X141,0)),0)),0)+IF(Element_Stiffness!$C$146,IF(Element_Stiffness!$C$145=1,IF(0=Element_Stiffness!$C$145,Element_Stiffness!R170,IF(0=Element_Stiffness!$E$145,Element_Stiffness!X170,0)),IF(Element_Stiffness!$E$145=1,IF(0=Element_Stiffness!$C$145,Element_Stiffness!R176,IF(0=Element_Stiffness!$E$145,Element_Stiffness!X176,0)),0)),0)+IF(Element_Stiffness!$C$181,IF(Element_Stiffness!$C$180=1,IF(0=Element_Stiffness!$C$180,Element_Stiffness!R205,IF(0=Element_Stiffness!$E$180,Element_Stiffness!X205,0)),IF(Element_Stiffness!$E$180=1,IF(0=Element_Stiffness!$C$180,Element_Stiffness!R211,IF(0=Element_Stiffness!$E$180,Element_Stiffness!X211,0)),0)),0)+IF(Element_Stiffness!$C$216,IF(Element_Stiffness!$C$215=1,IF(0=Element_Stiffness!$C$215,Element_Stiffness!R240,IF(0=Element_Stiffness!$E$215,Element_Stiffness!X240,0)),IF(Element_Stiffness!$E$215=1,IF(0=Element_Stiffness!$C$215,Element_Stiffness!R246,IF(0=Element_Stiffness!$E$215,Element_Stiffness!X246,0)),0)),0)</f>
        <v/>
      </c>
      <c r="F15" s="21">
        <f>IF(Element_Stiffness!$C$6,IF(Element_Stiffness!$C$5=1,IF(0=Element_Stiffness!$C$5,Element_Stiffness!S30,IF(0=Element_Stiffness!$E$5,Element_Stiffness!Y30,0)),IF(Element_Stiffness!$E$5=1,IF(0=Element_Stiffness!$C$5,Element_Stiffness!S36,IF(0=Element_Stiffness!$E$5,Element_Stiffness!Y36,0)),0)),0)+IF(Element_Stiffness!$C$41,IF(Element_Stiffness!$C$40=1,IF(0=Element_Stiffness!$C$40,Element_Stiffness!S65,IF(0=Element_Stiffness!$E$40,Element_Stiffness!Y65,0)),IF(Element_Stiffness!$E$40=1,IF(0=Element_Stiffness!$C$40,Element_Stiffness!S71,IF(0=Element_Stiffness!$E$40,Element_Stiffness!Y71,0)),0)),0)+IF(Element_Stiffness!$C$76,IF(Element_Stiffness!$C$75=1,IF(0=Element_Stiffness!$C$75,Element_Stiffness!S100,IF(0=Element_Stiffness!$E$75,Element_Stiffness!Y100,0)),IF(Element_Stiffness!$E$75=1,IF(0=Element_Stiffness!$C$75,Element_Stiffness!S106,IF(0=Element_Stiffness!$E$75,Element_Stiffness!Y106,0)),0)),0)+IF(Element_Stiffness!$C$111,IF(Element_Stiffness!$C$110=1,IF(0=Element_Stiffness!$C$110,Element_Stiffness!S135,IF(0=Element_Stiffness!$E$110,Element_Stiffness!Y135,0)),IF(Element_Stiffness!$E$110=1,IF(0=Element_Stiffness!$C$110,Element_Stiffness!S141,IF(0=Element_Stiffness!$E$110,Element_Stiffness!Y141,0)),0)),0)+IF(Element_Stiffness!$C$146,IF(Element_Stiffness!$C$145=1,IF(0=Element_Stiffness!$C$145,Element_Stiffness!S170,IF(0=Element_Stiffness!$E$145,Element_Stiffness!Y170,0)),IF(Element_Stiffness!$E$145=1,IF(0=Element_Stiffness!$C$145,Element_Stiffness!S176,IF(0=Element_Stiffness!$E$145,Element_Stiffness!Y176,0)),0)),0)+IF(Element_Stiffness!$C$181,IF(Element_Stiffness!$C$180=1,IF(0=Element_Stiffness!$C$180,Element_Stiffness!S205,IF(0=Element_Stiffness!$E$180,Element_Stiffness!Y205,0)),IF(Element_Stiffness!$E$180=1,IF(0=Element_Stiffness!$C$180,Element_Stiffness!S211,IF(0=Element_Stiffness!$E$180,Element_Stiffness!Y211,0)),0)),0)+IF(Element_Stiffness!$C$216,IF(Element_Stiffness!$C$215=1,IF(0=Element_Stiffness!$C$215,Element_Stiffness!S240,IF(0=Element_Stiffness!$E$215,Element_Stiffness!Y240,0)),IF(Element_Stiffness!$E$215=1,IF(0=Element_Stiffness!$C$215,Element_Stiffness!S246,IF(0=Element_Stiffness!$E$215,Element_Stiffness!Y246,0)),0)),0)</f>
        <v/>
      </c>
      <c r="G15" s="21">
        <f>IF(Element_Stiffness!$C$6,IF(Element_Stiffness!$C$5=1,IF(0=Element_Stiffness!$C$5,Element_Stiffness!T30,IF(0=Element_Stiffness!$E$5,Element_Stiffness!Z30,0)),IF(Element_Stiffness!$E$5=1,IF(0=Element_Stiffness!$C$5,Element_Stiffness!T36,IF(0=Element_Stiffness!$E$5,Element_Stiffness!Z36,0)),0)),0)+IF(Element_Stiffness!$C$41,IF(Element_Stiffness!$C$40=1,IF(0=Element_Stiffness!$C$40,Element_Stiffness!T65,IF(0=Element_Stiffness!$E$40,Element_Stiffness!Z65,0)),IF(Element_Stiffness!$E$40=1,IF(0=Element_Stiffness!$C$40,Element_Stiffness!T71,IF(0=Element_Stiffness!$E$40,Element_Stiffness!Z71,0)),0)),0)+IF(Element_Stiffness!$C$76,IF(Element_Stiffness!$C$75=1,IF(0=Element_Stiffness!$C$75,Element_Stiffness!T100,IF(0=Element_Stiffness!$E$75,Element_Stiffness!Z100,0)),IF(Element_Stiffness!$E$75=1,IF(0=Element_Stiffness!$C$75,Element_Stiffness!T106,IF(0=Element_Stiffness!$E$75,Element_Stiffness!Z106,0)),0)),0)+IF(Element_Stiffness!$C$111,IF(Element_Stiffness!$C$110=1,IF(0=Element_Stiffness!$C$110,Element_Stiffness!T135,IF(0=Element_Stiffness!$E$110,Element_Stiffness!Z135,0)),IF(Element_Stiffness!$E$110=1,IF(0=Element_Stiffness!$C$110,Element_Stiffness!T141,IF(0=Element_Stiffness!$E$110,Element_Stiffness!Z141,0)),0)),0)+IF(Element_Stiffness!$C$146,IF(Element_Stiffness!$C$145=1,IF(0=Element_Stiffness!$C$145,Element_Stiffness!T170,IF(0=Element_Stiffness!$E$145,Element_Stiffness!Z170,0)),IF(Element_Stiffness!$E$145=1,IF(0=Element_Stiffness!$C$145,Element_Stiffness!T176,IF(0=Element_Stiffness!$E$145,Element_Stiffness!Z176,0)),0)),0)+IF(Element_Stiffness!$C$181,IF(Element_Stiffness!$C$180=1,IF(0=Element_Stiffness!$C$180,Element_Stiffness!T205,IF(0=Element_Stiffness!$E$180,Element_Stiffness!Z205,0)),IF(Element_Stiffness!$E$180=1,IF(0=Element_Stiffness!$C$180,Element_Stiffness!T211,IF(0=Element_Stiffness!$E$180,Element_Stiffness!Z211,0)),0)),0)+IF(Element_Stiffness!$C$216,IF(Element_Stiffness!$C$215=1,IF(0=Element_Stiffness!$C$215,Element_Stiffness!T240,IF(0=Element_Stiffness!$E$215,Element_Stiffness!Z240,0)),IF(Element_Stiffness!$E$215=1,IF(0=Element_Stiffness!$C$215,Element_Stiffness!T246,IF(0=Element_Stiffness!$E$215,Element_Stiffness!Z246,0)),0)),0)</f>
        <v/>
      </c>
      <c r="H15" s="21">
        <f>IF(Element_Stiffness!$C$6,IF(Element_Stiffness!$C$5=1,IF(0=Element_Stiffness!$C$5,Element_Stiffness!U30,IF(0=Element_Stiffness!$E$5,Element_Stiffness!AA30,0)),IF(Element_Stiffness!$E$5=1,IF(0=Element_Stiffness!$C$5,Element_Stiffness!U36,IF(0=Element_Stiffness!$E$5,Element_Stiffness!AA36,0)),0)),0)+IF(Element_Stiffness!$C$41,IF(Element_Stiffness!$C$40=1,IF(0=Element_Stiffness!$C$40,Element_Stiffness!U65,IF(0=Element_Stiffness!$E$40,Element_Stiffness!AA65,0)),IF(Element_Stiffness!$E$40=1,IF(0=Element_Stiffness!$C$40,Element_Stiffness!U71,IF(0=Element_Stiffness!$E$40,Element_Stiffness!AA71,0)),0)),0)+IF(Element_Stiffness!$C$76,IF(Element_Stiffness!$C$75=1,IF(0=Element_Stiffness!$C$75,Element_Stiffness!U100,IF(0=Element_Stiffness!$E$75,Element_Stiffness!AA100,0)),IF(Element_Stiffness!$E$75=1,IF(0=Element_Stiffness!$C$75,Element_Stiffness!U106,IF(0=Element_Stiffness!$E$75,Element_Stiffness!AA106,0)),0)),0)+IF(Element_Stiffness!$C$111,IF(Element_Stiffness!$C$110=1,IF(0=Element_Stiffness!$C$110,Element_Stiffness!U135,IF(0=Element_Stiffness!$E$110,Element_Stiffness!AA135,0)),IF(Element_Stiffness!$E$110=1,IF(0=Element_Stiffness!$C$110,Element_Stiffness!U141,IF(0=Element_Stiffness!$E$110,Element_Stiffness!AA141,0)),0)),0)+IF(Element_Stiffness!$C$146,IF(Element_Stiffness!$C$145=1,IF(0=Element_Stiffness!$C$145,Element_Stiffness!U170,IF(0=Element_Stiffness!$E$145,Element_Stiffness!AA170,0)),IF(Element_Stiffness!$E$145=1,IF(0=Element_Stiffness!$C$145,Element_Stiffness!U176,IF(0=Element_Stiffness!$E$145,Element_Stiffness!AA176,0)),0)),0)+IF(Element_Stiffness!$C$181,IF(Element_Stiffness!$C$180=1,IF(0=Element_Stiffness!$C$180,Element_Stiffness!U205,IF(0=Element_Stiffness!$E$180,Element_Stiffness!AA205,0)),IF(Element_Stiffness!$E$180=1,IF(0=Element_Stiffness!$C$180,Element_Stiffness!U211,IF(0=Element_Stiffness!$E$180,Element_Stiffness!AA211,0)),0)),0)+IF(Element_Stiffness!$C$216,IF(Element_Stiffness!$C$215=1,IF(0=Element_Stiffness!$C$215,Element_Stiffness!U240,IF(0=Element_Stiffness!$E$215,Element_Stiffness!AA240,0)),IF(Element_Stiffness!$E$215=1,IF(0=Element_Stiffness!$C$215,Element_Stiffness!U246,IF(0=Element_Stiffness!$E$215,Element_Stiffness!AA246,0)),0)),0)</f>
        <v/>
      </c>
      <c r="I15" s="21">
        <f>IF(Element_Stiffness!$C$6,IF(Element_Stiffness!$C$5=1,IF(1=Element_Stiffness!$C$5,Element_Stiffness!P30,IF(1=Element_Stiffness!$E$5,Element_Stiffness!V30,0)),IF(Element_Stiffness!$E$5=1,IF(1=Element_Stiffness!$C$5,Element_Stiffness!P36,IF(1=Element_Stiffness!$E$5,Element_Stiffness!V36,0)),0)),0)+IF(Element_Stiffness!$C$41,IF(Element_Stiffness!$C$40=1,IF(1=Element_Stiffness!$C$40,Element_Stiffness!P65,IF(1=Element_Stiffness!$E$40,Element_Stiffness!V65,0)),IF(Element_Stiffness!$E$40=1,IF(1=Element_Stiffness!$C$40,Element_Stiffness!P71,IF(1=Element_Stiffness!$E$40,Element_Stiffness!V71,0)),0)),0)+IF(Element_Stiffness!$C$76,IF(Element_Stiffness!$C$75=1,IF(1=Element_Stiffness!$C$75,Element_Stiffness!P100,IF(1=Element_Stiffness!$E$75,Element_Stiffness!V100,0)),IF(Element_Stiffness!$E$75=1,IF(1=Element_Stiffness!$C$75,Element_Stiffness!P106,IF(1=Element_Stiffness!$E$75,Element_Stiffness!V106,0)),0)),0)+IF(Element_Stiffness!$C$111,IF(Element_Stiffness!$C$110=1,IF(1=Element_Stiffness!$C$110,Element_Stiffness!P135,IF(1=Element_Stiffness!$E$110,Element_Stiffness!V135,0)),IF(Element_Stiffness!$E$110=1,IF(1=Element_Stiffness!$C$110,Element_Stiffness!P141,IF(1=Element_Stiffness!$E$110,Element_Stiffness!V141,0)),0)),0)+IF(Element_Stiffness!$C$146,IF(Element_Stiffness!$C$145=1,IF(1=Element_Stiffness!$C$145,Element_Stiffness!P170,IF(1=Element_Stiffness!$E$145,Element_Stiffness!V170,0)),IF(Element_Stiffness!$E$145=1,IF(1=Element_Stiffness!$C$145,Element_Stiffness!P176,IF(1=Element_Stiffness!$E$145,Element_Stiffness!V176,0)),0)),0)+IF(Element_Stiffness!$C$181,IF(Element_Stiffness!$C$180=1,IF(1=Element_Stiffness!$C$180,Element_Stiffness!P205,IF(1=Element_Stiffness!$E$180,Element_Stiffness!V205,0)),IF(Element_Stiffness!$E$180=1,IF(1=Element_Stiffness!$C$180,Element_Stiffness!P211,IF(1=Element_Stiffness!$E$180,Element_Stiffness!V211,0)),0)),0)+IF(Element_Stiffness!$C$216,IF(Element_Stiffness!$C$215=1,IF(1=Element_Stiffness!$C$215,Element_Stiffness!P240,IF(1=Element_Stiffness!$E$215,Element_Stiffness!V240,0)),IF(Element_Stiffness!$E$215=1,IF(1=Element_Stiffness!$C$215,Element_Stiffness!P246,IF(1=Element_Stiffness!$E$215,Element_Stiffness!V246,0)),0)),0)</f>
        <v/>
      </c>
      <c r="J15" s="21">
        <f>IF(Element_Stiffness!$C$6,IF(Element_Stiffness!$C$5=1,IF(1=Element_Stiffness!$C$5,Element_Stiffness!Q30,IF(1=Element_Stiffness!$E$5,Element_Stiffness!W30,0)),IF(Element_Stiffness!$E$5=1,IF(1=Element_Stiffness!$C$5,Element_Stiffness!Q36,IF(1=Element_Stiffness!$E$5,Element_Stiffness!W36,0)),0)),0)+IF(Element_Stiffness!$C$41,IF(Element_Stiffness!$C$40=1,IF(1=Element_Stiffness!$C$40,Element_Stiffness!Q65,IF(1=Element_Stiffness!$E$40,Element_Stiffness!W65,0)),IF(Element_Stiffness!$E$40=1,IF(1=Element_Stiffness!$C$40,Element_Stiffness!Q71,IF(1=Element_Stiffness!$E$40,Element_Stiffness!W71,0)),0)),0)+IF(Element_Stiffness!$C$76,IF(Element_Stiffness!$C$75=1,IF(1=Element_Stiffness!$C$75,Element_Stiffness!Q100,IF(1=Element_Stiffness!$E$75,Element_Stiffness!W100,0)),IF(Element_Stiffness!$E$75=1,IF(1=Element_Stiffness!$C$75,Element_Stiffness!Q106,IF(1=Element_Stiffness!$E$75,Element_Stiffness!W106,0)),0)),0)+IF(Element_Stiffness!$C$111,IF(Element_Stiffness!$C$110=1,IF(1=Element_Stiffness!$C$110,Element_Stiffness!Q135,IF(1=Element_Stiffness!$E$110,Element_Stiffness!W135,0)),IF(Element_Stiffness!$E$110=1,IF(1=Element_Stiffness!$C$110,Element_Stiffness!Q141,IF(1=Element_Stiffness!$E$110,Element_Stiffness!W141,0)),0)),0)+IF(Element_Stiffness!$C$146,IF(Element_Stiffness!$C$145=1,IF(1=Element_Stiffness!$C$145,Element_Stiffness!Q170,IF(1=Element_Stiffness!$E$145,Element_Stiffness!W170,0)),IF(Element_Stiffness!$E$145=1,IF(1=Element_Stiffness!$C$145,Element_Stiffness!Q176,IF(1=Element_Stiffness!$E$145,Element_Stiffness!W176,0)),0)),0)+IF(Element_Stiffness!$C$181,IF(Element_Stiffness!$C$180=1,IF(1=Element_Stiffness!$C$180,Element_Stiffness!Q205,IF(1=Element_Stiffness!$E$180,Element_Stiffness!W205,0)),IF(Element_Stiffness!$E$180=1,IF(1=Element_Stiffness!$C$180,Element_Stiffness!Q211,IF(1=Element_Stiffness!$E$180,Element_Stiffness!W211,0)),0)),0)+IF(Element_Stiffness!$C$216,IF(Element_Stiffness!$C$215=1,IF(1=Element_Stiffness!$C$215,Element_Stiffness!Q240,IF(1=Element_Stiffness!$E$215,Element_Stiffness!W240,0)),IF(Element_Stiffness!$E$215=1,IF(1=Element_Stiffness!$C$215,Element_Stiffness!Q246,IF(1=Element_Stiffness!$E$215,Element_Stiffness!W246,0)),0)),0)</f>
        <v/>
      </c>
      <c r="K15" s="21">
        <f>IF(Element_Stiffness!$C$6,IF(Element_Stiffness!$C$5=1,IF(1=Element_Stiffness!$C$5,Element_Stiffness!R30,IF(1=Element_Stiffness!$E$5,Element_Stiffness!X30,0)),IF(Element_Stiffness!$E$5=1,IF(1=Element_Stiffness!$C$5,Element_Stiffness!R36,IF(1=Element_Stiffness!$E$5,Element_Stiffness!X36,0)),0)),0)+IF(Element_Stiffness!$C$41,IF(Element_Stiffness!$C$40=1,IF(1=Element_Stiffness!$C$40,Element_Stiffness!R65,IF(1=Element_Stiffness!$E$40,Element_Stiffness!X65,0)),IF(Element_Stiffness!$E$40=1,IF(1=Element_Stiffness!$C$40,Element_Stiffness!R71,IF(1=Element_Stiffness!$E$40,Element_Stiffness!X71,0)),0)),0)+IF(Element_Stiffness!$C$76,IF(Element_Stiffness!$C$75=1,IF(1=Element_Stiffness!$C$75,Element_Stiffness!R100,IF(1=Element_Stiffness!$E$75,Element_Stiffness!X100,0)),IF(Element_Stiffness!$E$75=1,IF(1=Element_Stiffness!$C$75,Element_Stiffness!R106,IF(1=Element_Stiffness!$E$75,Element_Stiffness!X106,0)),0)),0)+IF(Element_Stiffness!$C$111,IF(Element_Stiffness!$C$110=1,IF(1=Element_Stiffness!$C$110,Element_Stiffness!R135,IF(1=Element_Stiffness!$E$110,Element_Stiffness!X135,0)),IF(Element_Stiffness!$E$110=1,IF(1=Element_Stiffness!$C$110,Element_Stiffness!R141,IF(1=Element_Stiffness!$E$110,Element_Stiffness!X141,0)),0)),0)+IF(Element_Stiffness!$C$146,IF(Element_Stiffness!$C$145=1,IF(1=Element_Stiffness!$C$145,Element_Stiffness!R170,IF(1=Element_Stiffness!$E$145,Element_Stiffness!X170,0)),IF(Element_Stiffness!$E$145=1,IF(1=Element_Stiffness!$C$145,Element_Stiffness!R176,IF(1=Element_Stiffness!$E$145,Element_Stiffness!X176,0)),0)),0)+IF(Element_Stiffness!$C$181,IF(Element_Stiffness!$C$180=1,IF(1=Element_Stiffness!$C$180,Element_Stiffness!R205,IF(1=Element_Stiffness!$E$180,Element_Stiffness!X205,0)),IF(Element_Stiffness!$E$180=1,IF(1=Element_Stiffness!$C$180,Element_Stiffness!R211,IF(1=Element_Stiffness!$E$180,Element_Stiffness!X211,0)),0)),0)+IF(Element_Stiffness!$C$216,IF(Element_Stiffness!$C$215=1,IF(1=Element_Stiffness!$C$215,Element_Stiffness!R240,IF(1=Element_Stiffness!$E$215,Element_Stiffness!X240,0)),IF(Element_Stiffness!$E$215=1,IF(1=Element_Stiffness!$C$215,Element_Stiffness!R246,IF(1=Element_Stiffness!$E$215,Element_Stiffness!X246,0)),0)),0)</f>
        <v/>
      </c>
      <c r="L15" s="21">
        <f>IF(Element_Stiffness!$C$6,IF(Element_Stiffness!$C$5=1,IF(1=Element_Stiffness!$C$5,Element_Stiffness!S30,IF(1=Element_Stiffness!$E$5,Element_Stiffness!Y30,0)),IF(Element_Stiffness!$E$5=1,IF(1=Element_Stiffness!$C$5,Element_Stiffness!S36,IF(1=Element_Stiffness!$E$5,Element_Stiffness!Y36,0)),0)),0)+IF(Element_Stiffness!$C$41,IF(Element_Stiffness!$C$40=1,IF(1=Element_Stiffness!$C$40,Element_Stiffness!S65,IF(1=Element_Stiffness!$E$40,Element_Stiffness!Y65,0)),IF(Element_Stiffness!$E$40=1,IF(1=Element_Stiffness!$C$40,Element_Stiffness!S71,IF(1=Element_Stiffness!$E$40,Element_Stiffness!Y71,0)),0)),0)+IF(Element_Stiffness!$C$76,IF(Element_Stiffness!$C$75=1,IF(1=Element_Stiffness!$C$75,Element_Stiffness!S100,IF(1=Element_Stiffness!$E$75,Element_Stiffness!Y100,0)),IF(Element_Stiffness!$E$75=1,IF(1=Element_Stiffness!$C$75,Element_Stiffness!S106,IF(1=Element_Stiffness!$E$75,Element_Stiffness!Y106,0)),0)),0)+IF(Element_Stiffness!$C$111,IF(Element_Stiffness!$C$110=1,IF(1=Element_Stiffness!$C$110,Element_Stiffness!S135,IF(1=Element_Stiffness!$E$110,Element_Stiffness!Y135,0)),IF(Element_Stiffness!$E$110=1,IF(1=Element_Stiffness!$C$110,Element_Stiffness!S141,IF(1=Element_Stiffness!$E$110,Element_Stiffness!Y141,0)),0)),0)+IF(Element_Stiffness!$C$146,IF(Element_Stiffness!$C$145=1,IF(1=Element_Stiffness!$C$145,Element_Stiffness!S170,IF(1=Element_Stiffness!$E$145,Element_Stiffness!Y170,0)),IF(Element_Stiffness!$E$145=1,IF(1=Element_Stiffness!$C$145,Element_Stiffness!S176,IF(1=Element_Stiffness!$E$145,Element_Stiffness!Y176,0)),0)),0)+IF(Element_Stiffness!$C$181,IF(Element_Stiffness!$C$180=1,IF(1=Element_Stiffness!$C$180,Element_Stiffness!S205,IF(1=Element_Stiffness!$E$180,Element_Stiffness!Y205,0)),IF(Element_Stiffness!$E$180=1,IF(1=Element_Stiffness!$C$180,Element_Stiffness!S211,IF(1=Element_Stiffness!$E$180,Element_Stiffness!Y211,0)),0)),0)+IF(Element_Stiffness!$C$216,IF(Element_Stiffness!$C$215=1,IF(1=Element_Stiffness!$C$215,Element_Stiffness!S240,IF(1=Element_Stiffness!$E$215,Element_Stiffness!Y240,0)),IF(Element_Stiffness!$E$215=1,IF(1=Element_Stiffness!$C$215,Element_Stiffness!S246,IF(1=Element_Stiffness!$E$215,Element_Stiffness!Y246,0)),0)),0)</f>
        <v/>
      </c>
      <c r="M15" s="21">
        <f>IF(Element_Stiffness!$C$6,IF(Element_Stiffness!$C$5=1,IF(1=Element_Stiffness!$C$5,Element_Stiffness!T30,IF(1=Element_Stiffness!$E$5,Element_Stiffness!Z30,0)),IF(Element_Stiffness!$E$5=1,IF(1=Element_Stiffness!$C$5,Element_Stiffness!T36,IF(1=Element_Stiffness!$E$5,Element_Stiffness!Z36,0)),0)),0)+IF(Element_Stiffness!$C$41,IF(Element_Stiffness!$C$40=1,IF(1=Element_Stiffness!$C$40,Element_Stiffness!T65,IF(1=Element_Stiffness!$E$40,Element_Stiffness!Z65,0)),IF(Element_Stiffness!$E$40=1,IF(1=Element_Stiffness!$C$40,Element_Stiffness!T71,IF(1=Element_Stiffness!$E$40,Element_Stiffness!Z71,0)),0)),0)+IF(Element_Stiffness!$C$76,IF(Element_Stiffness!$C$75=1,IF(1=Element_Stiffness!$C$75,Element_Stiffness!T100,IF(1=Element_Stiffness!$E$75,Element_Stiffness!Z100,0)),IF(Element_Stiffness!$E$75=1,IF(1=Element_Stiffness!$C$75,Element_Stiffness!T106,IF(1=Element_Stiffness!$E$75,Element_Stiffness!Z106,0)),0)),0)+IF(Element_Stiffness!$C$111,IF(Element_Stiffness!$C$110=1,IF(1=Element_Stiffness!$C$110,Element_Stiffness!T135,IF(1=Element_Stiffness!$E$110,Element_Stiffness!Z135,0)),IF(Element_Stiffness!$E$110=1,IF(1=Element_Stiffness!$C$110,Element_Stiffness!T141,IF(1=Element_Stiffness!$E$110,Element_Stiffness!Z141,0)),0)),0)+IF(Element_Stiffness!$C$146,IF(Element_Stiffness!$C$145=1,IF(1=Element_Stiffness!$C$145,Element_Stiffness!T170,IF(1=Element_Stiffness!$E$145,Element_Stiffness!Z170,0)),IF(Element_Stiffness!$E$145=1,IF(1=Element_Stiffness!$C$145,Element_Stiffness!T176,IF(1=Element_Stiffness!$E$145,Element_Stiffness!Z176,0)),0)),0)+IF(Element_Stiffness!$C$181,IF(Element_Stiffness!$C$180=1,IF(1=Element_Stiffness!$C$180,Element_Stiffness!T205,IF(1=Element_Stiffness!$E$180,Element_Stiffness!Z205,0)),IF(Element_Stiffness!$E$180=1,IF(1=Element_Stiffness!$C$180,Element_Stiffness!T211,IF(1=Element_Stiffness!$E$180,Element_Stiffness!Z211,0)),0)),0)+IF(Element_Stiffness!$C$216,IF(Element_Stiffness!$C$215=1,IF(1=Element_Stiffness!$C$215,Element_Stiffness!T240,IF(1=Element_Stiffness!$E$215,Element_Stiffness!Z240,0)),IF(Element_Stiffness!$E$215=1,IF(1=Element_Stiffness!$C$215,Element_Stiffness!T246,IF(1=Element_Stiffness!$E$215,Element_Stiffness!Z246,0)),0)),0)+IF(Inputs!G41=TRUE,1E15,IF(ISNUMBER(Inputs!G41),Inputs!G41,0))</f>
        <v/>
      </c>
      <c r="N15" s="21">
        <f>IF(Element_Stiffness!$C$6,IF(Element_Stiffness!$C$5=1,IF(1=Element_Stiffness!$C$5,Element_Stiffness!U30,IF(1=Element_Stiffness!$E$5,Element_Stiffness!AA30,0)),IF(Element_Stiffness!$E$5=1,IF(1=Element_Stiffness!$C$5,Element_Stiffness!U36,IF(1=Element_Stiffness!$E$5,Element_Stiffness!AA36,0)),0)),0)+IF(Element_Stiffness!$C$41,IF(Element_Stiffness!$C$40=1,IF(1=Element_Stiffness!$C$40,Element_Stiffness!U65,IF(1=Element_Stiffness!$E$40,Element_Stiffness!AA65,0)),IF(Element_Stiffness!$E$40=1,IF(1=Element_Stiffness!$C$40,Element_Stiffness!U71,IF(1=Element_Stiffness!$E$40,Element_Stiffness!AA71,0)),0)),0)+IF(Element_Stiffness!$C$76,IF(Element_Stiffness!$C$75=1,IF(1=Element_Stiffness!$C$75,Element_Stiffness!U100,IF(1=Element_Stiffness!$E$75,Element_Stiffness!AA100,0)),IF(Element_Stiffness!$E$75=1,IF(1=Element_Stiffness!$C$75,Element_Stiffness!U106,IF(1=Element_Stiffness!$E$75,Element_Stiffness!AA106,0)),0)),0)+IF(Element_Stiffness!$C$111,IF(Element_Stiffness!$C$110=1,IF(1=Element_Stiffness!$C$110,Element_Stiffness!U135,IF(1=Element_Stiffness!$E$110,Element_Stiffness!AA135,0)),IF(Element_Stiffness!$E$110=1,IF(1=Element_Stiffness!$C$110,Element_Stiffness!U141,IF(1=Element_Stiffness!$E$110,Element_Stiffness!AA141,0)),0)),0)+IF(Element_Stiffness!$C$146,IF(Element_Stiffness!$C$145=1,IF(1=Element_Stiffness!$C$145,Element_Stiffness!U170,IF(1=Element_Stiffness!$E$145,Element_Stiffness!AA170,0)),IF(Element_Stiffness!$E$145=1,IF(1=Element_Stiffness!$C$145,Element_Stiffness!U176,IF(1=Element_Stiffness!$E$145,Element_Stiffness!AA176,0)),0)),0)+IF(Element_Stiffness!$C$181,IF(Element_Stiffness!$C$180=1,IF(1=Element_Stiffness!$C$180,Element_Stiffness!U205,IF(1=Element_Stiffness!$E$180,Element_Stiffness!AA205,0)),IF(Element_Stiffness!$E$180=1,IF(1=Element_Stiffness!$C$180,Element_Stiffness!U211,IF(1=Element_Stiffness!$E$180,Element_Stiffness!AA211,0)),0)),0)+IF(Element_Stiffness!$C$216,IF(Element_Stiffness!$C$215=1,IF(1=Element_Stiffness!$C$215,Element_Stiffness!U240,IF(1=Element_Stiffness!$E$215,Element_Stiffness!AA240,0)),IF(Element_Stiffness!$E$215=1,IF(1=Element_Stiffness!$C$215,Element_Stiffness!U246,IF(1=Element_Stiffness!$E$215,Element_Stiffness!AA246,0)),0)),0)</f>
        <v/>
      </c>
      <c r="O15" s="21">
        <f>IF(Element_Stiffness!$C$6,IF(Element_Stiffness!$C$5=1,IF(2=Element_Stiffness!$C$5,Element_Stiffness!P30,IF(2=Element_Stiffness!$E$5,Element_Stiffness!V30,0)),IF(Element_Stiffness!$E$5=1,IF(2=Element_Stiffness!$C$5,Element_Stiffness!P36,IF(2=Element_Stiffness!$E$5,Element_Stiffness!V36,0)),0)),0)+IF(Element_Stiffness!$C$41,IF(Element_Stiffness!$C$40=1,IF(2=Element_Stiffness!$C$40,Element_Stiffness!P65,IF(2=Element_Stiffness!$E$40,Element_Stiffness!V65,0)),IF(Element_Stiffness!$E$40=1,IF(2=Element_Stiffness!$C$40,Element_Stiffness!P71,IF(2=Element_Stiffness!$E$40,Element_Stiffness!V71,0)),0)),0)+IF(Element_Stiffness!$C$76,IF(Element_Stiffness!$C$75=1,IF(2=Element_Stiffness!$C$75,Element_Stiffness!P100,IF(2=Element_Stiffness!$E$75,Element_Stiffness!V100,0)),IF(Element_Stiffness!$E$75=1,IF(2=Element_Stiffness!$C$75,Element_Stiffness!P106,IF(2=Element_Stiffness!$E$75,Element_Stiffness!V106,0)),0)),0)+IF(Element_Stiffness!$C$111,IF(Element_Stiffness!$C$110=1,IF(2=Element_Stiffness!$C$110,Element_Stiffness!P135,IF(2=Element_Stiffness!$E$110,Element_Stiffness!V135,0)),IF(Element_Stiffness!$E$110=1,IF(2=Element_Stiffness!$C$110,Element_Stiffness!P141,IF(2=Element_Stiffness!$E$110,Element_Stiffness!V141,0)),0)),0)+IF(Element_Stiffness!$C$146,IF(Element_Stiffness!$C$145=1,IF(2=Element_Stiffness!$C$145,Element_Stiffness!P170,IF(2=Element_Stiffness!$E$145,Element_Stiffness!V170,0)),IF(Element_Stiffness!$E$145=1,IF(2=Element_Stiffness!$C$145,Element_Stiffness!P176,IF(2=Element_Stiffness!$E$145,Element_Stiffness!V176,0)),0)),0)+IF(Element_Stiffness!$C$181,IF(Element_Stiffness!$C$180=1,IF(2=Element_Stiffness!$C$180,Element_Stiffness!P205,IF(2=Element_Stiffness!$E$180,Element_Stiffness!V205,0)),IF(Element_Stiffness!$E$180=1,IF(2=Element_Stiffness!$C$180,Element_Stiffness!P211,IF(2=Element_Stiffness!$E$180,Element_Stiffness!V211,0)),0)),0)+IF(Element_Stiffness!$C$216,IF(Element_Stiffness!$C$215=1,IF(2=Element_Stiffness!$C$215,Element_Stiffness!P240,IF(2=Element_Stiffness!$E$215,Element_Stiffness!V240,0)),IF(Element_Stiffness!$E$215=1,IF(2=Element_Stiffness!$C$215,Element_Stiffness!P246,IF(2=Element_Stiffness!$E$215,Element_Stiffness!V246,0)),0)),0)</f>
        <v/>
      </c>
      <c r="P15" s="21">
        <f>IF(Element_Stiffness!$C$6,IF(Element_Stiffness!$C$5=1,IF(2=Element_Stiffness!$C$5,Element_Stiffness!Q30,IF(2=Element_Stiffness!$E$5,Element_Stiffness!W30,0)),IF(Element_Stiffness!$E$5=1,IF(2=Element_Stiffness!$C$5,Element_Stiffness!Q36,IF(2=Element_Stiffness!$E$5,Element_Stiffness!W36,0)),0)),0)+IF(Element_Stiffness!$C$41,IF(Element_Stiffness!$C$40=1,IF(2=Element_Stiffness!$C$40,Element_Stiffness!Q65,IF(2=Element_Stiffness!$E$40,Element_Stiffness!W65,0)),IF(Element_Stiffness!$E$40=1,IF(2=Element_Stiffness!$C$40,Element_Stiffness!Q71,IF(2=Element_Stiffness!$E$40,Element_Stiffness!W71,0)),0)),0)+IF(Element_Stiffness!$C$76,IF(Element_Stiffness!$C$75=1,IF(2=Element_Stiffness!$C$75,Element_Stiffness!Q100,IF(2=Element_Stiffness!$E$75,Element_Stiffness!W100,0)),IF(Element_Stiffness!$E$75=1,IF(2=Element_Stiffness!$C$75,Element_Stiffness!Q106,IF(2=Element_Stiffness!$E$75,Element_Stiffness!W106,0)),0)),0)+IF(Element_Stiffness!$C$111,IF(Element_Stiffness!$C$110=1,IF(2=Element_Stiffness!$C$110,Element_Stiffness!Q135,IF(2=Element_Stiffness!$E$110,Element_Stiffness!W135,0)),IF(Element_Stiffness!$E$110=1,IF(2=Element_Stiffness!$C$110,Element_Stiffness!Q141,IF(2=Element_Stiffness!$E$110,Element_Stiffness!W141,0)),0)),0)+IF(Element_Stiffness!$C$146,IF(Element_Stiffness!$C$145=1,IF(2=Element_Stiffness!$C$145,Element_Stiffness!Q170,IF(2=Element_Stiffness!$E$145,Element_Stiffness!W170,0)),IF(Element_Stiffness!$E$145=1,IF(2=Element_Stiffness!$C$145,Element_Stiffness!Q176,IF(2=Element_Stiffness!$E$145,Element_Stiffness!W176,0)),0)),0)+IF(Element_Stiffness!$C$181,IF(Element_Stiffness!$C$180=1,IF(2=Element_Stiffness!$C$180,Element_Stiffness!Q205,IF(2=Element_Stiffness!$E$180,Element_Stiffness!W205,0)),IF(Element_Stiffness!$E$180=1,IF(2=Element_Stiffness!$C$180,Element_Stiffness!Q211,IF(2=Element_Stiffness!$E$180,Element_Stiffness!W211,0)),0)),0)+IF(Element_Stiffness!$C$216,IF(Element_Stiffness!$C$215=1,IF(2=Element_Stiffness!$C$215,Element_Stiffness!Q240,IF(2=Element_Stiffness!$E$215,Element_Stiffness!W240,0)),IF(Element_Stiffness!$E$215=1,IF(2=Element_Stiffness!$C$215,Element_Stiffness!Q246,IF(2=Element_Stiffness!$E$215,Element_Stiffness!W246,0)),0)),0)</f>
        <v/>
      </c>
      <c r="Q15" s="21">
        <f>IF(Element_Stiffness!$C$6,IF(Element_Stiffness!$C$5=1,IF(2=Element_Stiffness!$C$5,Element_Stiffness!R30,IF(2=Element_Stiffness!$E$5,Element_Stiffness!X30,0)),IF(Element_Stiffness!$E$5=1,IF(2=Element_Stiffness!$C$5,Element_Stiffness!R36,IF(2=Element_Stiffness!$E$5,Element_Stiffness!X36,0)),0)),0)+IF(Element_Stiffness!$C$41,IF(Element_Stiffness!$C$40=1,IF(2=Element_Stiffness!$C$40,Element_Stiffness!R65,IF(2=Element_Stiffness!$E$40,Element_Stiffness!X65,0)),IF(Element_Stiffness!$E$40=1,IF(2=Element_Stiffness!$C$40,Element_Stiffness!R71,IF(2=Element_Stiffness!$E$40,Element_Stiffness!X71,0)),0)),0)+IF(Element_Stiffness!$C$76,IF(Element_Stiffness!$C$75=1,IF(2=Element_Stiffness!$C$75,Element_Stiffness!R100,IF(2=Element_Stiffness!$E$75,Element_Stiffness!X100,0)),IF(Element_Stiffness!$E$75=1,IF(2=Element_Stiffness!$C$75,Element_Stiffness!R106,IF(2=Element_Stiffness!$E$75,Element_Stiffness!X106,0)),0)),0)+IF(Element_Stiffness!$C$111,IF(Element_Stiffness!$C$110=1,IF(2=Element_Stiffness!$C$110,Element_Stiffness!R135,IF(2=Element_Stiffness!$E$110,Element_Stiffness!X135,0)),IF(Element_Stiffness!$E$110=1,IF(2=Element_Stiffness!$C$110,Element_Stiffness!R141,IF(2=Element_Stiffness!$E$110,Element_Stiffness!X141,0)),0)),0)+IF(Element_Stiffness!$C$146,IF(Element_Stiffness!$C$145=1,IF(2=Element_Stiffness!$C$145,Element_Stiffness!R170,IF(2=Element_Stiffness!$E$145,Element_Stiffness!X170,0)),IF(Element_Stiffness!$E$145=1,IF(2=Element_Stiffness!$C$145,Element_Stiffness!R176,IF(2=Element_Stiffness!$E$145,Element_Stiffness!X176,0)),0)),0)+IF(Element_Stiffness!$C$181,IF(Element_Stiffness!$C$180=1,IF(2=Element_Stiffness!$C$180,Element_Stiffness!R205,IF(2=Element_Stiffness!$E$180,Element_Stiffness!X205,0)),IF(Element_Stiffness!$E$180=1,IF(2=Element_Stiffness!$C$180,Element_Stiffness!R211,IF(2=Element_Stiffness!$E$180,Element_Stiffness!X211,0)),0)),0)+IF(Element_Stiffness!$C$216,IF(Element_Stiffness!$C$215=1,IF(2=Element_Stiffness!$C$215,Element_Stiffness!R240,IF(2=Element_Stiffness!$E$215,Element_Stiffness!X240,0)),IF(Element_Stiffness!$E$215=1,IF(2=Element_Stiffness!$C$215,Element_Stiffness!R246,IF(2=Element_Stiffness!$E$215,Element_Stiffness!X246,0)),0)),0)</f>
        <v/>
      </c>
      <c r="R15" s="21">
        <f>IF(Element_Stiffness!$C$6,IF(Element_Stiffness!$C$5=1,IF(2=Element_Stiffness!$C$5,Element_Stiffness!S30,IF(2=Element_Stiffness!$E$5,Element_Stiffness!Y30,0)),IF(Element_Stiffness!$E$5=1,IF(2=Element_Stiffness!$C$5,Element_Stiffness!S36,IF(2=Element_Stiffness!$E$5,Element_Stiffness!Y36,0)),0)),0)+IF(Element_Stiffness!$C$41,IF(Element_Stiffness!$C$40=1,IF(2=Element_Stiffness!$C$40,Element_Stiffness!S65,IF(2=Element_Stiffness!$E$40,Element_Stiffness!Y65,0)),IF(Element_Stiffness!$E$40=1,IF(2=Element_Stiffness!$C$40,Element_Stiffness!S71,IF(2=Element_Stiffness!$E$40,Element_Stiffness!Y71,0)),0)),0)+IF(Element_Stiffness!$C$76,IF(Element_Stiffness!$C$75=1,IF(2=Element_Stiffness!$C$75,Element_Stiffness!S100,IF(2=Element_Stiffness!$E$75,Element_Stiffness!Y100,0)),IF(Element_Stiffness!$E$75=1,IF(2=Element_Stiffness!$C$75,Element_Stiffness!S106,IF(2=Element_Stiffness!$E$75,Element_Stiffness!Y106,0)),0)),0)+IF(Element_Stiffness!$C$111,IF(Element_Stiffness!$C$110=1,IF(2=Element_Stiffness!$C$110,Element_Stiffness!S135,IF(2=Element_Stiffness!$E$110,Element_Stiffness!Y135,0)),IF(Element_Stiffness!$E$110=1,IF(2=Element_Stiffness!$C$110,Element_Stiffness!S141,IF(2=Element_Stiffness!$E$110,Element_Stiffness!Y141,0)),0)),0)+IF(Element_Stiffness!$C$146,IF(Element_Stiffness!$C$145=1,IF(2=Element_Stiffness!$C$145,Element_Stiffness!S170,IF(2=Element_Stiffness!$E$145,Element_Stiffness!Y170,0)),IF(Element_Stiffness!$E$145=1,IF(2=Element_Stiffness!$C$145,Element_Stiffness!S176,IF(2=Element_Stiffness!$E$145,Element_Stiffness!Y176,0)),0)),0)+IF(Element_Stiffness!$C$181,IF(Element_Stiffness!$C$180=1,IF(2=Element_Stiffness!$C$180,Element_Stiffness!S205,IF(2=Element_Stiffness!$E$180,Element_Stiffness!Y205,0)),IF(Element_Stiffness!$E$180=1,IF(2=Element_Stiffness!$C$180,Element_Stiffness!S211,IF(2=Element_Stiffness!$E$180,Element_Stiffness!Y211,0)),0)),0)+IF(Element_Stiffness!$C$216,IF(Element_Stiffness!$C$215=1,IF(2=Element_Stiffness!$C$215,Element_Stiffness!S240,IF(2=Element_Stiffness!$E$215,Element_Stiffness!Y240,0)),IF(Element_Stiffness!$E$215=1,IF(2=Element_Stiffness!$C$215,Element_Stiffness!S246,IF(2=Element_Stiffness!$E$215,Element_Stiffness!Y246,0)),0)),0)</f>
        <v/>
      </c>
      <c r="S15" s="21">
        <f>IF(Element_Stiffness!$C$6,IF(Element_Stiffness!$C$5=1,IF(2=Element_Stiffness!$C$5,Element_Stiffness!T30,IF(2=Element_Stiffness!$E$5,Element_Stiffness!Z30,0)),IF(Element_Stiffness!$E$5=1,IF(2=Element_Stiffness!$C$5,Element_Stiffness!T36,IF(2=Element_Stiffness!$E$5,Element_Stiffness!Z36,0)),0)),0)+IF(Element_Stiffness!$C$41,IF(Element_Stiffness!$C$40=1,IF(2=Element_Stiffness!$C$40,Element_Stiffness!T65,IF(2=Element_Stiffness!$E$40,Element_Stiffness!Z65,0)),IF(Element_Stiffness!$E$40=1,IF(2=Element_Stiffness!$C$40,Element_Stiffness!T71,IF(2=Element_Stiffness!$E$40,Element_Stiffness!Z71,0)),0)),0)+IF(Element_Stiffness!$C$76,IF(Element_Stiffness!$C$75=1,IF(2=Element_Stiffness!$C$75,Element_Stiffness!T100,IF(2=Element_Stiffness!$E$75,Element_Stiffness!Z100,0)),IF(Element_Stiffness!$E$75=1,IF(2=Element_Stiffness!$C$75,Element_Stiffness!T106,IF(2=Element_Stiffness!$E$75,Element_Stiffness!Z106,0)),0)),0)+IF(Element_Stiffness!$C$111,IF(Element_Stiffness!$C$110=1,IF(2=Element_Stiffness!$C$110,Element_Stiffness!T135,IF(2=Element_Stiffness!$E$110,Element_Stiffness!Z135,0)),IF(Element_Stiffness!$E$110=1,IF(2=Element_Stiffness!$C$110,Element_Stiffness!T141,IF(2=Element_Stiffness!$E$110,Element_Stiffness!Z141,0)),0)),0)+IF(Element_Stiffness!$C$146,IF(Element_Stiffness!$C$145=1,IF(2=Element_Stiffness!$C$145,Element_Stiffness!T170,IF(2=Element_Stiffness!$E$145,Element_Stiffness!Z170,0)),IF(Element_Stiffness!$E$145=1,IF(2=Element_Stiffness!$C$145,Element_Stiffness!T176,IF(2=Element_Stiffness!$E$145,Element_Stiffness!Z176,0)),0)),0)+IF(Element_Stiffness!$C$181,IF(Element_Stiffness!$C$180=1,IF(2=Element_Stiffness!$C$180,Element_Stiffness!T205,IF(2=Element_Stiffness!$E$180,Element_Stiffness!Z205,0)),IF(Element_Stiffness!$E$180=1,IF(2=Element_Stiffness!$C$180,Element_Stiffness!T211,IF(2=Element_Stiffness!$E$180,Element_Stiffness!Z211,0)),0)),0)+IF(Element_Stiffness!$C$216,IF(Element_Stiffness!$C$215=1,IF(2=Element_Stiffness!$C$215,Element_Stiffness!T240,IF(2=Element_Stiffness!$E$215,Element_Stiffness!Z240,0)),IF(Element_Stiffness!$E$215=1,IF(2=Element_Stiffness!$C$215,Element_Stiffness!T246,IF(2=Element_Stiffness!$E$215,Element_Stiffness!Z246,0)),0)),0)</f>
        <v/>
      </c>
      <c r="T15" s="21">
        <f>IF(Element_Stiffness!$C$6,IF(Element_Stiffness!$C$5=1,IF(2=Element_Stiffness!$C$5,Element_Stiffness!U30,IF(2=Element_Stiffness!$E$5,Element_Stiffness!AA30,0)),IF(Element_Stiffness!$E$5=1,IF(2=Element_Stiffness!$C$5,Element_Stiffness!U36,IF(2=Element_Stiffness!$E$5,Element_Stiffness!AA36,0)),0)),0)+IF(Element_Stiffness!$C$41,IF(Element_Stiffness!$C$40=1,IF(2=Element_Stiffness!$C$40,Element_Stiffness!U65,IF(2=Element_Stiffness!$E$40,Element_Stiffness!AA65,0)),IF(Element_Stiffness!$E$40=1,IF(2=Element_Stiffness!$C$40,Element_Stiffness!U71,IF(2=Element_Stiffness!$E$40,Element_Stiffness!AA71,0)),0)),0)+IF(Element_Stiffness!$C$76,IF(Element_Stiffness!$C$75=1,IF(2=Element_Stiffness!$C$75,Element_Stiffness!U100,IF(2=Element_Stiffness!$E$75,Element_Stiffness!AA100,0)),IF(Element_Stiffness!$E$75=1,IF(2=Element_Stiffness!$C$75,Element_Stiffness!U106,IF(2=Element_Stiffness!$E$75,Element_Stiffness!AA106,0)),0)),0)+IF(Element_Stiffness!$C$111,IF(Element_Stiffness!$C$110=1,IF(2=Element_Stiffness!$C$110,Element_Stiffness!U135,IF(2=Element_Stiffness!$E$110,Element_Stiffness!AA135,0)),IF(Element_Stiffness!$E$110=1,IF(2=Element_Stiffness!$C$110,Element_Stiffness!U141,IF(2=Element_Stiffness!$E$110,Element_Stiffness!AA141,0)),0)),0)+IF(Element_Stiffness!$C$146,IF(Element_Stiffness!$C$145=1,IF(2=Element_Stiffness!$C$145,Element_Stiffness!U170,IF(2=Element_Stiffness!$E$145,Element_Stiffness!AA170,0)),IF(Element_Stiffness!$E$145=1,IF(2=Element_Stiffness!$C$145,Element_Stiffness!U176,IF(2=Element_Stiffness!$E$145,Element_Stiffness!AA176,0)),0)),0)+IF(Element_Stiffness!$C$181,IF(Element_Stiffness!$C$180=1,IF(2=Element_Stiffness!$C$180,Element_Stiffness!U205,IF(2=Element_Stiffness!$E$180,Element_Stiffness!AA205,0)),IF(Element_Stiffness!$E$180=1,IF(2=Element_Stiffness!$C$180,Element_Stiffness!U211,IF(2=Element_Stiffness!$E$180,Element_Stiffness!AA211,0)),0)),0)+IF(Element_Stiffness!$C$216,IF(Element_Stiffness!$C$215=1,IF(2=Element_Stiffness!$C$215,Element_Stiffness!U240,IF(2=Element_Stiffness!$E$215,Element_Stiffness!AA240,0)),IF(Element_Stiffness!$E$215=1,IF(2=Element_Stiffness!$C$215,Element_Stiffness!U246,IF(2=Element_Stiffness!$E$215,Element_Stiffness!AA246,0)),0)),0)</f>
        <v/>
      </c>
      <c r="U15" s="21">
        <f>IF(Element_Stiffness!$C$6,IF(Element_Stiffness!$C$5=1,IF(3=Element_Stiffness!$C$5,Element_Stiffness!P30,IF(3=Element_Stiffness!$E$5,Element_Stiffness!V30,0)),IF(Element_Stiffness!$E$5=1,IF(3=Element_Stiffness!$C$5,Element_Stiffness!P36,IF(3=Element_Stiffness!$E$5,Element_Stiffness!V36,0)),0)),0)+IF(Element_Stiffness!$C$41,IF(Element_Stiffness!$C$40=1,IF(3=Element_Stiffness!$C$40,Element_Stiffness!P65,IF(3=Element_Stiffness!$E$40,Element_Stiffness!V65,0)),IF(Element_Stiffness!$E$40=1,IF(3=Element_Stiffness!$C$40,Element_Stiffness!P71,IF(3=Element_Stiffness!$E$40,Element_Stiffness!V71,0)),0)),0)+IF(Element_Stiffness!$C$76,IF(Element_Stiffness!$C$75=1,IF(3=Element_Stiffness!$C$75,Element_Stiffness!P100,IF(3=Element_Stiffness!$E$75,Element_Stiffness!V100,0)),IF(Element_Stiffness!$E$75=1,IF(3=Element_Stiffness!$C$75,Element_Stiffness!P106,IF(3=Element_Stiffness!$E$75,Element_Stiffness!V106,0)),0)),0)+IF(Element_Stiffness!$C$111,IF(Element_Stiffness!$C$110=1,IF(3=Element_Stiffness!$C$110,Element_Stiffness!P135,IF(3=Element_Stiffness!$E$110,Element_Stiffness!V135,0)),IF(Element_Stiffness!$E$110=1,IF(3=Element_Stiffness!$C$110,Element_Stiffness!P141,IF(3=Element_Stiffness!$E$110,Element_Stiffness!V141,0)),0)),0)+IF(Element_Stiffness!$C$146,IF(Element_Stiffness!$C$145=1,IF(3=Element_Stiffness!$C$145,Element_Stiffness!P170,IF(3=Element_Stiffness!$E$145,Element_Stiffness!V170,0)),IF(Element_Stiffness!$E$145=1,IF(3=Element_Stiffness!$C$145,Element_Stiffness!P176,IF(3=Element_Stiffness!$E$145,Element_Stiffness!V176,0)),0)),0)+IF(Element_Stiffness!$C$181,IF(Element_Stiffness!$C$180=1,IF(3=Element_Stiffness!$C$180,Element_Stiffness!P205,IF(3=Element_Stiffness!$E$180,Element_Stiffness!V205,0)),IF(Element_Stiffness!$E$180=1,IF(3=Element_Stiffness!$C$180,Element_Stiffness!P211,IF(3=Element_Stiffness!$E$180,Element_Stiffness!V211,0)),0)),0)+IF(Element_Stiffness!$C$216,IF(Element_Stiffness!$C$215=1,IF(3=Element_Stiffness!$C$215,Element_Stiffness!P240,IF(3=Element_Stiffness!$E$215,Element_Stiffness!V240,0)),IF(Element_Stiffness!$E$215=1,IF(3=Element_Stiffness!$C$215,Element_Stiffness!P246,IF(3=Element_Stiffness!$E$215,Element_Stiffness!V246,0)),0)),0)</f>
        <v/>
      </c>
      <c r="V15" s="21">
        <f>IF(Element_Stiffness!$C$6,IF(Element_Stiffness!$C$5=1,IF(3=Element_Stiffness!$C$5,Element_Stiffness!Q30,IF(3=Element_Stiffness!$E$5,Element_Stiffness!W30,0)),IF(Element_Stiffness!$E$5=1,IF(3=Element_Stiffness!$C$5,Element_Stiffness!Q36,IF(3=Element_Stiffness!$E$5,Element_Stiffness!W36,0)),0)),0)+IF(Element_Stiffness!$C$41,IF(Element_Stiffness!$C$40=1,IF(3=Element_Stiffness!$C$40,Element_Stiffness!Q65,IF(3=Element_Stiffness!$E$40,Element_Stiffness!W65,0)),IF(Element_Stiffness!$E$40=1,IF(3=Element_Stiffness!$C$40,Element_Stiffness!Q71,IF(3=Element_Stiffness!$E$40,Element_Stiffness!W71,0)),0)),0)+IF(Element_Stiffness!$C$76,IF(Element_Stiffness!$C$75=1,IF(3=Element_Stiffness!$C$75,Element_Stiffness!Q100,IF(3=Element_Stiffness!$E$75,Element_Stiffness!W100,0)),IF(Element_Stiffness!$E$75=1,IF(3=Element_Stiffness!$C$75,Element_Stiffness!Q106,IF(3=Element_Stiffness!$E$75,Element_Stiffness!W106,0)),0)),0)+IF(Element_Stiffness!$C$111,IF(Element_Stiffness!$C$110=1,IF(3=Element_Stiffness!$C$110,Element_Stiffness!Q135,IF(3=Element_Stiffness!$E$110,Element_Stiffness!W135,0)),IF(Element_Stiffness!$E$110=1,IF(3=Element_Stiffness!$C$110,Element_Stiffness!Q141,IF(3=Element_Stiffness!$E$110,Element_Stiffness!W141,0)),0)),0)+IF(Element_Stiffness!$C$146,IF(Element_Stiffness!$C$145=1,IF(3=Element_Stiffness!$C$145,Element_Stiffness!Q170,IF(3=Element_Stiffness!$E$145,Element_Stiffness!W170,0)),IF(Element_Stiffness!$E$145=1,IF(3=Element_Stiffness!$C$145,Element_Stiffness!Q176,IF(3=Element_Stiffness!$E$145,Element_Stiffness!W176,0)),0)),0)+IF(Element_Stiffness!$C$181,IF(Element_Stiffness!$C$180=1,IF(3=Element_Stiffness!$C$180,Element_Stiffness!Q205,IF(3=Element_Stiffness!$E$180,Element_Stiffness!W205,0)),IF(Element_Stiffness!$E$180=1,IF(3=Element_Stiffness!$C$180,Element_Stiffness!Q211,IF(3=Element_Stiffness!$E$180,Element_Stiffness!W211,0)),0)),0)+IF(Element_Stiffness!$C$216,IF(Element_Stiffness!$C$215=1,IF(3=Element_Stiffness!$C$215,Element_Stiffness!Q240,IF(3=Element_Stiffness!$E$215,Element_Stiffness!W240,0)),IF(Element_Stiffness!$E$215=1,IF(3=Element_Stiffness!$C$215,Element_Stiffness!Q246,IF(3=Element_Stiffness!$E$215,Element_Stiffness!W246,0)),0)),0)</f>
        <v/>
      </c>
      <c r="W15" s="21">
        <f>IF(Element_Stiffness!$C$6,IF(Element_Stiffness!$C$5=1,IF(3=Element_Stiffness!$C$5,Element_Stiffness!R30,IF(3=Element_Stiffness!$E$5,Element_Stiffness!X30,0)),IF(Element_Stiffness!$E$5=1,IF(3=Element_Stiffness!$C$5,Element_Stiffness!R36,IF(3=Element_Stiffness!$E$5,Element_Stiffness!X36,0)),0)),0)+IF(Element_Stiffness!$C$41,IF(Element_Stiffness!$C$40=1,IF(3=Element_Stiffness!$C$40,Element_Stiffness!R65,IF(3=Element_Stiffness!$E$40,Element_Stiffness!X65,0)),IF(Element_Stiffness!$E$40=1,IF(3=Element_Stiffness!$C$40,Element_Stiffness!R71,IF(3=Element_Stiffness!$E$40,Element_Stiffness!X71,0)),0)),0)+IF(Element_Stiffness!$C$76,IF(Element_Stiffness!$C$75=1,IF(3=Element_Stiffness!$C$75,Element_Stiffness!R100,IF(3=Element_Stiffness!$E$75,Element_Stiffness!X100,0)),IF(Element_Stiffness!$E$75=1,IF(3=Element_Stiffness!$C$75,Element_Stiffness!R106,IF(3=Element_Stiffness!$E$75,Element_Stiffness!X106,0)),0)),0)+IF(Element_Stiffness!$C$111,IF(Element_Stiffness!$C$110=1,IF(3=Element_Stiffness!$C$110,Element_Stiffness!R135,IF(3=Element_Stiffness!$E$110,Element_Stiffness!X135,0)),IF(Element_Stiffness!$E$110=1,IF(3=Element_Stiffness!$C$110,Element_Stiffness!R141,IF(3=Element_Stiffness!$E$110,Element_Stiffness!X141,0)),0)),0)+IF(Element_Stiffness!$C$146,IF(Element_Stiffness!$C$145=1,IF(3=Element_Stiffness!$C$145,Element_Stiffness!R170,IF(3=Element_Stiffness!$E$145,Element_Stiffness!X170,0)),IF(Element_Stiffness!$E$145=1,IF(3=Element_Stiffness!$C$145,Element_Stiffness!R176,IF(3=Element_Stiffness!$E$145,Element_Stiffness!X176,0)),0)),0)+IF(Element_Stiffness!$C$181,IF(Element_Stiffness!$C$180=1,IF(3=Element_Stiffness!$C$180,Element_Stiffness!R205,IF(3=Element_Stiffness!$E$180,Element_Stiffness!X205,0)),IF(Element_Stiffness!$E$180=1,IF(3=Element_Stiffness!$C$180,Element_Stiffness!R211,IF(3=Element_Stiffness!$E$180,Element_Stiffness!X211,0)),0)),0)+IF(Element_Stiffness!$C$216,IF(Element_Stiffness!$C$215=1,IF(3=Element_Stiffness!$C$215,Element_Stiffness!R240,IF(3=Element_Stiffness!$E$215,Element_Stiffness!X240,0)),IF(Element_Stiffness!$E$215=1,IF(3=Element_Stiffness!$C$215,Element_Stiffness!R246,IF(3=Element_Stiffness!$E$215,Element_Stiffness!X246,0)),0)),0)</f>
        <v/>
      </c>
      <c r="X15" s="21">
        <f>IF(Element_Stiffness!$C$6,IF(Element_Stiffness!$C$5=1,IF(3=Element_Stiffness!$C$5,Element_Stiffness!S30,IF(3=Element_Stiffness!$E$5,Element_Stiffness!Y30,0)),IF(Element_Stiffness!$E$5=1,IF(3=Element_Stiffness!$C$5,Element_Stiffness!S36,IF(3=Element_Stiffness!$E$5,Element_Stiffness!Y36,0)),0)),0)+IF(Element_Stiffness!$C$41,IF(Element_Stiffness!$C$40=1,IF(3=Element_Stiffness!$C$40,Element_Stiffness!S65,IF(3=Element_Stiffness!$E$40,Element_Stiffness!Y65,0)),IF(Element_Stiffness!$E$40=1,IF(3=Element_Stiffness!$C$40,Element_Stiffness!S71,IF(3=Element_Stiffness!$E$40,Element_Stiffness!Y71,0)),0)),0)+IF(Element_Stiffness!$C$76,IF(Element_Stiffness!$C$75=1,IF(3=Element_Stiffness!$C$75,Element_Stiffness!S100,IF(3=Element_Stiffness!$E$75,Element_Stiffness!Y100,0)),IF(Element_Stiffness!$E$75=1,IF(3=Element_Stiffness!$C$75,Element_Stiffness!S106,IF(3=Element_Stiffness!$E$75,Element_Stiffness!Y106,0)),0)),0)+IF(Element_Stiffness!$C$111,IF(Element_Stiffness!$C$110=1,IF(3=Element_Stiffness!$C$110,Element_Stiffness!S135,IF(3=Element_Stiffness!$E$110,Element_Stiffness!Y135,0)),IF(Element_Stiffness!$E$110=1,IF(3=Element_Stiffness!$C$110,Element_Stiffness!S141,IF(3=Element_Stiffness!$E$110,Element_Stiffness!Y141,0)),0)),0)+IF(Element_Stiffness!$C$146,IF(Element_Stiffness!$C$145=1,IF(3=Element_Stiffness!$C$145,Element_Stiffness!S170,IF(3=Element_Stiffness!$E$145,Element_Stiffness!Y170,0)),IF(Element_Stiffness!$E$145=1,IF(3=Element_Stiffness!$C$145,Element_Stiffness!S176,IF(3=Element_Stiffness!$E$145,Element_Stiffness!Y176,0)),0)),0)+IF(Element_Stiffness!$C$181,IF(Element_Stiffness!$C$180=1,IF(3=Element_Stiffness!$C$180,Element_Stiffness!S205,IF(3=Element_Stiffness!$E$180,Element_Stiffness!Y205,0)),IF(Element_Stiffness!$E$180=1,IF(3=Element_Stiffness!$C$180,Element_Stiffness!S211,IF(3=Element_Stiffness!$E$180,Element_Stiffness!Y211,0)),0)),0)+IF(Element_Stiffness!$C$216,IF(Element_Stiffness!$C$215=1,IF(3=Element_Stiffness!$C$215,Element_Stiffness!S240,IF(3=Element_Stiffness!$E$215,Element_Stiffness!Y240,0)),IF(Element_Stiffness!$E$215=1,IF(3=Element_Stiffness!$C$215,Element_Stiffness!S246,IF(3=Element_Stiffness!$E$215,Element_Stiffness!Y246,0)),0)),0)</f>
        <v/>
      </c>
      <c r="Y15" s="21">
        <f>IF(Element_Stiffness!$C$6,IF(Element_Stiffness!$C$5=1,IF(3=Element_Stiffness!$C$5,Element_Stiffness!T30,IF(3=Element_Stiffness!$E$5,Element_Stiffness!Z30,0)),IF(Element_Stiffness!$E$5=1,IF(3=Element_Stiffness!$C$5,Element_Stiffness!T36,IF(3=Element_Stiffness!$E$5,Element_Stiffness!Z36,0)),0)),0)+IF(Element_Stiffness!$C$41,IF(Element_Stiffness!$C$40=1,IF(3=Element_Stiffness!$C$40,Element_Stiffness!T65,IF(3=Element_Stiffness!$E$40,Element_Stiffness!Z65,0)),IF(Element_Stiffness!$E$40=1,IF(3=Element_Stiffness!$C$40,Element_Stiffness!T71,IF(3=Element_Stiffness!$E$40,Element_Stiffness!Z71,0)),0)),0)+IF(Element_Stiffness!$C$76,IF(Element_Stiffness!$C$75=1,IF(3=Element_Stiffness!$C$75,Element_Stiffness!T100,IF(3=Element_Stiffness!$E$75,Element_Stiffness!Z100,0)),IF(Element_Stiffness!$E$75=1,IF(3=Element_Stiffness!$C$75,Element_Stiffness!T106,IF(3=Element_Stiffness!$E$75,Element_Stiffness!Z106,0)),0)),0)+IF(Element_Stiffness!$C$111,IF(Element_Stiffness!$C$110=1,IF(3=Element_Stiffness!$C$110,Element_Stiffness!T135,IF(3=Element_Stiffness!$E$110,Element_Stiffness!Z135,0)),IF(Element_Stiffness!$E$110=1,IF(3=Element_Stiffness!$C$110,Element_Stiffness!T141,IF(3=Element_Stiffness!$E$110,Element_Stiffness!Z141,0)),0)),0)+IF(Element_Stiffness!$C$146,IF(Element_Stiffness!$C$145=1,IF(3=Element_Stiffness!$C$145,Element_Stiffness!T170,IF(3=Element_Stiffness!$E$145,Element_Stiffness!Z170,0)),IF(Element_Stiffness!$E$145=1,IF(3=Element_Stiffness!$C$145,Element_Stiffness!T176,IF(3=Element_Stiffness!$E$145,Element_Stiffness!Z176,0)),0)),0)+IF(Element_Stiffness!$C$181,IF(Element_Stiffness!$C$180=1,IF(3=Element_Stiffness!$C$180,Element_Stiffness!T205,IF(3=Element_Stiffness!$E$180,Element_Stiffness!Z205,0)),IF(Element_Stiffness!$E$180=1,IF(3=Element_Stiffness!$C$180,Element_Stiffness!T211,IF(3=Element_Stiffness!$E$180,Element_Stiffness!Z211,0)),0)),0)+IF(Element_Stiffness!$C$216,IF(Element_Stiffness!$C$215=1,IF(3=Element_Stiffness!$C$215,Element_Stiffness!T240,IF(3=Element_Stiffness!$E$215,Element_Stiffness!Z240,0)),IF(Element_Stiffness!$E$215=1,IF(3=Element_Stiffness!$C$215,Element_Stiffness!T246,IF(3=Element_Stiffness!$E$215,Element_Stiffness!Z246,0)),0)),0)</f>
        <v/>
      </c>
      <c r="Z15" s="21">
        <f>IF(Element_Stiffness!$C$6,IF(Element_Stiffness!$C$5=1,IF(3=Element_Stiffness!$C$5,Element_Stiffness!U30,IF(3=Element_Stiffness!$E$5,Element_Stiffness!AA30,0)),IF(Element_Stiffness!$E$5=1,IF(3=Element_Stiffness!$C$5,Element_Stiffness!U36,IF(3=Element_Stiffness!$E$5,Element_Stiffness!AA36,0)),0)),0)+IF(Element_Stiffness!$C$41,IF(Element_Stiffness!$C$40=1,IF(3=Element_Stiffness!$C$40,Element_Stiffness!U65,IF(3=Element_Stiffness!$E$40,Element_Stiffness!AA65,0)),IF(Element_Stiffness!$E$40=1,IF(3=Element_Stiffness!$C$40,Element_Stiffness!U71,IF(3=Element_Stiffness!$E$40,Element_Stiffness!AA71,0)),0)),0)+IF(Element_Stiffness!$C$76,IF(Element_Stiffness!$C$75=1,IF(3=Element_Stiffness!$C$75,Element_Stiffness!U100,IF(3=Element_Stiffness!$E$75,Element_Stiffness!AA100,0)),IF(Element_Stiffness!$E$75=1,IF(3=Element_Stiffness!$C$75,Element_Stiffness!U106,IF(3=Element_Stiffness!$E$75,Element_Stiffness!AA106,0)),0)),0)+IF(Element_Stiffness!$C$111,IF(Element_Stiffness!$C$110=1,IF(3=Element_Stiffness!$C$110,Element_Stiffness!U135,IF(3=Element_Stiffness!$E$110,Element_Stiffness!AA135,0)),IF(Element_Stiffness!$E$110=1,IF(3=Element_Stiffness!$C$110,Element_Stiffness!U141,IF(3=Element_Stiffness!$E$110,Element_Stiffness!AA141,0)),0)),0)+IF(Element_Stiffness!$C$146,IF(Element_Stiffness!$C$145=1,IF(3=Element_Stiffness!$C$145,Element_Stiffness!U170,IF(3=Element_Stiffness!$E$145,Element_Stiffness!AA170,0)),IF(Element_Stiffness!$E$145=1,IF(3=Element_Stiffness!$C$145,Element_Stiffness!U176,IF(3=Element_Stiffness!$E$145,Element_Stiffness!AA176,0)),0)),0)+IF(Element_Stiffness!$C$181,IF(Element_Stiffness!$C$180=1,IF(3=Element_Stiffness!$C$180,Element_Stiffness!U205,IF(3=Element_Stiffness!$E$180,Element_Stiffness!AA205,0)),IF(Element_Stiffness!$E$180=1,IF(3=Element_Stiffness!$C$180,Element_Stiffness!U211,IF(3=Element_Stiffness!$E$180,Element_Stiffness!AA211,0)),0)),0)+IF(Element_Stiffness!$C$216,IF(Element_Stiffness!$C$215=1,IF(3=Element_Stiffness!$C$215,Element_Stiffness!U240,IF(3=Element_Stiffness!$E$215,Element_Stiffness!AA240,0)),IF(Element_Stiffness!$E$215=1,IF(3=Element_Stiffness!$C$215,Element_Stiffness!U246,IF(3=Element_Stiffness!$E$215,Element_Stiffness!AA246,0)),0)),0)</f>
        <v/>
      </c>
      <c r="AA15" s="21">
        <f>IF(Element_Stiffness!$C$6,IF(Element_Stiffness!$C$5=1,IF(4=Element_Stiffness!$C$5,Element_Stiffness!P30,IF(4=Element_Stiffness!$E$5,Element_Stiffness!V30,0)),IF(Element_Stiffness!$E$5=1,IF(4=Element_Stiffness!$C$5,Element_Stiffness!P36,IF(4=Element_Stiffness!$E$5,Element_Stiffness!V36,0)),0)),0)+IF(Element_Stiffness!$C$41,IF(Element_Stiffness!$C$40=1,IF(4=Element_Stiffness!$C$40,Element_Stiffness!P65,IF(4=Element_Stiffness!$E$40,Element_Stiffness!V65,0)),IF(Element_Stiffness!$E$40=1,IF(4=Element_Stiffness!$C$40,Element_Stiffness!P71,IF(4=Element_Stiffness!$E$40,Element_Stiffness!V71,0)),0)),0)+IF(Element_Stiffness!$C$76,IF(Element_Stiffness!$C$75=1,IF(4=Element_Stiffness!$C$75,Element_Stiffness!P100,IF(4=Element_Stiffness!$E$75,Element_Stiffness!V100,0)),IF(Element_Stiffness!$E$75=1,IF(4=Element_Stiffness!$C$75,Element_Stiffness!P106,IF(4=Element_Stiffness!$E$75,Element_Stiffness!V106,0)),0)),0)+IF(Element_Stiffness!$C$111,IF(Element_Stiffness!$C$110=1,IF(4=Element_Stiffness!$C$110,Element_Stiffness!P135,IF(4=Element_Stiffness!$E$110,Element_Stiffness!V135,0)),IF(Element_Stiffness!$E$110=1,IF(4=Element_Stiffness!$C$110,Element_Stiffness!P141,IF(4=Element_Stiffness!$E$110,Element_Stiffness!V141,0)),0)),0)+IF(Element_Stiffness!$C$146,IF(Element_Stiffness!$C$145=1,IF(4=Element_Stiffness!$C$145,Element_Stiffness!P170,IF(4=Element_Stiffness!$E$145,Element_Stiffness!V170,0)),IF(Element_Stiffness!$E$145=1,IF(4=Element_Stiffness!$C$145,Element_Stiffness!P176,IF(4=Element_Stiffness!$E$145,Element_Stiffness!V176,0)),0)),0)+IF(Element_Stiffness!$C$181,IF(Element_Stiffness!$C$180=1,IF(4=Element_Stiffness!$C$180,Element_Stiffness!P205,IF(4=Element_Stiffness!$E$180,Element_Stiffness!V205,0)),IF(Element_Stiffness!$E$180=1,IF(4=Element_Stiffness!$C$180,Element_Stiffness!P211,IF(4=Element_Stiffness!$E$180,Element_Stiffness!V211,0)),0)),0)+IF(Element_Stiffness!$C$216,IF(Element_Stiffness!$C$215=1,IF(4=Element_Stiffness!$C$215,Element_Stiffness!P240,IF(4=Element_Stiffness!$E$215,Element_Stiffness!V240,0)),IF(Element_Stiffness!$E$215=1,IF(4=Element_Stiffness!$C$215,Element_Stiffness!P246,IF(4=Element_Stiffness!$E$215,Element_Stiffness!V246,0)),0)),0)</f>
        <v/>
      </c>
      <c r="AB15" s="21">
        <f>IF(Element_Stiffness!$C$6,IF(Element_Stiffness!$C$5=1,IF(4=Element_Stiffness!$C$5,Element_Stiffness!Q30,IF(4=Element_Stiffness!$E$5,Element_Stiffness!W30,0)),IF(Element_Stiffness!$E$5=1,IF(4=Element_Stiffness!$C$5,Element_Stiffness!Q36,IF(4=Element_Stiffness!$E$5,Element_Stiffness!W36,0)),0)),0)+IF(Element_Stiffness!$C$41,IF(Element_Stiffness!$C$40=1,IF(4=Element_Stiffness!$C$40,Element_Stiffness!Q65,IF(4=Element_Stiffness!$E$40,Element_Stiffness!W65,0)),IF(Element_Stiffness!$E$40=1,IF(4=Element_Stiffness!$C$40,Element_Stiffness!Q71,IF(4=Element_Stiffness!$E$40,Element_Stiffness!W71,0)),0)),0)+IF(Element_Stiffness!$C$76,IF(Element_Stiffness!$C$75=1,IF(4=Element_Stiffness!$C$75,Element_Stiffness!Q100,IF(4=Element_Stiffness!$E$75,Element_Stiffness!W100,0)),IF(Element_Stiffness!$E$75=1,IF(4=Element_Stiffness!$C$75,Element_Stiffness!Q106,IF(4=Element_Stiffness!$E$75,Element_Stiffness!W106,0)),0)),0)+IF(Element_Stiffness!$C$111,IF(Element_Stiffness!$C$110=1,IF(4=Element_Stiffness!$C$110,Element_Stiffness!Q135,IF(4=Element_Stiffness!$E$110,Element_Stiffness!W135,0)),IF(Element_Stiffness!$E$110=1,IF(4=Element_Stiffness!$C$110,Element_Stiffness!Q141,IF(4=Element_Stiffness!$E$110,Element_Stiffness!W141,0)),0)),0)+IF(Element_Stiffness!$C$146,IF(Element_Stiffness!$C$145=1,IF(4=Element_Stiffness!$C$145,Element_Stiffness!Q170,IF(4=Element_Stiffness!$E$145,Element_Stiffness!W170,0)),IF(Element_Stiffness!$E$145=1,IF(4=Element_Stiffness!$C$145,Element_Stiffness!Q176,IF(4=Element_Stiffness!$E$145,Element_Stiffness!W176,0)),0)),0)+IF(Element_Stiffness!$C$181,IF(Element_Stiffness!$C$180=1,IF(4=Element_Stiffness!$C$180,Element_Stiffness!Q205,IF(4=Element_Stiffness!$E$180,Element_Stiffness!W205,0)),IF(Element_Stiffness!$E$180=1,IF(4=Element_Stiffness!$C$180,Element_Stiffness!Q211,IF(4=Element_Stiffness!$E$180,Element_Stiffness!W211,0)),0)),0)+IF(Element_Stiffness!$C$216,IF(Element_Stiffness!$C$215=1,IF(4=Element_Stiffness!$C$215,Element_Stiffness!Q240,IF(4=Element_Stiffness!$E$215,Element_Stiffness!W240,0)),IF(Element_Stiffness!$E$215=1,IF(4=Element_Stiffness!$C$215,Element_Stiffness!Q246,IF(4=Element_Stiffness!$E$215,Element_Stiffness!W246,0)),0)),0)</f>
        <v/>
      </c>
      <c r="AC15" s="21">
        <f>IF(Element_Stiffness!$C$6,IF(Element_Stiffness!$C$5=1,IF(4=Element_Stiffness!$C$5,Element_Stiffness!R30,IF(4=Element_Stiffness!$E$5,Element_Stiffness!X30,0)),IF(Element_Stiffness!$E$5=1,IF(4=Element_Stiffness!$C$5,Element_Stiffness!R36,IF(4=Element_Stiffness!$E$5,Element_Stiffness!X36,0)),0)),0)+IF(Element_Stiffness!$C$41,IF(Element_Stiffness!$C$40=1,IF(4=Element_Stiffness!$C$40,Element_Stiffness!R65,IF(4=Element_Stiffness!$E$40,Element_Stiffness!X65,0)),IF(Element_Stiffness!$E$40=1,IF(4=Element_Stiffness!$C$40,Element_Stiffness!R71,IF(4=Element_Stiffness!$E$40,Element_Stiffness!X71,0)),0)),0)+IF(Element_Stiffness!$C$76,IF(Element_Stiffness!$C$75=1,IF(4=Element_Stiffness!$C$75,Element_Stiffness!R100,IF(4=Element_Stiffness!$E$75,Element_Stiffness!X100,0)),IF(Element_Stiffness!$E$75=1,IF(4=Element_Stiffness!$C$75,Element_Stiffness!R106,IF(4=Element_Stiffness!$E$75,Element_Stiffness!X106,0)),0)),0)+IF(Element_Stiffness!$C$111,IF(Element_Stiffness!$C$110=1,IF(4=Element_Stiffness!$C$110,Element_Stiffness!R135,IF(4=Element_Stiffness!$E$110,Element_Stiffness!X135,0)),IF(Element_Stiffness!$E$110=1,IF(4=Element_Stiffness!$C$110,Element_Stiffness!R141,IF(4=Element_Stiffness!$E$110,Element_Stiffness!X141,0)),0)),0)+IF(Element_Stiffness!$C$146,IF(Element_Stiffness!$C$145=1,IF(4=Element_Stiffness!$C$145,Element_Stiffness!R170,IF(4=Element_Stiffness!$E$145,Element_Stiffness!X170,0)),IF(Element_Stiffness!$E$145=1,IF(4=Element_Stiffness!$C$145,Element_Stiffness!R176,IF(4=Element_Stiffness!$E$145,Element_Stiffness!X176,0)),0)),0)+IF(Element_Stiffness!$C$181,IF(Element_Stiffness!$C$180=1,IF(4=Element_Stiffness!$C$180,Element_Stiffness!R205,IF(4=Element_Stiffness!$E$180,Element_Stiffness!X205,0)),IF(Element_Stiffness!$E$180=1,IF(4=Element_Stiffness!$C$180,Element_Stiffness!R211,IF(4=Element_Stiffness!$E$180,Element_Stiffness!X211,0)),0)),0)+IF(Element_Stiffness!$C$216,IF(Element_Stiffness!$C$215=1,IF(4=Element_Stiffness!$C$215,Element_Stiffness!R240,IF(4=Element_Stiffness!$E$215,Element_Stiffness!X240,0)),IF(Element_Stiffness!$E$215=1,IF(4=Element_Stiffness!$C$215,Element_Stiffness!R246,IF(4=Element_Stiffness!$E$215,Element_Stiffness!X246,0)),0)),0)</f>
        <v/>
      </c>
      <c r="AD15" s="21">
        <f>IF(Element_Stiffness!$C$6,IF(Element_Stiffness!$C$5=1,IF(4=Element_Stiffness!$C$5,Element_Stiffness!S30,IF(4=Element_Stiffness!$E$5,Element_Stiffness!Y30,0)),IF(Element_Stiffness!$E$5=1,IF(4=Element_Stiffness!$C$5,Element_Stiffness!S36,IF(4=Element_Stiffness!$E$5,Element_Stiffness!Y36,0)),0)),0)+IF(Element_Stiffness!$C$41,IF(Element_Stiffness!$C$40=1,IF(4=Element_Stiffness!$C$40,Element_Stiffness!S65,IF(4=Element_Stiffness!$E$40,Element_Stiffness!Y65,0)),IF(Element_Stiffness!$E$40=1,IF(4=Element_Stiffness!$C$40,Element_Stiffness!S71,IF(4=Element_Stiffness!$E$40,Element_Stiffness!Y71,0)),0)),0)+IF(Element_Stiffness!$C$76,IF(Element_Stiffness!$C$75=1,IF(4=Element_Stiffness!$C$75,Element_Stiffness!S100,IF(4=Element_Stiffness!$E$75,Element_Stiffness!Y100,0)),IF(Element_Stiffness!$E$75=1,IF(4=Element_Stiffness!$C$75,Element_Stiffness!S106,IF(4=Element_Stiffness!$E$75,Element_Stiffness!Y106,0)),0)),0)+IF(Element_Stiffness!$C$111,IF(Element_Stiffness!$C$110=1,IF(4=Element_Stiffness!$C$110,Element_Stiffness!S135,IF(4=Element_Stiffness!$E$110,Element_Stiffness!Y135,0)),IF(Element_Stiffness!$E$110=1,IF(4=Element_Stiffness!$C$110,Element_Stiffness!S141,IF(4=Element_Stiffness!$E$110,Element_Stiffness!Y141,0)),0)),0)+IF(Element_Stiffness!$C$146,IF(Element_Stiffness!$C$145=1,IF(4=Element_Stiffness!$C$145,Element_Stiffness!S170,IF(4=Element_Stiffness!$E$145,Element_Stiffness!Y170,0)),IF(Element_Stiffness!$E$145=1,IF(4=Element_Stiffness!$C$145,Element_Stiffness!S176,IF(4=Element_Stiffness!$E$145,Element_Stiffness!Y176,0)),0)),0)+IF(Element_Stiffness!$C$181,IF(Element_Stiffness!$C$180=1,IF(4=Element_Stiffness!$C$180,Element_Stiffness!S205,IF(4=Element_Stiffness!$E$180,Element_Stiffness!Y205,0)),IF(Element_Stiffness!$E$180=1,IF(4=Element_Stiffness!$C$180,Element_Stiffness!S211,IF(4=Element_Stiffness!$E$180,Element_Stiffness!Y211,0)),0)),0)+IF(Element_Stiffness!$C$216,IF(Element_Stiffness!$C$215=1,IF(4=Element_Stiffness!$C$215,Element_Stiffness!S240,IF(4=Element_Stiffness!$E$215,Element_Stiffness!Y240,0)),IF(Element_Stiffness!$E$215=1,IF(4=Element_Stiffness!$C$215,Element_Stiffness!S246,IF(4=Element_Stiffness!$E$215,Element_Stiffness!Y246,0)),0)),0)</f>
        <v/>
      </c>
      <c r="AE15" s="21">
        <f>IF(Element_Stiffness!$C$6,IF(Element_Stiffness!$C$5=1,IF(4=Element_Stiffness!$C$5,Element_Stiffness!T30,IF(4=Element_Stiffness!$E$5,Element_Stiffness!Z30,0)),IF(Element_Stiffness!$E$5=1,IF(4=Element_Stiffness!$C$5,Element_Stiffness!T36,IF(4=Element_Stiffness!$E$5,Element_Stiffness!Z36,0)),0)),0)+IF(Element_Stiffness!$C$41,IF(Element_Stiffness!$C$40=1,IF(4=Element_Stiffness!$C$40,Element_Stiffness!T65,IF(4=Element_Stiffness!$E$40,Element_Stiffness!Z65,0)),IF(Element_Stiffness!$E$40=1,IF(4=Element_Stiffness!$C$40,Element_Stiffness!T71,IF(4=Element_Stiffness!$E$40,Element_Stiffness!Z71,0)),0)),0)+IF(Element_Stiffness!$C$76,IF(Element_Stiffness!$C$75=1,IF(4=Element_Stiffness!$C$75,Element_Stiffness!T100,IF(4=Element_Stiffness!$E$75,Element_Stiffness!Z100,0)),IF(Element_Stiffness!$E$75=1,IF(4=Element_Stiffness!$C$75,Element_Stiffness!T106,IF(4=Element_Stiffness!$E$75,Element_Stiffness!Z106,0)),0)),0)+IF(Element_Stiffness!$C$111,IF(Element_Stiffness!$C$110=1,IF(4=Element_Stiffness!$C$110,Element_Stiffness!T135,IF(4=Element_Stiffness!$E$110,Element_Stiffness!Z135,0)),IF(Element_Stiffness!$E$110=1,IF(4=Element_Stiffness!$C$110,Element_Stiffness!T141,IF(4=Element_Stiffness!$E$110,Element_Stiffness!Z141,0)),0)),0)+IF(Element_Stiffness!$C$146,IF(Element_Stiffness!$C$145=1,IF(4=Element_Stiffness!$C$145,Element_Stiffness!T170,IF(4=Element_Stiffness!$E$145,Element_Stiffness!Z170,0)),IF(Element_Stiffness!$E$145=1,IF(4=Element_Stiffness!$C$145,Element_Stiffness!T176,IF(4=Element_Stiffness!$E$145,Element_Stiffness!Z176,0)),0)),0)+IF(Element_Stiffness!$C$181,IF(Element_Stiffness!$C$180=1,IF(4=Element_Stiffness!$C$180,Element_Stiffness!T205,IF(4=Element_Stiffness!$E$180,Element_Stiffness!Z205,0)),IF(Element_Stiffness!$E$180=1,IF(4=Element_Stiffness!$C$180,Element_Stiffness!T211,IF(4=Element_Stiffness!$E$180,Element_Stiffness!Z211,0)),0)),0)+IF(Element_Stiffness!$C$216,IF(Element_Stiffness!$C$215=1,IF(4=Element_Stiffness!$C$215,Element_Stiffness!T240,IF(4=Element_Stiffness!$E$215,Element_Stiffness!Z240,0)),IF(Element_Stiffness!$E$215=1,IF(4=Element_Stiffness!$C$215,Element_Stiffness!T246,IF(4=Element_Stiffness!$E$215,Element_Stiffness!Z246,0)),0)),0)</f>
        <v/>
      </c>
      <c r="AF15" s="21">
        <f>IF(Element_Stiffness!$C$6,IF(Element_Stiffness!$C$5=1,IF(4=Element_Stiffness!$C$5,Element_Stiffness!U30,IF(4=Element_Stiffness!$E$5,Element_Stiffness!AA30,0)),IF(Element_Stiffness!$E$5=1,IF(4=Element_Stiffness!$C$5,Element_Stiffness!U36,IF(4=Element_Stiffness!$E$5,Element_Stiffness!AA36,0)),0)),0)+IF(Element_Stiffness!$C$41,IF(Element_Stiffness!$C$40=1,IF(4=Element_Stiffness!$C$40,Element_Stiffness!U65,IF(4=Element_Stiffness!$E$40,Element_Stiffness!AA65,0)),IF(Element_Stiffness!$E$40=1,IF(4=Element_Stiffness!$C$40,Element_Stiffness!U71,IF(4=Element_Stiffness!$E$40,Element_Stiffness!AA71,0)),0)),0)+IF(Element_Stiffness!$C$76,IF(Element_Stiffness!$C$75=1,IF(4=Element_Stiffness!$C$75,Element_Stiffness!U100,IF(4=Element_Stiffness!$E$75,Element_Stiffness!AA100,0)),IF(Element_Stiffness!$E$75=1,IF(4=Element_Stiffness!$C$75,Element_Stiffness!U106,IF(4=Element_Stiffness!$E$75,Element_Stiffness!AA106,0)),0)),0)+IF(Element_Stiffness!$C$111,IF(Element_Stiffness!$C$110=1,IF(4=Element_Stiffness!$C$110,Element_Stiffness!U135,IF(4=Element_Stiffness!$E$110,Element_Stiffness!AA135,0)),IF(Element_Stiffness!$E$110=1,IF(4=Element_Stiffness!$C$110,Element_Stiffness!U141,IF(4=Element_Stiffness!$E$110,Element_Stiffness!AA141,0)),0)),0)+IF(Element_Stiffness!$C$146,IF(Element_Stiffness!$C$145=1,IF(4=Element_Stiffness!$C$145,Element_Stiffness!U170,IF(4=Element_Stiffness!$E$145,Element_Stiffness!AA170,0)),IF(Element_Stiffness!$E$145=1,IF(4=Element_Stiffness!$C$145,Element_Stiffness!U176,IF(4=Element_Stiffness!$E$145,Element_Stiffness!AA176,0)),0)),0)+IF(Element_Stiffness!$C$181,IF(Element_Stiffness!$C$180=1,IF(4=Element_Stiffness!$C$180,Element_Stiffness!U205,IF(4=Element_Stiffness!$E$180,Element_Stiffness!AA205,0)),IF(Element_Stiffness!$E$180=1,IF(4=Element_Stiffness!$C$180,Element_Stiffness!U211,IF(4=Element_Stiffness!$E$180,Element_Stiffness!AA211,0)),0)),0)+IF(Element_Stiffness!$C$216,IF(Element_Stiffness!$C$215=1,IF(4=Element_Stiffness!$C$215,Element_Stiffness!U240,IF(4=Element_Stiffness!$E$215,Element_Stiffness!AA240,0)),IF(Element_Stiffness!$E$215=1,IF(4=Element_Stiffness!$C$215,Element_Stiffness!U246,IF(4=Element_Stiffness!$E$215,Element_Stiffness!AA246,0)),0)),0)</f>
        <v/>
      </c>
      <c r="AG15" s="21">
        <f>IF(Element_Stiffness!$C$6,IF(Element_Stiffness!$C$5=1,IF(5=Element_Stiffness!$C$5,Element_Stiffness!P30,IF(5=Element_Stiffness!$E$5,Element_Stiffness!V30,0)),IF(Element_Stiffness!$E$5=1,IF(5=Element_Stiffness!$C$5,Element_Stiffness!P36,IF(5=Element_Stiffness!$E$5,Element_Stiffness!V36,0)),0)),0)+IF(Element_Stiffness!$C$41,IF(Element_Stiffness!$C$40=1,IF(5=Element_Stiffness!$C$40,Element_Stiffness!P65,IF(5=Element_Stiffness!$E$40,Element_Stiffness!V65,0)),IF(Element_Stiffness!$E$40=1,IF(5=Element_Stiffness!$C$40,Element_Stiffness!P71,IF(5=Element_Stiffness!$E$40,Element_Stiffness!V71,0)),0)),0)+IF(Element_Stiffness!$C$76,IF(Element_Stiffness!$C$75=1,IF(5=Element_Stiffness!$C$75,Element_Stiffness!P100,IF(5=Element_Stiffness!$E$75,Element_Stiffness!V100,0)),IF(Element_Stiffness!$E$75=1,IF(5=Element_Stiffness!$C$75,Element_Stiffness!P106,IF(5=Element_Stiffness!$E$75,Element_Stiffness!V106,0)),0)),0)+IF(Element_Stiffness!$C$111,IF(Element_Stiffness!$C$110=1,IF(5=Element_Stiffness!$C$110,Element_Stiffness!P135,IF(5=Element_Stiffness!$E$110,Element_Stiffness!V135,0)),IF(Element_Stiffness!$E$110=1,IF(5=Element_Stiffness!$C$110,Element_Stiffness!P141,IF(5=Element_Stiffness!$E$110,Element_Stiffness!V141,0)),0)),0)+IF(Element_Stiffness!$C$146,IF(Element_Stiffness!$C$145=1,IF(5=Element_Stiffness!$C$145,Element_Stiffness!P170,IF(5=Element_Stiffness!$E$145,Element_Stiffness!V170,0)),IF(Element_Stiffness!$E$145=1,IF(5=Element_Stiffness!$C$145,Element_Stiffness!P176,IF(5=Element_Stiffness!$E$145,Element_Stiffness!V176,0)),0)),0)+IF(Element_Stiffness!$C$181,IF(Element_Stiffness!$C$180=1,IF(5=Element_Stiffness!$C$180,Element_Stiffness!P205,IF(5=Element_Stiffness!$E$180,Element_Stiffness!V205,0)),IF(Element_Stiffness!$E$180=1,IF(5=Element_Stiffness!$C$180,Element_Stiffness!P211,IF(5=Element_Stiffness!$E$180,Element_Stiffness!V211,0)),0)),0)+IF(Element_Stiffness!$C$216,IF(Element_Stiffness!$C$215=1,IF(5=Element_Stiffness!$C$215,Element_Stiffness!P240,IF(5=Element_Stiffness!$E$215,Element_Stiffness!V240,0)),IF(Element_Stiffness!$E$215=1,IF(5=Element_Stiffness!$C$215,Element_Stiffness!P246,IF(5=Element_Stiffness!$E$215,Element_Stiffness!V246,0)),0)),0)</f>
        <v/>
      </c>
      <c r="AH15" s="21">
        <f>IF(Element_Stiffness!$C$6,IF(Element_Stiffness!$C$5=1,IF(5=Element_Stiffness!$C$5,Element_Stiffness!Q30,IF(5=Element_Stiffness!$E$5,Element_Stiffness!W30,0)),IF(Element_Stiffness!$E$5=1,IF(5=Element_Stiffness!$C$5,Element_Stiffness!Q36,IF(5=Element_Stiffness!$E$5,Element_Stiffness!W36,0)),0)),0)+IF(Element_Stiffness!$C$41,IF(Element_Stiffness!$C$40=1,IF(5=Element_Stiffness!$C$40,Element_Stiffness!Q65,IF(5=Element_Stiffness!$E$40,Element_Stiffness!W65,0)),IF(Element_Stiffness!$E$40=1,IF(5=Element_Stiffness!$C$40,Element_Stiffness!Q71,IF(5=Element_Stiffness!$E$40,Element_Stiffness!W71,0)),0)),0)+IF(Element_Stiffness!$C$76,IF(Element_Stiffness!$C$75=1,IF(5=Element_Stiffness!$C$75,Element_Stiffness!Q100,IF(5=Element_Stiffness!$E$75,Element_Stiffness!W100,0)),IF(Element_Stiffness!$E$75=1,IF(5=Element_Stiffness!$C$75,Element_Stiffness!Q106,IF(5=Element_Stiffness!$E$75,Element_Stiffness!W106,0)),0)),0)+IF(Element_Stiffness!$C$111,IF(Element_Stiffness!$C$110=1,IF(5=Element_Stiffness!$C$110,Element_Stiffness!Q135,IF(5=Element_Stiffness!$E$110,Element_Stiffness!W135,0)),IF(Element_Stiffness!$E$110=1,IF(5=Element_Stiffness!$C$110,Element_Stiffness!Q141,IF(5=Element_Stiffness!$E$110,Element_Stiffness!W141,0)),0)),0)+IF(Element_Stiffness!$C$146,IF(Element_Stiffness!$C$145=1,IF(5=Element_Stiffness!$C$145,Element_Stiffness!Q170,IF(5=Element_Stiffness!$E$145,Element_Stiffness!W170,0)),IF(Element_Stiffness!$E$145=1,IF(5=Element_Stiffness!$C$145,Element_Stiffness!Q176,IF(5=Element_Stiffness!$E$145,Element_Stiffness!W176,0)),0)),0)+IF(Element_Stiffness!$C$181,IF(Element_Stiffness!$C$180=1,IF(5=Element_Stiffness!$C$180,Element_Stiffness!Q205,IF(5=Element_Stiffness!$E$180,Element_Stiffness!W205,0)),IF(Element_Stiffness!$E$180=1,IF(5=Element_Stiffness!$C$180,Element_Stiffness!Q211,IF(5=Element_Stiffness!$E$180,Element_Stiffness!W211,0)),0)),0)+IF(Element_Stiffness!$C$216,IF(Element_Stiffness!$C$215=1,IF(5=Element_Stiffness!$C$215,Element_Stiffness!Q240,IF(5=Element_Stiffness!$E$215,Element_Stiffness!W240,0)),IF(Element_Stiffness!$E$215=1,IF(5=Element_Stiffness!$C$215,Element_Stiffness!Q246,IF(5=Element_Stiffness!$E$215,Element_Stiffness!W246,0)),0)),0)</f>
        <v/>
      </c>
      <c r="AI15" s="21">
        <f>IF(Element_Stiffness!$C$6,IF(Element_Stiffness!$C$5=1,IF(5=Element_Stiffness!$C$5,Element_Stiffness!R30,IF(5=Element_Stiffness!$E$5,Element_Stiffness!X30,0)),IF(Element_Stiffness!$E$5=1,IF(5=Element_Stiffness!$C$5,Element_Stiffness!R36,IF(5=Element_Stiffness!$E$5,Element_Stiffness!X36,0)),0)),0)+IF(Element_Stiffness!$C$41,IF(Element_Stiffness!$C$40=1,IF(5=Element_Stiffness!$C$40,Element_Stiffness!R65,IF(5=Element_Stiffness!$E$40,Element_Stiffness!X65,0)),IF(Element_Stiffness!$E$40=1,IF(5=Element_Stiffness!$C$40,Element_Stiffness!R71,IF(5=Element_Stiffness!$E$40,Element_Stiffness!X71,0)),0)),0)+IF(Element_Stiffness!$C$76,IF(Element_Stiffness!$C$75=1,IF(5=Element_Stiffness!$C$75,Element_Stiffness!R100,IF(5=Element_Stiffness!$E$75,Element_Stiffness!X100,0)),IF(Element_Stiffness!$E$75=1,IF(5=Element_Stiffness!$C$75,Element_Stiffness!R106,IF(5=Element_Stiffness!$E$75,Element_Stiffness!X106,0)),0)),0)+IF(Element_Stiffness!$C$111,IF(Element_Stiffness!$C$110=1,IF(5=Element_Stiffness!$C$110,Element_Stiffness!R135,IF(5=Element_Stiffness!$E$110,Element_Stiffness!X135,0)),IF(Element_Stiffness!$E$110=1,IF(5=Element_Stiffness!$C$110,Element_Stiffness!R141,IF(5=Element_Stiffness!$E$110,Element_Stiffness!X141,0)),0)),0)+IF(Element_Stiffness!$C$146,IF(Element_Stiffness!$C$145=1,IF(5=Element_Stiffness!$C$145,Element_Stiffness!R170,IF(5=Element_Stiffness!$E$145,Element_Stiffness!X170,0)),IF(Element_Stiffness!$E$145=1,IF(5=Element_Stiffness!$C$145,Element_Stiffness!R176,IF(5=Element_Stiffness!$E$145,Element_Stiffness!X176,0)),0)),0)+IF(Element_Stiffness!$C$181,IF(Element_Stiffness!$C$180=1,IF(5=Element_Stiffness!$C$180,Element_Stiffness!R205,IF(5=Element_Stiffness!$E$180,Element_Stiffness!X205,0)),IF(Element_Stiffness!$E$180=1,IF(5=Element_Stiffness!$C$180,Element_Stiffness!R211,IF(5=Element_Stiffness!$E$180,Element_Stiffness!X211,0)),0)),0)+IF(Element_Stiffness!$C$216,IF(Element_Stiffness!$C$215=1,IF(5=Element_Stiffness!$C$215,Element_Stiffness!R240,IF(5=Element_Stiffness!$E$215,Element_Stiffness!X240,0)),IF(Element_Stiffness!$E$215=1,IF(5=Element_Stiffness!$C$215,Element_Stiffness!R246,IF(5=Element_Stiffness!$E$215,Element_Stiffness!X246,0)),0)),0)</f>
        <v/>
      </c>
      <c r="AJ15" s="21">
        <f>IF(Element_Stiffness!$C$6,IF(Element_Stiffness!$C$5=1,IF(5=Element_Stiffness!$C$5,Element_Stiffness!S30,IF(5=Element_Stiffness!$E$5,Element_Stiffness!Y30,0)),IF(Element_Stiffness!$E$5=1,IF(5=Element_Stiffness!$C$5,Element_Stiffness!S36,IF(5=Element_Stiffness!$E$5,Element_Stiffness!Y36,0)),0)),0)+IF(Element_Stiffness!$C$41,IF(Element_Stiffness!$C$40=1,IF(5=Element_Stiffness!$C$40,Element_Stiffness!S65,IF(5=Element_Stiffness!$E$40,Element_Stiffness!Y65,0)),IF(Element_Stiffness!$E$40=1,IF(5=Element_Stiffness!$C$40,Element_Stiffness!S71,IF(5=Element_Stiffness!$E$40,Element_Stiffness!Y71,0)),0)),0)+IF(Element_Stiffness!$C$76,IF(Element_Stiffness!$C$75=1,IF(5=Element_Stiffness!$C$75,Element_Stiffness!S100,IF(5=Element_Stiffness!$E$75,Element_Stiffness!Y100,0)),IF(Element_Stiffness!$E$75=1,IF(5=Element_Stiffness!$C$75,Element_Stiffness!S106,IF(5=Element_Stiffness!$E$75,Element_Stiffness!Y106,0)),0)),0)+IF(Element_Stiffness!$C$111,IF(Element_Stiffness!$C$110=1,IF(5=Element_Stiffness!$C$110,Element_Stiffness!S135,IF(5=Element_Stiffness!$E$110,Element_Stiffness!Y135,0)),IF(Element_Stiffness!$E$110=1,IF(5=Element_Stiffness!$C$110,Element_Stiffness!S141,IF(5=Element_Stiffness!$E$110,Element_Stiffness!Y141,0)),0)),0)+IF(Element_Stiffness!$C$146,IF(Element_Stiffness!$C$145=1,IF(5=Element_Stiffness!$C$145,Element_Stiffness!S170,IF(5=Element_Stiffness!$E$145,Element_Stiffness!Y170,0)),IF(Element_Stiffness!$E$145=1,IF(5=Element_Stiffness!$C$145,Element_Stiffness!S176,IF(5=Element_Stiffness!$E$145,Element_Stiffness!Y176,0)),0)),0)+IF(Element_Stiffness!$C$181,IF(Element_Stiffness!$C$180=1,IF(5=Element_Stiffness!$C$180,Element_Stiffness!S205,IF(5=Element_Stiffness!$E$180,Element_Stiffness!Y205,0)),IF(Element_Stiffness!$E$180=1,IF(5=Element_Stiffness!$C$180,Element_Stiffness!S211,IF(5=Element_Stiffness!$E$180,Element_Stiffness!Y211,0)),0)),0)+IF(Element_Stiffness!$C$216,IF(Element_Stiffness!$C$215=1,IF(5=Element_Stiffness!$C$215,Element_Stiffness!S240,IF(5=Element_Stiffness!$E$215,Element_Stiffness!Y240,0)),IF(Element_Stiffness!$E$215=1,IF(5=Element_Stiffness!$C$215,Element_Stiffness!S246,IF(5=Element_Stiffness!$E$215,Element_Stiffness!Y246,0)),0)),0)</f>
        <v/>
      </c>
      <c r="AK15" s="21">
        <f>IF(Element_Stiffness!$C$6,IF(Element_Stiffness!$C$5=1,IF(5=Element_Stiffness!$C$5,Element_Stiffness!T30,IF(5=Element_Stiffness!$E$5,Element_Stiffness!Z30,0)),IF(Element_Stiffness!$E$5=1,IF(5=Element_Stiffness!$C$5,Element_Stiffness!T36,IF(5=Element_Stiffness!$E$5,Element_Stiffness!Z36,0)),0)),0)+IF(Element_Stiffness!$C$41,IF(Element_Stiffness!$C$40=1,IF(5=Element_Stiffness!$C$40,Element_Stiffness!T65,IF(5=Element_Stiffness!$E$40,Element_Stiffness!Z65,0)),IF(Element_Stiffness!$E$40=1,IF(5=Element_Stiffness!$C$40,Element_Stiffness!T71,IF(5=Element_Stiffness!$E$40,Element_Stiffness!Z71,0)),0)),0)+IF(Element_Stiffness!$C$76,IF(Element_Stiffness!$C$75=1,IF(5=Element_Stiffness!$C$75,Element_Stiffness!T100,IF(5=Element_Stiffness!$E$75,Element_Stiffness!Z100,0)),IF(Element_Stiffness!$E$75=1,IF(5=Element_Stiffness!$C$75,Element_Stiffness!T106,IF(5=Element_Stiffness!$E$75,Element_Stiffness!Z106,0)),0)),0)+IF(Element_Stiffness!$C$111,IF(Element_Stiffness!$C$110=1,IF(5=Element_Stiffness!$C$110,Element_Stiffness!T135,IF(5=Element_Stiffness!$E$110,Element_Stiffness!Z135,0)),IF(Element_Stiffness!$E$110=1,IF(5=Element_Stiffness!$C$110,Element_Stiffness!T141,IF(5=Element_Stiffness!$E$110,Element_Stiffness!Z141,0)),0)),0)+IF(Element_Stiffness!$C$146,IF(Element_Stiffness!$C$145=1,IF(5=Element_Stiffness!$C$145,Element_Stiffness!T170,IF(5=Element_Stiffness!$E$145,Element_Stiffness!Z170,0)),IF(Element_Stiffness!$E$145=1,IF(5=Element_Stiffness!$C$145,Element_Stiffness!T176,IF(5=Element_Stiffness!$E$145,Element_Stiffness!Z176,0)),0)),0)+IF(Element_Stiffness!$C$181,IF(Element_Stiffness!$C$180=1,IF(5=Element_Stiffness!$C$180,Element_Stiffness!T205,IF(5=Element_Stiffness!$E$180,Element_Stiffness!Z205,0)),IF(Element_Stiffness!$E$180=1,IF(5=Element_Stiffness!$C$180,Element_Stiffness!T211,IF(5=Element_Stiffness!$E$180,Element_Stiffness!Z211,0)),0)),0)+IF(Element_Stiffness!$C$216,IF(Element_Stiffness!$C$215=1,IF(5=Element_Stiffness!$C$215,Element_Stiffness!T240,IF(5=Element_Stiffness!$E$215,Element_Stiffness!Z240,0)),IF(Element_Stiffness!$E$215=1,IF(5=Element_Stiffness!$C$215,Element_Stiffness!T246,IF(5=Element_Stiffness!$E$215,Element_Stiffness!Z246,0)),0)),0)</f>
        <v/>
      </c>
      <c r="AL15" s="21">
        <f>IF(Element_Stiffness!$C$6,IF(Element_Stiffness!$C$5=1,IF(5=Element_Stiffness!$C$5,Element_Stiffness!U30,IF(5=Element_Stiffness!$E$5,Element_Stiffness!AA30,0)),IF(Element_Stiffness!$E$5=1,IF(5=Element_Stiffness!$C$5,Element_Stiffness!U36,IF(5=Element_Stiffness!$E$5,Element_Stiffness!AA36,0)),0)),0)+IF(Element_Stiffness!$C$41,IF(Element_Stiffness!$C$40=1,IF(5=Element_Stiffness!$C$40,Element_Stiffness!U65,IF(5=Element_Stiffness!$E$40,Element_Stiffness!AA65,0)),IF(Element_Stiffness!$E$40=1,IF(5=Element_Stiffness!$C$40,Element_Stiffness!U71,IF(5=Element_Stiffness!$E$40,Element_Stiffness!AA71,0)),0)),0)+IF(Element_Stiffness!$C$76,IF(Element_Stiffness!$C$75=1,IF(5=Element_Stiffness!$C$75,Element_Stiffness!U100,IF(5=Element_Stiffness!$E$75,Element_Stiffness!AA100,0)),IF(Element_Stiffness!$E$75=1,IF(5=Element_Stiffness!$C$75,Element_Stiffness!U106,IF(5=Element_Stiffness!$E$75,Element_Stiffness!AA106,0)),0)),0)+IF(Element_Stiffness!$C$111,IF(Element_Stiffness!$C$110=1,IF(5=Element_Stiffness!$C$110,Element_Stiffness!U135,IF(5=Element_Stiffness!$E$110,Element_Stiffness!AA135,0)),IF(Element_Stiffness!$E$110=1,IF(5=Element_Stiffness!$C$110,Element_Stiffness!U141,IF(5=Element_Stiffness!$E$110,Element_Stiffness!AA141,0)),0)),0)+IF(Element_Stiffness!$C$146,IF(Element_Stiffness!$C$145=1,IF(5=Element_Stiffness!$C$145,Element_Stiffness!U170,IF(5=Element_Stiffness!$E$145,Element_Stiffness!AA170,0)),IF(Element_Stiffness!$E$145=1,IF(5=Element_Stiffness!$C$145,Element_Stiffness!U176,IF(5=Element_Stiffness!$E$145,Element_Stiffness!AA176,0)),0)),0)+IF(Element_Stiffness!$C$181,IF(Element_Stiffness!$C$180=1,IF(5=Element_Stiffness!$C$180,Element_Stiffness!U205,IF(5=Element_Stiffness!$E$180,Element_Stiffness!AA205,0)),IF(Element_Stiffness!$E$180=1,IF(5=Element_Stiffness!$C$180,Element_Stiffness!U211,IF(5=Element_Stiffness!$E$180,Element_Stiffness!AA211,0)),0)),0)+IF(Element_Stiffness!$C$216,IF(Element_Stiffness!$C$215=1,IF(5=Element_Stiffness!$C$215,Element_Stiffness!U240,IF(5=Element_Stiffness!$E$215,Element_Stiffness!AA240,0)),IF(Element_Stiffness!$E$215=1,IF(5=Element_Stiffness!$C$215,Element_Stiffness!U246,IF(5=Element_Stiffness!$E$215,Element_Stiffness!AA246,0)),0)),0)</f>
        <v/>
      </c>
      <c r="AM15" s="21">
        <f>IF(Element_Stiffness!$C$6,IF(Element_Stiffness!$C$5=1,IF(6=Element_Stiffness!$C$5,Element_Stiffness!P30,IF(6=Element_Stiffness!$E$5,Element_Stiffness!V30,0)),IF(Element_Stiffness!$E$5=1,IF(6=Element_Stiffness!$C$5,Element_Stiffness!P36,IF(6=Element_Stiffness!$E$5,Element_Stiffness!V36,0)),0)),0)+IF(Element_Stiffness!$C$41,IF(Element_Stiffness!$C$40=1,IF(6=Element_Stiffness!$C$40,Element_Stiffness!P65,IF(6=Element_Stiffness!$E$40,Element_Stiffness!V65,0)),IF(Element_Stiffness!$E$40=1,IF(6=Element_Stiffness!$C$40,Element_Stiffness!P71,IF(6=Element_Stiffness!$E$40,Element_Stiffness!V71,0)),0)),0)+IF(Element_Stiffness!$C$76,IF(Element_Stiffness!$C$75=1,IF(6=Element_Stiffness!$C$75,Element_Stiffness!P100,IF(6=Element_Stiffness!$E$75,Element_Stiffness!V100,0)),IF(Element_Stiffness!$E$75=1,IF(6=Element_Stiffness!$C$75,Element_Stiffness!P106,IF(6=Element_Stiffness!$E$75,Element_Stiffness!V106,0)),0)),0)+IF(Element_Stiffness!$C$111,IF(Element_Stiffness!$C$110=1,IF(6=Element_Stiffness!$C$110,Element_Stiffness!P135,IF(6=Element_Stiffness!$E$110,Element_Stiffness!V135,0)),IF(Element_Stiffness!$E$110=1,IF(6=Element_Stiffness!$C$110,Element_Stiffness!P141,IF(6=Element_Stiffness!$E$110,Element_Stiffness!V141,0)),0)),0)+IF(Element_Stiffness!$C$146,IF(Element_Stiffness!$C$145=1,IF(6=Element_Stiffness!$C$145,Element_Stiffness!P170,IF(6=Element_Stiffness!$E$145,Element_Stiffness!V170,0)),IF(Element_Stiffness!$E$145=1,IF(6=Element_Stiffness!$C$145,Element_Stiffness!P176,IF(6=Element_Stiffness!$E$145,Element_Stiffness!V176,0)),0)),0)+IF(Element_Stiffness!$C$181,IF(Element_Stiffness!$C$180=1,IF(6=Element_Stiffness!$C$180,Element_Stiffness!P205,IF(6=Element_Stiffness!$E$180,Element_Stiffness!V205,0)),IF(Element_Stiffness!$E$180=1,IF(6=Element_Stiffness!$C$180,Element_Stiffness!P211,IF(6=Element_Stiffness!$E$180,Element_Stiffness!V211,0)),0)),0)+IF(Element_Stiffness!$C$216,IF(Element_Stiffness!$C$215=1,IF(6=Element_Stiffness!$C$215,Element_Stiffness!P240,IF(6=Element_Stiffness!$E$215,Element_Stiffness!V240,0)),IF(Element_Stiffness!$E$215=1,IF(6=Element_Stiffness!$C$215,Element_Stiffness!P246,IF(6=Element_Stiffness!$E$215,Element_Stiffness!V246,0)),0)),0)</f>
        <v/>
      </c>
      <c r="AN15" s="21">
        <f>IF(Element_Stiffness!$C$6,IF(Element_Stiffness!$C$5=1,IF(6=Element_Stiffness!$C$5,Element_Stiffness!Q30,IF(6=Element_Stiffness!$E$5,Element_Stiffness!W30,0)),IF(Element_Stiffness!$E$5=1,IF(6=Element_Stiffness!$C$5,Element_Stiffness!Q36,IF(6=Element_Stiffness!$E$5,Element_Stiffness!W36,0)),0)),0)+IF(Element_Stiffness!$C$41,IF(Element_Stiffness!$C$40=1,IF(6=Element_Stiffness!$C$40,Element_Stiffness!Q65,IF(6=Element_Stiffness!$E$40,Element_Stiffness!W65,0)),IF(Element_Stiffness!$E$40=1,IF(6=Element_Stiffness!$C$40,Element_Stiffness!Q71,IF(6=Element_Stiffness!$E$40,Element_Stiffness!W71,0)),0)),0)+IF(Element_Stiffness!$C$76,IF(Element_Stiffness!$C$75=1,IF(6=Element_Stiffness!$C$75,Element_Stiffness!Q100,IF(6=Element_Stiffness!$E$75,Element_Stiffness!W100,0)),IF(Element_Stiffness!$E$75=1,IF(6=Element_Stiffness!$C$75,Element_Stiffness!Q106,IF(6=Element_Stiffness!$E$75,Element_Stiffness!W106,0)),0)),0)+IF(Element_Stiffness!$C$111,IF(Element_Stiffness!$C$110=1,IF(6=Element_Stiffness!$C$110,Element_Stiffness!Q135,IF(6=Element_Stiffness!$E$110,Element_Stiffness!W135,0)),IF(Element_Stiffness!$E$110=1,IF(6=Element_Stiffness!$C$110,Element_Stiffness!Q141,IF(6=Element_Stiffness!$E$110,Element_Stiffness!W141,0)),0)),0)+IF(Element_Stiffness!$C$146,IF(Element_Stiffness!$C$145=1,IF(6=Element_Stiffness!$C$145,Element_Stiffness!Q170,IF(6=Element_Stiffness!$E$145,Element_Stiffness!W170,0)),IF(Element_Stiffness!$E$145=1,IF(6=Element_Stiffness!$C$145,Element_Stiffness!Q176,IF(6=Element_Stiffness!$E$145,Element_Stiffness!W176,0)),0)),0)+IF(Element_Stiffness!$C$181,IF(Element_Stiffness!$C$180=1,IF(6=Element_Stiffness!$C$180,Element_Stiffness!Q205,IF(6=Element_Stiffness!$E$180,Element_Stiffness!W205,0)),IF(Element_Stiffness!$E$180=1,IF(6=Element_Stiffness!$C$180,Element_Stiffness!Q211,IF(6=Element_Stiffness!$E$180,Element_Stiffness!W211,0)),0)),0)+IF(Element_Stiffness!$C$216,IF(Element_Stiffness!$C$215=1,IF(6=Element_Stiffness!$C$215,Element_Stiffness!Q240,IF(6=Element_Stiffness!$E$215,Element_Stiffness!W240,0)),IF(Element_Stiffness!$E$215=1,IF(6=Element_Stiffness!$C$215,Element_Stiffness!Q246,IF(6=Element_Stiffness!$E$215,Element_Stiffness!W246,0)),0)),0)</f>
        <v/>
      </c>
      <c r="AO15" s="21">
        <f>IF(Element_Stiffness!$C$6,IF(Element_Stiffness!$C$5=1,IF(6=Element_Stiffness!$C$5,Element_Stiffness!R30,IF(6=Element_Stiffness!$E$5,Element_Stiffness!X30,0)),IF(Element_Stiffness!$E$5=1,IF(6=Element_Stiffness!$C$5,Element_Stiffness!R36,IF(6=Element_Stiffness!$E$5,Element_Stiffness!X36,0)),0)),0)+IF(Element_Stiffness!$C$41,IF(Element_Stiffness!$C$40=1,IF(6=Element_Stiffness!$C$40,Element_Stiffness!R65,IF(6=Element_Stiffness!$E$40,Element_Stiffness!X65,0)),IF(Element_Stiffness!$E$40=1,IF(6=Element_Stiffness!$C$40,Element_Stiffness!R71,IF(6=Element_Stiffness!$E$40,Element_Stiffness!X71,0)),0)),0)+IF(Element_Stiffness!$C$76,IF(Element_Stiffness!$C$75=1,IF(6=Element_Stiffness!$C$75,Element_Stiffness!R100,IF(6=Element_Stiffness!$E$75,Element_Stiffness!X100,0)),IF(Element_Stiffness!$E$75=1,IF(6=Element_Stiffness!$C$75,Element_Stiffness!R106,IF(6=Element_Stiffness!$E$75,Element_Stiffness!X106,0)),0)),0)+IF(Element_Stiffness!$C$111,IF(Element_Stiffness!$C$110=1,IF(6=Element_Stiffness!$C$110,Element_Stiffness!R135,IF(6=Element_Stiffness!$E$110,Element_Stiffness!X135,0)),IF(Element_Stiffness!$E$110=1,IF(6=Element_Stiffness!$C$110,Element_Stiffness!R141,IF(6=Element_Stiffness!$E$110,Element_Stiffness!X141,0)),0)),0)+IF(Element_Stiffness!$C$146,IF(Element_Stiffness!$C$145=1,IF(6=Element_Stiffness!$C$145,Element_Stiffness!R170,IF(6=Element_Stiffness!$E$145,Element_Stiffness!X170,0)),IF(Element_Stiffness!$E$145=1,IF(6=Element_Stiffness!$C$145,Element_Stiffness!R176,IF(6=Element_Stiffness!$E$145,Element_Stiffness!X176,0)),0)),0)+IF(Element_Stiffness!$C$181,IF(Element_Stiffness!$C$180=1,IF(6=Element_Stiffness!$C$180,Element_Stiffness!R205,IF(6=Element_Stiffness!$E$180,Element_Stiffness!X205,0)),IF(Element_Stiffness!$E$180=1,IF(6=Element_Stiffness!$C$180,Element_Stiffness!R211,IF(6=Element_Stiffness!$E$180,Element_Stiffness!X211,0)),0)),0)+IF(Element_Stiffness!$C$216,IF(Element_Stiffness!$C$215=1,IF(6=Element_Stiffness!$C$215,Element_Stiffness!R240,IF(6=Element_Stiffness!$E$215,Element_Stiffness!X240,0)),IF(Element_Stiffness!$E$215=1,IF(6=Element_Stiffness!$C$215,Element_Stiffness!R246,IF(6=Element_Stiffness!$E$215,Element_Stiffness!X246,0)),0)),0)</f>
        <v/>
      </c>
      <c r="AP15" s="21">
        <f>IF(Element_Stiffness!$C$6,IF(Element_Stiffness!$C$5=1,IF(6=Element_Stiffness!$C$5,Element_Stiffness!S30,IF(6=Element_Stiffness!$E$5,Element_Stiffness!Y30,0)),IF(Element_Stiffness!$E$5=1,IF(6=Element_Stiffness!$C$5,Element_Stiffness!S36,IF(6=Element_Stiffness!$E$5,Element_Stiffness!Y36,0)),0)),0)+IF(Element_Stiffness!$C$41,IF(Element_Stiffness!$C$40=1,IF(6=Element_Stiffness!$C$40,Element_Stiffness!S65,IF(6=Element_Stiffness!$E$40,Element_Stiffness!Y65,0)),IF(Element_Stiffness!$E$40=1,IF(6=Element_Stiffness!$C$40,Element_Stiffness!S71,IF(6=Element_Stiffness!$E$40,Element_Stiffness!Y71,0)),0)),0)+IF(Element_Stiffness!$C$76,IF(Element_Stiffness!$C$75=1,IF(6=Element_Stiffness!$C$75,Element_Stiffness!S100,IF(6=Element_Stiffness!$E$75,Element_Stiffness!Y100,0)),IF(Element_Stiffness!$E$75=1,IF(6=Element_Stiffness!$C$75,Element_Stiffness!S106,IF(6=Element_Stiffness!$E$75,Element_Stiffness!Y106,0)),0)),0)+IF(Element_Stiffness!$C$111,IF(Element_Stiffness!$C$110=1,IF(6=Element_Stiffness!$C$110,Element_Stiffness!S135,IF(6=Element_Stiffness!$E$110,Element_Stiffness!Y135,0)),IF(Element_Stiffness!$E$110=1,IF(6=Element_Stiffness!$C$110,Element_Stiffness!S141,IF(6=Element_Stiffness!$E$110,Element_Stiffness!Y141,0)),0)),0)+IF(Element_Stiffness!$C$146,IF(Element_Stiffness!$C$145=1,IF(6=Element_Stiffness!$C$145,Element_Stiffness!S170,IF(6=Element_Stiffness!$E$145,Element_Stiffness!Y170,0)),IF(Element_Stiffness!$E$145=1,IF(6=Element_Stiffness!$C$145,Element_Stiffness!S176,IF(6=Element_Stiffness!$E$145,Element_Stiffness!Y176,0)),0)),0)+IF(Element_Stiffness!$C$181,IF(Element_Stiffness!$C$180=1,IF(6=Element_Stiffness!$C$180,Element_Stiffness!S205,IF(6=Element_Stiffness!$E$180,Element_Stiffness!Y205,0)),IF(Element_Stiffness!$E$180=1,IF(6=Element_Stiffness!$C$180,Element_Stiffness!S211,IF(6=Element_Stiffness!$E$180,Element_Stiffness!Y211,0)),0)),0)+IF(Element_Stiffness!$C$216,IF(Element_Stiffness!$C$215=1,IF(6=Element_Stiffness!$C$215,Element_Stiffness!S240,IF(6=Element_Stiffness!$E$215,Element_Stiffness!Y240,0)),IF(Element_Stiffness!$E$215=1,IF(6=Element_Stiffness!$C$215,Element_Stiffness!S246,IF(6=Element_Stiffness!$E$215,Element_Stiffness!Y246,0)),0)),0)</f>
        <v/>
      </c>
      <c r="AQ15" s="21">
        <f>IF(Element_Stiffness!$C$6,IF(Element_Stiffness!$C$5=1,IF(6=Element_Stiffness!$C$5,Element_Stiffness!T30,IF(6=Element_Stiffness!$E$5,Element_Stiffness!Z30,0)),IF(Element_Stiffness!$E$5=1,IF(6=Element_Stiffness!$C$5,Element_Stiffness!T36,IF(6=Element_Stiffness!$E$5,Element_Stiffness!Z36,0)),0)),0)+IF(Element_Stiffness!$C$41,IF(Element_Stiffness!$C$40=1,IF(6=Element_Stiffness!$C$40,Element_Stiffness!T65,IF(6=Element_Stiffness!$E$40,Element_Stiffness!Z65,0)),IF(Element_Stiffness!$E$40=1,IF(6=Element_Stiffness!$C$40,Element_Stiffness!T71,IF(6=Element_Stiffness!$E$40,Element_Stiffness!Z71,0)),0)),0)+IF(Element_Stiffness!$C$76,IF(Element_Stiffness!$C$75=1,IF(6=Element_Stiffness!$C$75,Element_Stiffness!T100,IF(6=Element_Stiffness!$E$75,Element_Stiffness!Z100,0)),IF(Element_Stiffness!$E$75=1,IF(6=Element_Stiffness!$C$75,Element_Stiffness!T106,IF(6=Element_Stiffness!$E$75,Element_Stiffness!Z106,0)),0)),0)+IF(Element_Stiffness!$C$111,IF(Element_Stiffness!$C$110=1,IF(6=Element_Stiffness!$C$110,Element_Stiffness!T135,IF(6=Element_Stiffness!$E$110,Element_Stiffness!Z135,0)),IF(Element_Stiffness!$E$110=1,IF(6=Element_Stiffness!$C$110,Element_Stiffness!T141,IF(6=Element_Stiffness!$E$110,Element_Stiffness!Z141,0)),0)),0)+IF(Element_Stiffness!$C$146,IF(Element_Stiffness!$C$145=1,IF(6=Element_Stiffness!$C$145,Element_Stiffness!T170,IF(6=Element_Stiffness!$E$145,Element_Stiffness!Z170,0)),IF(Element_Stiffness!$E$145=1,IF(6=Element_Stiffness!$C$145,Element_Stiffness!T176,IF(6=Element_Stiffness!$E$145,Element_Stiffness!Z176,0)),0)),0)+IF(Element_Stiffness!$C$181,IF(Element_Stiffness!$C$180=1,IF(6=Element_Stiffness!$C$180,Element_Stiffness!T205,IF(6=Element_Stiffness!$E$180,Element_Stiffness!Z205,0)),IF(Element_Stiffness!$E$180=1,IF(6=Element_Stiffness!$C$180,Element_Stiffness!T211,IF(6=Element_Stiffness!$E$180,Element_Stiffness!Z211,0)),0)),0)+IF(Element_Stiffness!$C$216,IF(Element_Stiffness!$C$215=1,IF(6=Element_Stiffness!$C$215,Element_Stiffness!T240,IF(6=Element_Stiffness!$E$215,Element_Stiffness!Z240,0)),IF(Element_Stiffness!$E$215=1,IF(6=Element_Stiffness!$C$215,Element_Stiffness!T246,IF(6=Element_Stiffness!$E$215,Element_Stiffness!Z246,0)),0)),0)</f>
        <v/>
      </c>
      <c r="AR15" s="21">
        <f>IF(Element_Stiffness!$C$6,IF(Element_Stiffness!$C$5=1,IF(6=Element_Stiffness!$C$5,Element_Stiffness!U30,IF(6=Element_Stiffness!$E$5,Element_Stiffness!AA30,0)),IF(Element_Stiffness!$E$5=1,IF(6=Element_Stiffness!$C$5,Element_Stiffness!U36,IF(6=Element_Stiffness!$E$5,Element_Stiffness!AA36,0)),0)),0)+IF(Element_Stiffness!$C$41,IF(Element_Stiffness!$C$40=1,IF(6=Element_Stiffness!$C$40,Element_Stiffness!U65,IF(6=Element_Stiffness!$E$40,Element_Stiffness!AA65,0)),IF(Element_Stiffness!$E$40=1,IF(6=Element_Stiffness!$C$40,Element_Stiffness!U71,IF(6=Element_Stiffness!$E$40,Element_Stiffness!AA71,0)),0)),0)+IF(Element_Stiffness!$C$76,IF(Element_Stiffness!$C$75=1,IF(6=Element_Stiffness!$C$75,Element_Stiffness!U100,IF(6=Element_Stiffness!$E$75,Element_Stiffness!AA100,0)),IF(Element_Stiffness!$E$75=1,IF(6=Element_Stiffness!$C$75,Element_Stiffness!U106,IF(6=Element_Stiffness!$E$75,Element_Stiffness!AA106,0)),0)),0)+IF(Element_Stiffness!$C$111,IF(Element_Stiffness!$C$110=1,IF(6=Element_Stiffness!$C$110,Element_Stiffness!U135,IF(6=Element_Stiffness!$E$110,Element_Stiffness!AA135,0)),IF(Element_Stiffness!$E$110=1,IF(6=Element_Stiffness!$C$110,Element_Stiffness!U141,IF(6=Element_Stiffness!$E$110,Element_Stiffness!AA141,0)),0)),0)+IF(Element_Stiffness!$C$146,IF(Element_Stiffness!$C$145=1,IF(6=Element_Stiffness!$C$145,Element_Stiffness!U170,IF(6=Element_Stiffness!$E$145,Element_Stiffness!AA170,0)),IF(Element_Stiffness!$E$145=1,IF(6=Element_Stiffness!$C$145,Element_Stiffness!U176,IF(6=Element_Stiffness!$E$145,Element_Stiffness!AA176,0)),0)),0)+IF(Element_Stiffness!$C$181,IF(Element_Stiffness!$C$180=1,IF(6=Element_Stiffness!$C$180,Element_Stiffness!U205,IF(6=Element_Stiffness!$E$180,Element_Stiffness!AA205,0)),IF(Element_Stiffness!$E$180=1,IF(6=Element_Stiffness!$C$180,Element_Stiffness!U211,IF(6=Element_Stiffness!$E$180,Element_Stiffness!AA211,0)),0)),0)+IF(Element_Stiffness!$C$216,IF(Element_Stiffness!$C$215=1,IF(6=Element_Stiffness!$C$215,Element_Stiffness!U240,IF(6=Element_Stiffness!$E$215,Element_Stiffness!AA240,0)),IF(Element_Stiffness!$E$215=1,IF(6=Element_Stiffness!$C$215,Element_Stiffness!U246,IF(6=Element_Stiffness!$E$215,Element_Stiffness!AA246,0)),0)),0)</f>
        <v/>
      </c>
      <c r="AS15" s="21">
        <f>IF(Element_Stiffness!$C$6,IF(Element_Stiffness!$C$5=1,IF(7=Element_Stiffness!$C$5,Element_Stiffness!P30,IF(7=Element_Stiffness!$E$5,Element_Stiffness!V30,0)),IF(Element_Stiffness!$E$5=1,IF(7=Element_Stiffness!$C$5,Element_Stiffness!P36,IF(7=Element_Stiffness!$E$5,Element_Stiffness!V36,0)),0)),0)+IF(Element_Stiffness!$C$41,IF(Element_Stiffness!$C$40=1,IF(7=Element_Stiffness!$C$40,Element_Stiffness!P65,IF(7=Element_Stiffness!$E$40,Element_Stiffness!V65,0)),IF(Element_Stiffness!$E$40=1,IF(7=Element_Stiffness!$C$40,Element_Stiffness!P71,IF(7=Element_Stiffness!$E$40,Element_Stiffness!V71,0)),0)),0)+IF(Element_Stiffness!$C$76,IF(Element_Stiffness!$C$75=1,IF(7=Element_Stiffness!$C$75,Element_Stiffness!P100,IF(7=Element_Stiffness!$E$75,Element_Stiffness!V100,0)),IF(Element_Stiffness!$E$75=1,IF(7=Element_Stiffness!$C$75,Element_Stiffness!P106,IF(7=Element_Stiffness!$E$75,Element_Stiffness!V106,0)),0)),0)+IF(Element_Stiffness!$C$111,IF(Element_Stiffness!$C$110=1,IF(7=Element_Stiffness!$C$110,Element_Stiffness!P135,IF(7=Element_Stiffness!$E$110,Element_Stiffness!V135,0)),IF(Element_Stiffness!$E$110=1,IF(7=Element_Stiffness!$C$110,Element_Stiffness!P141,IF(7=Element_Stiffness!$E$110,Element_Stiffness!V141,0)),0)),0)+IF(Element_Stiffness!$C$146,IF(Element_Stiffness!$C$145=1,IF(7=Element_Stiffness!$C$145,Element_Stiffness!P170,IF(7=Element_Stiffness!$E$145,Element_Stiffness!V170,0)),IF(Element_Stiffness!$E$145=1,IF(7=Element_Stiffness!$C$145,Element_Stiffness!P176,IF(7=Element_Stiffness!$E$145,Element_Stiffness!V176,0)),0)),0)+IF(Element_Stiffness!$C$181,IF(Element_Stiffness!$C$180=1,IF(7=Element_Stiffness!$C$180,Element_Stiffness!P205,IF(7=Element_Stiffness!$E$180,Element_Stiffness!V205,0)),IF(Element_Stiffness!$E$180=1,IF(7=Element_Stiffness!$C$180,Element_Stiffness!P211,IF(7=Element_Stiffness!$E$180,Element_Stiffness!V211,0)),0)),0)+IF(Element_Stiffness!$C$216,IF(Element_Stiffness!$C$215=1,IF(7=Element_Stiffness!$C$215,Element_Stiffness!P240,IF(7=Element_Stiffness!$E$215,Element_Stiffness!V240,0)),IF(Element_Stiffness!$E$215=1,IF(7=Element_Stiffness!$C$215,Element_Stiffness!P246,IF(7=Element_Stiffness!$E$215,Element_Stiffness!V246,0)),0)),0)</f>
        <v/>
      </c>
      <c r="AT15" s="21">
        <f>IF(Element_Stiffness!$C$6,IF(Element_Stiffness!$C$5=1,IF(7=Element_Stiffness!$C$5,Element_Stiffness!Q30,IF(7=Element_Stiffness!$E$5,Element_Stiffness!W30,0)),IF(Element_Stiffness!$E$5=1,IF(7=Element_Stiffness!$C$5,Element_Stiffness!Q36,IF(7=Element_Stiffness!$E$5,Element_Stiffness!W36,0)),0)),0)+IF(Element_Stiffness!$C$41,IF(Element_Stiffness!$C$40=1,IF(7=Element_Stiffness!$C$40,Element_Stiffness!Q65,IF(7=Element_Stiffness!$E$40,Element_Stiffness!W65,0)),IF(Element_Stiffness!$E$40=1,IF(7=Element_Stiffness!$C$40,Element_Stiffness!Q71,IF(7=Element_Stiffness!$E$40,Element_Stiffness!W71,0)),0)),0)+IF(Element_Stiffness!$C$76,IF(Element_Stiffness!$C$75=1,IF(7=Element_Stiffness!$C$75,Element_Stiffness!Q100,IF(7=Element_Stiffness!$E$75,Element_Stiffness!W100,0)),IF(Element_Stiffness!$E$75=1,IF(7=Element_Stiffness!$C$75,Element_Stiffness!Q106,IF(7=Element_Stiffness!$E$75,Element_Stiffness!W106,0)),0)),0)+IF(Element_Stiffness!$C$111,IF(Element_Stiffness!$C$110=1,IF(7=Element_Stiffness!$C$110,Element_Stiffness!Q135,IF(7=Element_Stiffness!$E$110,Element_Stiffness!W135,0)),IF(Element_Stiffness!$E$110=1,IF(7=Element_Stiffness!$C$110,Element_Stiffness!Q141,IF(7=Element_Stiffness!$E$110,Element_Stiffness!W141,0)),0)),0)+IF(Element_Stiffness!$C$146,IF(Element_Stiffness!$C$145=1,IF(7=Element_Stiffness!$C$145,Element_Stiffness!Q170,IF(7=Element_Stiffness!$E$145,Element_Stiffness!W170,0)),IF(Element_Stiffness!$E$145=1,IF(7=Element_Stiffness!$C$145,Element_Stiffness!Q176,IF(7=Element_Stiffness!$E$145,Element_Stiffness!W176,0)),0)),0)+IF(Element_Stiffness!$C$181,IF(Element_Stiffness!$C$180=1,IF(7=Element_Stiffness!$C$180,Element_Stiffness!Q205,IF(7=Element_Stiffness!$E$180,Element_Stiffness!W205,0)),IF(Element_Stiffness!$E$180=1,IF(7=Element_Stiffness!$C$180,Element_Stiffness!Q211,IF(7=Element_Stiffness!$E$180,Element_Stiffness!W211,0)),0)),0)+IF(Element_Stiffness!$C$216,IF(Element_Stiffness!$C$215=1,IF(7=Element_Stiffness!$C$215,Element_Stiffness!Q240,IF(7=Element_Stiffness!$E$215,Element_Stiffness!W240,0)),IF(Element_Stiffness!$E$215=1,IF(7=Element_Stiffness!$C$215,Element_Stiffness!Q246,IF(7=Element_Stiffness!$E$215,Element_Stiffness!W246,0)),0)),0)</f>
        <v/>
      </c>
      <c r="AU15" s="21">
        <f>IF(Element_Stiffness!$C$6,IF(Element_Stiffness!$C$5=1,IF(7=Element_Stiffness!$C$5,Element_Stiffness!R30,IF(7=Element_Stiffness!$E$5,Element_Stiffness!X30,0)),IF(Element_Stiffness!$E$5=1,IF(7=Element_Stiffness!$C$5,Element_Stiffness!R36,IF(7=Element_Stiffness!$E$5,Element_Stiffness!X36,0)),0)),0)+IF(Element_Stiffness!$C$41,IF(Element_Stiffness!$C$40=1,IF(7=Element_Stiffness!$C$40,Element_Stiffness!R65,IF(7=Element_Stiffness!$E$40,Element_Stiffness!X65,0)),IF(Element_Stiffness!$E$40=1,IF(7=Element_Stiffness!$C$40,Element_Stiffness!R71,IF(7=Element_Stiffness!$E$40,Element_Stiffness!X71,0)),0)),0)+IF(Element_Stiffness!$C$76,IF(Element_Stiffness!$C$75=1,IF(7=Element_Stiffness!$C$75,Element_Stiffness!R100,IF(7=Element_Stiffness!$E$75,Element_Stiffness!X100,0)),IF(Element_Stiffness!$E$75=1,IF(7=Element_Stiffness!$C$75,Element_Stiffness!R106,IF(7=Element_Stiffness!$E$75,Element_Stiffness!X106,0)),0)),0)+IF(Element_Stiffness!$C$111,IF(Element_Stiffness!$C$110=1,IF(7=Element_Stiffness!$C$110,Element_Stiffness!R135,IF(7=Element_Stiffness!$E$110,Element_Stiffness!X135,0)),IF(Element_Stiffness!$E$110=1,IF(7=Element_Stiffness!$C$110,Element_Stiffness!R141,IF(7=Element_Stiffness!$E$110,Element_Stiffness!X141,0)),0)),0)+IF(Element_Stiffness!$C$146,IF(Element_Stiffness!$C$145=1,IF(7=Element_Stiffness!$C$145,Element_Stiffness!R170,IF(7=Element_Stiffness!$E$145,Element_Stiffness!X170,0)),IF(Element_Stiffness!$E$145=1,IF(7=Element_Stiffness!$C$145,Element_Stiffness!R176,IF(7=Element_Stiffness!$E$145,Element_Stiffness!X176,0)),0)),0)+IF(Element_Stiffness!$C$181,IF(Element_Stiffness!$C$180=1,IF(7=Element_Stiffness!$C$180,Element_Stiffness!R205,IF(7=Element_Stiffness!$E$180,Element_Stiffness!X205,0)),IF(Element_Stiffness!$E$180=1,IF(7=Element_Stiffness!$C$180,Element_Stiffness!R211,IF(7=Element_Stiffness!$E$180,Element_Stiffness!X211,0)),0)),0)+IF(Element_Stiffness!$C$216,IF(Element_Stiffness!$C$215=1,IF(7=Element_Stiffness!$C$215,Element_Stiffness!R240,IF(7=Element_Stiffness!$E$215,Element_Stiffness!X240,0)),IF(Element_Stiffness!$E$215=1,IF(7=Element_Stiffness!$C$215,Element_Stiffness!R246,IF(7=Element_Stiffness!$E$215,Element_Stiffness!X246,0)),0)),0)</f>
        <v/>
      </c>
      <c r="AV15" s="21">
        <f>IF(Element_Stiffness!$C$6,IF(Element_Stiffness!$C$5=1,IF(7=Element_Stiffness!$C$5,Element_Stiffness!S30,IF(7=Element_Stiffness!$E$5,Element_Stiffness!Y30,0)),IF(Element_Stiffness!$E$5=1,IF(7=Element_Stiffness!$C$5,Element_Stiffness!S36,IF(7=Element_Stiffness!$E$5,Element_Stiffness!Y36,0)),0)),0)+IF(Element_Stiffness!$C$41,IF(Element_Stiffness!$C$40=1,IF(7=Element_Stiffness!$C$40,Element_Stiffness!S65,IF(7=Element_Stiffness!$E$40,Element_Stiffness!Y65,0)),IF(Element_Stiffness!$E$40=1,IF(7=Element_Stiffness!$C$40,Element_Stiffness!S71,IF(7=Element_Stiffness!$E$40,Element_Stiffness!Y71,0)),0)),0)+IF(Element_Stiffness!$C$76,IF(Element_Stiffness!$C$75=1,IF(7=Element_Stiffness!$C$75,Element_Stiffness!S100,IF(7=Element_Stiffness!$E$75,Element_Stiffness!Y100,0)),IF(Element_Stiffness!$E$75=1,IF(7=Element_Stiffness!$C$75,Element_Stiffness!S106,IF(7=Element_Stiffness!$E$75,Element_Stiffness!Y106,0)),0)),0)+IF(Element_Stiffness!$C$111,IF(Element_Stiffness!$C$110=1,IF(7=Element_Stiffness!$C$110,Element_Stiffness!S135,IF(7=Element_Stiffness!$E$110,Element_Stiffness!Y135,0)),IF(Element_Stiffness!$E$110=1,IF(7=Element_Stiffness!$C$110,Element_Stiffness!S141,IF(7=Element_Stiffness!$E$110,Element_Stiffness!Y141,0)),0)),0)+IF(Element_Stiffness!$C$146,IF(Element_Stiffness!$C$145=1,IF(7=Element_Stiffness!$C$145,Element_Stiffness!S170,IF(7=Element_Stiffness!$E$145,Element_Stiffness!Y170,0)),IF(Element_Stiffness!$E$145=1,IF(7=Element_Stiffness!$C$145,Element_Stiffness!S176,IF(7=Element_Stiffness!$E$145,Element_Stiffness!Y176,0)),0)),0)+IF(Element_Stiffness!$C$181,IF(Element_Stiffness!$C$180=1,IF(7=Element_Stiffness!$C$180,Element_Stiffness!S205,IF(7=Element_Stiffness!$E$180,Element_Stiffness!Y205,0)),IF(Element_Stiffness!$E$180=1,IF(7=Element_Stiffness!$C$180,Element_Stiffness!S211,IF(7=Element_Stiffness!$E$180,Element_Stiffness!Y211,0)),0)),0)+IF(Element_Stiffness!$C$216,IF(Element_Stiffness!$C$215=1,IF(7=Element_Stiffness!$C$215,Element_Stiffness!S240,IF(7=Element_Stiffness!$E$215,Element_Stiffness!Y240,0)),IF(Element_Stiffness!$E$215=1,IF(7=Element_Stiffness!$C$215,Element_Stiffness!S246,IF(7=Element_Stiffness!$E$215,Element_Stiffness!Y246,0)),0)),0)</f>
        <v/>
      </c>
      <c r="AW15" s="21">
        <f>IF(Element_Stiffness!$C$6,IF(Element_Stiffness!$C$5=1,IF(7=Element_Stiffness!$C$5,Element_Stiffness!T30,IF(7=Element_Stiffness!$E$5,Element_Stiffness!Z30,0)),IF(Element_Stiffness!$E$5=1,IF(7=Element_Stiffness!$C$5,Element_Stiffness!T36,IF(7=Element_Stiffness!$E$5,Element_Stiffness!Z36,0)),0)),0)+IF(Element_Stiffness!$C$41,IF(Element_Stiffness!$C$40=1,IF(7=Element_Stiffness!$C$40,Element_Stiffness!T65,IF(7=Element_Stiffness!$E$40,Element_Stiffness!Z65,0)),IF(Element_Stiffness!$E$40=1,IF(7=Element_Stiffness!$C$40,Element_Stiffness!T71,IF(7=Element_Stiffness!$E$40,Element_Stiffness!Z71,0)),0)),0)+IF(Element_Stiffness!$C$76,IF(Element_Stiffness!$C$75=1,IF(7=Element_Stiffness!$C$75,Element_Stiffness!T100,IF(7=Element_Stiffness!$E$75,Element_Stiffness!Z100,0)),IF(Element_Stiffness!$E$75=1,IF(7=Element_Stiffness!$C$75,Element_Stiffness!T106,IF(7=Element_Stiffness!$E$75,Element_Stiffness!Z106,0)),0)),0)+IF(Element_Stiffness!$C$111,IF(Element_Stiffness!$C$110=1,IF(7=Element_Stiffness!$C$110,Element_Stiffness!T135,IF(7=Element_Stiffness!$E$110,Element_Stiffness!Z135,0)),IF(Element_Stiffness!$E$110=1,IF(7=Element_Stiffness!$C$110,Element_Stiffness!T141,IF(7=Element_Stiffness!$E$110,Element_Stiffness!Z141,0)),0)),0)+IF(Element_Stiffness!$C$146,IF(Element_Stiffness!$C$145=1,IF(7=Element_Stiffness!$C$145,Element_Stiffness!T170,IF(7=Element_Stiffness!$E$145,Element_Stiffness!Z170,0)),IF(Element_Stiffness!$E$145=1,IF(7=Element_Stiffness!$C$145,Element_Stiffness!T176,IF(7=Element_Stiffness!$E$145,Element_Stiffness!Z176,0)),0)),0)+IF(Element_Stiffness!$C$181,IF(Element_Stiffness!$C$180=1,IF(7=Element_Stiffness!$C$180,Element_Stiffness!T205,IF(7=Element_Stiffness!$E$180,Element_Stiffness!Z205,0)),IF(Element_Stiffness!$E$180=1,IF(7=Element_Stiffness!$C$180,Element_Stiffness!T211,IF(7=Element_Stiffness!$E$180,Element_Stiffness!Z211,0)),0)),0)+IF(Element_Stiffness!$C$216,IF(Element_Stiffness!$C$215=1,IF(7=Element_Stiffness!$C$215,Element_Stiffness!T240,IF(7=Element_Stiffness!$E$215,Element_Stiffness!Z240,0)),IF(Element_Stiffness!$E$215=1,IF(7=Element_Stiffness!$C$215,Element_Stiffness!T246,IF(7=Element_Stiffness!$E$215,Element_Stiffness!Z246,0)),0)),0)</f>
        <v/>
      </c>
      <c r="AX15" s="21">
        <f>IF(Element_Stiffness!$C$6,IF(Element_Stiffness!$C$5=1,IF(7=Element_Stiffness!$C$5,Element_Stiffness!U30,IF(7=Element_Stiffness!$E$5,Element_Stiffness!AA30,0)),IF(Element_Stiffness!$E$5=1,IF(7=Element_Stiffness!$C$5,Element_Stiffness!U36,IF(7=Element_Stiffness!$E$5,Element_Stiffness!AA36,0)),0)),0)+IF(Element_Stiffness!$C$41,IF(Element_Stiffness!$C$40=1,IF(7=Element_Stiffness!$C$40,Element_Stiffness!U65,IF(7=Element_Stiffness!$E$40,Element_Stiffness!AA65,0)),IF(Element_Stiffness!$E$40=1,IF(7=Element_Stiffness!$C$40,Element_Stiffness!U71,IF(7=Element_Stiffness!$E$40,Element_Stiffness!AA71,0)),0)),0)+IF(Element_Stiffness!$C$76,IF(Element_Stiffness!$C$75=1,IF(7=Element_Stiffness!$C$75,Element_Stiffness!U100,IF(7=Element_Stiffness!$E$75,Element_Stiffness!AA100,0)),IF(Element_Stiffness!$E$75=1,IF(7=Element_Stiffness!$C$75,Element_Stiffness!U106,IF(7=Element_Stiffness!$E$75,Element_Stiffness!AA106,0)),0)),0)+IF(Element_Stiffness!$C$111,IF(Element_Stiffness!$C$110=1,IF(7=Element_Stiffness!$C$110,Element_Stiffness!U135,IF(7=Element_Stiffness!$E$110,Element_Stiffness!AA135,0)),IF(Element_Stiffness!$E$110=1,IF(7=Element_Stiffness!$C$110,Element_Stiffness!U141,IF(7=Element_Stiffness!$E$110,Element_Stiffness!AA141,0)),0)),0)+IF(Element_Stiffness!$C$146,IF(Element_Stiffness!$C$145=1,IF(7=Element_Stiffness!$C$145,Element_Stiffness!U170,IF(7=Element_Stiffness!$E$145,Element_Stiffness!AA170,0)),IF(Element_Stiffness!$E$145=1,IF(7=Element_Stiffness!$C$145,Element_Stiffness!U176,IF(7=Element_Stiffness!$E$145,Element_Stiffness!AA176,0)),0)),0)+IF(Element_Stiffness!$C$181,IF(Element_Stiffness!$C$180=1,IF(7=Element_Stiffness!$C$180,Element_Stiffness!U205,IF(7=Element_Stiffness!$E$180,Element_Stiffness!AA205,0)),IF(Element_Stiffness!$E$180=1,IF(7=Element_Stiffness!$C$180,Element_Stiffness!U211,IF(7=Element_Stiffness!$E$180,Element_Stiffness!AA211,0)),0)),0)+IF(Element_Stiffness!$C$216,IF(Element_Stiffness!$C$215=1,IF(7=Element_Stiffness!$C$215,Element_Stiffness!U240,IF(7=Element_Stiffness!$E$215,Element_Stiffness!AA240,0)),IF(Element_Stiffness!$E$215=1,IF(7=Element_Stiffness!$C$215,Element_Stiffness!U246,IF(7=Element_Stiffness!$E$215,Element_Stiffness!AA246,0)),0)),0)</f>
        <v/>
      </c>
      <c r="AY15" s="21" t="n">
        <v>0</v>
      </c>
      <c r="AZ15" s="21">
        <f>IF(Element_Stiffness!$C$6,IF(Element_Stiffness!$C$5=1,Element_Stiffness!C30,IF(Element_Stiffness!$E$5=1,Element_Stiffness!C36,0)),0)+IF(Element_Stiffness!$C$41,IF(Element_Stiffness!$C$40=1,Element_Stiffness!C65,IF(Element_Stiffness!$E$40=1,Element_Stiffness!C71,0)),0)+IF(Element_Stiffness!$C$76,IF(Element_Stiffness!$C$75=1,Element_Stiffness!C100,IF(Element_Stiffness!$E$75=1,Element_Stiffness!C106,0)),0)+IF(Element_Stiffness!$C$111,IF(Element_Stiffness!$C$110=1,Element_Stiffness!C135,IF(Element_Stiffness!$E$110=1,Element_Stiffness!C141,0)),0)+IF(Element_Stiffness!$C$146,IF(Element_Stiffness!$C$145=1,Element_Stiffness!C170,IF(Element_Stiffness!$E$145=1,Element_Stiffness!C176,0)),0)+IF(Element_Stiffness!$C$181,IF(Element_Stiffness!$C$180=1,Element_Stiffness!C205,IF(Element_Stiffness!$E$180=1,Element_Stiffness!C211,0)),0)+IF(Element_Stiffness!$C$216,IF(Element_Stiffness!$C$215=1,Element_Stiffness!C240,IF(Element_Stiffness!$E$215=1,Element_Stiffness!C246,0)),0)</f>
        <v/>
      </c>
      <c r="BB15" s="28">
        <f>INDEX(MMULT(MINVERSE(C5:AX52), AY5:AY52), 11, 1)</f>
        <v/>
      </c>
      <c r="BC15" s="28">
        <f>INDEX(MMULT(MINVERSE(C5:AX52), AZ5:AZ52), 11, 1)</f>
        <v/>
      </c>
    </row>
    <row r="16">
      <c r="B16" s="27" t="inlineStr">
        <is>
          <t>N1_rz</t>
        </is>
      </c>
      <c r="C16" s="21">
        <f>IF(Element_Stiffness!$C$6,IF(Element_Stiffness!$C$5=1,IF(0=Element_Stiffness!$C$5,Element_Stiffness!P31,IF(0=Element_Stiffness!$E$5,Element_Stiffness!V31,0)),IF(Element_Stiffness!$E$5=1,IF(0=Element_Stiffness!$C$5,Element_Stiffness!P37,IF(0=Element_Stiffness!$E$5,Element_Stiffness!V37,0)),0)),0)+IF(Element_Stiffness!$C$41,IF(Element_Stiffness!$C$40=1,IF(0=Element_Stiffness!$C$40,Element_Stiffness!P66,IF(0=Element_Stiffness!$E$40,Element_Stiffness!V66,0)),IF(Element_Stiffness!$E$40=1,IF(0=Element_Stiffness!$C$40,Element_Stiffness!P72,IF(0=Element_Stiffness!$E$40,Element_Stiffness!V72,0)),0)),0)+IF(Element_Stiffness!$C$76,IF(Element_Stiffness!$C$75=1,IF(0=Element_Stiffness!$C$75,Element_Stiffness!P101,IF(0=Element_Stiffness!$E$75,Element_Stiffness!V101,0)),IF(Element_Stiffness!$E$75=1,IF(0=Element_Stiffness!$C$75,Element_Stiffness!P107,IF(0=Element_Stiffness!$E$75,Element_Stiffness!V107,0)),0)),0)+IF(Element_Stiffness!$C$111,IF(Element_Stiffness!$C$110=1,IF(0=Element_Stiffness!$C$110,Element_Stiffness!P136,IF(0=Element_Stiffness!$E$110,Element_Stiffness!V136,0)),IF(Element_Stiffness!$E$110=1,IF(0=Element_Stiffness!$C$110,Element_Stiffness!P142,IF(0=Element_Stiffness!$E$110,Element_Stiffness!V142,0)),0)),0)+IF(Element_Stiffness!$C$146,IF(Element_Stiffness!$C$145=1,IF(0=Element_Stiffness!$C$145,Element_Stiffness!P171,IF(0=Element_Stiffness!$E$145,Element_Stiffness!V171,0)),IF(Element_Stiffness!$E$145=1,IF(0=Element_Stiffness!$C$145,Element_Stiffness!P177,IF(0=Element_Stiffness!$E$145,Element_Stiffness!V177,0)),0)),0)+IF(Element_Stiffness!$C$181,IF(Element_Stiffness!$C$180=1,IF(0=Element_Stiffness!$C$180,Element_Stiffness!P206,IF(0=Element_Stiffness!$E$180,Element_Stiffness!V206,0)),IF(Element_Stiffness!$E$180=1,IF(0=Element_Stiffness!$C$180,Element_Stiffness!P212,IF(0=Element_Stiffness!$E$180,Element_Stiffness!V212,0)),0)),0)+IF(Element_Stiffness!$C$216,IF(Element_Stiffness!$C$215=1,IF(0=Element_Stiffness!$C$215,Element_Stiffness!P241,IF(0=Element_Stiffness!$E$215,Element_Stiffness!V241,0)),IF(Element_Stiffness!$E$215=1,IF(0=Element_Stiffness!$C$215,Element_Stiffness!P247,IF(0=Element_Stiffness!$E$215,Element_Stiffness!V247,0)),0)),0)</f>
        <v/>
      </c>
      <c r="D16" s="21">
        <f>IF(Element_Stiffness!$C$6,IF(Element_Stiffness!$C$5=1,IF(0=Element_Stiffness!$C$5,Element_Stiffness!Q31,IF(0=Element_Stiffness!$E$5,Element_Stiffness!W31,0)),IF(Element_Stiffness!$E$5=1,IF(0=Element_Stiffness!$C$5,Element_Stiffness!Q37,IF(0=Element_Stiffness!$E$5,Element_Stiffness!W37,0)),0)),0)+IF(Element_Stiffness!$C$41,IF(Element_Stiffness!$C$40=1,IF(0=Element_Stiffness!$C$40,Element_Stiffness!Q66,IF(0=Element_Stiffness!$E$40,Element_Stiffness!W66,0)),IF(Element_Stiffness!$E$40=1,IF(0=Element_Stiffness!$C$40,Element_Stiffness!Q72,IF(0=Element_Stiffness!$E$40,Element_Stiffness!W72,0)),0)),0)+IF(Element_Stiffness!$C$76,IF(Element_Stiffness!$C$75=1,IF(0=Element_Stiffness!$C$75,Element_Stiffness!Q101,IF(0=Element_Stiffness!$E$75,Element_Stiffness!W101,0)),IF(Element_Stiffness!$E$75=1,IF(0=Element_Stiffness!$C$75,Element_Stiffness!Q107,IF(0=Element_Stiffness!$E$75,Element_Stiffness!W107,0)),0)),0)+IF(Element_Stiffness!$C$111,IF(Element_Stiffness!$C$110=1,IF(0=Element_Stiffness!$C$110,Element_Stiffness!Q136,IF(0=Element_Stiffness!$E$110,Element_Stiffness!W136,0)),IF(Element_Stiffness!$E$110=1,IF(0=Element_Stiffness!$C$110,Element_Stiffness!Q142,IF(0=Element_Stiffness!$E$110,Element_Stiffness!W142,0)),0)),0)+IF(Element_Stiffness!$C$146,IF(Element_Stiffness!$C$145=1,IF(0=Element_Stiffness!$C$145,Element_Stiffness!Q171,IF(0=Element_Stiffness!$E$145,Element_Stiffness!W171,0)),IF(Element_Stiffness!$E$145=1,IF(0=Element_Stiffness!$C$145,Element_Stiffness!Q177,IF(0=Element_Stiffness!$E$145,Element_Stiffness!W177,0)),0)),0)+IF(Element_Stiffness!$C$181,IF(Element_Stiffness!$C$180=1,IF(0=Element_Stiffness!$C$180,Element_Stiffness!Q206,IF(0=Element_Stiffness!$E$180,Element_Stiffness!W206,0)),IF(Element_Stiffness!$E$180=1,IF(0=Element_Stiffness!$C$180,Element_Stiffness!Q212,IF(0=Element_Stiffness!$E$180,Element_Stiffness!W212,0)),0)),0)+IF(Element_Stiffness!$C$216,IF(Element_Stiffness!$C$215=1,IF(0=Element_Stiffness!$C$215,Element_Stiffness!Q241,IF(0=Element_Stiffness!$E$215,Element_Stiffness!W241,0)),IF(Element_Stiffness!$E$215=1,IF(0=Element_Stiffness!$C$215,Element_Stiffness!Q247,IF(0=Element_Stiffness!$E$215,Element_Stiffness!W247,0)),0)),0)</f>
        <v/>
      </c>
      <c r="E16" s="21">
        <f>IF(Element_Stiffness!$C$6,IF(Element_Stiffness!$C$5=1,IF(0=Element_Stiffness!$C$5,Element_Stiffness!R31,IF(0=Element_Stiffness!$E$5,Element_Stiffness!X31,0)),IF(Element_Stiffness!$E$5=1,IF(0=Element_Stiffness!$C$5,Element_Stiffness!R37,IF(0=Element_Stiffness!$E$5,Element_Stiffness!X37,0)),0)),0)+IF(Element_Stiffness!$C$41,IF(Element_Stiffness!$C$40=1,IF(0=Element_Stiffness!$C$40,Element_Stiffness!R66,IF(0=Element_Stiffness!$E$40,Element_Stiffness!X66,0)),IF(Element_Stiffness!$E$40=1,IF(0=Element_Stiffness!$C$40,Element_Stiffness!R72,IF(0=Element_Stiffness!$E$40,Element_Stiffness!X72,0)),0)),0)+IF(Element_Stiffness!$C$76,IF(Element_Stiffness!$C$75=1,IF(0=Element_Stiffness!$C$75,Element_Stiffness!R101,IF(0=Element_Stiffness!$E$75,Element_Stiffness!X101,0)),IF(Element_Stiffness!$E$75=1,IF(0=Element_Stiffness!$C$75,Element_Stiffness!R107,IF(0=Element_Stiffness!$E$75,Element_Stiffness!X107,0)),0)),0)+IF(Element_Stiffness!$C$111,IF(Element_Stiffness!$C$110=1,IF(0=Element_Stiffness!$C$110,Element_Stiffness!R136,IF(0=Element_Stiffness!$E$110,Element_Stiffness!X136,0)),IF(Element_Stiffness!$E$110=1,IF(0=Element_Stiffness!$C$110,Element_Stiffness!R142,IF(0=Element_Stiffness!$E$110,Element_Stiffness!X142,0)),0)),0)+IF(Element_Stiffness!$C$146,IF(Element_Stiffness!$C$145=1,IF(0=Element_Stiffness!$C$145,Element_Stiffness!R171,IF(0=Element_Stiffness!$E$145,Element_Stiffness!X171,0)),IF(Element_Stiffness!$E$145=1,IF(0=Element_Stiffness!$C$145,Element_Stiffness!R177,IF(0=Element_Stiffness!$E$145,Element_Stiffness!X177,0)),0)),0)+IF(Element_Stiffness!$C$181,IF(Element_Stiffness!$C$180=1,IF(0=Element_Stiffness!$C$180,Element_Stiffness!R206,IF(0=Element_Stiffness!$E$180,Element_Stiffness!X206,0)),IF(Element_Stiffness!$E$180=1,IF(0=Element_Stiffness!$C$180,Element_Stiffness!R212,IF(0=Element_Stiffness!$E$180,Element_Stiffness!X212,0)),0)),0)+IF(Element_Stiffness!$C$216,IF(Element_Stiffness!$C$215=1,IF(0=Element_Stiffness!$C$215,Element_Stiffness!R241,IF(0=Element_Stiffness!$E$215,Element_Stiffness!X241,0)),IF(Element_Stiffness!$E$215=1,IF(0=Element_Stiffness!$C$215,Element_Stiffness!R247,IF(0=Element_Stiffness!$E$215,Element_Stiffness!X247,0)),0)),0)</f>
        <v/>
      </c>
      <c r="F16" s="21">
        <f>IF(Element_Stiffness!$C$6,IF(Element_Stiffness!$C$5=1,IF(0=Element_Stiffness!$C$5,Element_Stiffness!S31,IF(0=Element_Stiffness!$E$5,Element_Stiffness!Y31,0)),IF(Element_Stiffness!$E$5=1,IF(0=Element_Stiffness!$C$5,Element_Stiffness!S37,IF(0=Element_Stiffness!$E$5,Element_Stiffness!Y37,0)),0)),0)+IF(Element_Stiffness!$C$41,IF(Element_Stiffness!$C$40=1,IF(0=Element_Stiffness!$C$40,Element_Stiffness!S66,IF(0=Element_Stiffness!$E$40,Element_Stiffness!Y66,0)),IF(Element_Stiffness!$E$40=1,IF(0=Element_Stiffness!$C$40,Element_Stiffness!S72,IF(0=Element_Stiffness!$E$40,Element_Stiffness!Y72,0)),0)),0)+IF(Element_Stiffness!$C$76,IF(Element_Stiffness!$C$75=1,IF(0=Element_Stiffness!$C$75,Element_Stiffness!S101,IF(0=Element_Stiffness!$E$75,Element_Stiffness!Y101,0)),IF(Element_Stiffness!$E$75=1,IF(0=Element_Stiffness!$C$75,Element_Stiffness!S107,IF(0=Element_Stiffness!$E$75,Element_Stiffness!Y107,0)),0)),0)+IF(Element_Stiffness!$C$111,IF(Element_Stiffness!$C$110=1,IF(0=Element_Stiffness!$C$110,Element_Stiffness!S136,IF(0=Element_Stiffness!$E$110,Element_Stiffness!Y136,0)),IF(Element_Stiffness!$E$110=1,IF(0=Element_Stiffness!$C$110,Element_Stiffness!S142,IF(0=Element_Stiffness!$E$110,Element_Stiffness!Y142,0)),0)),0)+IF(Element_Stiffness!$C$146,IF(Element_Stiffness!$C$145=1,IF(0=Element_Stiffness!$C$145,Element_Stiffness!S171,IF(0=Element_Stiffness!$E$145,Element_Stiffness!Y171,0)),IF(Element_Stiffness!$E$145=1,IF(0=Element_Stiffness!$C$145,Element_Stiffness!S177,IF(0=Element_Stiffness!$E$145,Element_Stiffness!Y177,0)),0)),0)+IF(Element_Stiffness!$C$181,IF(Element_Stiffness!$C$180=1,IF(0=Element_Stiffness!$C$180,Element_Stiffness!S206,IF(0=Element_Stiffness!$E$180,Element_Stiffness!Y206,0)),IF(Element_Stiffness!$E$180=1,IF(0=Element_Stiffness!$C$180,Element_Stiffness!S212,IF(0=Element_Stiffness!$E$180,Element_Stiffness!Y212,0)),0)),0)+IF(Element_Stiffness!$C$216,IF(Element_Stiffness!$C$215=1,IF(0=Element_Stiffness!$C$215,Element_Stiffness!S241,IF(0=Element_Stiffness!$E$215,Element_Stiffness!Y241,0)),IF(Element_Stiffness!$E$215=1,IF(0=Element_Stiffness!$C$215,Element_Stiffness!S247,IF(0=Element_Stiffness!$E$215,Element_Stiffness!Y247,0)),0)),0)</f>
        <v/>
      </c>
      <c r="G16" s="21">
        <f>IF(Element_Stiffness!$C$6,IF(Element_Stiffness!$C$5=1,IF(0=Element_Stiffness!$C$5,Element_Stiffness!T31,IF(0=Element_Stiffness!$E$5,Element_Stiffness!Z31,0)),IF(Element_Stiffness!$E$5=1,IF(0=Element_Stiffness!$C$5,Element_Stiffness!T37,IF(0=Element_Stiffness!$E$5,Element_Stiffness!Z37,0)),0)),0)+IF(Element_Stiffness!$C$41,IF(Element_Stiffness!$C$40=1,IF(0=Element_Stiffness!$C$40,Element_Stiffness!T66,IF(0=Element_Stiffness!$E$40,Element_Stiffness!Z66,0)),IF(Element_Stiffness!$E$40=1,IF(0=Element_Stiffness!$C$40,Element_Stiffness!T72,IF(0=Element_Stiffness!$E$40,Element_Stiffness!Z72,0)),0)),0)+IF(Element_Stiffness!$C$76,IF(Element_Stiffness!$C$75=1,IF(0=Element_Stiffness!$C$75,Element_Stiffness!T101,IF(0=Element_Stiffness!$E$75,Element_Stiffness!Z101,0)),IF(Element_Stiffness!$E$75=1,IF(0=Element_Stiffness!$C$75,Element_Stiffness!T107,IF(0=Element_Stiffness!$E$75,Element_Stiffness!Z107,0)),0)),0)+IF(Element_Stiffness!$C$111,IF(Element_Stiffness!$C$110=1,IF(0=Element_Stiffness!$C$110,Element_Stiffness!T136,IF(0=Element_Stiffness!$E$110,Element_Stiffness!Z136,0)),IF(Element_Stiffness!$E$110=1,IF(0=Element_Stiffness!$C$110,Element_Stiffness!T142,IF(0=Element_Stiffness!$E$110,Element_Stiffness!Z142,0)),0)),0)+IF(Element_Stiffness!$C$146,IF(Element_Stiffness!$C$145=1,IF(0=Element_Stiffness!$C$145,Element_Stiffness!T171,IF(0=Element_Stiffness!$E$145,Element_Stiffness!Z171,0)),IF(Element_Stiffness!$E$145=1,IF(0=Element_Stiffness!$C$145,Element_Stiffness!T177,IF(0=Element_Stiffness!$E$145,Element_Stiffness!Z177,0)),0)),0)+IF(Element_Stiffness!$C$181,IF(Element_Stiffness!$C$180=1,IF(0=Element_Stiffness!$C$180,Element_Stiffness!T206,IF(0=Element_Stiffness!$E$180,Element_Stiffness!Z206,0)),IF(Element_Stiffness!$E$180=1,IF(0=Element_Stiffness!$C$180,Element_Stiffness!T212,IF(0=Element_Stiffness!$E$180,Element_Stiffness!Z212,0)),0)),0)+IF(Element_Stiffness!$C$216,IF(Element_Stiffness!$C$215=1,IF(0=Element_Stiffness!$C$215,Element_Stiffness!T241,IF(0=Element_Stiffness!$E$215,Element_Stiffness!Z241,0)),IF(Element_Stiffness!$E$215=1,IF(0=Element_Stiffness!$C$215,Element_Stiffness!T247,IF(0=Element_Stiffness!$E$215,Element_Stiffness!Z247,0)),0)),0)</f>
        <v/>
      </c>
      <c r="H16" s="21">
        <f>IF(Element_Stiffness!$C$6,IF(Element_Stiffness!$C$5=1,IF(0=Element_Stiffness!$C$5,Element_Stiffness!U31,IF(0=Element_Stiffness!$E$5,Element_Stiffness!AA31,0)),IF(Element_Stiffness!$E$5=1,IF(0=Element_Stiffness!$C$5,Element_Stiffness!U37,IF(0=Element_Stiffness!$E$5,Element_Stiffness!AA37,0)),0)),0)+IF(Element_Stiffness!$C$41,IF(Element_Stiffness!$C$40=1,IF(0=Element_Stiffness!$C$40,Element_Stiffness!U66,IF(0=Element_Stiffness!$E$40,Element_Stiffness!AA66,0)),IF(Element_Stiffness!$E$40=1,IF(0=Element_Stiffness!$C$40,Element_Stiffness!U72,IF(0=Element_Stiffness!$E$40,Element_Stiffness!AA72,0)),0)),0)+IF(Element_Stiffness!$C$76,IF(Element_Stiffness!$C$75=1,IF(0=Element_Stiffness!$C$75,Element_Stiffness!U101,IF(0=Element_Stiffness!$E$75,Element_Stiffness!AA101,0)),IF(Element_Stiffness!$E$75=1,IF(0=Element_Stiffness!$C$75,Element_Stiffness!U107,IF(0=Element_Stiffness!$E$75,Element_Stiffness!AA107,0)),0)),0)+IF(Element_Stiffness!$C$111,IF(Element_Stiffness!$C$110=1,IF(0=Element_Stiffness!$C$110,Element_Stiffness!U136,IF(0=Element_Stiffness!$E$110,Element_Stiffness!AA136,0)),IF(Element_Stiffness!$E$110=1,IF(0=Element_Stiffness!$C$110,Element_Stiffness!U142,IF(0=Element_Stiffness!$E$110,Element_Stiffness!AA142,0)),0)),0)+IF(Element_Stiffness!$C$146,IF(Element_Stiffness!$C$145=1,IF(0=Element_Stiffness!$C$145,Element_Stiffness!U171,IF(0=Element_Stiffness!$E$145,Element_Stiffness!AA171,0)),IF(Element_Stiffness!$E$145=1,IF(0=Element_Stiffness!$C$145,Element_Stiffness!U177,IF(0=Element_Stiffness!$E$145,Element_Stiffness!AA177,0)),0)),0)+IF(Element_Stiffness!$C$181,IF(Element_Stiffness!$C$180=1,IF(0=Element_Stiffness!$C$180,Element_Stiffness!U206,IF(0=Element_Stiffness!$E$180,Element_Stiffness!AA206,0)),IF(Element_Stiffness!$E$180=1,IF(0=Element_Stiffness!$C$180,Element_Stiffness!U212,IF(0=Element_Stiffness!$E$180,Element_Stiffness!AA212,0)),0)),0)+IF(Element_Stiffness!$C$216,IF(Element_Stiffness!$C$215=1,IF(0=Element_Stiffness!$C$215,Element_Stiffness!U241,IF(0=Element_Stiffness!$E$215,Element_Stiffness!AA241,0)),IF(Element_Stiffness!$E$215=1,IF(0=Element_Stiffness!$C$215,Element_Stiffness!U247,IF(0=Element_Stiffness!$E$215,Element_Stiffness!AA247,0)),0)),0)</f>
        <v/>
      </c>
      <c r="I16" s="21">
        <f>IF(Element_Stiffness!$C$6,IF(Element_Stiffness!$C$5=1,IF(1=Element_Stiffness!$C$5,Element_Stiffness!P31,IF(1=Element_Stiffness!$E$5,Element_Stiffness!V31,0)),IF(Element_Stiffness!$E$5=1,IF(1=Element_Stiffness!$C$5,Element_Stiffness!P37,IF(1=Element_Stiffness!$E$5,Element_Stiffness!V37,0)),0)),0)+IF(Element_Stiffness!$C$41,IF(Element_Stiffness!$C$40=1,IF(1=Element_Stiffness!$C$40,Element_Stiffness!P66,IF(1=Element_Stiffness!$E$40,Element_Stiffness!V66,0)),IF(Element_Stiffness!$E$40=1,IF(1=Element_Stiffness!$C$40,Element_Stiffness!P72,IF(1=Element_Stiffness!$E$40,Element_Stiffness!V72,0)),0)),0)+IF(Element_Stiffness!$C$76,IF(Element_Stiffness!$C$75=1,IF(1=Element_Stiffness!$C$75,Element_Stiffness!P101,IF(1=Element_Stiffness!$E$75,Element_Stiffness!V101,0)),IF(Element_Stiffness!$E$75=1,IF(1=Element_Stiffness!$C$75,Element_Stiffness!P107,IF(1=Element_Stiffness!$E$75,Element_Stiffness!V107,0)),0)),0)+IF(Element_Stiffness!$C$111,IF(Element_Stiffness!$C$110=1,IF(1=Element_Stiffness!$C$110,Element_Stiffness!P136,IF(1=Element_Stiffness!$E$110,Element_Stiffness!V136,0)),IF(Element_Stiffness!$E$110=1,IF(1=Element_Stiffness!$C$110,Element_Stiffness!P142,IF(1=Element_Stiffness!$E$110,Element_Stiffness!V142,0)),0)),0)+IF(Element_Stiffness!$C$146,IF(Element_Stiffness!$C$145=1,IF(1=Element_Stiffness!$C$145,Element_Stiffness!P171,IF(1=Element_Stiffness!$E$145,Element_Stiffness!V171,0)),IF(Element_Stiffness!$E$145=1,IF(1=Element_Stiffness!$C$145,Element_Stiffness!P177,IF(1=Element_Stiffness!$E$145,Element_Stiffness!V177,0)),0)),0)+IF(Element_Stiffness!$C$181,IF(Element_Stiffness!$C$180=1,IF(1=Element_Stiffness!$C$180,Element_Stiffness!P206,IF(1=Element_Stiffness!$E$180,Element_Stiffness!V206,0)),IF(Element_Stiffness!$E$180=1,IF(1=Element_Stiffness!$C$180,Element_Stiffness!P212,IF(1=Element_Stiffness!$E$180,Element_Stiffness!V212,0)),0)),0)+IF(Element_Stiffness!$C$216,IF(Element_Stiffness!$C$215=1,IF(1=Element_Stiffness!$C$215,Element_Stiffness!P241,IF(1=Element_Stiffness!$E$215,Element_Stiffness!V241,0)),IF(Element_Stiffness!$E$215=1,IF(1=Element_Stiffness!$C$215,Element_Stiffness!P247,IF(1=Element_Stiffness!$E$215,Element_Stiffness!V247,0)),0)),0)</f>
        <v/>
      </c>
      <c r="J16" s="21">
        <f>IF(Element_Stiffness!$C$6,IF(Element_Stiffness!$C$5=1,IF(1=Element_Stiffness!$C$5,Element_Stiffness!Q31,IF(1=Element_Stiffness!$E$5,Element_Stiffness!W31,0)),IF(Element_Stiffness!$E$5=1,IF(1=Element_Stiffness!$C$5,Element_Stiffness!Q37,IF(1=Element_Stiffness!$E$5,Element_Stiffness!W37,0)),0)),0)+IF(Element_Stiffness!$C$41,IF(Element_Stiffness!$C$40=1,IF(1=Element_Stiffness!$C$40,Element_Stiffness!Q66,IF(1=Element_Stiffness!$E$40,Element_Stiffness!W66,0)),IF(Element_Stiffness!$E$40=1,IF(1=Element_Stiffness!$C$40,Element_Stiffness!Q72,IF(1=Element_Stiffness!$E$40,Element_Stiffness!W72,0)),0)),0)+IF(Element_Stiffness!$C$76,IF(Element_Stiffness!$C$75=1,IF(1=Element_Stiffness!$C$75,Element_Stiffness!Q101,IF(1=Element_Stiffness!$E$75,Element_Stiffness!W101,0)),IF(Element_Stiffness!$E$75=1,IF(1=Element_Stiffness!$C$75,Element_Stiffness!Q107,IF(1=Element_Stiffness!$E$75,Element_Stiffness!W107,0)),0)),0)+IF(Element_Stiffness!$C$111,IF(Element_Stiffness!$C$110=1,IF(1=Element_Stiffness!$C$110,Element_Stiffness!Q136,IF(1=Element_Stiffness!$E$110,Element_Stiffness!W136,0)),IF(Element_Stiffness!$E$110=1,IF(1=Element_Stiffness!$C$110,Element_Stiffness!Q142,IF(1=Element_Stiffness!$E$110,Element_Stiffness!W142,0)),0)),0)+IF(Element_Stiffness!$C$146,IF(Element_Stiffness!$C$145=1,IF(1=Element_Stiffness!$C$145,Element_Stiffness!Q171,IF(1=Element_Stiffness!$E$145,Element_Stiffness!W171,0)),IF(Element_Stiffness!$E$145=1,IF(1=Element_Stiffness!$C$145,Element_Stiffness!Q177,IF(1=Element_Stiffness!$E$145,Element_Stiffness!W177,0)),0)),0)+IF(Element_Stiffness!$C$181,IF(Element_Stiffness!$C$180=1,IF(1=Element_Stiffness!$C$180,Element_Stiffness!Q206,IF(1=Element_Stiffness!$E$180,Element_Stiffness!W206,0)),IF(Element_Stiffness!$E$180=1,IF(1=Element_Stiffness!$C$180,Element_Stiffness!Q212,IF(1=Element_Stiffness!$E$180,Element_Stiffness!W212,0)),0)),0)+IF(Element_Stiffness!$C$216,IF(Element_Stiffness!$C$215=1,IF(1=Element_Stiffness!$C$215,Element_Stiffness!Q241,IF(1=Element_Stiffness!$E$215,Element_Stiffness!W241,0)),IF(Element_Stiffness!$E$215=1,IF(1=Element_Stiffness!$C$215,Element_Stiffness!Q247,IF(1=Element_Stiffness!$E$215,Element_Stiffness!W247,0)),0)),0)</f>
        <v/>
      </c>
      <c r="K16" s="21">
        <f>IF(Element_Stiffness!$C$6,IF(Element_Stiffness!$C$5=1,IF(1=Element_Stiffness!$C$5,Element_Stiffness!R31,IF(1=Element_Stiffness!$E$5,Element_Stiffness!X31,0)),IF(Element_Stiffness!$E$5=1,IF(1=Element_Stiffness!$C$5,Element_Stiffness!R37,IF(1=Element_Stiffness!$E$5,Element_Stiffness!X37,0)),0)),0)+IF(Element_Stiffness!$C$41,IF(Element_Stiffness!$C$40=1,IF(1=Element_Stiffness!$C$40,Element_Stiffness!R66,IF(1=Element_Stiffness!$E$40,Element_Stiffness!X66,0)),IF(Element_Stiffness!$E$40=1,IF(1=Element_Stiffness!$C$40,Element_Stiffness!R72,IF(1=Element_Stiffness!$E$40,Element_Stiffness!X72,0)),0)),0)+IF(Element_Stiffness!$C$76,IF(Element_Stiffness!$C$75=1,IF(1=Element_Stiffness!$C$75,Element_Stiffness!R101,IF(1=Element_Stiffness!$E$75,Element_Stiffness!X101,0)),IF(Element_Stiffness!$E$75=1,IF(1=Element_Stiffness!$C$75,Element_Stiffness!R107,IF(1=Element_Stiffness!$E$75,Element_Stiffness!X107,0)),0)),0)+IF(Element_Stiffness!$C$111,IF(Element_Stiffness!$C$110=1,IF(1=Element_Stiffness!$C$110,Element_Stiffness!R136,IF(1=Element_Stiffness!$E$110,Element_Stiffness!X136,0)),IF(Element_Stiffness!$E$110=1,IF(1=Element_Stiffness!$C$110,Element_Stiffness!R142,IF(1=Element_Stiffness!$E$110,Element_Stiffness!X142,0)),0)),0)+IF(Element_Stiffness!$C$146,IF(Element_Stiffness!$C$145=1,IF(1=Element_Stiffness!$C$145,Element_Stiffness!R171,IF(1=Element_Stiffness!$E$145,Element_Stiffness!X171,0)),IF(Element_Stiffness!$E$145=1,IF(1=Element_Stiffness!$C$145,Element_Stiffness!R177,IF(1=Element_Stiffness!$E$145,Element_Stiffness!X177,0)),0)),0)+IF(Element_Stiffness!$C$181,IF(Element_Stiffness!$C$180=1,IF(1=Element_Stiffness!$C$180,Element_Stiffness!R206,IF(1=Element_Stiffness!$E$180,Element_Stiffness!X206,0)),IF(Element_Stiffness!$E$180=1,IF(1=Element_Stiffness!$C$180,Element_Stiffness!R212,IF(1=Element_Stiffness!$E$180,Element_Stiffness!X212,0)),0)),0)+IF(Element_Stiffness!$C$216,IF(Element_Stiffness!$C$215=1,IF(1=Element_Stiffness!$C$215,Element_Stiffness!R241,IF(1=Element_Stiffness!$E$215,Element_Stiffness!X241,0)),IF(Element_Stiffness!$E$215=1,IF(1=Element_Stiffness!$C$215,Element_Stiffness!R247,IF(1=Element_Stiffness!$E$215,Element_Stiffness!X247,0)),0)),0)</f>
        <v/>
      </c>
      <c r="L16" s="21">
        <f>IF(Element_Stiffness!$C$6,IF(Element_Stiffness!$C$5=1,IF(1=Element_Stiffness!$C$5,Element_Stiffness!S31,IF(1=Element_Stiffness!$E$5,Element_Stiffness!Y31,0)),IF(Element_Stiffness!$E$5=1,IF(1=Element_Stiffness!$C$5,Element_Stiffness!S37,IF(1=Element_Stiffness!$E$5,Element_Stiffness!Y37,0)),0)),0)+IF(Element_Stiffness!$C$41,IF(Element_Stiffness!$C$40=1,IF(1=Element_Stiffness!$C$40,Element_Stiffness!S66,IF(1=Element_Stiffness!$E$40,Element_Stiffness!Y66,0)),IF(Element_Stiffness!$E$40=1,IF(1=Element_Stiffness!$C$40,Element_Stiffness!S72,IF(1=Element_Stiffness!$E$40,Element_Stiffness!Y72,0)),0)),0)+IF(Element_Stiffness!$C$76,IF(Element_Stiffness!$C$75=1,IF(1=Element_Stiffness!$C$75,Element_Stiffness!S101,IF(1=Element_Stiffness!$E$75,Element_Stiffness!Y101,0)),IF(Element_Stiffness!$E$75=1,IF(1=Element_Stiffness!$C$75,Element_Stiffness!S107,IF(1=Element_Stiffness!$E$75,Element_Stiffness!Y107,0)),0)),0)+IF(Element_Stiffness!$C$111,IF(Element_Stiffness!$C$110=1,IF(1=Element_Stiffness!$C$110,Element_Stiffness!S136,IF(1=Element_Stiffness!$E$110,Element_Stiffness!Y136,0)),IF(Element_Stiffness!$E$110=1,IF(1=Element_Stiffness!$C$110,Element_Stiffness!S142,IF(1=Element_Stiffness!$E$110,Element_Stiffness!Y142,0)),0)),0)+IF(Element_Stiffness!$C$146,IF(Element_Stiffness!$C$145=1,IF(1=Element_Stiffness!$C$145,Element_Stiffness!S171,IF(1=Element_Stiffness!$E$145,Element_Stiffness!Y171,0)),IF(Element_Stiffness!$E$145=1,IF(1=Element_Stiffness!$C$145,Element_Stiffness!S177,IF(1=Element_Stiffness!$E$145,Element_Stiffness!Y177,0)),0)),0)+IF(Element_Stiffness!$C$181,IF(Element_Stiffness!$C$180=1,IF(1=Element_Stiffness!$C$180,Element_Stiffness!S206,IF(1=Element_Stiffness!$E$180,Element_Stiffness!Y206,0)),IF(Element_Stiffness!$E$180=1,IF(1=Element_Stiffness!$C$180,Element_Stiffness!S212,IF(1=Element_Stiffness!$E$180,Element_Stiffness!Y212,0)),0)),0)+IF(Element_Stiffness!$C$216,IF(Element_Stiffness!$C$215=1,IF(1=Element_Stiffness!$C$215,Element_Stiffness!S241,IF(1=Element_Stiffness!$E$215,Element_Stiffness!Y241,0)),IF(Element_Stiffness!$E$215=1,IF(1=Element_Stiffness!$C$215,Element_Stiffness!S247,IF(1=Element_Stiffness!$E$215,Element_Stiffness!Y247,0)),0)),0)</f>
        <v/>
      </c>
      <c r="M16" s="21">
        <f>IF(Element_Stiffness!$C$6,IF(Element_Stiffness!$C$5=1,IF(1=Element_Stiffness!$C$5,Element_Stiffness!T31,IF(1=Element_Stiffness!$E$5,Element_Stiffness!Z31,0)),IF(Element_Stiffness!$E$5=1,IF(1=Element_Stiffness!$C$5,Element_Stiffness!T37,IF(1=Element_Stiffness!$E$5,Element_Stiffness!Z37,0)),0)),0)+IF(Element_Stiffness!$C$41,IF(Element_Stiffness!$C$40=1,IF(1=Element_Stiffness!$C$40,Element_Stiffness!T66,IF(1=Element_Stiffness!$E$40,Element_Stiffness!Z66,0)),IF(Element_Stiffness!$E$40=1,IF(1=Element_Stiffness!$C$40,Element_Stiffness!T72,IF(1=Element_Stiffness!$E$40,Element_Stiffness!Z72,0)),0)),0)+IF(Element_Stiffness!$C$76,IF(Element_Stiffness!$C$75=1,IF(1=Element_Stiffness!$C$75,Element_Stiffness!T101,IF(1=Element_Stiffness!$E$75,Element_Stiffness!Z101,0)),IF(Element_Stiffness!$E$75=1,IF(1=Element_Stiffness!$C$75,Element_Stiffness!T107,IF(1=Element_Stiffness!$E$75,Element_Stiffness!Z107,0)),0)),0)+IF(Element_Stiffness!$C$111,IF(Element_Stiffness!$C$110=1,IF(1=Element_Stiffness!$C$110,Element_Stiffness!T136,IF(1=Element_Stiffness!$E$110,Element_Stiffness!Z136,0)),IF(Element_Stiffness!$E$110=1,IF(1=Element_Stiffness!$C$110,Element_Stiffness!T142,IF(1=Element_Stiffness!$E$110,Element_Stiffness!Z142,0)),0)),0)+IF(Element_Stiffness!$C$146,IF(Element_Stiffness!$C$145=1,IF(1=Element_Stiffness!$C$145,Element_Stiffness!T171,IF(1=Element_Stiffness!$E$145,Element_Stiffness!Z171,0)),IF(Element_Stiffness!$E$145=1,IF(1=Element_Stiffness!$C$145,Element_Stiffness!T177,IF(1=Element_Stiffness!$E$145,Element_Stiffness!Z177,0)),0)),0)+IF(Element_Stiffness!$C$181,IF(Element_Stiffness!$C$180=1,IF(1=Element_Stiffness!$C$180,Element_Stiffness!T206,IF(1=Element_Stiffness!$E$180,Element_Stiffness!Z206,0)),IF(Element_Stiffness!$E$180=1,IF(1=Element_Stiffness!$C$180,Element_Stiffness!T212,IF(1=Element_Stiffness!$E$180,Element_Stiffness!Z212,0)),0)),0)+IF(Element_Stiffness!$C$216,IF(Element_Stiffness!$C$215=1,IF(1=Element_Stiffness!$C$215,Element_Stiffness!T241,IF(1=Element_Stiffness!$E$215,Element_Stiffness!Z241,0)),IF(Element_Stiffness!$E$215=1,IF(1=Element_Stiffness!$C$215,Element_Stiffness!T247,IF(1=Element_Stiffness!$E$215,Element_Stiffness!Z247,0)),0)),0)</f>
        <v/>
      </c>
      <c r="N16" s="21">
        <f>IF(Element_Stiffness!$C$6,IF(Element_Stiffness!$C$5=1,IF(1=Element_Stiffness!$C$5,Element_Stiffness!U31,IF(1=Element_Stiffness!$E$5,Element_Stiffness!AA31,0)),IF(Element_Stiffness!$E$5=1,IF(1=Element_Stiffness!$C$5,Element_Stiffness!U37,IF(1=Element_Stiffness!$E$5,Element_Stiffness!AA37,0)),0)),0)+IF(Element_Stiffness!$C$41,IF(Element_Stiffness!$C$40=1,IF(1=Element_Stiffness!$C$40,Element_Stiffness!U66,IF(1=Element_Stiffness!$E$40,Element_Stiffness!AA66,0)),IF(Element_Stiffness!$E$40=1,IF(1=Element_Stiffness!$C$40,Element_Stiffness!U72,IF(1=Element_Stiffness!$E$40,Element_Stiffness!AA72,0)),0)),0)+IF(Element_Stiffness!$C$76,IF(Element_Stiffness!$C$75=1,IF(1=Element_Stiffness!$C$75,Element_Stiffness!U101,IF(1=Element_Stiffness!$E$75,Element_Stiffness!AA101,0)),IF(Element_Stiffness!$E$75=1,IF(1=Element_Stiffness!$C$75,Element_Stiffness!U107,IF(1=Element_Stiffness!$E$75,Element_Stiffness!AA107,0)),0)),0)+IF(Element_Stiffness!$C$111,IF(Element_Stiffness!$C$110=1,IF(1=Element_Stiffness!$C$110,Element_Stiffness!U136,IF(1=Element_Stiffness!$E$110,Element_Stiffness!AA136,0)),IF(Element_Stiffness!$E$110=1,IF(1=Element_Stiffness!$C$110,Element_Stiffness!U142,IF(1=Element_Stiffness!$E$110,Element_Stiffness!AA142,0)),0)),0)+IF(Element_Stiffness!$C$146,IF(Element_Stiffness!$C$145=1,IF(1=Element_Stiffness!$C$145,Element_Stiffness!U171,IF(1=Element_Stiffness!$E$145,Element_Stiffness!AA171,0)),IF(Element_Stiffness!$E$145=1,IF(1=Element_Stiffness!$C$145,Element_Stiffness!U177,IF(1=Element_Stiffness!$E$145,Element_Stiffness!AA177,0)),0)),0)+IF(Element_Stiffness!$C$181,IF(Element_Stiffness!$C$180=1,IF(1=Element_Stiffness!$C$180,Element_Stiffness!U206,IF(1=Element_Stiffness!$E$180,Element_Stiffness!AA206,0)),IF(Element_Stiffness!$E$180=1,IF(1=Element_Stiffness!$C$180,Element_Stiffness!U212,IF(1=Element_Stiffness!$E$180,Element_Stiffness!AA212,0)),0)),0)+IF(Element_Stiffness!$C$216,IF(Element_Stiffness!$C$215=1,IF(1=Element_Stiffness!$C$215,Element_Stiffness!U241,IF(1=Element_Stiffness!$E$215,Element_Stiffness!AA241,0)),IF(Element_Stiffness!$E$215=1,IF(1=Element_Stiffness!$C$215,Element_Stiffness!U247,IF(1=Element_Stiffness!$E$215,Element_Stiffness!AA247,0)),0)),0)+IF(Inputs!H41=TRUE,1E15,IF(ISNUMBER(Inputs!H41),Inputs!H41,0))</f>
        <v/>
      </c>
      <c r="O16" s="21">
        <f>IF(Element_Stiffness!$C$6,IF(Element_Stiffness!$C$5=1,IF(2=Element_Stiffness!$C$5,Element_Stiffness!P31,IF(2=Element_Stiffness!$E$5,Element_Stiffness!V31,0)),IF(Element_Stiffness!$E$5=1,IF(2=Element_Stiffness!$C$5,Element_Stiffness!P37,IF(2=Element_Stiffness!$E$5,Element_Stiffness!V37,0)),0)),0)+IF(Element_Stiffness!$C$41,IF(Element_Stiffness!$C$40=1,IF(2=Element_Stiffness!$C$40,Element_Stiffness!P66,IF(2=Element_Stiffness!$E$40,Element_Stiffness!V66,0)),IF(Element_Stiffness!$E$40=1,IF(2=Element_Stiffness!$C$40,Element_Stiffness!P72,IF(2=Element_Stiffness!$E$40,Element_Stiffness!V72,0)),0)),0)+IF(Element_Stiffness!$C$76,IF(Element_Stiffness!$C$75=1,IF(2=Element_Stiffness!$C$75,Element_Stiffness!P101,IF(2=Element_Stiffness!$E$75,Element_Stiffness!V101,0)),IF(Element_Stiffness!$E$75=1,IF(2=Element_Stiffness!$C$75,Element_Stiffness!P107,IF(2=Element_Stiffness!$E$75,Element_Stiffness!V107,0)),0)),0)+IF(Element_Stiffness!$C$111,IF(Element_Stiffness!$C$110=1,IF(2=Element_Stiffness!$C$110,Element_Stiffness!P136,IF(2=Element_Stiffness!$E$110,Element_Stiffness!V136,0)),IF(Element_Stiffness!$E$110=1,IF(2=Element_Stiffness!$C$110,Element_Stiffness!P142,IF(2=Element_Stiffness!$E$110,Element_Stiffness!V142,0)),0)),0)+IF(Element_Stiffness!$C$146,IF(Element_Stiffness!$C$145=1,IF(2=Element_Stiffness!$C$145,Element_Stiffness!P171,IF(2=Element_Stiffness!$E$145,Element_Stiffness!V171,0)),IF(Element_Stiffness!$E$145=1,IF(2=Element_Stiffness!$C$145,Element_Stiffness!P177,IF(2=Element_Stiffness!$E$145,Element_Stiffness!V177,0)),0)),0)+IF(Element_Stiffness!$C$181,IF(Element_Stiffness!$C$180=1,IF(2=Element_Stiffness!$C$180,Element_Stiffness!P206,IF(2=Element_Stiffness!$E$180,Element_Stiffness!V206,0)),IF(Element_Stiffness!$E$180=1,IF(2=Element_Stiffness!$C$180,Element_Stiffness!P212,IF(2=Element_Stiffness!$E$180,Element_Stiffness!V212,0)),0)),0)+IF(Element_Stiffness!$C$216,IF(Element_Stiffness!$C$215=1,IF(2=Element_Stiffness!$C$215,Element_Stiffness!P241,IF(2=Element_Stiffness!$E$215,Element_Stiffness!V241,0)),IF(Element_Stiffness!$E$215=1,IF(2=Element_Stiffness!$C$215,Element_Stiffness!P247,IF(2=Element_Stiffness!$E$215,Element_Stiffness!V247,0)),0)),0)</f>
        <v/>
      </c>
      <c r="P16" s="21">
        <f>IF(Element_Stiffness!$C$6,IF(Element_Stiffness!$C$5=1,IF(2=Element_Stiffness!$C$5,Element_Stiffness!Q31,IF(2=Element_Stiffness!$E$5,Element_Stiffness!W31,0)),IF(Element_Stiffness!$E$5=1,IF(2=Element_Stiffness!$C$5,Element_Stiffness!Q37,IF(2=Element_Stiffness!$E$5,Element_Stiffness!W37,0)),0)),0)+IF(Element_Stiffness!$C$41,IF(Element_Stiffness!$C$40=1,IF(2=Element_Stiffness!$C$40,Element_Stiffness!Q66,IF(2=Element_Stiffness!$E$40,Element_Stiffness!W66,0)),IF(Element_Stiffness!$E$40=1,IF(2=Element_Stiffness!$C$40,Element_Stiffness!Q72,IF(2=Element_Stiffness!$E$40,Element_Stiffness!W72,0)),0)),0)+IF(Element_Stiffness!$C$76,IF(Element_Stiffness!$C$75=1,IF(2=Element_Stiffness!$C$75,Element_Stiffness!Q101,IF(2=Element_Stiffness!$E$75,Element_Stiffness!W101,0)),IF(Element_Stiffness!$E$75=1,IF(2=Element_Stiffness!$C$75,Element_Stiffness!Q107,IF(2=Element_Stiffness!$E$75,Element_Stiffness!W107,0)),0)),0)+IF(Element_Stiffness!$C$111,IF(Element_Stiffness!$C$110=1,IF(2=Element_Stiffness!$C$110,Element_Stiffness!Q136,IF(2=Element_Stiffness!$E$110,Element_Stiffness!W136,0)),IF(Element_Stiffness!$E$110=1,IF(2=Element_Stiffness!$C$110,Element_Stiffness!Q142,IF(2=Element_Stiffness!$E$110,Element_Stiffness!W142,0)),0)),0)+IF(Element_Stiffness!$C$146,IF(Element_Stiffness!$C$145=1,IF(2=Element_Stiffness!$C$145,Element_Stiffness!Q171,IF(2=Element_Stiffness!$E$145,Element_Stiffness!W171,0)),IF(Element_Stiffness!$E$145=1,IF(2=Element_Stiffness!$C$145,Element_Stiffness!Q177,IF(2=Element_Stiffness!$E$145,Element_Stiffness!W177,0)),0)),0)+IF(Element_Stiffness!$C$181,IF(Element_Stiffness!$C$180=1,IF(2=Element_Stiffness!$C$180,Element_Stiffness!Q206,IF(2=Element_Stiffness!$E$180,Element_Stiffness!W206,0)),IF(Element_Stiffness!$E$180=1,IF(2=Element_Stiffness!$C$180,Element_Stiffness!Q212,IF(2=Element_Stiffness!$E$180,Element_Stiffness!W212,0)),0)),0)+IF(Element_Stiffness!$C$216,IF(Element_Stiffness!$C$215=1,IF(2=Element_Stiffness!$C$215,Element_Stiffness!Q241,IF(2=Element_Stiffness!$E$215,Element_Stiffness!W241,0)),IF(Element_Stiffness!$E$215=1,IF(2=Element_Stiffness!$C$215,Element_Stiffness!Q247,IF(2=Element_Stiffness!$E$215,Element_Stiffness!W247,0)),0)),0)</f>
        <v/>
      </c>
      <c r="Q16" s="21">
        <f>IF(Element_Stiffness!$C$6,IF(Element_Stiffness!$C$5=1,IF(2=Element_Stiffness!$C$5,Element_Stiffness!R31,IF(2=Element_Stiffness!$E$5,Element_Stiffness!X31,0)),IF(Element_Stiffness!$E$5=1,IF(2=Element_Stiffness!$C$5,Element_Stiffness!R37,IF(2=Element_Stiffness!$E$5,Element_Stiffness!X37,0)),0)),0)+IF(Element_Stiffness!$C$41,IF(Element_Stiffness!$C$40=1,IF(2=Element_Stiffness!$C$40,Element_Stiffness!R66,IF(2=Element_Stiffness!$E$40,Element_Stiffness!X66,0)),IF(Element_Stiffness!$E$40=1,IF(2=Element_Stiffness!$C$40,Element_Stiffness!R72,IF(2=Element_Stiffness!$E$40,Element_Stiffness!X72,0)),0)),0)+IF(Element_Stiffness!$C$76,IF(Element_Stiffness!$C$75=1,IF(2=Element_Stiffness!$C$75,Element_Stiffness!R101,IF(2=Element_Stiffness!$E$75,Element_Stiffness!X101,0)),IF(Element_Stiffness!$E$75=1,IF(2=Element_Stiffness!$C$75,Element_Stiffness!R107,IF(2=Element_Stiffness!$E$75,Element_Stiffness!X107,0)),0)),0)+IF(Element_Stiffness!$C$111,IF(Element_Stiffness!$C$110=1,IF(2=Element_Stiffness!$C$110,Element_Stiffness!R136,IF(2=Element_Stiffness!$E$110,Element_Stiffness!X136,0)),IF(Element_Stiffness!$E$110=1,IF(2=Element_Stiffness!$C$110,Element_Stiffness!R142,IF(2=Element_Stiffness!$E$110,Element_Stiffness!X142,0)),0)),0)+IF(Element_Stiffness!$C$146,IF(Element_Stiffness!$C$145=1,IF(2=Element_Stiffness!$C$145,Element_Stiffness!R171,IF(2=Element_Stiffness!$E$145,Element_Stiffness!X171,0)),IF(Element_Stiffness!$E$145=1,IF(2=Element_Stiffness!$C$145,Element_Stiffness!R177,IF(2=Element_Stiffness!$E$145,Element_Stiffness!X177,0)),0)),0)+IF(Element_Stiffness!$C$181,IF(Element_Stiffness!$C$180=1,IF(2=Element_Stiffness!$C$180,Element_Stiffness!R206,IF(2=Element_Stiffness!$E$180,Element_Stiffness!X206,0)),IF(Element_Stiffness!$E$180=1,IF(2=Element_Stiffness!$C$180,Element_Stiffness!R212,IF(2=Element_Stiffness!$E$180,Element_Stiffness!X212,0)),0)),0)+IF(Element_Stiffness!$C$216,IF(Element_Stiffness!$C$215=1,IF(2=Element_Stiffness!$C$215,Element_Stiffness!R241,IF(2=Element_Stiffness!$E$215,Element_Stiffness!X241,0)),IF(Element_Stiffness!$E$215=1,IF(2=Element_Stiffness!$C$215,Element_Stiffness!R247,IF(2=Element_Stiffness!$E$215,Element_Stiffness!X247,0)),0)),0)</f>
        <v/>
      </c>
      <c r="R16" s="21">
        <f>IF(Element_Stiffness!$C$6,IF(Element_Stiffness!$C$5=1,IF(2=Element_Stiffness!$C$5,Element_Stiffness!S31,IF(2=Element_Stiffness!$E$5,Element_Stiffness!Y31,0)),IF(Element_Stiffness!$E$5=1,IF(2=Element_Stiffness!$C$5,Element_Stiffness!S37,IF(2=Element_Stiffness!$E$5,Element_Stiffness!Y37,0)),0)),0)+IF(Element_Stiffness!$C$41,IF(Element_Stiffness!$C$40=1,IF(2=Element_Stiffness!$C$40,Element_Stiffness!S66,IF(2=Element_Stiffness!$E$40,Element_Stiffness!Y66,0)),IF(Element_Stiffness!$E$40=1,IF(2=Element_Stiffness!$C$40,Element_Stiffness!S72,IF(2=Element_Stiffness!$E$40,Element_Stiffness!Y72,0)),0)),0)+IF(Element_Stiffness!$C$76,IF(Element_Stiffness!$C$75=1,IF(2=Element_Stiffness!$C$75,Element_Stiffness!S101,IF(2=Element_Stiffness!$E$75,Element_Stiffness!Y101,0)),IF(Element_Stiffness!$E$75=1,IF(2=Element_Stiffness!$C$75,Element_Stiffness!S107,IF(2=Element_Stiffness!$E$75,Element_Stiffness!Y107,0)),0)),0)+IF(Element_Stiffness!$C$111,IF(Element_Stiffness!$C$110=1,IF(2=Element_Stiffness!$C$110,Element_Stiffness!S136,IF(2=Element_Stiffness!$E$110,Element_Stiffness!Y136,0)),IF(Element_Stiffness!$E$110=1,IF(2=Element_Stiffness!$C$110,Element_Stiffness!S142,IF(2=Element_Stiffness!$E$110,Element_Stiffness!Y142,0)),0)),0)+IF(Element_Stiffness!$C$146,IF(Element_Stiffness!$C$145=1,IF(2=Element_Stiffness!$C$145,Element_Stiffness!S171,IF(2=Element_Stiffness!$E$145,Element_Stiffness!Y171,0)),IF(Element_Stiffness!$E$145=1,IF(2=Element_Stiffness!$C$145,Element_Stiffness!S177,IF(2=Element_Stiffness!$E$145,Element_Stiffness!Y177,0)),0)),0)+IF(Element_Stiffness!$C$181,IF(Element_Stiffness!$C$180=1,IF(2=Element_Stiffness!$C$180,Element_Stiffness!S206,IF(2=Element_Stiffness!$E$180,Element_Stiffness!Y206,0)),IF(Element_Stiffness!$E$180=1,IF(2=Element_Stiffness!$C$180,Element_Stiffness!S212,IF(2=Element_Stiffness!$E$180,Element_Stiffness!Y212,0)),0)),0)+IF(Element_Stiffness!$C$216,IF(Element_Stiffness!$C$215=1,IF(2=Element_Stiffness!$C$215,Element_Stiffness!S241,IF(2=Element_Stiffness!$E$215,Element_Stiffness!Y241,0)),IF(Element_Stiffness!$E$215=1,IF(2=Element_Stiffness!$C$215,Element_Stiffness!S247,IF(2=Element_Stiffness!$E$215,Element_Stiffness!Y247,0)),0)),0)</f>
        <v/>
      </c>
      <c r="S16" s="21">
        <f>IF(Element_Stiffness!$C$6,IF(Element_Stiffness!$C$5=1,IF(2=Element_Stiffness!$C$5,Element_Stiffness!T31,IF(2=Element_Stiffness!$E$5,Element_Stiffness!Z31,0)),IF(Element_Stiffness!$E$5=1,IF(2=Element_Stiffness!$C$5,Element_Stiffness!T37,IF(2=Element_Stiffness!$E$5,Element_Stiffness!Z37,0)),0)),0)+IF(Element_Stiffness!$C$41,IF(Element_Stiffness!$C$40=1,IF(2=Element_Stiffness!$C$40,Element_Stiffness!T66,IF(2=Element_Stiffness!$E$40,Element_Stiffness!Z66,0)),IF(Element_Stiffness!$E$40=1,IF(2=Element_Stiffness!$C$40,Element_Stiffness!T72,IF(2=Element_Stiffness!$E$40,Element_Stiffness!Z72,0)),0)),0)+IF(Element_Stiffness!$C$76,IF(Element_Stiffness!$C$75=1,IF(2=Element_Stiffness!$C$75,Element_Stiffness!T101,IF(2=Element_Stiffness!$E$75,Element_Stiffness!Z101,0)),IF(Element_Stiffness!$E$75=1,IF(2=Element_Stiffness!$C$75,Element_Stiffness!T107,IF(2=Element_Stiffness!$E$75,Element_Stiffness!Z107,0)),0)),0)+IF(Element_Stiffness!$C$111,IF(Element_Stiffness!$C$110=1,IF(2=Element_Stiffness!$C$110,Element_Stiffness!T136,IF(2=Element_Stiffness!$E$110,Element_Stiffness!Z136,0)),IF(Element_Stiffness!$E$110=1,IF(2=Element_Stiffness!$C$110,Element_Stiffness!T142,IF(2=Element_Stiffness!$E$110,Element_Stiffness!Z142,0)),0)),0)+IF(Element_Stiffness!$C$146,IF(Element_Stiffness!$C$145=1,IF(2=Element_Stiffness!$C$145,Element_Stiffness!T171,IF(2=Element_Stiffness!$E$145,Element_Stiffness!Z171,0)),IF(Element_Stiffness!$E$145=1,IF(2=Element_Stiffness!$C$145,Element_Stiffness!T177,IF(2=Element_Stiffness!$E$145,Element_Stiffness!Z177,0)),0)),0)+IF(Element_Stiffness!$C$181,IF(Element_Stiffness!$C$180=1,IF(2=Element_Stiffness!$C$180,Element_Stiffness!T206,IF(2=Element_Stiffness!$E$180,Element_Stiffness!Z206,0)),IF(Element_Stiffness!$E$180=1,IF(2=Element_Stiffness!$C$180,Element_Stiffness!T212,IF(2=Element_Stiffness!$E$180,Element_Stiffness!Z212,0)),0)),0)+IF(Element_Stiffness!$C$216,IF(Element_Stiffness!$C$215=1,IF(2=Element_Stiffness!$C$215,Element_Stiffness!T241,IF(2=Element_Stiffness!$E$215,Element_Stiffness!Z241,0)),IF(Element_Stiffness!$E$215=1,IF(2=Element_Stiffness!$C$215,Element_Stiffness!T247,IF(2=Element_Stiffness!$E$215,Element_Stiffness!Z247,0)),0)),0)</f>
        <v/>
      </c>
      <c r="T16" s="21">
        <f>IF(Element_Stiffness!$C$6,IF(Element_Stiffness!$C$5=1,IF(2=Element_Stiffness!$C$5,Element_Stiffness!U31,IF(2=Element_Stiffness!$E$5,Element_Stiffness!AA31,0)),IF(Element_Stiffness!$E$5=1,IF(2=Element_Stiffness!$C$5,Element_Stiffness!U37,IF(2=Element_Stiffness!$E$5,Element_Stiffness!AA37,0)),0)),0)+IF(Element_Stiffness!$C$41,IF(Element_Stiffness!$C$40=1,IF(2=Element_Stiffness!$C$40,Element_Stiffness!U66,IF(2=Element_Stiffness!$E$40,Element_Stiffness!AA66,0)),IF(Element_Stiffness!$E$40=1,IF(2=Element_Stiffness!$C$40,Element_Stiffness!U72,IF(2=Element_Stiffness!$E$40,Element_Stiffness!AA72,0)),0)),0)+IF(Element_Stiffness!$C$76,IF(Element_Stiffness!$C$75=1,IF(2=Element_Stiffness!$C$75,Element_Stiffness!U101,IF(2=Element_Stiffness!$E$75,Element_Stiffness!AA101,0)),IF(Element_Stiffness!$E$75=1,IF(2=Element_Stiffness!$C$75,Element_Stiffness!U107,IF(2=Element_Stiffness!$E$75,Element_Stiffness!AA107,0)),0)),0)+IF(Element_Stiffness!$C$111,IF(Element_Stiffness!$C$110=1,IF(2=Element_Stiffness!$C$110,Element_Stiffness!U136,IF(2=Element_Stiffness!$E$110,Element_Stiffness!AA136,0)),IF(Element_Stiffness!$E$110=1,IF(2=Element_Stiffness!$C$110,Element_Stiffness!U142,IF(2=Element_Stiffness!$E$110,Element_Stiffness!AA142,0)),0)),0)+IF(Element_Stiffness!$C$146,IF(Element_Stiffness!$C$145=1,IF(2=Element_Stiffness!$C$145,Element_Stiffness!U171,IF(2=Element_Stiffness!$E$145,Element_Stiffness!AA171,0)),IF(Element_Stiffness!$E$145=1,IF(2=Element_Stiffness!$C$145,Element_Stiffness!U177,IF(2=Element_Stiffness!$E$145,Element_Stiffness!AA177,0)),0)),0)+IF(Element_Stiffness!$C$181,IF(Element_Stiffness!$C$180=1,IF(2=Element_Stiffness!$C$180,Element_Stiffness!U206,IF(2=Element_Stiffness!$E$180,Element_Stiffness!AA206,0)),IF(Element_Stiffness!$E$180=1,IF(2=Element_Stiffness!$C$180,Element_Stiffness!U212,IF(2=Element_Stiffness!$E$180,Element_Stiffness!AA212,0)),0)),0)+IF(Element_Stiffness!$C$216,IF(Element_Stiffness!$C$215=1,IF(2=Element_Stiffness!$C$215,Element_Stiffness!U241,IF(2=Element_Stiffness!$E$215,Element_Stiffness!AA241,0)),IF(Element_Stiffness!$E$215=1,IF(2=Element_Stiffness!$C$215,Element_Stiffness!U247,IF(2=Element_Stiffness!$E$215,Element_Stiffness!AA247,0)),0)),0)</f>
        <v/>
      </c>
      <c r="U16" s="21">
        <f>IF(Element_Stiffness!$C$6,IF(Element_Stiffness!$C$5=1,IF(3=Element_Stiffness!$C$5,Element_Stiffness!P31,IF(3=Element_Stiffness!$E$5,Element_Stiffness!V31,0)),IF(Element_Stiffness!$E$5=1,IF(3=Element_Stiffness!$C$5,Element_Stiffness!P37,IF(3=Element_Stiffness!$E$5,Element_Stiffness!V37,0)),0)),0)+IF(Element_Stiffness!$C$41,IF(Element_Stiffness!$C$40=1,IF(3=Element_Stiffness!$C$40,Element_Stiffness!P66,IF(3=Element_Stiffness!$E$40,Element_Stiffness!V66,0)),IF(Element_Stiffness!$E$40=1,IF(3=Element_Stiffness!$C$40,Element_Stiffness!P72,IF(3=Element_Stiffness!$E$40,Element_Stiffness!V72,0)),0)),0)+IF(Element_Stiffness!$C$76,IF(Element_Stiffness!$C$75=1,IF(3=Element_Stiffness!$C$75,Element_Stiffness!P101,IF(3=Element_Stiffness!$E$75,Element_Stiffness!V101,0)),IF(Element_Stiffness!$E$75=1,IF(3=Element_Stiffness!$C$75,Element_Stiffness!P107,IF(3=Element_Stiffness!$E$75,Element_Stiffness!V107,0)),0)),0)+IF(Element_Stiffness!$C$111,IF(Element_Stiffness!$C$110=1,IF(3=Element_Stiffness!$C$110,Element_Stiffness!P136,IF(3=Element_Stiffness!$E$110,Element_Stiffness!V136,0)),IF(Element_Stiffness!$E$110=1,IF(3=Element_Stiffness!$C$110,Element_Stiffness!P142,IF(3=Element_Stiffness!$E$110,Element_Stiffness!V142,0)),0)),0)+IF(Element_Stiffness!$C$146,IF(Element_Stiffness!$C$145=1,IF(3=Element_Stiffness!$C$145,Element_Stiffness!P171,IF(3=Element_Stiffness!$E$145,Element_Stiffness!V171,0)),IF(Element_Stiffness!$E$145=1,IF(3=Element_Stiffness!$C$145,Element_Stiffness!P177,IF(3=Element_Stiffness!$E$145,Element_Stiffness!V177,0)),0)),0)+IF(Element_Stiffness!$C$181,IF(Element_Stiffness!$C$180=1,IF(3=Element_Stiffness!$C$180,Element_Stiffness!P206,IF(3=Element_Stiffness!$E$180,Element_Stiffness!V206,0)),IF(Element_Stiffness!$E$180=1,IF(3=Element_Stiffness!$C$180,Element_Stiffness!P212,IF(3=Element_Stiffness!$E$180,Element_Stiffness!V212,0)),0)),0)+IF(Element_Stiffness!$C$216,IF(Element_Stiffness!$C$215=1,IF(3=Element_Stiffness!$C$215,Element_Stiffness!P241,IF(3=Element_Stiffness!$E$215,Element_Stiffness!V241,0)),IF(Element_Stiffness!$E$215=1,IF(3=Element_Stiffness!$C$215,Element_Stiffness!P247,IF(3=Element_Stiffness!$E$215,Element_Stiffness!V247,0)),0)),0)</f>
        <v/>
      </c>
      <c r="V16" s="21">
        <f>IF(Element_Stiffness!$C$6,IF(Element_Stiffness!$C$5=1,IF(3=Element_Stiffness!$C$5,Element_Stiffness!Q31,IF(3=Element_Stiffness!$E$5,Element_Stiffness!W31,0)),IF(Element_Stiffness!$E$5=1,IF(3=Element_Stiffness!$C$5,Element_Stiffness!Q37,IF(3=Element_Stiffness!$E$5,Element_Stiffness!W37,0)),0)),0)+IF(Element_Stiffness!$C$41,IF(Element_Stiffness!$C$40=1,IF(3=Element_Stiffness!$C$40,Element_Stiffness!Q66,IF(3=Element_Stiffness!$E$40,Element_Stiffness!W66,0)),IF(Element_Stiffness!$E$40=1,IF(3=Element_Stiffness!$C$40,Element_Stiffness!Q72,IF(3=Element_Stiffness!$E$40,Element_Stiffness!W72,0)),0)),0)+IF(Element_Stiffness!$C$76,IF(Element_Stiffness!$C$75=1,IF(3=Element_Stiffness!$C$75,Element_Stiffness!Q101,IF(3=Element_Stiffness!$E$75,Element_Stiffness!W101,0)),IF(Element_Stiffness!$E$75=1,IF(3=Element_Stiffness!$C$75,Element_Stiffness!Q107,IF(3=Element_Stiffness!$E$75,Element_Stiffness!W107,0)),0)),0)+IF(Element_Stiffness!$C$111,IF(Element_Stiffness!$C$110=1,IF(3=Element_Stiffness!$C$110,Element_Stiffness!Q136,IF(3=Element_Stiffness!$E$110,Element_Stiffness!W136,0)),IF(Element_Stiffness!$E$110=1,IF(3=Element_Stiffness!$C$110,Element_Stiffness!Q142,IF(3=Element_Stiffness!$E$110,Element_Stiffness!W142,0)),0)),0)+IF(Element_Stiffness!$C$146,IF(Element_Stiffness!$C$145=1,IF(3=Element_Stiffness!$C$145,Element_Stiffness!Q171,IF(3=Element_Stiffness!$E$145,Element_Stiffness!W171,0)),IF(Element_Stiffness!$E$145=1,IF(3=Element_Stiffness!$C$145,Element_Stiffness!Q177,IF(3=Element_Stiffness!$E$145,Element_Stiffness!W177,0)),0)),0)+IF(Element_Stiffness!$C$181,IF(Element_Stiffness!$C$180=1,IF(3=Element_Stiffness!$C$180,Element_Stiffness!Q206,IF(3=Element_Stiffness!$E$180,Element_Stiffness!W206,0)),IF(Element_Stiffness!$E$180=1,IF(3=Element_Stiffness!$C$180,Element_Stiffness!Q212,IF(3=Element_Stiffness!$E$180,Element_Stiffness!W212,0)),0)),0)+IF(Element_Stiffness!$C$216,IF(Element_Stiffness!$C$215=1,IF(3=Element_Stiffness!$C$215,Element_Stiffness!Q241,IF(3=Element_Stiffness!$E$215,Element_Stiffness!W241,0)),IF(Element_Stiffness!$E$215=1,IF(3=Element_Stiffness!$C$215,Element_Stiffness!Q247,IF(3=Element_Stiffness!$E$215,Element_Stiffness!W247,0)),0)),0)</f>
        <v/>
      </c>
      <c r="W16" s="21">
        <f>IF(Element_Stiffness!$C$6,IF(Element_Stiffness!$C$5=1,IF(3=Element_Stiffness!$C$5,Element_Stiffness!R31,IF(3=Element_Stiffness!$E$5,Element_Stiffness!X31,0)),IF(Element_Stiffness!$E$5=1,IF(3=Element_Stiffness!$C$5,Element_Stiffness!R37,IF(3=Element_Stiffness!$E$5,Element_Stiffness!X37,0)),0)),0)+IF(Element_Stiffness!$C$41,IF(Element_Stiffness!$C$40=1,IF(3=Element_Stiffness!$C$40,Element_Stiffness!R66,IF(3=Element_Stiffness!$E$40,Element_Stiffness!X66,0)),IF(Element_Stiffness!$E$40=1,IF(3=Element_Stiffness!$C$40,Element_Stiffness!R72,IF(3=Element_Stiffness!$E$40,Element_Stiffness!X72,0)),0)),0)+IF(Element_Stiffness!$C$76,IF(Element_Stiffness!$C$75=1,IF(3=Element_Stiffness!$C$75,Element_Stiffness!R101,IF(3=Element_Stiffness!$E$75,Element_Stiffness!X101,0)),IF(Element_Stiffness!$E$75=1,IF(3=Element_Stiffness!$C$75,Element_Stiffness!R107,IF(3=Element_Stiffness!$E$75,Element_Stiffness!X107,0)),0)),0)+IF(Element_Stiffness!$C$111,IF(Element_Stiffness!$C$110=1,IF(3=Element_Stiffness!$C$110,Element_Stiffness!R136,IF(3=Element_Stiffness!$E$110,Element_Stiffness!X136,0)),IF(Element_Stiffness!$E$110=1,IF(3=Element_Stiffness!$C$110,Element_Stiffness!R142,IF(3=Element_Stiffness!$E$110,Element_Stiffness!X142,0)),0)),0)+IF(Element_Stiffness!$C$146,IF(Element_Stiffness!$C$145=1,IF(3=Element_Stiffness!$C$145,Element_Stiffness!R171,IF(3=Element_Stiffness!$E$145,Element_Stiffness!X171,0)),IF(Element_Stiffness!$E$145=1,IF(3=Element_Stiffness!$C$145,Element_Stiffness!R177,IF(3=Element_Stiffness!$E$145,Element_Stiffness!X177,0)),0)),0)+IF(Element_Stiffness!$C$181,IF(Element_Stiffness!$C$180=1,IF(3=Element_Stiffness!$C$180,Element_Stiffness!R206,IF(3=Element_Stiffness!$E$180,Element_Stiffness!X206,0)),IF(Element_Stiffness!$E$180=1,IF(3=Element_Stiffness!$C$180,Element_Stiffness!R212,IF(3=Element_Stiffness!$E$180,Element_Stiffness!X212,0)),0)),0)+IF(Element_Stiffness!$C$216,IF(Element_Stiffness!$C$215=1,IF(3=Element_Stiffness!$C$215,Element_Stiffness!R241,IF(3=Element_Stiffness!$E$215,Element_Stiffness!X241,0)),IF(Element_Stiffness!$E$215=1,IF(3=Element_Stiffness!$C$215,Element_Stiffness!R247,IF(3=Element_Stiffness!$E$215,Element_Stiffness!X247,0)),0)),0)</f>
        <v/>
      </c>
      <c r="X16" s="21">
        <f>IF(Element_Stiffness!$C$6,IF(Element_Stiffness!$C$5=1,IF(3=Element_Stiffness!$C$5,Element_Stiffness!S31,IF(3=Element_Stiffness!$E$5,Element_Stiffness!Y31,0)),IF(Element_Stiffness!$E$5=1,IF(3=Element_Stiffness!$C$5,Element_Stiffness!S37,IF(3=Element_Stiffness!$E$5,Element_Stiffness!Y37,0)),0)),0)+IF(Element_Stiffness!$C$41,IF(Element_Stiffness!$C$40=1,IF(3=Element_Stiffness!$C$40,Element_Stiffness!S66,IF(3=Element_Stiffness!$E$40,Element_Stiffness!Y66,0)),IF(Element_Stiffness!$E$40=1,IF(3=Element_Stiffness!$C$40,Element_Stiffness!S72,IF(3=Element_Stiffness!$E$40,Element_Stiffness!Y72,0)),0)),0)+IF(Element_Stiffness!$C$76,IF(Element_Stiffness!$C$75=1,IF(3=Element_Stiffness!$C$75,Element_Stiffness!S101,IF(3=Element_Stiffness!$E$75,Element_Stiffness!Y101,0)),IF(Element_Stiffness!$E$75=1,IF(3=Element_Stiffness!$C$75,Element_Stiffness!S107,IF(3=Element_Stiffness!$E$75,Element_Stiffness!Y107,0)),0)),0)+IF(Element_Stiffness!$C$111,IF(Element_Stiffness!$C$110=1,IF(3=Element_Stiffness!$C$110,Element_Stiffness!S136,IF(3=Element_Stiffness!$E$110,Element_Stiffness!Y136,0)),IF(Element_Stiffness!$E$110=1,IF(3=Element_Stiffness!$C$110,Element_Stiffness!S142,IF(3=Element_Stiffness!$E$110,Element_Stiffness!Y142,0)),0)),0)+IF(Element_Stiffness!$C$146,IF(Element_Stiffness!$C$145=1,IF(3=Element_Stiffness!$C$145,Element_Stiffness!S171,IF(3=Element_Stiffness!$E$145,Element_Stiffness!Y171,0)),IF(Element_Stiffness!$E$145=1,IF(3=Element_Stiffness!$C$145,Element_Stiffness!S177,IF(3=Element_Stiffness!$E$145,Element_Stiffness!Y177,0)),0)),0)+IF(Element_Stiffness!$C$181,IF(Element_Stiffness!$C$180=1,IF(3=Element_Stiffness!$C$180,Element_Stiffness!S206,IF(3=Element_Stiffness!$E$180,Element_Stiffness!Y206,0)),IF(Element_Stiffness!$E$180=1,IF(3=Element_Stiffness!$C$180,Element_Stiffness!S212,IF(3=Element_Stiffness!$E$180,Element_Stiffness!Y212,0)),0)),0)+IF(Element_Stiffness!$C$216,IF(Element_Stiffness!$C$215=1,IF(3=Element_Stiffness!$C$215,Element_Stiffness!S241,IF(3=Element_Stiffness!$E$215,Element_Stiffness!Y241,0)),IF(Element_Stiffness!$E$215=1,IF(3=Element_Stiffness!$C$215,Element_Stiffness!S247,IF(3=Element_Stiffness!$E$215,Element_Stiffness!Y247,0)),0)),0)</f>
        <v/>
      </c>
      <c r="Y16" s="21">
        <f>IF(Element_Stiffness!$C$6,IF(Element_Stiffness!$C$5=1,IF(3=Element_Stiffness!$C$5,Element_Stiffness!T31,IF(3=Element_Stiffness!$E$5,Element_Stiffness!Z31,0)),IF(Element_Stiffness!$E$5=1,IF(3=Element_Stiffness!$C$5,Element_Stiffness!T37,IF(3=Element_Stiffness!$E$5,Element_Stiffness!Z37,0)),0)),0)+IF(Element_Stiffness!$C$41,IF(Element_Stiffness!$C$40=1,IF(3=Element_Stiffness!$C$40,Element_Stiffness!T66,IF(3=Element_Stiffness!$E$40,Element_Stiffness!Z66,0)),IF(Element_Stiffness!$E$40=1,IF(3=Element_Stiffness!$C$40,Element_Stiffness!T72,IF(3=Element_Stiffness!$E$40,Element_Stiffness!Z72,0)),0)),0)+IF(Element_Stiffness!$C$76,IF(Element_Stiffness!$C$75=1,IF(3=Element_Stiffness!$C$75,Element_Stiffness!T101,IF(3=Element_Stiffness!$E$75,Element_Stiffness!Z101,0)),IF(Element_Stiffness!$E$75=1,IF(3=Element_Stiffness!$C$75,Element_Stiffness!T107,IF(3=Element_Stiffness!$E$75,Element_Stiffness!Z107,0)),0)),0)+IF(Element_Stiffness!$C$111,IF(Element_Stiffness!$C$110=1,IF(3=Element_Stiffness!$C$110,Element_Stiffness!T136,IF(3=Element_Stiffness!$E$110,Element_Stiffness!Z136,0)),IF(Element_Stiffness!$E$110=1,IF(3=Element_Stiffness!$C$110,Element_Stiffness!T142,IF(3=Element_Stiffness!$E$110,Element_Stiffness!Z142,0)),0)),0)+IF(Element_Stiffness!$C$146,IF(Element_Stiffness!$C$145=1,IF(3=Element_Stiffness!$C$145,Element_Stiffness!T171,IF(3=Element_Stiffness!$E$145,Element_Stiffness!Z171,0)),IF(Element_Stiffness!$E$145=1,IF(3=Element_Stiffness!$C$145,Element_Stiffness!T177,IF(3=Element_Stiffness!$E$145,Element_Stiffness!Z177,0)),0)),0)+IF(Element_Stiffness!$C$181,IF(Element_Stiffness!$C$180=1,IF(3=Element_Stiffness!$C$180,Element_Stiffness!T206,IF(3=Element_Stiffness!$E$180,Element_Stiffness!Z206,0)),IF(Element_Stiffness!$E$180=1,IF(3=Element_Stiffness!$C$180,Element_Stiffness!T212,IF(3=Element_Stiffness!$E$180,Element_Stiffness!Z212,0)),0)),0)+IF(Element_Stiffness!$C$216,IF(Element_Stiffness!$C$215=1,IF(3=Element_Stiffness!$C$215,Element_Stiffness!T241,IF(3=Element_Stiffness!$E$215,Element_Stiffness!Z241,0)),IF(Element_Stiffness!$E$215=1,IF(3=Element_Stiffness!$C$215,Element_Stiffness!T247,IF(3=Element_Stiffness!$E$215,Element_Stiffness!Z247,0)),0)),0)</f>
        <v/>
      </c>
      <c r="Z16" s="21">
        <f>IF(Element_Stiffness!$C$6,IF(Element_Stiffness!$C$5=1,IF(3=Element_Stiffness!$C$5,Element_Stiffness!U31,IF(3=Element_Stiffness!$E$5,Element_Stiffness!AA31,0)),IF(Element_Stiffness!$E$5=1,IF(3=Element_Stiffness!$C$5,Element_Stiffness!U37,IF(3=Element_Stiffness!$E$5,Element_Stiffness!AA37,0)),0)),0)+IF(Element_Stiffness!$C$41,IF(Element_Stiffness!$C$40=1,IF(3=Element_Stiffness!$C$40,Element_Stiffness!U66,IF(3=Element_Stiffness!$E$40,Element_Stiffness!AA66,0)),IF(Element_Stiffness!$E$40=1,IF(3=Element_Stiffness!$C$40,Element_Stiffness!U72,IF(3=Element_Stiffness!$E$40,Element_Stiffness!AA72,0)),0)),0)+IF(Element_Stiffness!$C$76,IF(Element_Stiffness!$C$75=1,IF(3=Element_Stiffness!$C$75,Element_Stiffness!U101,IF(3=Element_Stiffness!$E$75,Element_Stiffness!AA101,0)),IF(Element_Stiffness!$E$75=1,IF(3=Element_Stiffness!$C$75,Element_Stiffness!U107,IF(3=Element_Stiffness!$E$75,Element_Stiffness!AA107,0)),0)),0)+IF(Element_Stiffness!$C$111,IF(Element_Stiffness!$C$110=1,IF(3=Element_Stiffness!$C$110,Element_Stiffness!U136,IF(3=Element_Stiffness!$E$110,Element_Stiffness!AA136,0)),IF(Element_Stiffness!$E$110=1,IF(3=Element_Stiffness!$C$110,Element_Stiffness!U142,IF(3=Element_Stiffness!$E$110,Element_Stiffness!AA142,0)),0)),0)+IF(Element_Stiffness!$C$146,IF(Element_Stiffness!$C$145=1,IF(3=Element_Stiffness!$C$145,Element_Stiffness!U171,IF(3=Element_Stiffness!$E$145,Element_Stiffness!AA171,0)),IF(Element_Stiffness!$E$145=1,IF(3=Element_Stiffness!$C$145,Element_Stiffness!U177,IF(3=Element_Stiffness!$E$145,Element_Stiffness!AA177,0)),0)),0)+IF(Element_Stiffness!$C$181,IF(Element_Stiffness!$C$180=1,IF(3=Element_Stiffness!$C$180,Element_Stiffness!U206,IF(3=Element_Stiffness!$E$180,Element_Stiffness!AA206,0)),IF(Element_Stiffness!$E$180=1,IF(3=Element_Stiffness!$C$180,Element_Stiffness!U212,IF(3=Element_Stiffness!$E$180,Element_Stiffness!AA212,0)),0)),0)+IF(Element_Stiffness!$C$216,IF(Element_Stiffness!$C$215=1,IF(3=Element_Stiffness!$C$215,Element_Stiffness!U241,IF(3=Element_Stiffness!$E$215,Element_Stiffness!AA241,0)),IF(Element_Stiffness!$E$215=1,IF(3=Element_Stiffness!$C$215,Element_Stiffness!U247,IF(3=Element_Stiffness!$E$215,Element_Stiffness!AA247,0)),0)),0)</f>
        <v/>
      </c>
      <c r="AA16" s="21">
        <f>IF(Element_Stiffness!$C$6,IF(Element_Stiffness!$C$5=1,IF(4=Element_Stiffness!$C$5,Element_Stiffness!P31,IF(4=Element_Stiffness!$E$5,Element_Stiffness!V31,0)),IF(Element_Stiffness!$E$5=1,IF(4=Element_Stiffness!$C$5,Element_Stiffness!P37,IF(4=Element_Stiffness!$E$5,Element_Stiffness!V37,0)),0)),0)+IF(Element_Stiffness!$C$41,IF(Element_Stiffness!$C$40=1,IF(4=Element_Stiffness!$C$40,Element_Stiffness!P66,IF(4=Element_Stiffness!$E$40,Element_Stiffness!V66,0)),IF(Element_Stiffness!$E$40=1,IF(4=Element_Stiffness!$C$40,Element_Stiffness!P72,IF(4=Element_Stiffness!$E$40,Element_Stiffness!V72,0)),0)),0)+IF(Element_Stiffness!$C$76,IF(Element_Stiffness!$C$75=1,IF(4=Element_Stiffness!$C$75,Element_Stiffness!P101,IF(4=Element_Stiffness!$E$75,Element_Stiffness!V101,0)),IF(Element_Stiffness!$E$75=1,IF(4=Element_Stiffness!$C$75,Element_Stiffness!P107,IF(4=Element_Stiffness!$E$75,Element_Stiffness!V107,0)),0)),0)+IF(Element_Stiffness!$C$111,IF(Element_Stiffness!$C$110=1,IF(4=Element_Stiffness!$C$110,Element_Stiffness!P136,IF(4=Element_Stiffness!$E$110,Element_Stiffness!V136,0)),IF(Element_Stiffness!$E$110=1,IF(4=Element_Stiffness!$C$110,Element_Stiffness!P142,IF(4=Element_Stiffness!$E$110,Element_Stiffness!V142,0)),0)),0)+IF(Element_Stiffness!$C$146,IF(Element_Stiffness!$C$145=1,IF(4=Element_Stiffness!$C$145,Element_Stiffness!P171,IF(4=Element_Stiffness!$E$145,Element_Stiffness!V171,0)),IF(Element_Stiffness!$E$145=1,IF(4=Element_Stiffness!$C$145,Element_Stiffness!P177,IF(4=Element_Stiffness!$E$145,Element_Stiffness!V177,0)),0)),0)+IF(Element_Stiffness!$C$181,IF(Element_Stiffness!$C$180=1,IF(4=Element_Stiffness!$C$180,Element_Stiffness!P206,IF(4=Element_Stiffness!$E$180,Element_Stiffness!V206,0)),IF(Element_Stiffness!$E$180=1,IF(4=Element_Stiffness!$C$180,Element_Stiffness!P212,IF(4=Element_Stiffness!$E$180,Element_Stiffness!V212,0)),0)),0)+IF(Element_Stiffness!$C$216,IF(Element_Stiffness!$C$215=1,IF(4=Element_Stiffness!$C$215,Element_Stiffness!P241,IF(4=Element_Stiffness!$E$215,Element_Stiffness!V241,0)),IF(Element_Stiffness!$E$215=1,IF(4=Element_Stiffness!$C$215,Element_Stiffness!P247,IF(4=Element_Stiffness!$E$215,Element_Stiffness!V247,0)),0)),0)</f>
        <v/>
      </c>
      <c r="AB16" s="21">
        <f>IF(Element_Stiffness!$C$6,IF(Element_Stiffness!$C$5=1,IF(4=Element_Stiffness!$C$5,Element_Stiffness!Q31,IF(4=Element_Stiffness!$E$5,Element_Stiffness!W31,0)),IF(Element_Stiffness!$E$5=1,IF(4=Element_Stiffness!$C$5,Element_Stiffness!Q37,IF(4=Element_Stiffness!$E$5,Element_Stiffness!W37,0)),0)),0)+IF(Element_Stiffness!$C$41,IF(Element_Stiffness!$C$40=1,IF(4=Element_Stiffness!$C$40,Element_Stiffness!Q66,IF(4=Element_Stiffness!$E$40,Element_Stiffness!W66,0)),IF(Element_Stiffness!$E$40=1,IF(4=Element_Stiffness!$C$40,Element_Stiffness!Q72,IF(4=Element_Stiffness!$E$40,Element_Stiffness!W72,0)),0)),0)+IF(Element_Stiffness!$C$76,IF(Element_Stiffness!$C$75=1,IF(4=Element_Stiffness!$C$75,Element_Stiffness!Q101,IF(4=Element_Stiffness!$E$75,Element_Stiffness!W101,0)),IF(Element_Stiffness!$E$75=1,IF(4=Element_Stiffness!$C$75,Element_Stiffness!Q107,IF(4=Element_Stiffness!$E$75,Element_Stiffness!W107,0)),0)),0)+IF(Element_Stiffness!$C$111,IF(Element_Stiffness!$C$110=1,IF(4=Element_Stiffness!$C$110,Element_Stiffness!Q136,IF(4=Element_Stiffness!$E$110,Element_Stiffness!W136,0)),IF(Element_Stiffness!$E$110=1,IF(4=Element_Stiffness!$C$110,Element_Stiffness!Q142,IF(4=Element_Stiffness!$E$110,Element_Stiffness!W142,0)),0)),0)+IF(Element_Stiffness!$C$146,IF(Element_Stiffness!$C$145=1,IF(4=Element_Stiffness!$C$145,Element_Stiffness!Q171,IF(4=Element_Stiffness!$E$145,Element_Stiffness!W171,0)),IF(Element_Stiffness!$E$145=1,IF(4=Element_Stiffness!$C$145,Element_Stiffness!Q177,IF(4=Element_Stiffness!$E$145,Element_Stiffness!W177,0)),0)),0)+IF(Element_Stiffness!$C$181,IF(Element_Stiffness!$C$180=1,IF(4=Element_Stiffness!$C$180,Element_Stiffness!Q206,IF(4=Element_Stiffness!$E$180,Element_Stiffness!W206,0)),IF(Element_Stiffness!$E$180=1,IF(4=Element_Stiffness!$C$180,Element_Stiffness!Q212,IF(4=Element_Stiffness!$E$180,Element_Stiffness!W212,0)),0)),0)+IF(Element_Stiffness!$C$216,IF(Element_Stiffness!$C$215=1,IF(4=Element_Stiffness!$C$215,Element_Stiffness!Q241,IF(4=Element_Stiffness!$E$215,Element_Stiffness!W241,0)),IF(Element_Stiffness!$E$215=1,IF(4=Element_Stiffness!$C$215,Element_Stiffness!Q247,IF(4=Element_Stiffness!$E$215,Element_Stiffness!W247,0)),0)),0)</f>
        <v/>
      </c>
      <c r="AC16" s="21">
        <f>IF(Element_Stiffness!$C$6,IF(Element_Stiffness!$C$5=1,IF(4=Element_Stiffness!$C$5,Element_Stiffness!R31,IF(4=Element_Stiffness!$E$5,Element_Stiffness!X31,0)),IF(Element_Stiffness!$E$5=1,IF(4=Element_Stiffness!$C$5,Element_Stiffness!R37,IF(4=Element_Stiffness!$E$5,Element_Stiffness!X37,0)),0)),0)+IF(Element_Stiffness!$C$41,IF(Element_Stiffness!$C$40=1,IF(4=Element_Stiffness!$C$40,Element_Stiffness!R66,IF(4=Element_Stiffness!$E$40,Element_Stiffness!X66,0)),IF(Element_Stiffness!$E$40=1,IF(4=Element_Stiffness!$C$40,Element_Stiffness!R72,IF(4=Element_Stiffness!$E$40,Element_Stiffness!X72,0)),0)),0)+IF(Element_Stiffness!$C$76,IF(Element_Stiffness!$C$75=1,IF(4=Element_Stiffness!$C$75,Element_Stiffness!R101,IF(4=Element_Stiffness!$E$75,Element_Stiffness!X101,0)),IF(Element_Stiffness!$E$75=1,IF(4=Element_Stiffness!$C$75,Element_Stiffness!R107,IF(4=Element_Stiffness!$E$75,Element_Stiffness!X107,0)),0)),0)+IF(Element_Stiffness!$C$111,IF(Element_Stiffness!$C$110=1,IF(4=Element_Stiffness!$C$110,Element_Stiffness!R136,IF(4=Element_Stiffness!$E$110,Element_Stiffness!X136,0)),IF(Element_Stiffness!$E$110=1,IF(4=Element_Stiffness!$C$110,Element_Stiffness!R142,IF(4=Element_Stiffness!$E$110,Element_Stiffness!X142,0)),0)),0)+IF(Element_Stiffness!$C$146,IF(Element_Stiffness!$C$145=1,IF(4=Element_Stiffness!$C$145,Element_Stiffness!R171,IF(4=Element_Stiffness!$E$145,Element_Stiffness!X171,0)),IF(Element_Stiffness!$E$145=1,IF(4=Element_Stiffness!$C$145,Element_Stiffness!R177,IF(4=Element_Stiffness!$E$145,Element_Stiffness!X177,0)),0)),0)+IF(Element_Stiffness!$C$181,IF(Element_Stiffness!$C$180=1,IF(4=Element_Stiffness!$C$180,Element_Stiffness!R206,IF(4=Element_Stiffness!$E$180,Element_Stiffness!X206,0)),IF(Element_Stiffness!$E$180=1,IF(4=Element_Stiffness!$C$180,Element_Stiffness!R212,IF(4=Element_Stiffness!$E$180,Element_Stiffness!X212,0)),0)),0)+IF(Element_Stiffness!$C$216,IF(Element_Stiffness!$C$215=1,IF(4=Element_Stiffness!$C$215,Element_Stiffness!R241,IF(4=Element_Stiffness!$E$215,Element_Stiffness!X241,0)),IF(Element_Stiffness!$E$215=1,IF(4=Element_Stiffness!$C$215,Element_Stiffness!R247,IF(4=Element_Stiffness!$E$215,Element_Stiffness!X247,0)),0)),0)</f>
        <v/>
      </c>
      <c r="AD16" s="21">
        <f>IF(Element_Stiffness!$C$6,IF(Element_Stiffness!$C$5=1,IF(4=Element_Stiffness!$C$5,Element_Stiffness!S31,IF(4=Element_Stiffness!$E$5,Element_Stiffness!Y31,0)),IF(Element_Stiffness!$E$5=1,IF(4=Element_Stiffness!$C$5,Element_Stiffness!S37,IF(4=Element_Stiffness!$E$5,Element_Stiffness!Y37,0)),0)),0)+IF(Element_Stiffness!$C$41,IF(Element_Stiffness!$C$40=1,IF(4=Element_Stiffness!$C$40,Element_Stiffness!S66,IF(4=Element_Stiffness!$E$40,Element_Stiffness!Y66,0)),IF(Element_Stiffness!$E$40=1,IF(4=Element_Stiffness!$C$40,Element_Stiffness!S72,IF(4=Element_Stiffness!$E$40,Element_Stiffness!Y72,0)),0)),0)+IF(Element_Stiffness!$C$76,IF(Element_Stiffness!$C$75=1,IF(4=Element_Stiffness!$C$75,Element_Stiffness!S101,IF(4=Element_Stiffness!$E$75,Element_Stiffness!Y101,0)),IF(Element_Stiffness!$E$75=1,IF(4=Element_Stiffness!$C$75,Element_Stiffness!S107,IF(4=Element_Stiffness!$E$75,Element_Stiffness!Y107,0)),0)),0)+IF(Element_Stiffness!$C$111,IF(Element_Stiffness!$C$110=1,IF(4=Element_Stiffness!$C$110,Element_Stiffness!S136,IF(4=Element_Stiffness!$E$110,Element_Stiffness!Y136,0)),IF(Element_Stiffness!$E$110=1,IF(4=Element_Stiffness!$C$110,Element_Stiffness!S142,IF(4=Element_Stiffness!$E$110,Element_Stiffness!Y142,0)),0)),0)+IF(Element_Stiffness!$C$146,IF(Element_Stiffness!$C$145=1,IF(4=Element_Stiffness!$C$145,Element_Stiffness!S171,IF(4=Element_Stiffness!$E$145,Element_Stiffness!Y171,0)),IF(Element_Stiffness!$E$145=1,IF(4=Element_Stiffness!$C$145,Element_Stiffness!S177,IF(4=Element_Stiffness!$E$145,Element_Stiffness!Y177,0)),0)),0)+IF(Element_Stiffness!$C$181,IF(Element_Stiffness!$C$180=1,IF(4=Element_Stiffness!$C$180,Element_Stiffness!S206,IF(4=Element_Stiffness!$E$180,Element_Stiffness!Y206,0)),IF(Element_Stiffness!$E$180=1,IF(4=Element_Stiffness!$C$180,Element_Stiffness!S212,IF(4=Element_Stiffness!$E$180,Element_Stiffness!Y212,0)),0)),0)+IF(Element_Stiffness!$C$216,IF(Element_Stiffness!$C$215=1,IF(4=Element_Stiffness!$C$215,Element_Stiffness!S241,IF(4=Element_Stiffness!$E$215,Element_Stiffness!Y241,0)),IF(Element_Stiffness!$E$215=1,IF(4=Element_Stiffness!$C$215,Element_Stiffness!S247,IF(4=Element_Stiffness!$E$215,Element_Stiffness!Y247,0)),0)),0)</f>
        <v/>
      </c>
      <c r="AE16" s="21">
        <f>IF(Element_Stiffness!$C$6,IF(Element_Stiffness!$C$5=1,IF(4=Element_Stiffness!$C$5,Element_Stiffness!T31,IF(4=Element_Stiffness!$E$5,Element_Stiffness!Z31,0)),IF(Element_Stiffness!$E$5=1,IF(4=Element_Stiffness!$C$5,Element_Stiffness!T37,IF(4=Element_Stiffness!$E$5,Element_Stiffness!Z37,0)),0)),0)+IF(Element_Stiffness!$C$41,IF(Element_Stiffness!$C$40=1,IF(4=Element_Stiffness!$C$40,Element_Stiffness!T66,IF(4=Element_Stiffness!$E$40,Element_Stiffness!Z66,0)),IF(Element_Stiffness!$E$40=1,IF(4=Element_Stiffness!$C$40,Element_Stiffness!T72,IF(4=Element_Stiffness!$E$40,Element_Stiffness!Z72,0)),0)),0)+IF(Element_Stiffness!$C$76,IF(Element_Stiffness!$C$75=1,IF(4=Element_Stiffness!$C$75,Element_Stiffness!T101,IF(4=Element_Stiffness!$E$75,Element_Stiffness!Z101,0)),IF(Element_Stiffness!$E$75=1,IF(4=Element_Stiffness!$C$75,Element_Stiffness!T107,IF(4=Element_Stiffness!$E$75,Element_Stiffness!Z107,0)),0)),0)+IF(Element_Stiffness!$C$111,IF(Element_Stiffness!$C$110=1,IF(4=Element_Stiffness!$C$110,Element_Stiffness!T136,IF(4=Element_Stiffness!$E$110,Element_Stiffness!Z136,0)),IF(Element_Stiffness!$E$110=1,IF(4=Element_Stiffness!$C$110,Element_Stiffness!T142,IF(4=Element_Stiffness!$E$110,Element_Stiffness!Z142,0)),0)),0)+IF(Element_Stiffness!$C$146,IF(Element_Stiffness!$C$145=1,IF(4=Element_Stiffness!$C$145,Element_Stiffness!T171,IF(4=Element_Stiffness!$E$145,Element_Stiffness!Z171,0)),IF(Element_Stiffness!$E$145=1,IF(4=Element_Stiffness!$C$145,Element_Stiffness!T177,IF(4=Element_Stiffness!$E$145,Element_Stiffness!Z177,0)),0)),0)+IF(Element_Stiffness!$C$181,IF(Element_Stiffness!$C$180=1,IF(4=Element_Stiffness!$C$180,Element_Stiffness!T206,IF(4=Element_Stiffness!$E$180,Element_Stiffness!Z206,0)),IF(Element_Stiffness!$E$180=1,IF(4=Element_Stiffness!$C$180,Element_Stiffness!T212,IF(4=Element_Stiffness!$E$180,Element_Stiffness!Z212,0)),0)),0)+IF(Element_Stiffness!$C$216,IF(Element_Stiffness!$C$215=1,IF(4=Element_Stiffness!$C$215,Element_Stiffness!T241,IF(4=Element_Stiffness!$E$215,Element_Stiffness!Z241,0)),IF(Element_Stiffness!$E$215=1,IF(4=Element_Stiffness!$C$215,Element_Stiffness!T247,IF(4=Element_Stiffness!$E$215,Element_Stiffness!Z247,0)),0)),0)</f>
        <v/>
      </c>
      <c r="AF16" s="21">
        <f>IF(Element_Stiffness!$C$6,IF(Element_Stiffness!$C$5=1,IF(4=Element_Stiffness!$C$5,Element_Stiffness!U31,IF(4=Element_Stiffness!$E$5,Element_Stiffness!AA31,0)),IF(Element_Stiffness!$E$5=1,IF(4=Element_Stiffness!$C$5,Element_Stiffness!U37,IF(4=Element_Stiffness!$E$5,Element_Stiffness!AA37,0)),0)),0)+IF(Element_Stiffness!$C$41,IF(Element_Stiffness!$C$40=1,IF(4=Element_Stiffness!$C$40,Element_Stiffness!U66,IF(4=Element_Stiffness!$E$40,Element_Stiffness!AA66,0)),IF(Element_Stiffness!$E$40=1,IF(4=Element_Stiffness!$C$40,Element_Stiffness!U72,IF(4=Element_Stiffness!$E$40,Element_Stiffness!AA72,0)),0)),0)+IF(Element_Stiffness!$C$76,IF(Element_Stiffness!$C$75=1,IF(4=Element_Stiffness!$C$75,Element_Stiffness!U101,IF(4=Element_Stiffness!$E$75,Element_Stiffness!AA101,0)),IF(Element_Stiffness!$E$75=1,IF(4=Element_Stiffness!$C$75,Element_Stiffness!U107,IF(4=Element_Stiffness!$E$75,Element_Stiffness!AA107,0)),0)),0)+IF(Element_Stiffness!$C$111,IF(Element_Stiffness!$C$110=1,IF(4=Element_Stiffness!$C$110,Element_Stiffness!U136,IF(4=Element_Stiffness!$E$110,Element_Stiffness!AA136,0)),IF(Element_Stiffness!$E$110=1,IF(4=Element_Stiffness!$C$110,Element_Stiffness!U142,IF(4=Element_Stiffness!$E$110,Element_Stiffness!AA142,0)),0)),0)+IF(Element_Stiffness!$C$146,IF(Element_Stiffness!$C$145=1,IF(4=Element_Stiffness!$C$145,Element_Stiffness!U171,IF(4=Element_Stiffness!$E$145,Element_Stiffness!AA171,0)),IF(Element_Stiffness!$E$145=1,IF(4=Element_Stiffness!$C$145,Element_Stiffness!U177,IF(4=Element_Stiffness!$E$145,Element_Stiffness!AA177,0)),0)),0)+IF(Element_Stiffness!$C$181,IF(Element_Stiffness!$C$180=1,IF(4=Element_Stiffness!$C$180,Element_Stiffness!U206,IF(4=Element_Stiffness!$E$180,Element_Stiffness!AA206,0)),IF(Element_Stiffness!$E$180=1,IF(4=Element_Stiffness!$C$180,Element_Stiffness!U212,IF(4=Element_Stiffness!$E$180,Element_Stiffness!AA212,0)),0)),0)+IF(Element_Stiffness!$C$216,IF(Element_Stiffness!$C$215=1,IF(4=Element_Stiffness!$C$215,Element_Stiffness!U241,IF(4=Element_Stiffness!$E$215,Element_Stiffness!AA241,0)),IF(Element_Stiffness!$E$215=1,IF(4=Element_Stiffness!$C$215,Element_Stiffness!U247,IF(4=Element_Stiffness!$E$215,Element_Stiffness!AA247,0)),0)),0)</f>
        <v/>
      </c>
      <c r="AG16" s="21">
        <f>IF(Element_Stiffness!$C$6,IF(Element_Stiffness!$C$5=1,IF(5=Element_Stiffness!$C$5,Element_Stiffness!P31,IF(5=Element_Stiffness!$E$5,Element_Stiffness!V31,0)),IF(Element_Stiffness!$E$5=1,IF(5=Element_Stiffness!$C$5,Element_Stiffness!P37,IF(5=Element_Stiffness!$E$5,Element_Stiffness!V37,0)),0)),0)+IF(Element_Stiffness!$C$41,IF(Element_Stiffness!$C$40=1,IF(5=Element_Stiffness!$C$40,Element_Stiffness!P66,IF(5=Element_Stiffness!$E$40,Element_Stiffness!V66,0)),IF(Element_Stiffness!$E$40=1,IF(5=Element_Stiffness!$C$40,Element_Stiffness!P72,IF(5=Element_Stiffness!$E$40,Element_Stiffness!V72,0)),0)),0)+IF(Element_Stiffness!$C$76,IF(Element_Stiffness!$C$75=1,IF(5=Element_Stiffness!$C$75,Element_Stiffness!P101,IF(5=Element_Stiffness!$E$75,Element_Stiffness!V101,0)),IF(Element_Stiffness!$E$75=1,IF(5=Element_Stiffness!$C$75,Element_Stiffness!P107,IF(5=Element_Stiffness!$E$75,Element_Stiffness!V107,0)),0)),0)+IF(Element_Stiffness!$C$111,IF(Element_Stiffness!$C$110=1,IF(5=Element_Stiffness!$C$110,Element_Stiffness!P136,IF(5=Element_Stiffness!$E$110,Element_Stiffness!V136,0)),IF(Element_Stiffness!$E$110=1,IF(5=Element_Stiffness!$C$110,Element_Stiffness!P142,IF(5=Element_Stiffness!$E$110,Element_Stiffness!V142,0)),0)),0)+IF(Element_Stiffness!$C$146,IF(Element_Stiffness!$C$145=1,IF(5=Element_Stiffness!$C$145,Element_Stiffness!P171,IF(5=Element_Stiffness!$E$145,Element_Stiffness!V171,0)),IF(Element_Stiffness!$E$145=1,IF(5=Element_Stiffness!$C$145,Element_Stiffness!P177,IF(5=Element_Stiffness!$E$145,Element_Stiffness!V177,0)),0)),0)+IF(Element_Stiffness!$C$181,IF(Element_Stiffness!$C$180=1,IF(5=Element_Stiffness!$C$180,Element_Stiffness!P206,IF(5=Element_Stiffness!$E$180,Element_Stiffness!V206,0)),IF(Element_Stiffness!$E$180=1,IF(5=Element_Stiffness!$C$180,Element_Stiffness!P212,IF(5=Element_Stiffness!$E$180,Element_Stiffness!V212,0)),0)),0)+IF(Element_Stiffness!$C$216,IF(Element_Stiffness!$C$215=1,IF(5=Element_Stiffness!$C$215,Element_Stiffness!P241,IF(5=Element_Stiffness!$E$215,Element_Stiffness!V241,0)),IF(Element_Stiffness!$E$215=1,IF(5=Element_Stiffness!$C$215,Element_Stiffness!P247,IF(5=Element_Stiffness!$E$215,Element_Stiffness!V247,0)),0)),0)</f>
        <v/>
      </c>
      <c r="AH16" s="21">
        <f>IF(Element_Stiffness!$C$6,IF(Element_Stiffness!$C$5=1,IF(5=Element_Stiffness!$C$5,Element_Stiffness!Q31,IF(5=Element_Stiffness!$E$5,Element_Stiffness!W31,0)),IF(Element_Stiffness!$E$5=1,IF(5=Element_Stiffness!$C$5,Element_Stiffness!Q37,IF(5=Element_Stiffness!$E$5,Element_Stiffness!W37,0)),0)),0)+IF(Element_Stiffness!$C$41,IF(Element_Stiffness!$C$40=1,IF(5=Element_Stiffness!$C$40,Element_Stiffness!Q66,IF(5=Element_Stiffness!$E$40,Element_Stiffness!W66,0)),IF(Element_Stiffness!$E$40=1,IF(5=Element_Stiffness!$C$40,Element_Stiffness!Q72,IF(5=Element_Stiffness!$E$40,Element_Stiffness!W72,0)),0)),0)+IF(Element_Stiffness!$C$76,IF(Element_Stiffness!$C$75=1,IF(5=Element_Stiffness!$C$75,Element_Stiffness!Q101,IF(5=Element_Stiffness!$E$75,Element_Stiffness!W101,0)),IF(Element_Stiffness!$E$75=1,IF(5=Element_Stiffness!$C$75,Element_Stiffness!Q107,IF(5=Element_Stiffness!$E$75,Element_Stiffness!W107,0)),0)),0)+IF(Element_Stiffness!$C$111,IF(Element_Stiffness!$C$110=1,IF(5=Element_Stiffness!$C$110,Element_Stiffness!Q136,IF(5=Element_Stiffness!$E$110,Element_Stiffness!W136,0)),IF(Element_Stiffness!$E$110=1,IF(5=Element_Stiffness!$C$110,Element_Stiffness!Q142,IF(5=Element_Stiffness!$E$110,Element_Stiffness!W142,0)),0)),0)+IF(Element_Stiffness!$C$146,IF(Element_Stiffness!$C$145=1,IF(5=Element_Stiffness!$C$145,Element_Stiffness!Q171,IF(5=Element_Stiffness!$E$145,Element_Stiffness!W171,0)),IF(Element_Stiffness!$E$145=1,IF(5=Element_Stiffness!$C$145,Element_Stiffness!Q177,IF(5=Element_Stiffness!$E$145,Element_Stiffness!W177,0)),0)),0)+IF(Element_Stiffness!$C$181,IF(Element_Stiffness!$C$180=1,IF(5=Element_Stiffness!$C$180,Element_Stiffness!Q206,IF(5=Element_Stiffness!$E$180,Element_Stiffness!W206,0)),IF(Element_Stiffness!$E$180=1,IF(5=Element_Stiffness!$C$180,Element_Stiffness!Q212,IF(5=Element_Stiffness!$E$180,Element_Stiffness!W212,0)),0)),0)+IF(Element_Stiffness!$C$216,IF(Element_Stiffness!$C$215=1,IF(5=Element_Stiffness!$C$215,Element_Stiffness!Q241,IF(5=Element_Stiffness!$E$215,Element_Stiffness!W241,0)),IF(Element_Stiffness!$E$215=1,IF(5=Element_Stiffness!$C$215,Element_Stiffness!Q247,IF(5=Element_Stiffness!$E$215,Element_Stiffness!W247,0)),0)),0)</f>
        <v/>
      </c>
      <c r="AI16" s="21">
        <f>IF(Element_Stiffness!$C$6,IF(Element_Stiffness!$C$5=1,IF(5=Element_Stiffness!$C$5,Element_Stiffness!R31,IF(5=Element_Stiffness!$E$5,Element_Stiffness!X31,0)),IF(Element_Stiffness!$E$5=1,IF(5=Element_Stiffness!$C$5,Element_Stiffness!R37,IF(5=Element_Stiffness!$E$5,Element_Stiffness!X37,0)),0)),0)+IF(Element_Stiffness!$C$41,IF(Element_Stiffness!$C$40=1,IF(5=Element_Stiffness!$C$40,Element_Stiffness!R66,IF(5=Element_Stiffness!$E$40,Element_Stiffness!X66,0)),IF(Element_Stiffness!$E$40=1,IF(5=Element_Stiffness!$C$40,Element_Stiffness!R72,IF(5=Element_Stiffness!$E$40,Element_Stiffness!X72,0)),0)),0)+IF(Element_Stiffness!$C$76,IF(Element_Stiffness!$C$75=1,IF(5=Element_Stiffness!$C$75,Element_Stiffness!R101,IF(5=Element_Stiffness!$E$75,Element_Stiffness!X101,0)),IF(Element_Stiffness!$E$75=1,IF(5=Element_Stiffness!$C$75,Element_Stiffness!R107,IF(5=Element_Stiffness!$E$75,Element_Stiffness!X107,0)),0)),0)+IF(Element_Stiffness!$C$111,IF(Element_Stiffness!$C$110=1,IF(5=Element_Stiffness!$C$110,Element_Stiffness!R136,IF(5=Element_Stiffness!$E$110,Element_Stiffness!X136,0)),IF(Element_Stiffness!$E$110=1,IF(5=Element_Stiffness!$C$110,Element_Stiffness!R142,IF(5=Element_Stiffness!$E$110,Element_Stiffness!X142,0)),0)),0)+IF(Element_Stiffness!$C$146,IF(Element_Stiffness!$C$145=1,IF(5=Element_Stiffness!$C$145,Element_Stiffness!R171,IF(5=Element_Stiffness!$E$145,Element_Stiffness!X171,0)),IF(Element_Stiffness!$E$145=1,IF(5=Element_Stiffness!$C$145,Element_Stiffness!R177,IF(5=Element_Stiffness!$E$145,Element_Stiffness!X177,0)),0)),0)+IF(Element_Stiffness!$C$181,IF(Element_Stiffness!$C$180=1,IF(5=Element_Stiffness!$C$180,Element_Stiffness!R206,IF(5=Element_Stiffness!$E$180,Element_Stiffness!X206,0)),IF(Element_Stiffness!$E$180=1,IF(5=Element_Stiffness!$C$180,Element_Stiffness!R212,IF(5=Element_Stiffness!$E$180,Element_Stiffness!X212,0)),0)),0)+IF(Element_Stiffness!$C$216,IF(Element_Stiffness!$C$215=1,IF(5=Element_Stiffness!$C$215,Element_Stiffness!R241,IF(5=Element_Stiffness!$E$215,Element_Stiffness!X241,0)),IF(Element_Stiffness!$E$215=1,IF(5=Element_Stiffness!$C$215,Element_Stiffness!R247,IF(5=Element_Stiffness!$E$215,Element_Stiffness!X247,0)),0)),0)</f>
        <v/>
      </c>
      <c r="AJ16" s="21">
        <f>IF(Element_Stiffness!$C$6,IF(Element_Stiffness!$C$5=1,IF(5=Element_Stiffness!$C$5,Element_Stiffness!S31,IF(5=Element_Stiffness!$E$5,Element_Stiffness!Y31,0)),IF(Element_Stiffness!$E$5=1,IF(5=Element_Stiffness!$C$5,Element_Stiffness!S37,IF(5=Element_Stiffness!$E$5,Element_Stiffness!Y37,0)),0)),0)+IF(Element_Stiffness!$C$41,IF(Element_Stiffness!$C$40=1,IF(5=Element_Stiffness!$C$40,Element_Stiffness!S66,IF(5=Element_Stiffness!$E$40,Element_Stiffness!Y66,0)),IF(Element_Stiffness!$E$40=1,IF(5=Element_Stiffness!$C$40,Element_Stiffness!S72,IF(5=Element_Stiffness!$E$40,Element_Stiffness!Y72,0)),0)),0)+IF(Element_Stiffness!$C$76,IF(Element_Stiffness!$C$75=1,IF(5=Element_Stiffness!$C$75,Element_Stiffness!S101,IF(5=Element_Stiffness!$E$75,Element_Stiffness!Y101,0)),IF(Element_Stiffness!$E$75=1,IF(5=Element_Stiffness!$C$75,Element_Stiffness!S107,IF(5=Element_Stiffness!$E$75,Element_Stiffness!Y107,0)),0)),0)+IF(Element_Stiffness!$C$111,IF(Element_Stiffness!$C$110=1,IF(5=Element_Stiffness!$C$110,Element_Stiffness!S136,IF(5=Element_Stiffness!$E$110,Element_Stiffness!Y136,0)),IF(Element_Stiffness!$E$110=1,IF(5=Element_Stiffness!$C$110,Element_Stiffness!S142,IF(5=Element_Stiffness!$E$110,Element_Stiffness!Y142,0)),0)),0)+IF(Element_Stiffness!$C$146,IF(Element_Stiffness!$C$145=1,IF(5=Element_Stiffness!$C$145,Element_Stiffness!S171,IF(5=Element_Stiffness!$E$145,Element_Stiffness!Y171,0)),IF(Element_Stiffness!$E$145=1,IF(5=Element_Stiffness!$C$145,Element_Stiffness!S177,IF(5=Element_Stiffness!$E$145,Element_Stiffness!Y177,0)),0)),0)+IF(Element_Stiffness!$C$181,IF(Element_Stiffness!$C$180=1,IF(5=Element_Stiffness!$C$180,Element_Stiffness!S206,IF(5=Element_Stiffness!$E$180,Element_Stiffness!Y206,0)),IF(Element_Stiffness!$E$180=1,IF(5=Element_Stiffness!$C$180,Element_Stiffness!S212,IF(5=Element_Stiffness!$E$180,Element_Stiffness!Y212,0)),0)),0)+IF(Element_Stiffness!$C$216,IF(Element_Stiffness!$C$215=1,IF(5=Element_Stiffness!$C$215,Element_Stiffness!S241,IF(5=Element_Stiffness!$E$215,Element_Stiffness!Y241,0)),IF(Element_Stiffness!$E$215=1,IF(5=Element_Stiffness!$C$215,Element_Stiffness!S247,IF(5=Element_Stiffness!$E$215,Element_Stiffness!Y247,0)),0)),0)</f>
        <v/>
      </c>
      <c r="AK16" s="21">
        <f>IF(Element_Stiffness!$C$6,IF(Element_Stiffness!$C$5=1,IF(5=Element_Stiffness!$C$5,Element_Stiffness!T31,IF(5=Element_Stiffness!$E$5,Element_Stiffness!Z31,0)),IF(Element_Stiffness!$E$5=1,IF(5=Element_Stiffness!$C$5,Element_Stiffness!T37,IF(5=Element_Stiffness!$E$5,Element_Stiffness!Z37,0)),0)),0)+IF(Element_Stiffness!$C$41,IF(Element_Stiffness!$C$40=1,IF(5=Element_Stiffness!$C$40,Element_Stiffness!T66,IF(5=Element_Stiffness!$E$40,Element_Stiffness!Z66,0)),IF(Element_Stiffness!$E$40=1,IF(5=Element_Stiffness!$C$40,Element_Stiffness!T72,IF(5=Element_Stiffness!$E$40,Element_Stiffness!Z72,0)),0)),0)+IF(Element_Stiffness!$C$76,IF(Element_Stiffness!$C$75=1,IF(5=Element_Stiffness!$C$75,Element_Stiffness!T101,IF(5=Element_Stiffness!$E$75,Element_Stiffness!Z101,0)),IF(Element_Stiffness!$E$75=1,IF(5=Element_Stiffness!$C$75,Element_Stiffness!T107,IF(5=Element_Stiffness!$E$75,Element_Stiffness!Z107,0)),0)),0)+IF(Element_Stiffness!$C$111,IF(Element_Stiffness!$C$110=1,IF(5=Element_Stiffness!$C$110,Element_Stiffness!T136,IF(5=Element_Stiffness!$E$110,Element_Stiffness!Z136,0)),IF(Element_Stiffness!$E$110=1,IF(5=Element_Stiffness!$C$110,Element_Stiffness!T142,IF(5=Element_Stiffness!$E$110,Element_Stiffness!Z142,0)),0)),0)+IF(Element_Stiffness!$C$146,IF(Element_Stiffness!$C$145=1,IF(5=Element_Stiffness!$C$145,Element_Stiffness!T171,IF(5=Element_Stiffness!$E$145,Element_Stiffness!Z171,0)),IF(Element_Stiffness!$E$145=1,IF(5=Element_Stiffness!$C$145,Element_Stiffness!T177,IF(5=Element_Stiffness!$E$145,Element_Stiffness!Z177,0)),0)),0)+IF(Element_Stiffness!$C$181,IF(Element_Stiffness!$C$180=1,IF(5=Element_Stiffness!$C$180,Element_Stiffness!T206,IF(5=Element_Stiffness!$E$180,Element_Stiffness!Z206,0)),IF(Element_Stiffness!$E$180=1,IF(5=Element_Stiffness!$C$180,Element_Stiffness!T212,IF(5=Element_Stiffness!$E$180,Element_Stiffness!Z212,0)),0)),0)+IF(Element_Stiffness!$C$216,IF(Element_Stiffness!$C$215=1,IF(5=Element_Stiffness!$C$215,Element_Stiffness!T241,IF(5=Element_Stiffness!$E$215,Element_Stiffness!Z241,0)),IF(Element_Stiffness!$E$215=1,IF(5=Element_Stiffness!$C$215,Element_Stiffness!T247,IF(5=Element_Stiffness!$E$215,Element_Stiffness!Z247,0)),0)),0)</f>
        <v/>
      </c>
      <c r="AL16" s="21">
        <f>IF(Element_Stiffness!$C$6,IF(Element_Stiffness!$C$5=1,IF(5=Element_Stiffness!$C$5,Element_Stiffness!U31,IF(5=Element_Stiffness!$E$5,Element_Stiffness!AA31,0)),IF(Element_Stiffness!$E$5=1,IF(5=Element_Stiffness!$C$5,Element_Stiffness!U37,IF(5=Element_Stiffness!$E$5,Element_Stiffness!AA37,0)),0)),0)+IF(Element_Stiffness!$C$41,IF(Element_Stiffness!$C$40=1,IF(5=Element_Stiffness!$C$40,Element_Stiffness!U66,IF(5=Element_Stiffness!$E$40,Element_Stiffness!AA66,0)),IF(Element_Stiffness!$E$40=1,IF(5=Element_Stiffness!$C$40,Element_Stiffness!U72,IF(5=Element_Stiffness!$E$40,Element_Stiffness!AA72,0)),0)),0)+IF(Element_Stiffness!$C$76,IF(Element_Stiffness!$C$75=1,IF(5=Element_Stiffness!$C$75,Element_Stiffness!U101,IF(5=Element_Stiffness!$E$75,Element_Stiffness!AA101,0)),IF(Element_Stiffness!$E$75=1,IF(5=Element_Stiffness!$C$75,Element_Stiffness!U107,IF(5=Element_Stiffness!$E$75,Element_Stiffness!AA107,0)),0)),0)+IF(Element_Stiffness!$C$111,IF(Element_Stiffness!$C$110=1,IF(5=Element_Stiffness!$C$110,Element_Stiffness!U136,IF(5=Element_Stiffness!$E$110,Element_Stiffness!AA136,0)),IF(Element_Stiffness!$E$110=1,IF(5=Element_Stiffness!$C$110,Element_Stiffness!U142,IF(5=Element_Stiffness!$E$110,Element_Stiffness!AA142,0)),0)),0)+IF(Element_Stiffness!$C$146,IF(Element_Stiffness!$C$145=1,IF(5=Element_Stiffness!$C$145,Element_Stiffness!U171,IF(5=Element_Stiffness!$E$145,Element_Stiffness!AA171,0)),IF(Element_Stiffness!$E$145=1,IF(5=Element_Stiffness!$C$145,Element_Stiffness!U177,IF(5=Element_Stiffness!$E$145,Element_Stiffness!AA177,0)),0)),0)+IF(Element_Stiffness!$C$181,IF(Element_Stiffness!$C$180=1,IF(5=Element_Stiffness!$C$180,Element_Stiffness!U206,IF(5=Element_Stiffness!$E$180,Element_Stiffness!AA206,0)),IF(Element_Stiffness!$E$180=1,IF(5=Element_Stiffness!$C$180,Element_Stiffness!U212,IF(5=Element_Stiffness!$E$180,Element_Stiffness!AA212,0)),0)),0)+IF(Element_Stiffness!$C$216,IF(Element_Stiffness!$C$215=1,IF(5=Element_Stiffness!$C$215,Element_Stiffness!U241,IF(5=Element_Stiffness!$E$215,Element_Stiffness!AA241,0)),IF(Element_Stiffness!$E$215=1,IF(5=Element_Stiffness!$C$215,Element_Stiffness!U247,IF(5=Element_Stiffness!$E$215,Element_Stiffness!AA247,0)),0)),0)</f>
        <v/>
      </c>
      <c r="AM16" s="21">
        <f>IF(Element_Stiffness!$C$6,IF(Element_Stiffness!$C$5=1,IF(6=Element_Stiffness!$C$5,Element_Stiffness!P31,IF(6=Element_Stiffness!$E$5,Element_Stiffness!V31,0)),IF(Element_Stiffness!$E$5=1,IF(6=Element_Stiffness!$C$5,Element_Stiffness!P37,IF(6=Element_Stiffness!$E$5,Element_Stiffness!V37,0)),0)),0)+IF(Element_Stiffness!$C$41,IF(Element_Stiffness!$C$40=1,IF(6=Element_Stiffness!$C$40,Element_Stiffness!P66,IF(6=Element_Stiffness!$E$40,Element_Stiffness!V66,0)),IF(Element_Stiffness!$E$40=1,IF(6=Element_Stiffness!$C$40,Element_Stiffness!P72,IF(6=Element_Stiffness!$E$40,Element_Stiffness!V72,0)),0)),0)+IF(Element_Stiffness!$C$76,IF(Element_Stiffness!$C$75=1,IF(6=Element_Stiffness!$C$75,Element_Stiffness!P101,IF(6=Element_Stiffness!$E$75,Element_Stiffness!V101,0)),IF(Element_Stiffness!$E$75=1,IF(6=Element_Stiffness!$C$75,Element_Stiffness!P107,IF(6=Element_Stiffness!$E$75,Element_Stiffness!V107,0)),0)),0)+IF(Element_Stiffness!$C$111,IF(Element_Stiffness!$C$110=1,IF(6=Element_Stiffness!$C$110,Element_Stiffness!P136,IF(6=Element_Stiffness!$E$110,Element_Stiffness!V136,0)),IF(Element_Stiffness!$E$110=1,IF(6=Element_Stiffness!$C$110,Element_Stiffness!P142,IF(6=Element_Stiffness!$E$110,Element_Stiffness!V142,0)),0)),0)+IF(Element_Stiffness!$C$146,IF(Element_Stiffness!$C$145=1,IF(6=Element_Stiffness!$C$145,Element_Stiffness!P171,IF(6=Element_Stiffness!$E$145,Element_Stiffness!V171,0)),IF(Element_Stiffness!$E$145=1,IF(6=Element_Stiffness!$C$145,Element_Stiffness!P177,IF(6=Element_Stiffness!$E$145,Element_Stiffness!V177,0)),0)),0)+IF(Element_Stiffness!$C$181,IF(Element_Stiffness!$C$180=1,IF(6=Element_Stiffness!$C$180,Element_Stiffness!P206,IF(6=Element_Stiffness!$E$180,Element_Stiffness!V206,0)),IF(Element_Stiffness!$E$180=1,IF(6=Element_Stiffness!$C$180,Element_Stiffness!P212,IF(6=Element_Stiffness!$E$180,Element_Stiffness!V212,0)),0)),0)+IF(Element_Stiffness!$C$216,IF(Element_Stiffness!$C$215=1,IF(6=Element_Stiffness!$C$215,Element_Stiffness!P241,IF(6=Element_Stiffness!$E$215,Element_Stiffness!V241,0)),IF(Element_Stiffness!$E$215=1,IF(6=Element_Stiffness!$C$215,Element_Stiffness!P247,IF(6=Element_Stiffness!$E$215,Element_Stiffness!V247,0)),0)),0)</f>
        <v/>
      </c>
      <c r="AN16" s="21">
        <f>IF(Element_Stiffness!$C$6,IF(Element_Stiffness!$C$5=1,IF(6=Element_Stiffness!$C$5,Element_Stiffness!Q31,IF(6=Element_Stiffness!$E$5,Element_Stiffness!W31,0)),IF(Element_Stiffness!$E$5=1,IF(6=Element_Stiffness!$C$5,Element_Stiffness!Q37,IF(6=Element_Stiffness!$E$5,Element_Stiffness!W37,0)),0)),0)+IF(Element_Stiffness!$C$41,IF(Element_Stiffness!$C$40=1,IF(6=Element_Stiffness!$C$40,Element_Stiffness!Q66,IF(6=Element_Stiffness!$E$40,Element_Stiffness!W66,0)),IF(Element_Stiffness!$E$40=1,IF(6=Element_Stiffness!$C$40,Element_Stiffness!Q72,IF(6=Element_Stiffness!$E$40,Element_Stiffness!W72,0)),0)),0)+IF(Element_Stiffness!$C$76,IF(Element_Stiffness!$C$75=1,IF(6=Element_Stiffness!$C$75,Element_Stiffness!Q101,IF(6=Element_Stiffness!$E$75,Element_Stiffness!W101,0)),IF(Element_Stiffness!$E$75=1,IF(6=Element_Stiffness!$C$75,Element_Stiffness!Q107,IF(6=Element_Stiffness!$E$75,Element_Stiffness!W107,0)),0)),0)+IF(Element_Stiffness!$C$111,IF(Element_Stiffness!$C$110=1,IF(6=Element_Stiffness!$C$110,Element_Stiffness!Q136,IF(6=Element_Stiffness!$E$110,Element_Stiffness!W136,0)),IF(Element_Stiffness!$E$110=1,IF(6=Element_Stiffness!$C$110,Element_Stiffness!Q142,IF(6=Element_Stiffness!$E$110,Element_Stiffness!W142,0)),0)),0)+IF(Element_Stiffness!$C$146,IF(Element_Stiffness!$C$145=1,IF(6=Element_Stiffness!$C$145,Element_Stiffness!Q171,IF(6=Element_Stiffness!$E$145,Element_Stiffness!W171,0)),IF(Element_Stiffness!$E$145=1,IF(6=Element_Stiffness!$C$145,Element_Stiffness!Q177,IF(6=Element_Stiffness!$E$145,Element_Stiffness!W177,0)),0)),0)+IF(Element_Stiffness!$C$181,IF(Element_Stiffness!$C$180=1,IF(6=Element_Stiffness!$C$180,Element_Stiffness!Q206,IF(6=Element_Stiffness!$E$180,Element_Stiffness!W206,0)),IF(Element_Stiffness!$E$180=1,IF(6=Element_Stiffness!$C$180,Element_Stiffness!Q212,IF(6=Element_Stiffness!$E$180,Element_Stiffness!W212,0)),0)),0)+IF(Element_Stiffness!$C$216,IF(Element_Stiffness!$C$215=1,IF(6=Element_Stiffness!$C$215,Element_Stiffness!Q241,IF(6=Element_Stiffness!$E$215,Element_Stiffness!W241,0)),IF(Element_Stiffness!$E$215=1,IF(6=Element_Stiffness!$C$215,Element_Stiffness!Q247,IF(6=Element_Stiffness!$E$215,Element_Stiffness!W247,0)),0)),0)</f>
        <v/>
      </c>
      <c r="AO16" s="21">
        <f>IF(Element_Stiffness!$C$6,IF(Element_Stiffness!$C$5=1,IF(6=Element_Stiffness!$C$5,Element_Stiffness!R31,IF(6=Element_Stiffness!$E$5,Element_Stiffness!X31,0)),IF(Element_Stiffness!$E$5=1,IF(6=Element_Stiffness!$C$5,Element_Stiffness!R37,IF(6=Element_Stiffness!$E$5,Element_Stiffness!X37,0)),0)),0)+IF(Element_Stiffness!$C$41,IF(Element_Stiffness!$C$40=1,IF(6=Element_Stiffness!$C$40,Element_Stiffness!R66,IF(6=Element_Stiffness!$E$40,Element_Stiffness!X66,0)),IF(Element_Stiffness!$E$40=1,IF(6=Element_Stiffness!$C$40,Element_Stiffness!R72,IF(6=Element_Stiffness!$E$40,Element_Stiffness!X72,0)),0)),0)+IF(Element_Stiffness!$C$76,IF(Element_Stiffness!$C$75=1,IF(6=Element_Stiffness!$C$75,Element_Stiffness!R101,IF(6=Element_Stiffness!$E$75,Element_Stiffness!X101,0)),IF(Element_Stiffness!$E$75=1,IF(6=Element_Stiffness!$C$75,Element_Stiffness!R107,IF(6=Element_Stiffness!$E$75,Element_Stiffness!X107,0)),0)),0)+IF(Element_Stiffness!$C$111,IF(Element_Stiffness!$C$110=1,IF(6=Element_Stiffness!$C$110,Element_Stiffness!R136,IF(6=Element_Stiffness!$E$110,Element_Stiffness!X136,0)),IF(Element_Stiffness!$E$110=1,IF(6=Element_Stiffness!$C$110,Element_Stiffness!R142,IF(6=Element_Stiffness!$E$110,Element_Stiffness!X142,0)),0)),0)+IF(Element_Stiffness!$C$146,IF(Element_Stiffness!$C$145=1,IF(6=Element_Stiffness!$C$145,Element_Stiffness!R171,IF(6=Element_Stiffness!$E$145,Element_Stiffness!X171,0)),IF(Element_Stiffness!$E$145=1,IF(6=Element_Stiffness!$C$145,Element_Stiffness!R177,IF(6=Element_Stiffness!$E$145,Element_Stiffness!X177,0)),0)),0)+IF(Element_Stiffness!$C$181,IF(Element_Stiffness!$C$180=1,IF(6=Element_Stiffness!$C$180,Element_Stiffness!R206,IF(6=Element_Stiffness!$E$180,Element_Stiffness!X206,0)),IF(Element_Stiffness!$E$180=1,IF(6=Element_Stiffness!$C$180,Element_Stiffness!R212,IF(6=Element_Stiffness!$E$180,Element_Stiffness!X212,0)),0)),0)+IF(Element_Stiffness!$C$216,IF(Element_Stiffness!$C$215=1,IF(6=Element_Stiffness!$C$215,Element_Stiffness!R241,IF(6=Element_Stiffness!$E$215,Element_Stiffness!X241,0)),IF(Element_Stiffness!$E$215=1,IF(6=Element_Stiffness!$C$215,Element_Stiffness!R247,IF(6=Element_Stiffness!$E$215,Element_Stiffness!X247,0)),0)),0)</f>
        <v/>
      </c>
      <c r="AP16" s="21">
        <f>IF(Element_Stiffness!$C$6,IF(Element_Stiffness!$C$5=1,IF(6=Element_Stiffness!$C$5,Element_Stiffness!S31,IF(6=Element_Stiffness!$E$5,Element_Stiffness!Y31,0)),IF(Element_Stiffness!$E$5=1,IF(6=Element_Stiffness!$C$5,Element_Stiffness!S37,IF(6=Element_Stiffness!$E$5,Element_Stiffness!Y37,0)),0)),0)+IF(Element_Stiffness!$C$41,IF(Element_Stiffness!$C$40=1,IF(6=Element_Stiffness!$C$40,Element_Stiffness!S66,IF(6=Element_Stiffness!$E$40,Element_Stiffness!Y66,0)),IF(Element_Stiffness!$E$40=1,IF(6=Element_Stiffness!$C$40,Element_Stiffness!S72,IF(6=Element_Stiffness!$E$40,Element_Stiffness!Y72,0)),0)),0)+IF(Element_Stiffness!$C$76,IF(Element_Stiffness!$C$75=1,IF(6=Element_Stiffness!$C$75,Element_Stiffness!S101,IF(6=Element_Stiffness!$E$75,Element_Stiffness!Y101,0)),IF(Element_Stiffness!$E$75=1,IF(6=Element_Stiffness!$C$75,Element_Stiffness!S107,IF(6=Element_Stiffness!$E$75,Element_Stiffness!Y107,0)),0)),0)+IF(Element_Stiffness!$C$111,IF(Element_Stiffness!$C$110=1,IF(6=Element_Stiffness!$C$110,Element_Stiffness!S136,IF(6=Element_Stiffness!$E$110,Element_Stiffness!Y136,0)),IF(Element_Stiffness!$E$110=1,IF(6=Element_Stiffness!$C$110,Element_Stiffness!S142,IF(6=Element_Stiffness!$E$110,Element_Stiffness!Y142,0)),0)),0)+IF(Element_Stiffness!$C$146,IF(Element_Stiffness!$C$145=1,IF(6=Element_Stiffness!$C$145,Element_Stiffness!S171,IF(6=Element_Stiffness!$E$145,Element_Stiffness!Y171,0)),IF(Element_Stiffness!$E$145=1,IF(6=Element_Stiffness!$C$145,Element_Stiffness!S177,IF(6=Element_Stiffness!$E$145,Element_Stiffness!Y177,0)),0)),0)+IF(Element_Stiffness!$C$181,IF(Element_Stiffness!$C$180=1,IF(6=Element_Stiffness!$C$180,Element_Stiffness!S206,IF(6=Element_Stiffness!$E$180,Element_Stiffness!Y206,0)),IF(Element_Stiffness!$E$180=1,IF(6=Element_Stiffness!$C$180,Element_Stiffness!S212,IF(6=Element_Stiffness!$E$180,Element_Stiffness!Y212,0)),0)),0)+IF(Element_Stiffness!$C$216,IF(Element_Stiffness!$C$215=1,IF(6=Element_Stiffness!$C$215,Element_Stiffness!S241,IF(6=Element_Stiffness!$E$215,Element_Stiffness!Y241,0)),IF(Element_Stiffness!$E$215=1,IF(6=Element_Stiffness!$C$215,Element_Stiffness!S247,IF(6=Element_Stiffness!$E$215,Element_Stiffness!Y247,0)),0)),0)</f>
        <v/>
      </c>
      <c r="AQ16" s="21">
        <f>IF(Element_Stiffness!$C$6,IF(Element_Stiffness!$C$5=1,IF(6=Element_Stiffness!$C$5,Element_Stiffness!T31,IF(6=Element_Stiffness!$E$5,Element_Stiffness!Z31,0)),IF(Element_Stiffness!$E$5=1,IF(6=Element_Stiffness!$C$5,Element_Stiffness!T37,IF(6=Element_Stiffness!$E$5,Element_Stiffness!Z37,0)),0)),0)+IF(Element_Stiffness!$C$41,IF(Element_Stiffness!$C$40=1,IF(6=Element_Stiffness!$C$40,Element_Stiffness!T66,IF(6=Element_Stiffness!$E$40,Element_Stiffness!Z66,0)),IF(Element_Stiffness!$E$40=1,IF(6=Element_Stiffness!$C$40,Element_Stiffness!T72,IF(6=Element_Stiffness!$E$40,Element_Stiffness!Z72,0)),0)),0)+IF(Element_Stiffness!$C$76,IF(Element_Stiffness!$C$75=1,IF(6=Element_Stiffness!$C$75,Element_Stiffness!T101,IF(6=Element_Stiffness!$E$75,Element_Stiffness!Z101,0)),IF(Element_Stiffness!$E$75=1,IF(6=Element_Stiffness!$C$75,Element_Stiffness!T107,IF(6=Element_Stiffness!$E$75,Element_Stiffness!Z107,0)),0)),0)+IF(Element_Stiffness!$C$111,IF(Element_Stiffness!$C$110=1,IF(6=Element_Stiffness!$C$110,Element_Stiffness!T136,IF(6=Element_Stiffness!$E$110,Element_Stiffness!Z136,0)),IF(Element_Stiffness!$E$110=1,IF(6=Element_Stiffness!$C$110,Element_Stiffness!T142,IF(6=Element_Stiffness!$E$110,Element_Stiffness!Z142,0)),0)),0)+IF(Element_Stiffness!$C$146,IF(Element_Stiffness!$C$145=1,IF(6=Element_Stiffness!$C$145,Element_Stiffness!T171,IF(6=Element_Stiffness!$E$145,Element_Stiffness!Z171,0)),IF(Element_Stiffness!$E$145=1,IF(6=Element_Stiffness!$C$145,Element_Stiffness!T177,IF(6=Element_Stiffness!$E$145,Element_Stiffness!Z177,0)),0)),0)+IF(Element_Stiffness!$C$181,IF(Element_Stiffness!$C$180=1,IF(6=Element_Stiffness!$C$180,Element_Stiffness!T206,IF(6=Element_Stiffness!$E$180,Element_Stiffness!Z206,0)),IF(Element_Stiffness!$E$180=1,IF(6=Element_Stiffness!$C$180,Element_Stiffness!T212,IF(6=Element_Stiffness!$E$180,Element_Stiffness!Z212,0)),0)),0)+IF(Element_Stiffness!$C$216,IF(Element_Stiffness!$C$215=1,IF(6=Element_Stiffness!$C$215,Element_Stiffness!T241,IF(6=Element_Stiffness!$E$215,Element_Stiffness!Z241,0)),IF(Element_Stiffness!$E$215=1,IF(6=Element_Stiffness!$C$215,Element_Stiffness!T247,IF(6=Element_Stiffness!$E$215,Element_Stiffness!Z247,0)),0)),0)</f>
        <v/>
      </c>
      <c r="AR16" s="21">
        <f>IF(Element_Stiffness!$C$6,IF(Element_Stiffness!$C$5=1,IF(6=Element_Stiffness!$C$5,Element_Stiffness!U31,IF(6=Element_Stiffness!$E$5,Element_Stiffness!AA31,0)),IF(Element_Stiffness!$E$5=1,IF(6=Element_Stiffness!$C$5,Element_Stiffness!U37,IF(6=Element_Stiffness!$E$5,Element_Stiffness!AA37,0)),0)),0)+IF(Element_Stiffness!$C$41,IF(Element_Stiffness!$C$40=1,IF(6=Element_Stiffness!$C$40,Element_Stiffness!U66,IF(6=Element_Stiffness!$E$40,Element_Stiffness!AA66,0)),IF(Element_Stiffness!$E$40=1,IF(6=Element_Stiffness!$C$40,Element_Stiffness!U72,IF(6=Element_Stiffness!$E$40,Element_Stiffness!AA72,0)),0)),0)+IF(Element_Stiffness!$C$76,IF(Element_Stiffness!$C$75=1,IF(6=Element_Stiffness!$C$75,Element_Stiffness!U101,IF(6=Element_Stiffness!$E$75,Element_Stiffness!AA101,0)),IF(Element_Stiffness!$E$75=1,IF(6=Element_Stiffness!$C$75,Element_Stiffness!U107,IF(6=Element_Stiffness!$E$75,Element_Stiffness!AA107,0)),0)),0)+IF(Element_Stiffness!$C$111,IF(Element_Stiffness!$C$110=1,IF(6=Element_Stiffness!$C$110,Element_Stiffness!U136,IF(6=Element_Stiffness!$E$110,Element_Stiffness!AA136,0)),IF(Element_Stiffness!$E$110=1,IF(6=Element_Stiffness!$C$110,Element_Stiffness!U142,IF(6=Element_Stiffness!$E$110,Element_Stiffness!AA142,0)),0)),0)+IF(Element_Stiffness!$C$146,IF(Element_Stiffness!$C$145=1,IF(6=Element_Stiffness!$C$145,Element_Stiffness!U171,IF(6=Element_Stiffness!$E$145,Element_Stiffness!AA171,0)),IF(Element_Stiffness!$E$145=1,IF(6=Element_Stiffness!$C$145,Element_Stiffness!U177,IF(6=Element_Stiffness!$E$145,Element_Stiffness!AA177,0)),0)),0)+IF(Element_Stiffness!$C$181,IF(Element_Stiffness!$C$180=1,IF(6=Element_Stiffness!$C$180,Element_Stiffness!U206,IF(6=Element_Stiffness!$E$180,Element_Stiffness!AA206,0)),IF(Element_Stiffness!$E$180=1,IF(6=Element_Stiffness!$C$180,Element_Stiffness!U212,IF(6=Element_Stiffness!$E$180,Element_Stiffness!AA212,0)),0)),0)+IF(Element_Stiffness!$C$216,IF(Element_Stiffness!$C$215=1,IF(6=Element_Stiffness!$C$215,Element_Stiffness!U241,IF(6=Element_Stiffness!$E$215,Element_Stiffness!AA241,0)),IF(Element_Stiffness!$E$215=1,IF(6=Element_Stiffness!$C$215,Element_Stiffness!U247,IF(6=Element_Stiffness!$E$215,Element_Stiffness!AA247,0)),0)),0)</f>
        <v/>
      </c>
      <c r="AS16" s="21">
        <f>IF(Element_Stiffness!$C$6,IF(Element_Stiffness!$C$5=1,IF(7=Element_Stiffness!$C$5,Element_Stiffness!P31,IF(7=Element_Stiffness!$E$5,Element_Stiffness!V31,0)),IF(Element_Stiffness!$E$5=1,IF(7=Element_Stiffness!$C$5,Element_Stiffness!P37,IF(7=Element_Stiffness!$E$5,Element_Stiffness!V37,0)),0)),0)+IF(Element_Stiffness!$C$41,IF(Element_Stiffness!$C$40=1,IF(7=Element_Stiffness!$C$40,Element_Stiffness!P66,IF(7=Element_Stiffness!$E$40,Element_Stiffness!V66,0)),IF(Element_Stiffness!$E$40=1,IF(7=Element_Stiffness!$C$40,Element_Stiffness!P72,IF(7=Element_Stiffness!$E$40,Element_Stiffness!V72,0)),0)),0)+IF(Element_Stiffness!$C$76,IF(Element_Stiffness!$C$75=1,IF(7=Element_Stiffness!$C$75,Element_Stiffness!P101,IF(7=Element_Stiffness!$E$75,Element_Stiffness!V101,0)),IF(Element_Stiffness!$E$75=1,IF(7=Element_Stiffness!$C$75,Element_Stiffness!P107,IF(7=Element_Stiffness!$E$75,Element_Stiffness!V107,0)),0)),0)+IF(Element_Stiffness!$C$111,IF(Element_Stiffness!$C$110=1,IF(7=Element_Stiffness!$C$110,Element_Stiffness!P136,IF(7=Element_Stiffness!$E$110,Element_Stiffness!V136,0)),IF(Element_Stiffness!$E$110=1,IF(7=Element_Stiffness!$C$110,Element_Stiffness!P142,IF(7=Element_Stiffness!$E$110,Element_Stiffness!V142,0)),0)),0)+IF(Element_Stiffness!$C$146,IF(Element_Stiffness!$C$145=1,IF(7=Element_Stiffness!$C$145,Element_Stiffness!P171,IF(7=Element_Stiffness!$E$145,Element_Stiffness!V171,0)),IF(Element_Stiffness!$E$145=1,IF(7=Element_Stiffness!$C$145,Element_Stiffness!P177,IF(7=Element_Stiffness!$E$145,Element_Stiffness!V177,0)),0)),0)+IF(Element_Stiffness!$C$181,IF(Element_Stiffness!$C$180=1,IF(7=Element_Stiffness!$C$180,Element_Stiffness!P206,IF(7=Element_Stiffness!$E$180,Element_Stiffness!V206,0)),IF(Element_Stiffness!$E$180=1,IF(7=Element_Stiffness!$C$180,Element_Stiffness!P212,IF(7=Element_Stiffness!$E$180,Element_Stiffness!V212,0)),0)),0)+IF(Element_Stiffness!$C$216,IF(Element_Stiffness!$C$215=1,IF(7=Element_Stiffness!$C$215,Element_Stiffness!P241,IF(7=Element_Stiffness!$E$215,Element_Stiffness!V241,0)),IF(Element_Stiffness!$E$215=1,IF(7=Element_Stiffness!$C$215,Element_Stiffness!P247,IF(7=Element_Stiffness!$E$215,Element_Stiffness!V247,0)),0)),0)</f>
        <v/>
      </c>
      <c r="AT16" s="21">
        <f>IF(Element_Stiffness!$C$6,IF(Element_Stiffness!$C$5=1,IF(7=Element_Stiffness!$C$5,Element_Stiffness!Q31,IF(7=Element_Stiffness!$E$5,Element_Stiffness!W31,0)),IF(Element_Stiffness!$E$5=1,IF(7=Element_Stiffness!$C$5,Element_Stiffness!Q37,IF(7=Element_Stiffness!$E$5,Element_Stiffness!W37,0)),0)),0)+IF(Element_Stiffness!$C$41,IF(Element_Stiffness!$C$40=1,IF(7=Element_Stiffness!$C$40,Element_Stiffness!Q66,IF(7=Element_Stiffness!$E$40,Element_Stiffness!W66,0)),IF(Element_Stiffness!$E$40=1,IF(7=Element_Stiffness!$C$40,Element_Stiffness!Q72,IF(7=Element_Stiffness!$E$40,Element_Stiffness!W72,0)),0)),0)+IF(Element_Stiffness!$C$76,IF(Element_Stiffness!$C$75=1,IF(7=Element_Stiffness!$C$75,Element_Stiffness!Q101,IF(7=Element_Stiffness!$E$75,Element_Stiffness!W101,0)),IF(Element_Stiffness!$E$75=1,IF(7=Element_Stiffness!$C$75,Element_Stiffness!Q107,IF(7=Element_Stiffness!$E$75,Element_Stiffness!W107,0)),0)),0)+IF(Element_Stiffness!$C$111,IF(Element_Stiffness!$C$110=1,IF(7=Element_Stiffness!$C$110,Element_Stiffness!Q136,IF(7=Element_Stiffness!$E$110,Element_Stiffness!W136,0)),IF(Element_Stiffness!$E$110=1,IF(7=Element_Stiffness!$C$110,Element_Stiffness!Q142,IF(7=Element_Stiffness!$E$110,Element_Stiffness!W142,0)),0)),0)+IF(Element_Stiffness!$C$146,IF(Element_Stiffness!$C$145=1,IF(7=Element_Stiffness!$C$145,Element_Stiffness!Q171,IF(7=Element_Stiffness!$E$145,Element_Stiffness!W171,0)),IF(Element_Stiffness!$E$145=1,IF(7=Element_Stiffness!$C$145,Element_Stiffness!Q177,IF(7=Element_Stiffness!$E$145,Element_Stiffness!W177,0)),0)),0)+IF(Element_Stiffness!$C$181,IF(Element_Stiffness!$C$180=1,IF(7=Element_Stiffness!$C$180,Element_Stiffness!Q206,IF(7=Element_Stiffness!$E$180,Element_Stiffness!W206,0)),IF(Element_Stiffness!$E$180=1,IF(7=Element_Stiffness!$C$180,Element_Stiffness!Q212,IF(7=Element_Stiffness!$E$180,Element_Stiffness!W212,0)),0)),0)+IF(Element_Stiffness!$C$216,IF(Element_Stiffness!$C$215=1,IF(7=Element_Stiffness!$C$215,Element_Stiffness!Q241,IF(7=Element_Stiffness!$E$215,Element_Stiffness!W241,0)),IF(Element_Stiffness!$E$215=1,IF(7=Element_Stiffness!$C$215,Element_Stiffness!Q247,IF(7=Element_Stiffness!$E$215,Element_Stiffness!W247,0)),0)),0)</f>
        <v/>
      </c>
      <c r="AU16" s="21">
        <f>IF(Element_Stiffness!$C$6,IF(Element_Stiffness!$C$5=1,IF(7=Element_Stiffness!$C$5,Element_Stiffness!R31,IF(7=Element_Stiffness!$E$5,Element_Stiffness!X31,0)),IF(Element_Stiffness!$E$5=1,IF(7=Element_Stiffness!$C$5,Element_Stiffness!R37,IF(7=Element_Stiffness!$E$5,Element_Stiffness!X37,0)),0)),0)+IF(Element_Stiffness!$C$41,IF(Element_Stiffness!$C$40=1,IF(7=Element_Stiffness!$C$40,Element_Stiffness!R66,IF(7=Element_Stiffness!$E$40,Element_Stiffness!X66,0)),IF(Element_Stiffness!$E$40=1,IF(7=Element_Stiffness!$C$40,Element_Stiffness!R72,IF(7=Element_Stiffness!$E$40,Element_Stiffness!X72,0)),0)),0)+IF(Element_Stiffness!$C$76,IF(Element_Stiffness!$C$75=1,IF(7=Element_Stiffness!$C$75,Element_Stiffness!R101,IF(7=Element_Stiffness!$E$75,Element_Stiffness!X101,0)),IF(Element_Stiffness!$E$75=1,IF(7=Element_Stiffness!$C$75,Element_Stiffness!R107,IF(7=Element_Stiffness!$E$75,Element_Stiffness!X107,0)),0)),0)+IF(Element_Stiffness!$C$111,IF(Element_Stiffness!$C$110=1,IF(7=Element_Stiffness!$C$110,Element_Stiffness!R136,IF(7=Element_Stiffness!$E$110,Element_Stiffness!X136,0)),IF(Element_Stiffness!$E$110=1,IF(7=Element_Stiffness!$C$110,Element_Stiffness!R142,IF(7=Element_Stiffness!$E$110,Element_Stiffness!X142,0)),0)),0)+IF(Element_Stiffness!$C$146,IF(Element_Stiffness!$C$145=1,IF(7=Element_Stiffness!$C$145,Element_Stiffness!R171,IF(7=Element_Stiffness!$E$145,Element_Stiffness!X171,0)),IF(Element_Stiffness!$E$145=1,IF(7=Element_Stiffness!$C$145,Element_Stiffness!R177,IF(7=Element_Stiffness!$E$145,Element_Stiffness!X177,0)),0)),0)+IF(Element_Stiffness!$C$181,IF(Element_Stiffness!$C$180=1,IF(7=Element_Stiffness!$C$180,Element_Stiffness!R206,IF(7=Element_Stiffness!$E$180,Element_Stiffness!X206,0)),IF(Element_Stiffness!$E$180=1,IF(7=Element_Stiffness!$C$180,Element_Stiffness!R212,IF(7=Element_Stiffness!$E$180,Element_Stiffness!X212,0)),0)),0)+IF(Element_Stiffness!$C$216,IF(Element_Stiffness!$C$215=1,IF(7=Element_Stiffness!$C$215,Element_Stiffness!R241,IF(7=Element_Stiffness!$E$215,Element_Stiffness!X241,0)),IF(Element_Stiffness!$E$215=1,IF(7=Element_Stiffness!$C$215,Element_Stiffness!R247,IF(7=Element_Stiffness!$E$215,Element_Stiffness!X247,0)),0)),0)</f>
        <v/>
      </c>
      <c r="AV16" s="21">
        <f>IF(Element_Stiffness!$C$6,IF(Element_Stiffness!$C$5=1,IF(7=Element_Stiffness!$C$5,Element_Stiffness!S31,IF(7=Element_Stiffness!$E$5,Element_Stiffness!Y31,0)),IF(Element_Stiffness!$E$5=1,IF(7=Element_Stiffness!$C$5,Element_Stiffness!S37,IF(7=Element_Stiffness!$E$5,Element_Stiffness!Y37,0)),0)),0)+IF(Element_Stiffness!$C$41,IF(Element_Stiffness!$C$40=1,IF(7=Element_Stiffness!$C$40,Element_Stiffness!S66,IF(7=Element_Stiffness!$E$40,Element_Stiffness!Y66,0)),IF(Element_Stiffness!$E$40=1,IF(7=Element_Stiffness!$C$40,Element_Stiffness!S72,IF(7=Element_Stiffness!$E$40,Element_Stiffness!Y72,0)),0)),0)+IF(Element_Stiffness!$C$76,IF(Element_Stiffness!$C$75=1,IF(7=Element_Stiffness!$C$75,Element_Stiffness!S101,IF(7=Element_Stiffness!$E$75,Element_Stiffness!Y101,0)),IF(Element_Stiffness!$E$75=1,IF(7=Element_Stiffness!$C$75,Element_Stiffness!S107,IF(7=Element_Stiffness!$E$75,Element_Stiffness!Y107,0)),0)),0)+IF(Element_Stiffness!$C$111,IF(Element_Stiffness!$C$110=1,IF(7=Element_Stiffness!$C$110,Element_Stiffness!S136,IF(7=Element_Stiffness!$E$110,Element_Stiffness!Y136,0)),IF(Element_Stiffness!$E$110=1,IF(7=Element_Stiffness!$C$110,Element_Stiffness!S142,IF(7=Element_Stiffness!$E$110,Element_Stiffness!Y142,0)),0)),0)+IF(Element_Stiffness!$C$146,IF(Element_Stiffness!$C$145=1,IF(7=Element_Stiffness!$C$145,Element_Stiffness!S171,IF(7=Element_Stiffness!$E$145,Element_Stiffness!Y171,0)),IF(Element_Stiffness!$E$145=1,IF(7=Element_Stiffness!$C$145,Element_Stiffness!S177,IF(7=Element_Stiffness!$E$145,Element_Stiffness!Y177,0)),0)),0)+IF(Element_Stiffness!$C$181,IF(Element_Stiffness!$C$180=1,IF(7=Element_Stiffness!$C$180,Element_Stiffness!S206,IF(7=Element_Stiffness!$E$180,Element_Stiffness!Y206,0)),IF(Element_Stiffness!$E$180=1,IF(7=Element_Stiffness!$C$180,Element_Stiffness!S212,IF(7=Element_Stiffness!$E$180,Element_Stiffness!Y212,0)),0)),0)+IF(Element_Stiffness!$C$216,IF(Element_Stiffness!$C$215=1,IF(7=Element_Stiffness!$C$215,Element_Stiffness!S241,IF(7=Element_Stiffness!$E$215,Element_Stiffness!Y241,0)),IF(Element_Stiffness!$E$215=1,IF(7=Element_Stiffness!$C$215,Element_Stiffness!S247,IF(7=Element_Stiffness!$E$215,Element_Stiffness!Y247,0)),0)),0)</f>
        <v/>
      </c>
      <c r="AW16" s="21">
        <f>IF(Element_Stiffness!$C$6,IF(Element_Stiffness!$C$5=1,IF(7=Element_Stiffness!$C$5,Element_Stiffness!T31,IF(7=Element_Stiffness!$E$5,Element_Stiffness!Z31,0)),IF(Element_Stiffness!$E$5=1,IF(7=Element_Stiffness!$C$5,Element_Stiffness!T37,IF(7=Element_Stiffness!$E$5,Element_Stiffness!Z37,0)),0)),0)+IF(Element_Stiffness!$C$41,IF(Element_Stiffness!$C$40=1,IF(7=Element_Stiffness!$C$40,Element_Stiffness!T66,IF(7=Element_Stiffness!$E$40,Element_Stiffness!Z66,0)),IF(Element_Stiffness!$E$40=1,IF(7=Element_Stiffness!$C$40,Element_Stiffness!T72,IF(7=Element_Stiffness!$E$40,Element_Stiffness!Z72,0)),0)),0)+IF(Element_Stiffness!$C$76,IF(Element_Stiffness!$C$75=1,IF(7=Element_Stiffness!$C$75,Element_Stiffness!T101,IF(7=Element_Stiffness!$E$75,Element_Stiffness!Z101,0)),IF(Element_Stiffness!$E$75=1,IF(7=Element_Stiffness!$C$75,Element_Stiffness!T107,IF(7=Element_Stiffness!$E$75,Element_Stiffness!Z107,0)),0)),0)+IF(Element_Stiffness!$C$111,IF(Element_Stiffness!$C$110=1,IF(7=Element_Stiffness!$C$110,Element_Stiffness!T136,IF(7=Element_Stiffness!$E$110,Element_Stiffness!Z136,0)),IF(Element_Stiffness!$E$110=1,IF(7=Element_Stiffness!$C$110,Element_Stiffness!T142,IF(7=Element_Stiffness!$E$110,Element_Stiffness!Z142,0)),0)),0)+IF(Element_Stiffness!$C$146,IF(Element_Stiffness!$C$145=1,IF(7=Element_Stiffness!$C$145,Element_Stiffness!T171,IF(7=Element_Stiffness!$E$145,Element_Stiffness!Z171,0)),IF(Element_Stiffness!$E$145=1,IF(7=Element_Stiffness!$C$145,Element_Stiffness!T177,IF(7=Element_Stiffness!$E$145,Element_Stiffness!Z177,0)),0)),0)+IF(Element_Stiffness!$C$181,IF(Element_Stiffness!$C$180=1,IF(7=Element_Stiffness!$C$180,Element_Stiffness!T206,IF(7=Element_Stiffness!$E$180,Element_Stiffness!Z206,0)),IF(Element_Stiffness!$E$180=1,IF(7=Element_Stiffness!$C$180,Element_Stiffness!T212,IF(7=Element_Stiffness!$E$180,Element_Stiffness!Z212,0)),0)),0)+IF(Element_Stiffness!$C$216,IF(Element_Stiffness!$C$215=1,IF(7=Element_Stiffness!$C$215,Element_Stiffness!T241,IF(7=Element_Stiffness!$E$215,Element_Stiffness!Z241,0)),IF(Element_Stiffness!$E$215=1,IF(7=Element_Stiffness!$C$215,Element_Stiffness!T247,IF(7=Element_Stiffness!$E$215,Element_Stiffness!Z247,0)),0)),0)</f>
        <v/>
      </c>
      <c r="AX16" s="21">
        <f>IF(Element_Stiffness!$C$6,IF(Element_Stiffness!$C$5=1,IF(7=Element_Stiffness!$C$5,Element_Stiffness!U31,IF(7=Element_Stiffness!$E$5,Element_Stiffness!AA31,0)),IF(Element_Stiffness!$E$5=1,IF(7=Element_Stiffness!$C$5,Element_Stiffness!U37,IF(7=Element_Stiffness!$E$5,Element_Stiffness!AA37,0)),0)),0)+IF(Element_Stiffness!$C$41,IF(Element_Stiffness!$C$40=1,IF(7=Element_Stiffness!$C$40,Element_Stiffness!U66,IF(7=Element_Stiffness!$E$40,Element_Stiffness!AA66,0)),IF(Element_Stiffness!$E$40=1,IF(7=Element_Stiffness!$C$40,Element_Stiffness!U72,IF(7=Element_Stiffness!$E$40,Element_Stiffness!AA72,0)),0)),0)+IF(Element_Stiffness!$C$76,IF(Element_Stiffness!$C$75=1,IF(7=Element_Stiffness!$C$75,Element_Stiffness!U101,IF(7=Element_Stiffness!$E$75,Element_Stiffness!AA101,0)),IF(Element_Stiffness!$E$75=1,IF(7=Element_Stiffness!$C$75,Element_Stiffness!U107,IF(7=Element_Stiffness!$E$75,Element_Stiffness!AA107,0)),0)),0)+IF(Element_Stiffness!$C$111,IF(Element_Stiffness!$C$110=1,IF(7=Element_Stiffness!$C$110,Element_Stiffness!U136,IF(7=Element_Stiffness!$E$110,Element_Stiffness!AA136,0)),IF(Element_Stiffness!$E$110=1,IF(7=Element_Stiffness!$C$110,Element_Stiffness!U142,IF(7=Element_Stiffness!$E$110,Element_Stiffness!AA142,0)),0)),0)+IF(Element_Stiffness!$C$146,IF(Element_Stiffness!$C$145=1,IF(7=Element_Stiffness!$C$145,Element_Stiffness!U171,IF(7=Element_Stiffness!$E$145,Element_Stiffness!AA171,0)),IF(Element_Stiffness!$E$145=1,IF(7=Element_Stiffness!$C$145,Element_Stiffness!U177,IF(7=Element_Stiffness!$E$145,Element_Stiffness!AA177,0)),0)),0)+IF(Element_Stiffness!$C$181,IF(Element_Stiffness!$C$180=1,IF(7=Element_Stiffness!$C$180,Element_Stiffness!U206,IF(7=Element_Stiffness!$E$180,Element_Stiffness!AA206,0)),IF(Element_Stiffness!$E$180=1,IF(7=Element_Stiffness!$C$180,Element_Stiffness!U212,IF(7=Element_Stiffness!$E$180,Element_Stiffness!AA212,0)),0)),0)+IF(Element_Stiffness!$C$216,IF(Element_Stiffness!$C$215=1,IF(7=Element_Stiffness!$C$215,Element_Stiffness!U241,IF(7=Element_Stiffness!$E$215,Element_Stiffness!AA241,0)),IF(Element_Stiffness!$E$215=1,IF(7=Element_Stiffness!$C$215,Element_Stiffness!U247,IF(7=Element_Stiffness!$E$215,Element_Stiffness!AA247,0)),0)),0)</f>
        <v/>
      </c>
      <c r="AY16" s="21" t="n">
        <v>0</v>
      </c>
      <c r="AZ16" s="21">
        <f>IF(Element_Stiffness!$C$6,IF(Element_Stiffness!$C$5=1,Element_Stiffness!C31,IF(Element_Stiffness!$E$5=1,Element_Stiffness!C37,0)),0)+IF(Element_Stiffness!$C$41,IF(Element_Stiffness!$C$40=1,Element_Stiffness!C66,IF(Element_Stiffness!$E$40=1,Element_Stiffness!C72,0)),0)+IF(Element_Stiffness!$C$76,IF(Element_Stiffness!$C$75=1,Element_Stiffness!C101,IF(Element_Stiffness!$E$75=1,Element_Stiffness!C107,0)),0)+IF(Element_Stiffness!$C$111,IF(Element_Stiffness!$C$110=1,Element_Stiffness!C136,IF(Element_Stiffness!$E$110=1,Element_Stiffness!C142,0)),0)+IF(Element_Stiffness!$C$146,IF(Element_Stiffness!$C$145=1,Element_Stiffness!C171,IF(Element_Stiffness!$E$145=1,Element_Stiffness!C177,0)),0)+IF(Element_Stiffness!$C$181,IF(Element_Stiffness!$C$180=1,Element_Stiffness!C206,IF(Element_Stiffness!$E$180=1,Element_Stiffness!C212,0)),0)+IF(Element_Stiffness!$C$216,IF(Element_Stiffness!$C$215=1,Element_Stiffness!C241,IF(Element_Stiffness!$E$215=1,Element_Stiffness!C247,0)),0)</f>
        <v/>
      </c>
      <c r="BB16" s="28">
        <f>INDEX(MMULT(MINVERSE(C5:AX52), AY5:AY52), 12, 1)</f>
        <v/>
      </c>
      <c r="BC16" s="28">
        <f>INDEX(MMULT(MINVERSE(C5:AX52), AZ5:AZ52), 12, 1)</f>
        <v/>
      </c>
    </row>
    <row r="17">
      <c r="B17" s="27" t="inlineStr">
        <is>
          <t>N2_tx</t>
        </is>
      </c>
      <c r="C17" s="21">
        <f>IF(Element_Stiffness!$C$6,IF(Element_Stiffness!$C$5=2,IF(0=Element_Stiffness!$C$5,Element_Stiffness!P26,IF(0=Element_Stiffness!$E$5,Element_Stiffness!V26,0)),IF(Element_Stiffness!$E$5=2,IF(0=Element_Stiffness!$C$5,Element_Stiffness!P32,IF(0=Element_Stiffness!$E$5,Element_Stiffness!V32,0)),0)),0)+IF(Element_Stiffness!$C$41,IF(Element_Stiffness!$C$40=2,IF(0=Element_Stiffness!$C$40,Element_Stiffness!P61,IF(0=Element_Stiffness!$E$40,Element_Stiffness!V61,0)),IF(Element_Stiffness!$E$40=2,IF(0=Element_Stiffness!$C$40,Element_Stiffness!P67,IF(0=Element_Stiffness!$E$40,Element_Stiffness!V67,0)),0)),0)+IF(Element_Stiffness!$C$76,IF(Element_Stiffness!$C$75=2,IF(0=Element_Stiffness!$C$75,Element_Stiffness!P96,IF(0=Element_Stiffness!$E$75,Element_Stiffness!V96,0)),IF(Element_Stiffness!$E$75=2,IF(0=Element_Stiffness!$C$75,Element_Stiffness!P102,IF(0=Element_Stiffness!$E$75,Element_Stiffness!V102,0)),0)),0)+IF(Element_Stiffness!$C$111,IF(Element_Stiffness!$C$110=2,IF(0=Element_Stiffness!$C$110,Element_Stiffness!P131,IF(0=Element_Stiffness!$E$110,Element_Stiffness!V131,0)),IF(Element_Stiffness!$E$110=2,IF(0=Element_Stiffness!$C$110,Element_Stiffness!P137,IF(0=Element_Stiffness!$E$110,Element_Stiffness!V137,0)),0)),0)+IF(Element_Stiffness!$C$146,IF(Element_Stiffness!$C$145=2,IF(0=Element_Stiffness!$C$145,Element_Stiffness!P166,IF(0=Element_Stiffness!$E$145,Element_Stiffness!V166,0)),IF(Element_Stiffness!$E$145=2,IF(0=Element_Stiffness!$C$145,Element_Stiffness!P172,IF(0=Element_Stiffness!$E$145,Element_Stiffness!V172,0)),0)),0)+IF(Element_Stiffness!$C$181,IF(Element_Stiffness!$C$180=2,IF(0=Element_Stiffness!$C$180,Element_Stiffness!P201,IF(0=Element_Stiffness!$E$180,Element_Stiffness!V201,0)),IF(Element_Stiffness!$E$180=2,IF(0=Element_Stiffness!$C$180,Element_Stiffness!P207,IF(0=Element_Stiffness!$E$180,Element_Stiffness!V207,0)),0)),0)+IF(Element_Stiffness!$C$216,IF(Element_Stiffness!$C$215=2,IF(0=Element_Stiffness!$C$215,Element_Stiffness!P236,IF(0=Element_Stiffness!$E$215,Element_Stiffness!V236,0)),IF(Element_Stiffness!$E$215=2,IF(0=Element_Stiffness!$C$215,Element_Stiffness!P242,IF(0=Element_Stiffness!$E$215,Element_Stiffness!V242,0)),0)),0)</f>
        <v/>
      </c>
      <c r="D17" s="21">
        <f>IF(Element_Stiffness!$C$6,IF(Element_Stiffness!$C$5=2,IF(0=Element_Stiffness!$C$5,Element_Stiffness!Q26,IF(0=Element_Stiffness!$E$5,Element_Stiffness!W26,0)),IF(Element_Stiffness!$E$5=2,IF(0=Element_Stiffness!$C$5,Element_Stiffness!Q32,IF(0=Element_Stiffness!$E$5,Element_Stiffness!W32,0)),0)),0)+IF(Element_Stiffness!$C$41,IF(Element_Stiffness!$C$40=2,IF(0=Element_Stiffness!$C$40,Element_Stiffness!Q61,IF(0=Element_Stiffness!$E$40,Element_Stiffness!W61,0)),IF(Element_Stiffness!$E$40=2,IF(0=Element_Stiffness!$C$40,Element_Stiffness!Q67,IF(0=Element_Stiffness!$E$40,Element_Stiffness!W67,0)),0)),0)+IF(Element_Stiffness!$C$76,IF(Element_Stiffness!$C$75=2,IF(0=Element_Stiffness!$C$75,Element_Stiffness!Q96,IF(0=Element_Stiffness!$E$75,Element_Stiffness!W96,0)),IF(Element_Stiffness!$E$75=2,IF(0=Element_Stiffness!$C$75,Element_Stiffness!Q102,IF(0=Element_Stiffness!$E$75,Element_Stiffness!W102,0)),0)),0)+IF(Element_Stiffness!$C$111,IF(Element_Stiffness!$C$110=2,IF(0=Element_Stiffness!$C$110,Element_Stiffness!Q131,IF(0=Element_Stiffness!$E$110,Element_Stiffness!W131,0)),IF(Element_Stiffness!$E$110=2,IF(0=Element_Stiffness!$C$110,Element_Stiffness!Q137,IF(0=Element_Stiffness!$E$110,Element_Stiffness!W137,0)),0)),0)+IF(Element_Stiffness!$C$146,IF(Element_Stiffness!$C$145=2,IF(0=Element_Stiffness!$C$145,Element_Stiffness!Q166,IF(0=Element_Stiffness!$E$145,Element_Stiffness!W166,0)),IF(Element_Stiffness!$E$145=2,IF(0=Element_Stiffness!$C$145,Element_Stiffness!Q172,IF(0=Element_Stiffness!$E$145,Element_Stiffness!W172,0)),0)),0)+IF(Element_Stiffness!$C$181,IF(Element_Stiffness!$C$180=2,IF(0=Element_Stiffness!$C$180,Element_Stiffness!Q201,IF(0=Element_Stiffness!$E$180,Element_Stiffness!W201,0)),IF(Element_Stiffness!$E$180=2,IF(0=Element_Stiffness!$C$180,Element_Stiffness!Q207,IF(0=Element_Stiffness!$E$180,Element_Stiffness!W207,0)),0)),0)+IF(Element_Stiffness!$C$216,IF(Element_Stiffness!$C$215=2,IF(0=Element_Stiffness!$C$215,Element_Stiffness!Q236,IF(0=Element_Stiffness!$E$215,Element_Stiffness!W236,0)),IF(Element_Stiffness!$E$215=2,IF(0=Element_Stiffness!$C$215,Element_Stiffness!Q242,IF(0=Element_Stiffness!$E$215,Element_Stiffness!W242,0)),0)),0)</f>
        <v/>
      </c>
      <c r="E17" s="21">
        <f>IF(Element_Stiffness!$C$6,IF(Element_Stiffness!$C$5=2,IF(0=Element_Stiffness!$C$5,Element_Stiffness!R26,IF(0=Element_Stiffness!$E$5,Element_Stiffness!X26,0)),IF(Element_Stiffness!$E$5=2,IF(0=Element_Stiffness!$C$5,Element_Stiffness!R32,IF(0=Element_Stiffness!$E$5,Element_Stiffness!X32,0)),0)),0)+IF(Element_Stiffness!$C$41,IF(Element_Stiffness!$C$40=2,IF(0=Element_Stiffness!$C$40,Element_Stiffness!R61,IF(0=Element_Stiffness!$E$40,Element_Stiffness!X61,0)),IF(Element_Stiffness!$E$40=2,IF(0=Element_Stiffness!$C$40,Element_Stiffness!R67,IF(0=Element_Stiffness!$E$40,Element_Stiffness!X67,0)),0)),0)+IF(Element_Stiffness!$C$76,IF(Element_Stiffness!$C$75=2,IF(0=Element_Stiffness!$C$75,Element_Stiffness!R96,IF(0=Element_Stiffness!$E$75,Element_Stiffness!X96,0)),IF(Element_Stiffness!$E$75=2,IF(0=Element_Stiffness!$C$75,Element_Stiffness!R102,IF(0=Element_Stiffness!$E$75,Element_Stiffness!X102,0)),0)),0)+IF(Element_Stiffness!$C$111,IF(Element_Stiffness!$C$110=2,IF(0=Element_Stiffness!$C$110,Element_Stiffness!R131,IF(0=Element_Stiffness!$E$110,Element_Stiffness!X131,0)),IF(Element_Stiffness!$E$110=2,IF(0=Element_Stiffness!$C$110,Element_Stiffness!R137,IF(0=Element_Stiffness!$E$110,Element_Stiffness!X137,0)),0)),0)+IF(Element_Stiffness!$C$146,IF(Element_Stiffness!$C$145=2,IF(0=Element_Stiffness!$C$145,Element_Stiffness!R166,IF(0=Element_Stiffness!$E$145,Element_Stiffness!X166,0)),IF(Element_Stiffness!$E$145=2,IF(0=Element_Stiffness!$C$145,Element_Stiffness!R172,IF(0=Element_Stiffness!$E$145,Element_Stiffness!X172,0)),0)),0)+IF(Element_Stiffness!$C$181,IF(Element_Stiffness!$C$180=2,IF(0=Element_Stiffness!$C$180,Element_Stiffness!R201,IF(0=Element_Stiffness!$E$180,Element_Stiffness!X201,0)),IF(Element_Stiffness!$E$180=2,IF(0=Element_Stiffness!$C$180,Element_Stiffness!R207,IF(0=Element_Stiffness!$E$180,Element_Stiffness!X207,0)),0)),0)+IF(Element_Stiffness!$C$216,IF(Element_Stiffness!$C$215=2,IF(0=Element_Stiffness!$C$215,Element_Stiffness!R236,IF(0=Element_Stiffness!$E$215,Element_Stiffness!X236,0)),IF(Element_Stiffness!$E$215=2,IF(0=Element_Stiffness!$C$215,Element_Stiffness!R242,IF(0=Element_Stiffness!$E$215,Element_Stiffness!X242,0)),0)),0)</f>
        <v/>
      </c>
      <c r="F17" s="21">
        <f>IF(Element_Stiffness!$C$6,IF(Element_Stiffness!$C$5=2,IF(0=Element_Stiffness!$C$5,Element_Stiffness!S26,IF(0=Element_Stiffness!$E$5,Element_Stiffness!Y26,0)),IF(Element_Stiffness!$E$5=2,IF(0=Element_Stiffness!$C$5,Element_Stiffness!S32,IF(0=Element_Stiffness!$E$5,Element_Stiffness!Y32,0)),0)),0)+IF(Element_Stiffness!$C$41,IF(Element_Stiffness!$C$40=2,IF(0=Element_Stiffness!$C$40,Element_Stiffness!S61,IF(0=Element_Stiffness!$E$40,Element_Stiffness!Y61,0)),IF(Element_Stiffness!$E$40=2,IF(0=Element_Stiffness!$C$40,Element_Stiffness!S67,IF(0=Element_Stiffness!$E$40,Element_Stiffness!Y67,0)),0)),0)+IF(Element_Stiffness!$C$76,IF(Element_Stiffness!$C$75=2,IF(0=Element_Stiffness!$C$75,Element_Stiffness!S96,IF(0=Element_Stiffness!$E$75,Element_Stiffness!Y96,0)),IF(Element_Stiffness!$E$75=2,IF(0=Element_Stiffness!$C$75,Element_Stiffness!S102,IF(0=Element_Stiffness!$E$75,Element_Stiffness!Y102,0)),0)),0)+IF(Element_Stiffness!$C$111,IF(Element_Stiffness!$C$110=2,IF(0=Element_Stiffness!$C$110,Element_Stiffness!S131,IF(0=Element_Stiffness!$E$110,Element_Stiffness!Y131,0)),IF(Element_Stiffness!$E$110=2,IF(0=Element_Stiffness!$C$110,Element_Stiffness!S137,IF(0=Element_Stiffness!$E$110,Element_Stiffness!Y137,0)),0)),0)+IF(Element_Stiffness!$C$146,IF(Element_Stiffness!$C$145=2,IF(0=Element_Stiffness!$C$145,Element_Stiffness!S166,IF(0=Element_Stiffness!$E$145,Element_Stiffness!Y166,0)),IF(Element_Stiffness!$E$145=2,IF(0=Element_Stiffness!$C$145,Element_Stiffness!S172,IF(0=Element_Stiffness!$E$145,Element_Stiffness!Y172,0)),0)),0)+IF(Element_Stiffness!$C$181,IF(Element_Stiffness!$C$180=2,IF(0=Element_Stiffness!$C$180,Element_Stiffness!S201,IF(0=Element_Stiffness!$E$180,Element_Stiffness!Y201,0)),IF(Element_Stiffness!$E$180=2,IF(0=Element_Stiffness!$C$180,Element_Stiffness!S207,IF(0=Element_Stiffness!$E$180,Element_Stiffness!Y207,0)),0)),0)+IF(Element_Stiffness!$C$216,IF(Element_Stiffness!$C$215=2,IF(0=Element_Stiffness!$C$215,Element_Stiffness!S236,IF(0=Element_Stiffness!$E$215,Element_Stiffness!Y236,0)),IF(Element_Stiffness!$E$215=2,IF(0=Element_Stiffness!$C$215,Element_Stiffness!S242,IF(0=Element_Stiffness!$E$215,Element_Stiffness!Y242,0)),0)),0)</f>
        <v/>
      </c>
      <c r="G17" s="21">
        <f>IF(Element_Stiffness!$C$6,IF(Element_Stiffness!$C$5=2,IF(0=Element_Stiffness!$C$5,Element_Stiffness!T26,IF(0=Element_Stiffness!$E$5,Element_Stiffness!Z26,0)),IF(Element_Stiffness!$E$5=2,IF(0=Element_Stiffness!$C$5,Element_Stiffness!T32,IF(0=Element_Stiffness!$E$5,Element_Stiffness!Z32,0)),0)),0)+IF(Element_Stiffness!$C$41,IF(Element_Stiffness!$C$40=2,IF(0=Element_Stiffness!$C$40,Element_Stiffness!T61,IF(0=Element_Stiffness!$E$40,Element_Stiffness!Z61,0)),IF(Element_Stiffness!$E$40=2,IF(0=Element_Stiffness!$C$40,Element_Stiffness!T67,IF(0=Element_Stiffness!$E$40,Element_Stiffness!Z67,0)),0)),0)+IF(Element_Stiffness!$C$76,IF(Element_Stiffness!$C$75=2,IF(0=Element_Stiffness!$C$75,Element_Stiffness!T96,IF(0=Element_Stiffness!$E$75,Element_Stiffness!Z96,0)),IF(Element_Stiffness!$E$75=2,IF(0=Element_Stiffness!$C$75,Element_Stiffness!T102,IF(0=Element_Stiffness!$E$75,Element_Stiffness!Z102,0)),0)),0)+IF(Element_Stiffness!$C$111,IF(Element_Stiffness!$C$110=2,IF(0=Element_Stiffness!$C$110,Element_Stiffness!T131,IF(0=Element_Stiffness!$E$110,Element_Stiffness!Z131,0)),IF(Element_Stiffness!$E$110=2,IF(0=Element_Stiffness!$C$110,Element_Stiffness!T137,IF(0=Element_Stiffness!$E$110,Element_Stiffness!Z137,0)),0)),0)+IF(Element_Stiffness!$C$146,IF(Element_Stiffness!$C$145=2,IF(0=Element_Stiffness!$C$145,Element_Stiffness!T166,IF(0=Element_Stiffness!$E$145,Element_Stiffness!Z166,0)),IF(Element_Stiffness!$E$145=2,IF(0=Element_Stiffness!$C$145,Element_Stiffness!T172,IF(0=Element_Stiffness!$E$145,Element_Stiffness!Z172,0)),0)),0)+IF(Element_Stiffness!$C$181,IF(Element_Stiffness!$C$180=2,IF(0=Element_Stiffness!$C$180,Element_Stiffness!T201,IF(0=Element_Stiffness!$E$180,Element_Stiffness!Z201,0)),IF(Element_Stiffness!$E$180=2,IF(0=Element_Stiffness!$C$180,Element_Stiffness!T207,IF(0=Element_Stiffness!$E$180,Element_Stiffness!Z207,0)),0)),0)+IF(Element_Stiffness!$C$216,IF(Element_Stiffness!$C$215=2,IF(0=Element_Stiffness!$C$215,Element_Stiffness!T236,IF(0=Element_Stiffness!$E$215,Element_Stiffness!Z236,0)),IF(Element_Stiffness!$E$215=2,IF(0=Element_Stiffness!$C$215,Element_Stiffness!T242,IF(0=Element_Stiffness!$E$215,Element_Stiffness!Z242,0)),0)),0)</f>
        <v/>
      </c>
      <c r="H17" s="21">
        <f>IF(Element_Stiffness!$C$6,IF(Element_Stiffness!$C$5=2,IF(0=Element_Stiffness!$C$5,Element_Stiffness!U26,IF(0=Element_Stiffness!$E$5,Element_Stiffness!AA26,0)),IF(Element_Stiffness!$E$5=2,IF(0=Element_Stiffness!$C$5,Element_Stiffness!U32,IF(0=Element_Stiffness!$E$5,Element_Stiffness!AA32,0)),0)),0)+IF(Element_Stiffness!$C$41,IF(Element_Stiffness!$C$40=2,IF(0=Element_Stiffness!$C$40,Element_Stiffness!U61,IF(0=Element_Stiffness!$E$40,Element_Stiffness!AA61,0)),IF(Element_Stiffness!$E$40=2,IF(0=Element_Stiffness!$C$40,Element_Stiffness!U67,IF(0=Element_Stiffness!$E$40,Element_Stiffness!AA67,0)),0)),0)+IF(Element_Stiffness!$C$76,IF(Element_Stiffness!$C$75=2,IF(0=Element_Stiffness!$C$75,Element_Stiffness!U96,IF(0=Element_Stiffness!$E$75,Element_Stiffness!AA96,0)),IF(Element_Stiffness!$E$75=2,IF(0=Element_Stiffness!$C$75,Element_Stiffness!U102,IF(0=Element_Stiffness!$E$75,Element_Stiffness!AA102,0)),0)),0)+IF(Element_Stiffness!$C$111,IF(Element_Stiffness!$C$110=2,IF(0=Element_Stiffness!$C$110,Element_Stiffness!U131,IF(0=Element_Stiffness!$E$110,Element_Stiffness!AA131,0)),IF(Element_Stiffness!$E$110=2,IF(0=Element_Stiffness!$C$110,Element_Stiffness!U137,IF(0=Element_Stiffness!$E$110,Element_Stiffness!AA137,0)),0)),0)+IF(Element_Stiffness!$C$146,IF(Element_Stiffness!$C$145=2,IF(0=Element_Stiffness!$C$145,Element_Stiffness!U166,IF(0=Element_Stiffness!$E$145,Element_Stiffness!AA166,0)),IF(Element_Stiffness!$E$145=2,IF(0=Element_Stiffness!$C$145,Element_Stiffness!U172,IF(0=Element_Stiffness!$E$145,Element_Stiffness!AA172,0)),0)),0)+IF(Element_Stiffness!$C$181,IF(Element_Stiffness!$C$180=2,IF(0=Element_Stiffness!$C$180,Element_Stiffness!U201,IF(0=Element_Stiffness!$E$180,Element_Stiffness!AA201,0)),IF(Element_Stiffness!$E$180=2,IF(0=Element_Stiffness!$C$180,Element_Stiffness!U207,IF(0=Element_Stiffness!$E$180,Element_Stiffness!AA207,0)),0)),0)+IF(Element_Stiffness!$C$216,IF(Element_Stiffness!$C$215=2,IF(0=Element_Stiffness!$C$215,Element_Stiffness!U236,IF(0=Element_Stiffness!$E$215,Element_Stiffness!AA236,0)),IF(Element_Stiffness!$E$215=2,IF(0=Element_Stiffness!$C$215,Element_Stiffness!U242,IF(0=Element_Stiffness!$E$215,Element_Stiffness!AA242,0)),0)),0)</f>
        <v/>
      </c>
      <c r="I17" s="21">
        <f>IF(Element_Stiffness!$C$6,IF(Element_Stiffness!$C$5=2,IF(1=Element_Stiffness!$C$5,Element_Stiffness!P26,IF(1=Element_Stiffness!$E$5,Element_Stiffness!V26,0)),IF(Element_Stiffness!$E$5=2,IF(1=Element_Stiffness!$C$5,Element_Stiffness!P32,IF(1=Element_Stiffness!$E$5,Element_Stiffness!V32,0)),0)),0)+IF(Element_Stiffness!$C$41,IF(Element_Stiffness!$C$40=2,IF(1=Element_Stiffness!$C$40,Element_Stiffness!P61,IF(1=Element_Stiffness!$E$40,Element_Stiffness!V61,0)),IF(Element_Stiffness!$E$40=2,IF(1=Element_Stiffness!$C$40,Element_Stiffness!P67,IF(1=Element_Stiffness!$E$40,Element_Stiffness!V67,0)),0)),0)+IF(Element_Stiffness!$C$76,IF(Element_Stiffness!$C$75=2,IF(1=Element_Stiffness!$C$75,Element_Stiffness!P96,IF(1=Element_Stiffness!$E$75,Element_Stiffness!V96,0)),IF(Element_Stiffness!$E$75=2,IF(1=Element_Stiffness!$C$75,Element_Stiffness!P102,IF(1=Element_Stiffness!$E$75,Element_Stiffness!V102,0)),0)),0)+IF(Element_Stiffness!$C$111,IF(Element_Stiffness!$C$110=2,IF(1=Element_Stiffness!$C$110,Element_Stiffness!P131,IF(1=Element_Stiffness!$E$110,Element_Stiffness!V131,0)),IF(Element_Stiffness!$E$110=2,IF(1=Element_Stiffness!$C$110,Element_Stiffness!P137,IF(1=Element_Stiffness!$E$110,Element_Stiffness!V137,0)),0)),0)+IF(Element_Stiffness!$C$146,IF(Element_Stiffness!$C$145=2,IF(1=Element_Stiffness!$C$145,Element_Stiffness!P166,IF(1=Element_Stiffness!$E$145,Element_Stiffness!V166,0)),IF(Element_Stiffness!$E$145=2,IF(1=Element_Stiffness!$C$145,Element_Stiffness!P172,IF(1=Element_Stiffness!$E$145,Element_Stiffness!V172,0)),0)),0)+IF(Element_Stiffness!$C$181,IF(Element_Stiffness!$C$180=2,IF(1=Element_Stiffness!$C$180,Element_Stiffness!P201,IF(1=Element_Stiffness!$E$180,Element_Stiffness!V201,0)),IF(Element_Stiffness!$E$180=2,IF(1=Element_Stiffness!$C$180,Element_Stiffness!P207,IF(1=Element_Stiffness!$E$180,Element_Stiffness!V207,0)),0)),0)+IF(Element_Stiffness!$C$216,IF(Element_Stiffness!$C$215=2,IF(1=Element_Stiffness!$C$215,Element_Stiffness!P236,IF(1=Element_Stiffness!$E$215,Element_Stiffness!V236,0)),IF(Element_Stiffness!$E$215=2,IF(1=Element_Stiffness!$C$215,Element_Stiffness!P242,IF(1=Element_Stiffness!$E$215,Element_Stiffness!V242,0)),0)),0)</f>
        <v/>
      </c>
      <c r="J17" s="21">
        <f>IF(Element_Stiffness!$C$6,IF(Element_Stiffness!$C$5=2,IF(1=Element_Stiffness!$C$5,Element_Stiffness!Q26,IF(1=Element_Stiffness!$E$5,Element_Stiffness!W26,0)),IF(Element_Stiffness!$E$5=2,IF(1=Element_Stiffness!$C$5,Element_Stiffness!Q32,IF(1=Element_Stiffness!$E$5,Element_Stiffness!W32,0)),0)),0)+IF(Element_Stiffness!$C$41,IF(Element_Stiffness!$C$40=2,IF(1=Element_Stiffness!$C$40,Element_Stiffness!Q61,IF(1=Element_Stiffness!$E$40,Element_Stiffness!W61,0)),IF(Element_Stiffness!$E$40=2,IF(1=Element_Stiffness!$C$40,Element_Stiffness!Q67,IF(1=Element_Stiffness!$E$40,Element_Stiffness!W67,0)),0)),0)+IF(Element_Stiffness!$C$76,IF(Element_Stiffness!$C$75=2,IF(1=Element_Stiffness!$C$75,Element_Stiffness!Q96,IF(1=Element_Stiffness!$E$75,Element_Stiffness!W96,0)),IF(Element_Stiffness!$E$75=2,IF(1=Element_Stiffness!$C$75,Element_Stiffness!Q102,IF(1=Element_Stiffness!$E$75,Element_Stiffness!W102,0)),0)),0)+IF(Element_Stiffness!$C$111,IF(Element_Stiffness!$C$110=2,IF(1=Element_Stiffness!$C$110,Element_Stiffness!Q131,IF(1=Element_Stiffness!$E$110,Element_Stiffness!W131,0)),IF(Element_Stiffness!$E$110=2,IF(1=Element_Stiffness!$C$110,Element_Stiffness!Q137,IF(1=Element_Stiffness!$E$110,Element_Stiffness!W137,0)),0)),0)+IF(Element_Stiffness!$C$146,IF(Element_Stiffness!$C$145=2,IF(1=Element_Stiffness!$C$145,Element_Stiffness!Q166,IF(1=Element_Stiffness!$E$145,Element_Stiffness!W166,0)),IF(Element_Stiffness!$E$145=2,IF(1=Element_Stiffness!$C$145,Element_Stiffness!Q172,IF(1=Element_Stiffness!$E$145,Element_Stiffness!W172,0)),0)),0)+IF(Element_Stiffness!$C$181,IF(Element_Stiffness!$C$180=2,IF(1=Element_Stiffness!$C$180,Element_Stiffness!Q201,IF(1=Element_Stiffness!$E$180,Element_Stiffness!W201,0)),IF(Element_Stiffness!$E$180=2,IF(1=Element_Stiffness!$C$180,Element_Stiffness!Q207,IF(1=Element_Stiffness!$E$180,Element_Stiffness!W207,0)),0)),0)+IF(Element_Stiffness!$C$216,IF(Element_Stiffness!$C$215=2,IF(1=Element_Stiffness!$C$215,Element_Stiffness!Q236,IF(1=Element_Stiffness!$E$215,Element_Stiffness!W236,0)),IF(Element_Stiffness!$E$215=2,IF(1=Element_Stiffness!$C$215,Element_Stiffness!Q242,IF(1=Element_Stiffness!$E$215,Element_Stiffness!W242,0)),0)),0)</f>
        <v/>
      </c>
      <c r="K17" s="21">
        <f>IF(Element_Stiffness!$C$6,IF(Element_Stiffness!$C$5=2,IF(1=Element_Stiffness!$C$5,Element_Stiffness!R26,IF(1=Element_Stiffness!$E$5,Element_Stiffness!X26,0)),IF(Element_Stiffness!$E$5=2,IF(1=Element_Stiffness!$C$5,Element_Stiffness!R32,IF(1=Element_Stiffness!$E$5,Element_Stiffness!X32,0)),0)),0)+IF(Element_Stiffness!$C$41,IF(Element_Stiffness!$C$40=2,IF(1=Element_Stiffness!$C$40,Element_Stiffness!R61,IF(1=Element_Stiffness!$E$40,Element_Stiffness!X61,0)),IF(Element_Stiffness!$E$40=2,IF(1=Element_Stiffness!$C$40,Element_Stiffness!R67,IF(1=Element_Stiffness!$E$40,Element_Stiffness!X67,0)),0)),0)+IF(Element_Stiffness!$C$76,IF(Element_Stiffness!$C$75=2,IF(1=Element_Stiffness!$C$75,Element_Stiffness!R96,IF(1=Element_Stiffness!$E$75,Element_Stiffness!X96,0)),IF(Element_Stiffness!$E$75=2,IF(1=Element_Stiffness!$C$75,Element_Stiffness!R102,IF(1=Element_Stiffness!$E$75,Element_Stiffness!X102,0)),0)),0)+IF(Element_Stiffness!$C$111,IF(Element_Stiffness!$C$110=2,IF(1=Element_Stiffness!$C$110,Element_Stiffness!R131,IF(1=Element_Stiffness!$E$110,Element_Stiffness!X131,0)),IF(Element_Stiffness!$E$110=2,IF(1=Element_Stiffness!$C$110,Element_Stiffness!R137,IF(1=Element_Stiffness!$E$110,Element_Stiffness!X137,0)),0)),0)+IF(Element_Stiffness!$C$146,IF(Element_Stiffness!$C$145=2,IF(1=Element_Stiffness!$C$145,Element_Stiffness!R166,IF(1=Element_Stiffness!$E$145,Element_Stiffness!X166,0)),IF(Element_Stiffness!$E$145=2,IF(1=Element_Stiffness!$C$145,Element_Stiffness!R172,IF(1=Element_Stiffness!$E$145,Element_Stiffness!X172,0)),0)),0)+IF(Element_Stiffness!$C$181,IF(Element_Stiffness!$C$180=2,IF(1=Element_Stiffness!$C$180,Element_Stiffness!R201,IF(1=Element_Stiffness!$E$180,Element_Stiffness!X201,0)),IF(Element_Stiffness!$E$180=2,IF(1=Element_Stiffness!$C$180,Element_Stiffness!R207,IF(1=Element_Stiffness!$E$180,Element_Stiffness!X207,0)),0)),0)+IF(Element_Stiffness!$C$216,IF(Element_Stiffness!$C$215=2,IF(1=Element_Stiffness!$C$215,Element_Stiffness!R236,IF(1=Element_Stiffness!$E$215,Element_Stiffness!X236,0)),IF(Element_Stiffness!$E$215=2,IF(1=Element_Stiffness!$C$215,Element_Stiffness!R242,IF(1=Element_Stiffness!$E$215,Element_Stiffness!X242,0)),0)),0)</f>
        <v/>
      </c>
      <c r="L17" s="21">
        <f>IF(Element_Stiffness!$C$6,IF(Element_Stiffness!$C$5=2,IF(1=Element_Stiffness!$C$5,Element_Stiffness!S26,IF(1=Element_Stiffness!$E$5,Element_Stiffness!Y26,0)),IF(Element_Stiffness!$E$5=2,IF(1=Element_Stiffness!$C$5,Element_Stiffness!S32,IF(1=Element_Stiffness!$E$5,Element_Stiffness!Y32,0)),0)),0)+IF(Element_Stiffness!$C$41,IF(Element_Stiffness!$C$40=2,IF(1=Element_Stiffness!$C$40,Element_Stiffness!S61,IF(1=Element_Stiffness!$E$40,Element_Stiffness!Y61,0)),IF(Element_Stiffness!$E$40=2,IF(1=Element_Stiffness!$C$40,Element_Stiffness!S67,IF(1=Element_Stiffness!$E$40,Element_Stiffness!Y67,0)),0)),0)+IF(Element_Stiffness!$C$76,IF(Element_Stiffness!$C$75=2,IF(1=Element_Stiffness!$C$75,Element_Stiffness!S96,IF(1=Element_Stiffness!$E$75,Element_Stiffness!Y96,0)),IF(Element_Stiffness!$E$75=2,IF(1=Element_Stiffness!$C$75,Element_Stiffness!S102,IF(1=Element_Stiffness!$E$75,Element_Stiffness!Y102,0)),0)),0)+IF(Element_Stiffness!$C$111,IF(Element_Stiffness!$C$110=2,IF(1=Element_Stiffness!$C$110,Element_Stiffness!S131,IF(1=Element_Stiffness!$E$110,Element_Stiffness!Y131,0)),IF(Element_Stiffness!$E$110=2,IF(1=Element_Stiffness!$C$110,Element_Stiffness!S137,IF(1=Element_Stiffness!$E$110,Element_Stiffness!Y137,0)),0)),0)+IF(Element_Stiffness!$C$146,IF(Element_Stiffness!$C$145=2,IF(1=Element_Stiffness!$C$145,Element_Stiffness!S166,IF(1=Element_Stiffness!$E$145,Element_Stiffness!Y166,0)),IF(Element_Stiffness!$E$145=2,IF(1=Element_Stiffness!$C$145,Element_Stiffness!S172,IF(1=Element_Stiffness!$E$145,Element_Stiffness!Y172,0)),0)),0)+IF(Element_Stiffness!$C$181,IF(Element_Stiffness!$C$180=2,IF(1=Element_Stiffness!$C$180,Element_Stiffness!S201,IF(1=Element_Stiffness!$E$180,Element_Stiffness!Y201,0)),IF(Element_Stiffness!$E$180=2,IF(1=Element_Stiffness!$C$180,Element_Stiffness!S207,IF(1=Element_Stiffness!$E$180,Element_Stiffness!Y207,0)),0)),0)+IF(Element_Stiffness!$C$216,IF(Element_Stiffness!$C$215=2,IF(1=Element_Stiffness!$C$215,Element_Stiffness!S236,IF(1=Element_Stiffness!$E$215,Element_Stiffness!Y236,0)),IF(Element_Stiffness!$E$215=2,IF(1=Element_Stiffness!$C$215,Element_Stiffness!S242,IF(1=Element_Stiffness!$E$215,Element_Stiffness!Y242,0)),0)),0)</f>
        <v/>
      </c>
      <c r="M17" s="21">
        <f>IF(Element_Stiffness!$C$6,IF(Element_Stiffness!$C$5=2,IF(1=Element_Stiffness!$C$5,Element_Stiffness!T26,IF(1=Element_Stiffness!$E$5,Element_Stiffness!Z26,0)),IF(Element_Stiffness!$E$5=2,IF(1=Element_Stiffness!$C$5,Element_Stiffness!T32,IF(1=Element_Stiffness!$E$5,Element_Stiffness!Z32,0)),0)),0)+IF(Element_Stiffness!$C$41,IF(Element_Stiffness!$C$40=2,IF(1=Element_Stiffness!$C$40,Element_Stiffness!T61,IF(1=Element_Stiffness!$E$40,Element_Stiffness!Z61,0)),IF(Element_Stiffness!$E$40=2,IF(1=Element_Stiffness!$C$40,Element_Stiffness!T67,IF(1=Element_Stiffness!$E$40,Element_Stiffness!Z67,0)),0)),0)+IF(Element_Stiffness!$C$76,IF(Element_Stiffness!$C$75=2,IF(1=Element_Stiffness!$C$75,Element_Stiffness!T96,IF(1=Element_Stiffness!$E$75,Element_Stiffness!Z96,0)),IF(Element_Stiffness!$E$75=2,IF(1=Element_Stiffness!$C$75,Element_Stiffness!T102,IF(1=Element_Stiffness!$E$75,Element_Stiffness!Z102,0)),0)),0)+IF(Element_Stiffness!$C$111,IF(Element_Stiffness!$C$110=2,IF(1=Element_Stiffness!$C$110,Element_Stiffness!T131,IF(1=Element_Stiffness!$E$110,Element_Stiffness!Z131,0)),IF(Element_Stiffness!$E$110=2,IF(1=Element_Stiffness!$C$110,Element_Stiffness!T137,IF(1=Element_Stiffness!$E$110,Element_Stiffness!Z137,0)),0)),0)+IF(Element_Stiffness!$C$146,IF(Element_Stiffness!$C$145=2,IF(1=Element_Stiffness!$C$145,Element_Stiffness!T166,IF(1=Element_Stiffness!$E$145,Element_Stiffness!Z166,0)),IF(Element_Stiffness!$E$145=2,IF(1=Element_Stiffness!$C$145,Element_Stiffness!T172,IF(1=Element_Stiffness!$E$145,Element_Stiffness!Z172,0)),0)),0)+IF(Element_Stiffness!$C$181,IF(Element_Stiffness!$C$180=2,IF(1=Element_Stiffness!$C$180,Element_Stiffness!T201,IF(1=Element_Stiffness!$E$180,Element_Stiffness!Z201,0)),IF(Element_Stiffness!$E$180=2,IF(1=Element_Stiffness!$C$180,Element_Stiffness!T207,IF(1=Element_Stiffness!$E$180,Element_Stiffness!Z207,0)),0)),0)+IF(Element_Stiffness!$C$216,IF(Element_Stiffness!$C$215=2,IF(1=Element_Stiffness!$C$215,Element_Stiffness!T236,IF(1=Element_Stiffness!$E$215,Element_Stiffness!Z236,0)),IF(Element_Stiffness!$E$215=2,IF(1=Element_Stiffness!$C$215,Element_Stiffness!T242,IF(1=Element_Stiffness!$E$215,Element_Stiffness!Z242,0)),0)),0)</f>
        <v/>
      </c>
      <c r="N17" s="21">
        <f>IF(Element_Stiffness!$C$6,IF(Element_Stiffness!$C$5=2,IF(1=Element_Stiffness!$C$5,Element_Stiffness!U26,IF(1=Element_Stiffness!$E$5,Element_Stiffness!AA26,0)),IF(Element_Stiffness!$E$5=2,IF(1=Element_Stiffness!$C$5,Element_Stiffness!U32,IF(1=Element_Stiffness!$E$5,Element_Stiffness!AA32,0)),0)),0)+IF(Element_Stiffness!$C$41,IF(Element_Stiffness!$C$40=2,IF(1=Element_Stiffness!$C$40,Element_Stiffness!U61,IF(1=Element_Stiffness!$E$40,Element_Stiffness!AA61,0)),IF(Element_Stiffness!$E$40=2,IF(1=Element_Stiffness!$C$40,Element_Stiffness!U67,IF(1=Element_Stiffness!$E$40,Element_Stiffness!AA67,0)),0)),0)+IF(Element_Stiffness!$C$76,IF(Element_Stiffness!$C$75=2,IF(1=Element_Stiffness!$C$75,Element_Stiffness!U96,IF(1=Element_Stiffness!$E$75,Element_Stiffness!AA96,0)),IF(Element_Stiffness!$E$75=2,IF(1=Element_Stiffness!$C$75,Element_Stiffness!U102,IF(1=Element_Stiffness!$E$75,Element_Stiffness!AA102,0)),0)),0)+IF(Element_Stiffness!$C$111,IF(Element_Stiffness!$C$110=2,IF(1=Element_Stiffness!$C$110,Element_Stiffness!U131,IF(1=Element_Stiffness!$E$110,Element_Stiffness!AA131,0)),IF(Element_Stiffness!$E$110=2,IF(1=Element_Stiffness!$C$110,Element_Stiffness!U137,IF(1=Element_Stiffness!$E$110,Element_Stiffness!AA137,0)),0)),0)+IF(Element_Stiffness!$C$146,IF(Element_Stiffness!$C$145=2,IF(1=Element_Stiffness!$C$145,Element_Stiffness!U166,IF(1=Element_Stiffness!$E$145,Element_Stiffness!AA166,0)),IF(Element_Stiffness!$E$145=2,IF(1=Element_Stiffness!$C$145,Element_Stiffness!U172,IF(1=Element_Stiffness!$E$145,Element_Stiffness!AA172,0)),0)),0)+IF(Element_Stiffness!$C$181,IF(Element_Stiffness!$C$180=2,IF(1=Element_Stiffness!$C$180,Element_Stiffness!U201,IF(1=Element_Stiffness!$E$180,Element_Stiffness!AA201,0)),IF(Element_Stiffness!$E$180=2,IF(1=Element_Stiffness!$C$180,Element_Stiffness!U207,IF(1=Element_Stiffness!$E$180,Element_Stiffness!AA207,0)),0)),0)+IF(Element_Stiffness!$C$216,IF(Element_Stiffness!$C$215=2,IF(1=Element_Stiffness!$C$215,Element_Stiffness!U236,IF(1=Element_Stiffness!$E$215,Element_Stiffness!AA236,0)),IF(Element_Stiffness!$E$215=2,IF(1=Element_Stiffness!$C$215,Element_Stiffness!U242,IF(1=Element_Stiffness!$E$215,Element_Stiffness!AA242,0)),0)),0)</f>
        <v/>
      </c>
      <c r="O17" s="21">
        <f>IF(Element_Stiffness!$C$6,IF(Element_Stiffness!$C$5=2,IF(2=Element_Stiffness!$C$5,Element_Stiffness!P26,IF(2=Element_Stiffness!$E$5,Element_Stiffness!V26,0)),IF(Element_Stiffness!$E$5=2,IF(2=Element_Stiffness!$C$5,Element_Stiffness!P32,IF(2=Element_Stiffness!$E$5,Element_Stiffness!V32,0)),0)),0)+IF(Element_Stiffness!$C$41,IF(Element_Stiffness!$C$40=2,IF(2=Element_Stiffness!$C$40,Element_Stiffness!P61,IF(2=Element_Stiffness!$E$40,Element_Stiffness!V61,0)),IF(Element_Stiffness!$E$40=2,IF(2=Element_Stiffness!$C$40,Element_Stiffness!P67,IF(2=Element_Stiffness!$E$40,Element_Stiffness!V67,0)),0)),0)+IF(Element_Stiffness!$C$76,IF(Element_Stiffness!$C$75=2,IF(2=Element_Stiffness!$C$75,Element_Stiffness!P96,IF(2=Element_Stiffness!$E$75,Element_Stiffness!V96,0)),IF(Element_Stiffness!$E$75=2,IF(2=Element_Stiffness!$C$75,Element_Stiffness!P102,IF(2=Element_Stiffness!$E$75,Element_Stiffness!V102,0)),0)),0)+IF(Element_Stiffness!$C$111,IF(Element_Stiffness!$C$110=2,IF(2=Element_Stiffness!$C$110,Element_Stiffness!P131,IF(2=Element_Stiffness!$E$110,Element_Stiffness!V131,0)),IF(Element_Stiffness!$E$110=2,IF(2=Element_Stiffness!$C$110,Element_Stiffness!P137,IF(2=Element_Stiffness!$E$110,Element_Stiffness!V137,0)),0)),0)+IF(Element_Stiffness!$C$146,IF(Element_Stiffness!$C$145=2,IF(2=Element_Stiffness!$C$145,Element_Stiffness!P166,IF(2=Element_Stiffness!$E$145,Element_Stiffness!V166,0)),IF(Element_Stiffness!$E$145=2,IF(2=Element_Stiffness!$C$145,Element_Stiffness!P172,IF(2=Element_Stiffness!$E$145,Element_Stiffness!V172,0)),0)),0)+IF(Element_Stiffness!$C$181,IF(Element_Stiffness!$C$180=2,IF(2=Element_Stiffness!$C$180,Element_Stiffness!P201,IF(2=Element_Stiffness!$E$180,Element_Stiffness!V201,0)),IF(Element_Stiffness!$E$180=2,IF(2=Element_Stiffness!$C$180,Element_Stiffness!P207,IF(2=Element_Stiffness!$E$180,Element_Stiffness!V207,0)),0)),0)+IF(Element_Stiffness!$C$216,IF(Element_Stiffness!$C$215=2,IF(2=Element_Stiffness!$C$215,Element_Stiffness!P236,IF(2=Element_Stiffness!$E$215,Element_Stiffness!V236,0)),IF(Element_Stiffness!$E$215=2,IF(2=Element_Stiffness!$C$215,Element_Stiffness!P242,IF(2=Element_Stiffness!$E$215,Element_Stiffness!V242,0)),0)),0)+IF(Inputs!C42=TRUE,1E15,IF(ISNUMBER(Inputs!C42),Inputs!C42,0))</f>
        <v/>
      </c>
      <c r="P17" s="21">
        <f>IF(Element_Stiffness!$C$6,IF(Element_Stiffness!$C$5=2,IF(2=Element_Stiffness!$C$5,Element_Stiffness!Q26,IF(2=Element_Stiffness!$E$5,Element_Stiffness!W26,0)),IF(Element_Stiffness!$E$5=2,IF(2=Element_Stiffness!$C$5,Element_Stiffness!Q32,IF(2=Element_Stiffness!$E$5,Element_Stiffness!W32,0)),0)),0)+IF(Element_Stiffness!$C$41,IF(Element_Stiffness!$C$40=2,IF(2=Element_Stiffness!$C$40,Element_Stiffness!Q61,IF(2=Element_Stiffness!$E$40,Element_Stiffness!W61,0)),IF(Element_Stiffness!$E$40=2,IF(2=Element_Stiffness!$C$40,Element_Stiffness!Q67,IF(2=Element_Stiffness!$E$40,Element_Stiffness!W67,0)),0)),0)+IF(Element_Stiffness!$C$76,IF(Element_Stiffness!$C$75=2,IF(2=Element_Stiffness!$C$75,Element_Stiffness!Q96,IF(2=Element_Stiffness!$E$75,Element_Stiffness!W96,0)),IF(Element_Stiffness!$E$75=2,IF(2=Element_Stiffness!$C$75,Element_Stiffness!Q102,IF(2=Element_Stiffness!$E$75,Element_Stiffness!W102,0)),0)),0)+IF(Element_Stiffness!$C$111,IF(Element_Stiffness!$C$110=2,IF(2=Element_Stiffness!$C$110,Element_Stiffness!Q131,IF(2=Element_Stiffness!$E$110,Element_Stiffness!W131,0)),IF(Element_Stiffness!$E$110=2,IF(2=Element_Stiffness!$C$110,Element_Stiffness!Q137,IF(2=Element_Stiffness!$E$110,Element_Stiffness!W137,0)),0)),0)+IF(Element_Stiffness!$C$146,IF(Element_Stiffness!$C$145=2,IF(2=Element_Stiffness!$C$145,Element_Stiffness!Q166,IF(2=Element_Stiffness!$E$145,Element_Stiffness!W166,0)),IF(Element_Stiffness!$E$145=2,IF(2=Element_Stiffness!$C$145,Element_Stiffness!Q172,IF(2=Element_Stiffness!$E$145,Element_Stiffness!W172,0)),0)),0)+IF(Element_Stiffness!$C$181,IF(Element_Stiffness!$C$180=2,IF(2=Element_Stiffness!$C$180,Element_Stiffness!Q201,IF(2=Element_Stiffness!$E$180,Element_Stiffness!W201,0)),IF(Element_Stiffness!$E$180=2,IF(2=Element_Stiffness!$C$180,Element_Stiffness!Q207,IF(2=Element_Stiffness!$E$180,Element_Stiffness!W207,0)),0)),0)+IF(Element_Stiffness!$C$216,IF(Element_Stiffness!$C$215=2,IF(2=Element_Stiffness!$C$215,Element_Stiffness!Q236,IF(2=Element_Stiffness!$E$215,Element_Stiffness!W236,0)),IF(Element_Stiffness!$E$215=2,IF(2=Element_Stiffness!$C$215,Element_Stiffness!Q242,IF(2=Element_Stiffness!$E$215,Element_Stiffness!W242,0)),0)),0)</f>
        <v/>
      </c>
      <c r="Q17" s="21">
        <f>IF(Element_Stiffness!$C$6,IF(Element_Stiffness!$C$5=2,IF(2=Element_Stiffness!$C$5,Element_Stiffness!R26,IF(2=Element_Stiffness!$E$5,Element_Stiffness!X26,0)),IF(Element_Stiffness!$E$5=2,IF(2=Element_Stiffness!$C$5,Element_Stiffness!R32,IF(2=Element_Stiffness!$E$5,Element_Stiffness!X32,0)),0)),0)+IF(Element_Stiffness!$C$41,IF(Element_Stiffness!$C$40=2,IF(2=Element_Stiffness!$C$40,Element_Stiffness!R61,IF(2=Element_Stiffness!$E$40,Element_Stiffness!X61,0)),IF(Element_Stiffness!$E$40=2,IF(2=Element_Stiffness!$C$40,Element_Stiffness!R67,IF(2=Element_Stiffness!$E$40,Element_Stiffness!X67,0)),0)),0)+IF(Element_Stiffness!$C$76,IF(Element_Stiffness!$C$75=2,IF(2=Element_Stiffness!$C$75,Element_Stiffness!R96,IF(2=Element_Stiffness!$E$75,Element_Stiffness!X96,0)),IF(Element_Stiffness!$E$75=2,IF(2=Element_Stiffness!$C$75,Element_Stiffness!R102,IF(2=Element_Stiffness!$E$75,Element_Stiffness!X102,0)),0)),0)+IF(Element_Stiffness!$C$111,IF(Element_Stiffness!$C$110=2,IF(2=Element_Stiffness!$C$110,Element_Stiffness!R131,IF(2=Element_Stiffness!$E$110,Element_Stiffness!X131,0)),IF(Element_Stiffness!$E$110=2,IF(2=Element_Stiffness!$C$110,Element_Stiffness!R137,IF(2=Element_Stiffness!$E$110,Element_Stiffness!X137,0)),0)),0)+IF(Element_Stiffness!$C$146,IF(Element_Stiffness!$C$145=2,IF(2=Element_Stiffness!$C$145,Element_Stiffness!R166,IF(2=Element_Stiffness!$E$145,Element_Stiffness!X166,0)),IF(Element_Stiffness!$E$145=2,IF(2=Element_Stiffness!$C$145,Element_Stiffness!R172,IF(2=Element_Stiffness!$E$145,Element_Stiffness!X172,0)),0)),0)+IF(Element_Stiffness!$C$181,IF(Element_Stiffness!$C$180=2,IF(2=Element_Stiffness!$C$180,Element_Stiffness!R201,IF(2=Element_Stiffness!$E$180,Element_Stiffness!X201,0)),IF(Element_Stiffness!$E$180=2,IF(2=Element_Stiffness!$C$180,Element_Stiffness!R207,IF(2=Element_Stiffness!$E$180,Element_Stiffness!X207,0)),0)),0)+IF(Element_Stiffness!$C$216,IF(Element_Stiffness!$C$215=2,IF(2=Element_Stiffness!$C$215,Element_Stiffness!R236,IF(2=Element_Stiffness!$E$215,Element_Stiffness!X236,0)),IF(Element_Stiffness!$E$215=2,IF(2=Element_Stiffness!$C$215,Element_Stiffness!R242,IF(2=Element_Stiffness!$E$215,Element_Stiffness!X242,0)),0)),0)</f>
        <v/>
      </c>
      <c r="R17" s="21">
        <f>IF(Element_Stiffness!$C$6,IF(Element_Stiffness!$C$5=2,IF(2=Element_Stiffness!$C$5,Element_Stiffness!S26,IF(2=Element_Stiffness!$E$5,Element_Stiffness!Y26,0)),IF(Element_Stiffness!$E$5=2,IF(2=Element_Stiffness!$C$5,Element_Stiffness!S32,IF(2=Element_Stiffness!$E$5,Element_Stiffness!Y32,0)),0)),0)+IF(Element_Stiffness!$C$41,IF(Element_Stiffness!$C$40=2,IF(2=Element_Stiffness!$C$40,Element_Stiffness!S61,IF(2=Element_Stiffness!$E$40,Element_Stiffness!Y61,0)),IF(Element_Stiffness!$E$40=2,IF(2=Element_Stiffness!$C$40,Element_Stiffness!S67,IF(2=Element_Stiffness!$E$40,Element_Stiffness!Y67,0)),0)),0)+IF(Element_Stiffness!$C$76,IF(Element_Stiffness!$C$75=2,IF(2=Element_Stiffness!$C$75,Element_Stiffness!S96,IF(2=Element_Stiffness!$E$75,Element_Stiffness!Y96,0)),IF(Element_Stiffness!$E$75=2,IF(2=Element_Stiffness!$C$75,Element_Stiffness!S102,IF(2=Element_Stiffness!$E$75,Element_Stiffness!Y102,0)),0)),0)+IF(Element_Stiffness!$C$111,IF(Element_Stiffness!$C$110=2,IF(2=Element_Stiffness!$C$110,Element_Stiffness!S131,IF(2=Element_Stiffness!$E$110,Element_Stiffness!Y131,0)),IF(Element_Stiffness!$E$110=2,IF(2=Element_Stiffness!$C$110,Element_Stiffness!S137,IF(2=Element_Stiffness!$E$110,Element_Stiffness!Y137,0)),0)),0)+IF(Element_Stiffness!$C$146,IF(Element_Stiffness!$C$145=2,IF(2=Element_Stiffness!$C$145,Element_Stiffness!S166,IF(2=Element_Stiffness!$E$145,Element_Stiffness!Y166,0)),IF(Element_Stiffness!$E$145=2,IF(2=Element_Stiffness!$C$145,Element_Stiffness!S172,IF(2=Element_Stiffness!$E$145,Element_Stiffness!Y172,0)),0)),0)+IF(Element_Stiffness!$C$181,IF(Element_Stiffness!$C$180=2,IF(2=Element_Stiffness!$C$180,Element_Stiffness!S201,IF(2=Element_Stiffness!$E$180,Element_Stiffness!Y201,0)),IF(Element_Stiffness!$E$180=2,IF(2=Element_Stiffness!$C$180,Element_Stiffness!S207,IF(2=Element_Stiffness!$E$180,Element_Stiffness!Y207,0)),0)),0)+IF(Element_Stiffness!$C$216,IF(Element_Stiffness!$C$215=2,IF(2=Element_Stiffness!$C$215,Element_Stiffness!S236,IF(2=Element_Stiffness!$E$215,Element_Stiffness!Y236,0)),IF(Element_Stiffness!$E$215=2,IF(2=Element_Stiffness!$C$215,Element_Stiffness!S242,IF(2=Element_Stiffness!$E$215,Element_Stiffness!Y242,0)),0)),0)</f>
        <v/>
      </c>
      <c r="S17" s="21">
        <f>IF(Element_Stiffness!$C$6,IF(Element_Stiffness!$C$5=2,IF(2=Element_Stiffness!$C$5,Element_Stiffness!T26,IF(2=Element_Stiffness!$E$5,Element_Stiffness!Z26,0)),IF(Element_Stiffness!$E$5=2,IF(2=Element_Stiffness!$C$5,Element_Stiffness!T32,IF(2=Element_Stiffness!$E$5,Element_Stiffness!Z32,0)),0)),0)+IF(Element_Stiffness!$C$41,IF(Element_Stiffness!$C$40=2,IF(2=Element_Stiffness!$C$40,Element_Stiffness!T61,IF(2=Element_Stiffness!$E$40,Element_Stiffness!Z61,0)),IF(Element_Stiffness!$E$40=2,IF(2=Element_Stiffness!$C$40,Element_Stiffness!T67,IF(2=Element_Stiffness!$E$40,Element_Stiffness!Z67,0)),0)),0)+IF(Element_Stiffness!$C$76,IF(Element_Stiffness!$C$75=2,IF(2=Element_Stiffness!$C$75,Element_Stiffness!T96,IF(2=Element_Stiffness!$E$75,Element_Stiffness!Z96,0)),IF(Element_Stiffness!$E$75=2,IF(2=Element_Stiffness!$C$75,Element_Stiffness!T102,IF(2=Element_Stiffness!$E$75,Element_Stiffness!Z102,0)),0)),0)+IF(Element_Stiffness!$C$111,IF(Element_Stiffness!$C$110=2,IF(2=Element_Stiffness!$C$110,Element_Stiffness!T131,IF(2=Element_Stiffness!$E$110,Element_Stiffness!Z131,0)),IF(Element_Stiffness!$E$110=2,IF(2=Element_Stiffness!$C$110,Element_Stiffness!T137,IF(2=Element_Stiffness!$E$110,Element_Stiffness!Z137,0)),0)),0)+IF(Element_Stiffness!$C$146,IF(Element_Stiffness!$C$145=2,IF(2=Element_Stiffness!$C$145,Element_Stiffness!T166,IF(2=Element_Stiffness!$E$145,Element_Stiffness!Z166,0)),IF(Element_Stiffness!$E$145=2,IF(2=Element_Stiffness!$C$145,Element_Stiffness!T172,IF(2=Element_Stiffness!$E$145,Element_Stiffness!Z172,0)),0)),0)+IF(Element_Stiffness!$C$181,IF(Element_Stiffness!$C$180=2,IF(2=Element_Stiffness!$C$180,Element_Stiffness!T201,IF(2=Element_Stiffness!$E$180,Element_Stiffness!Z201,0)),IF(Element_Stiffness!$E$180=2,IF(2=Element_Stiffness!$C$180,Element_Stiffness!T207,IF(2=Element_Stiffness!$E$180,Element_Stiffness!Z207,0)),0)),0)+IF(Element_Stiffness!$C$216,IF(Element_Stiffness!$C$215=2,IF(2=Element_Stiffness!$C$215,Element_Stiffness!T236,IF(2=Element_Stiffness!$E$215,Element_Stiffness!Z236,0)),IF(Element_Stiffness!$E$215=2,IF(2=Element_Stiffness!$C$215,Element_Stiffness!T242,IF(2=Element_Stiffness!$E$215,Element_Stiffness!Z242,0)),0)),0)</f>
        <v/>
      </c>
      <c r="T17" s="21">
        <f>IF(Element_Stiffness!$C$6,IF(Element_Stiffness!$C$5=2,IF(2=Element_Stiffness!$C$5,Element_Stiffness!U26,IF(2=Element_Stiffness!$E$5,Element_Stiffness!AA26,0)),IF(Element_Stiffness!$E$5=2,IF(2=Element_Stiffness!$C$5,Element_Stiffness!U32,IF(2=Element_Stiffness!$E$5,Element_Stiffness!AA32,0)),0)),0)+IF(Element_Stiffness!$C$41,IF(Element_Stiffness!$C$40=2,IF(2=Element_Stiffness!$C$40,Element_Stiffness!U61,IF(2=Element_Stiffness!$E$40,Element_Stiffness!AA61,0)),IF(Element_Stiffness!$E$40=2,IF(2=Element_Stiffness!$C$40,Element_Stiffness!U67,IF(2=Element_Stiffness!$E$40,Element_Stiffness!AA67,0)),0)),0)+IF(Element_Stiffness!$C$76,IF(Element_Stiffness!$C$75=2,IF(2=Element_Stiffness!$C$75,Element_Stiffness!U96,IF(2=Element_Stiffness!$E$75,Element_Stiffness!AA96,0)),IF(Element_Stiffness!$E$75=2,IF(2=Element_Stiffness!$C$75,Element_Stiffness!U102,IF(2=Element_Stiffness!$E$75,Element_Stiffness!AA102,0)),0)),0)+IF(Element_Stiffness!$C$111,IF(Element_Stiffness!$C$110=2,IF(2=Element_Stiffness!$C$110,Element_Stiffness!U131,IF(2=Element_Stiffness!$E$110,Element_Stiffness!AA131,0)),IF(Element_Stiffness!$E$110=2,IF(2=Element_Stiffness!$C$110,Element_Stiffness!U137,IF(2=Element_Stiffness!$E$110,Element_Stiffness!AA137,0)),0)),0)+IF(Element_Stiffness!$C$146,IF(Element_Stiffness!$C$145=2,IF(2=Element_Stiffness!$C$145,Element_Stiffness!U166,IF(2=Element_Stiffness!$E$145,Element_Stiffness!AA166,0)),IF(Element_Stiffness!$E$145=2,IF(2=Element_Stiffness!$C$145,Element_Stiffness!U172,IF(2=Element_Stiffness!$E$145,Element_Stiffness!AA172,0)),0)),0)+IF(Element_Stiffness!$C$181,IF(Element_Stiffness!$C$180=2,IF(2=Element_Stiffness!$C$180,Element_Stiffness!U201,IF(2=Element_Stiffness!$E$180,Element_Stiffness!AA201,0)),IF(Element_Stiffness!$E$180=2,IF(2=Element_Stiffness!$C$180,Element_Stiffness!U207,IF(2=Element_Stiffness!$E$180,Element_Stiffness!AA207,0)),0)),0)+IF(Element_Stiffness!$C$216,IF(Element_Stiffness!$C$215=2,IF(2=Element_Stiffness!$C$215,Element_Stiffness!U236,IF(2=Element_Stiffness!$E$215,Element_Stiffness!AA236,0)),IF(Element_Stiffness!$E$215=2,IF(2=Element_Stiffness!$C$215,Element_Stiffness!U242,IF(2=Element_Stiffness!$E$215,Element_Stiffness!AA242,0)),0)),0)</f>
        <v/>
      </c>
      <c r="U17" s="21">
        <f>IF(Element_Stiffness!$C$6,IF(Element_Stiffness!$C$5=2,IF(3=Element_Stiffness!$C$5,Element_Stiffness!P26,IF(3=Element_Stiffness!$E$5,Element_Stiffness!V26,0)),IF(Element_Stiffness!$E$5=2,IF(3=Element_Stiffness!$C$5,Element_Stiffness!P32,IF(3=Element_Stiffness!$E$5,Element_Stiffness!V32,0)),0)),0)+IF(Element_Stiffness!$C$41,IF(Element_Stiffness!$C$40=2,IF(3=Element_Stiffness!$C$40,Element_Stiffness!P61,IF(3=Element_Stiffness!$E$40,Element_Stiffness!V61,0)),IF(Element_Stiffness!$E$40=2,IF(3=Element_Stiffness!$C$40,Element_Stiffness!P67,IF(3=Element_Stiffness!$E$40,Element_Stiffness!V67,0)),0)),0)+IF(Element_Stiffness!$C$76,IF(Element_Stiffness!$C$75=2,IF(3=Element_Stiffness!$C$75,Element_Stiffness!P96,IF(3=Element_Stiffness!$E$75,Element_Stiffness!V96,0)),IF(Element_Stiffness!$E$75=2,IF(3=Element_Stiffness!$C$75,Element_Stiffness!P102,IF(3=Element_Stiffness!$E$75,Element_Stiffness!V102,0)),0)),0)+IF(Element_Stiffness!$C$111,IF(Element_Stiffness!$C$110=2,IF(3=Element_Stiffness!$C$110,Element_Stiffness!P131,IF(3=Element_Stiffness!$E$110,Element_Stiffness!V131,0)),IF(Element_Stiffness!$E$110=2,IF(3=Element_Stiffness!$C$110,Element_Stiffness!P137,IF(3=Element_Stiffness!$E$110,Element_Stiffness!V137,0)),0)),0)+IF(Element_Stiffness!$C$146,IF(Element_Stiffness!$C$145=2,IF(3=Element_Stiffness!$C$145,Element_Stiffness!P166,IF(3=Element_Stiffness!$E$145,Element_Stiffness!V166,0)),IF(Element_Stiffness!$E$145=2,IF(3=Element_Stiffness!$C$145,Element_Stiffness!P172,IF(3=Element_Stiffness!$E$145,Element_Stiffness!V172,0)),0)),0)+IF(Element_Stiffness!$C$181,IF(Element_Stiffness!$C$180=2,IF(3=Element_Stiffness!$C$180,Element_Stiffness!P201,IF(3=Element_Stiffness!$E$180,Element_Stiffness!V201,0)),IF(Element_Stiffness!$E$180=2,IF(3=Element_Stiffness!$C$180,Element_Stiffness!P207,IF(3=Element_Stiffness!$E$180,Element_Stiffness!V207,0)),0)),0)+IF(Element_Stiffness!$C$216,IF(Element_Stiffness!$C$215=2,IF(3=Element_Stiffness!$C$215,Element_Stiffness!P236,IF(3=Element_Stiffness!$E$215,Element_Stiffness!V236,0)),IF(Element_Stiffness!$E$215=2,IF(3=Element_Stiffness!$C$215,Element_Stiffness!P242,IF(3=Element_Stiffness!$E$215,Element_Stiffness!V242,0)),0)),0)</f>
        <v/>
      </c>
      <c r="V17" s="21">
        <f>IF(Element_Stiffness!$C$6,IF(Element_Stiffness!$C$5=2,IF(3=Element_Stiffness!$C$5,Element_Stiffness!Q26,IF(3=Element_Stiffness!$E$5,Element_Stiffness!W26,0)),IF(Element_Stiffness!$E$5=2,IF(3=Element_Stiffness!$C$5,Element_Stiffness!Q32,IF(3=Element_Stiffness!$E$5,Element_Stiffness!W32,0)),0)),0)+IF(Element_Stiffness!$C$41,IF(Element_Stiffness!$C$40=2,IF(3=Element_Stiffness!$C$40,Element_Stiffness!Q61,IF(3=Element_Stiffness!$E$40,Element_Stiffness!W61,0)),IF(Element_Stiffness!$E$40=2,IF(3=Element_Stiffness!$C$40,Element_Stiffness!Q67,IF(3=Element_Stiffness!$E$40,Element_Stiffness!W67,0)),0)),0)+IF(Element_Stiffness!$C$76,IF(Element_Stiffness!$C$75=2,IF(3=Element_Stiffness!$C$75,Element_Stiffness!Q96,IF(3=Element_Stiffness!$E$75,Element_Stiffness!W96,0)),IF(Element_Stiffness!$E$75=2,IF(3=Element_Stiffness!$C$75,Element_Stiffness!Q102,IF(3=Element_Stiffness!$E$75,Element_Stiffness!W102,0)),0)),0)+IF(Element_Stiffness!$C$111,IF(Element_Stiffness!$C$110=2,IF(3=Element_Stiffness!$C$110,Element_Stiffness!Q131,IF(3=Element_Stiffness!$E$110,Element_Stiffness!W131,0)),IF(Element_Stiffness!$E$110=2,IF(3=Element_Stiffness!$C$110,Element_Stiffness!Q137,IF(3=Element_Stiffness!$E$110,Element_Stiffness!W137,0)),0)),0)+IF(Element_Stiffness!$C$146,IF(Element_Stiffness!$C$145=2,IF(3=Element_Stiffness!$C$145,Element_Stiffness!Q166,IF(3=Element_Stiffness!$E$145,Element_Stiffness!W166,0)),IF(Element_Stiffness!$E$145=2,IF(3=Element_Stiffness!$C$145,Element_Stiffness!Q172,IF(3=Element_Stiffness!$E$145,Element_Stiffness!W172,0)),0)),0)+IF(Element_Stiffness!$C$181,IF(Element_Stiffness!$C$180=2,IF(3=Element_Stiffness!$C$180,Element_Stiffness!Q201,IF(3=Element_Stiffness!$E$180,Element_Stiffness!W201,0)),IF(Element_Stiffness!$E$180=2,IF(3=Element_Stiffness!$C$180,Element_Stiffness!Q207,IF(3=Element_Stiffness!$E$180,Element_Stiffness!W207,0)),0)),0)+IF(Element_Stiffness!$C$216,IF(Element_Stiffness!$C$215=2,IF(3=Element_Stiffness!$C$215,Element_Stiffness!Q236,IF(3=Element_Stiffness!$E$215,Element_Stiffness!W236,0)),IF(Element_Stiffness!$E$215=2,IF(3=Element_Stiffness!$C$215,Element_Stiffness!Q242,IF(3=Element_Stiffness!$E$215,Element_Stiffness!W242,0)),0)),0)</f>
        <v/>
      </c>
      <c r="W17" s="21">
        <f>IF(Element_Stiffness!$C$6,IF(Element_Stiffness!$C$5=2,IF(3=Element_Stiffness!$C$5,Element_Stiffness!R26,IF(3=Element_Stiffness!$E$5,Element_Stiffness!X26,0)),IF(Element_Stiffness!$E$5=2,IF(3=Element_Stiffness!$C$5,Element_Stiffness!R32,IF(3=Element_Stiffness!$E$5,Element_Stiffness!X32,0)),0)),0)+IF(Element_Stiffness!$C$41,IF(Element_Stiffness!$C$40=2,IF(3=Element_Stiffness!$C$40,Element_Stiffness!R61,IF(3=Element_Stiffness!$E$40,Element_Stiffness!X61,0)),IF(Element_Stiffness!$E$40=2,IF(3=Element_Stiffness!$C$40,Element_Stiffness!R67,IF(3=Element_Stiffness!$E$40,Element_Stiffness!X67,0)),0)),0)+IF(Element_Stiffness!$C$76,IF(Element_Stiffness!$C$75=2,IF(3=Element_Stiffness!$C$75,Element_Stiffness!R96,IF(3=Element_Stiffness!$E$75,Element_Stiffness!X96,0)),IF(Element_Stiffness!$E$75=2,IF(3=Element_Stiffness!$C$75,Element_Stiffness!R102,IF(3=Element_Stiffness!$E$75,Element_Stiffness!X102,0)),0)),0)+IF(Element_Stiffness!$C$111,IF(Element_Stiffness!$C$110=2,IF(3=Element_Stiffness!$C$110,Element_Stiffness!R131,IF(3=Element_Stiffness!$E$110,Element_Stiffness!X131,0)),IF(Element_Stiffness!$E$110=2,IF(3=Element_Stiffness!$C$110,Element_Stiffness!R137,IF(3=Element_Stiffness!$E$110,Element_Stiffness!X137,0)),0)),0)+IF(Element_Stiffness!$C$146,IF(Element_Stiffness!$C$145=2,IF(3=Element_Stiffness!$C$145,Element_Stiffness!R166,IF(3=Element_Stiffness!$E$145,Element_Stiffness!X166,0)),IF(Element_Stiffness!$E$145=2,IF(3=Element_Stiffness!$C$145,Element_Stiffness!R172,IF(3=Element_Stiffness!$E$145,Element_Stiffness!X172,0)),0)),0)+IF(Element_Stiffness!$C$181,IF(Element_Stiffness!$C$180=2,IF(3=Element_Stiffness!$C$180,Element_Stiffness!R201,IF(3=Element_Stiffness!$E$180,Element_Stiffness!X201,0)),IF(Element_Stiffness!$E$180=2,IF(3=Element_Stiffness!$C$180,Element_Stiffness!R207,IF(3=Element_Stiffness!$E$180,Element_Stiffness!X207,0)),0)),0)+IF(Element_Stiffness!$C$216,IF(Element_Stiffness!$C$215=2,IF(3=Element_Stiffness!$C$215,Element_Stiffness!R236,IF(3=Element_Stiffness!$E$215,Element_Stiffness!X236,0)),IF(Element_Stiffness!$E$215=2,IF(3=Element_Stiffness!$C$215,Element_Stiffness!R242,IF(3=Element_Stiffness!$E$215,Element_Stiffness!X242,0)),0)),0)</f>
        <v/>
      </c>
      <c r="X17" s="21">
        <f>IF(Element_Stiffness!$C$6,IF(Element_Stiffness!$C$5=2,IF(3=Element_Stiffness!$C$5,Element_Stiffness!S26,IF(3=Element_Stiffness!$E$5,Element_Stiffness!Y26,0)),IF(Element_Stiffness!$E$5=2,IF(3=Element_Stiffness!$C$5,Element_Stiffness!S32,IF(3=Element_Stiffness!$E$5,Element_Stiffness!Y32,0)),0)),0)+IF(Element_Stiffness!$C$41,IF(Element_Stiffness!$C$40=2,IF(3=Element_Stiffness!$C$40,Element_Stiffness!S61,IF(3=Element_Stiffness!$E$40,Element_Stiffness!Y61,0)),IF(Element_Stiffness!$E$40=2,IF(3=Element_Stiffness!$C$40,Element_Stiffness!S67,IF(3=Element_Stiffness!$E$40,Element_Stiffness!Y67,0)),0)),0)+IF(Element_Stiffness!$C$76,IF(Element_Stiffness!$C$75=2,IF(3=Element_Stiffness!$C$75,Element_Stiffness!S96,IF(3=Element_Stiffness!$E$75,Element_Stiffness!Y96,0)),IF(Element_Stiffness!$E$75=2,IF(3=Element_Stiffness!$C$75,Element_Stiffness!S102,IF(3=Element_Stiffness!$E$75,Element_Stiffness!Y102,0)),0)),0)+IF(Element_Stiffness!$C$111,IF(Element_Stiffness!$C$110=2,IF(3=Element_Stiffness!$C$110,Element_Stiffness!S131,IF(3=Element_Stiffness!$E$110,Element_Stiffness!Y131,0)),IF(Element_Stiffness!$E$110=2,IF(3=Element_Stiffness!$C$110,Element_Stiffness!S137,IF(3=Element_Stiffness!$E$110,Element_Stiffness!Y137,0)),0)),0)+IF(Element_Stiffness!$C$146,IF(Element_Stiffness!$C$145=2,IF(3=Element_Stiffness!$C$145,Element_Stiffness!S166,IF(3=Element_Stiffness!$E$145,Element_Stiffness!Y166,0)),IF(Element_Stiffness!$E$145=2,IF(3=Element_Stiffness!$C$145,Element_Stiffness!S172,IF(3=Element_Stiffness!$E$145,Element_Stiffness!Y172,0)),0)),0)+IF(Element_Stiffness!$C$181,IF(Element_Stiffness!$C$180=2,IF(3=Element_Stiffness!$C$180,Element_Stiffness!S201,IF(3=Element_Stiffness!$E$180,Element_Stiffness!Y201,0)),IF(Element_Stiffness!$E$180=2,IF(3=Element_Stiffness!$C$180,Element_Stiffness!S207,IF(3=Element_Stiffness!$E$180,Element_Stiffness!Y207,0)),0)),0)+IF(Element_Stiffness!$C$216,IF(Element_Stiffness!$C$215=2,IF(3=Element_Stiffness!$C$215,Element_Stiffness!S236,IF(3=Element_Stiffness!$E$215,Element_Stiffness!Y236,0)),IF(Element_Stiffness!$E$215=2,IF(3=Element_Stiffness!$C$215,Element_Stiffness!S242,IF(3=Element_Stiffness!$E$215,Element_Stiffness!Y242,0)),0)),0)</f>
        <v/>
      </c>
      <c r="Y17" s="21">
        <f>IF(Element_Stiffness!$C$6,IF(Element_Stiffness!$C$5=2,IF(3=Element_Stiffness!$C$5,Element_Stiffness!T26,IF(3=Element_Stiffness!$E$5,Element_Stiffness!Z26,0)),IF(Element_Stiffness!$E$5=2,IF(3=Element_Stiffness!$C$5,Element_Stiffness!T32,IF(3=Element_Stiffness!$E$5,Element_Stiffness!Z32,0)),0)),0)+IF(Element_Stiffness!$C$41,IF(Element_Stiffness!$C$40=2,IF(3=Element_Stiffness!$C$40,Element_Stiffness!T61,IF(3=Element_Stiffness!$E$40,Element_Stiffness!Z61,0)),IF(Element_Stiffness!$E$40=2,IF(3=Element_Stiffness!$C$40,Element_Stiffness!T67,IF(3=Element_Stiffness!$E$40,Element_Stiffness!Z67,0)),0)),0)+IF(Element_Stiffness!$C$76,IF(Element_Stiffness!$C$75=2,IF(3=Element_Stiffness!$C$75,Element_Stiffness!T96,IF(3=Element_Stiffness!$E$75,Element_Stiffness!Z96,0)),IF(Element_Stiffness!$E$75=2,IF(3=Element_Stiffness!$C$75,Element_Stiffness!T102,IF(3=Element_Stiffness!$E$75,Element_Stiffness!Z102,0)),0)),0)+IF(Element_Stiffness!$C$111,IF(Element_Stiffness!$C$110=2,IF(3=Element_Stiffness!$C$110,Element_Stiffness!T131,IF(3=Element_Stiffness!$E$110,Element_Stiffness!Z131,0)),IF(Element_Stiffness!$E$110=2,IF(3=Element_Stiffness!$C$110,Element_Stiffness!T137,IF(3=Element_Stiffness!$E$110,Element_Stiffness!Z137,0)),0)),0)+IF(Element_Stiffness!$C$146,IF(Element_Stiffness!$C$145=2,IF(3=Element_Stiffness!$C$145,Element_Stiffness!T166,IF(3=Element_Stiffness!$E$145,Element_Stiffness!Z166,0)),IF(Element_Stiffness!$E$145=2,IF(3=Element_Stiffness!$C$145,Element_Stiffness!T172,IF(3=Element_Stiffness!$E$145,Element_Stiffness!Z172,0)),0)),0)+IF(Element_Stiffness!$C$181,IF(Element_Stiffness!$C$180=2,IF(3=Element_Stiffness!$C$180,Element_Stiffness!T201,IF(3=Element_Stiffness!$E$180,Element_Stiffness!Z201,0)),IF(Element_Stiffness!$E$180=2,IF(3=Element_Stiffness!$C$180,Element_Stiffness!T207,IF(3=Element_Stiffness!$E$180,Element_Stiffness!Z207,0)),0)),0)+IF(Element_Stiffness!$C$216,IF(Element_Stiffness!$C$215=2,IF(3=Element_Stiffness!$C$215,Element_Stiffness!T236,IF(3=Element_Stiffness!$E$215,Element_Stiffness!Z236,0)),IF(Element_Stiffness!$E$215=2,IF(3=Element_Stiffness!$C$215,Element_Stiffness!T242,IF(3=Element_Stiffness!$E$215,Element_Stiffness!Z242,0)),0)),0)</f>
        <v/>
      </c>
      <c r="Z17" s="21">
        <f>IF(Element_Stiffness!$C$6,IF(Element_Stiffness!$C$5=2,IF(3=Element_Stiffness!$C$5,Element_Stiffness!U26,IF(3=Element_Stiffness!$E$5,Element_Stiffness!AA26,0)),IF(Element_Stiffness!$E$5=2,IF(3=Element_Stiffness!$C$5,Element_Stiffness!U32,IF(3=Element_Stiffness!$E$5,Element_Stiffness!AA32,0)),0)),0)+IF(Element_Stiffness!$C$41,IF(Element_Stiffness!$C$40=2,IF(3=Element_Stiffness!$C$40,Element_Stiffness!U61,IF(3=Element_Stiffness!$E$40,Element_Stiffness!AA61,0)),IF(Element_Stiffness!$E$40=2,IF(3=Element_Stiffness!$C$40,Element_Stiffness!U67,IF(3=Element_Stiffness!$E$40,Element_Stiffness!AA67,0)),0)),0)+IF(Element_Stiffness!$C$76,IF(Element_Stiffness!$C$75=2,IF(3=Element_Stiffness!$C$75,Element_Stiffness!U96,IF(3=Element_Stiffness!$E$75,Element_Stiffness!AA96,0)),IF(Element_Stiffness!$E$75=2,IF(3=Element_Stiffness!$C$75,Element_Stiffness!U102,IF(3=Element_Stiffness!$E$75,Element_Stiffness!AA102,0)),0)),0)+IF(Element_Stiffness!$C$111,IF(Element_Stiffness!$C$110=2,IF(3=Element_Stiffness!$C$110,Element_Stiffness!U131,IF(3=Element_Stiffness!$E$110,Element_Stiffness!AA131,0)),IF(Element_Stiffness!$E$110=2,IF(3=Element_Stiffness!$C$110,Element_Stiffness!U137,IF(3=Element_Stiffness!$E$110,Element_Stiffness!AA137,0)),0)),0)+IF(Element_Stiffness!$C$146,IF(Element_Stiffness!$C$145=2,IF(3=Element_Stiffness!$C$145,Element_Stiffness!U166,IF(3=Element_Stiffness!$E$145,Element_Stiffness!AA166,0)),IF(Element_Stiffness!$E$145=2,IF(3=Element_Stiffness!$C$145,Element_Stiffness!U172,IF(3=Element_Stiffness!$E$145,Element_Stiffness!AA172,0)),0)),0)+IF(Element_Stiffness!$C$181,IF(Element_Stiffness!$C$180=2,IF(3=Element_Stiffness!$C$180,Element_Stiffness!U201,IF(3=Element_Stiffness!$E$180,Element_Stiffness!AA201,0)),IF(Element_Stiffness!$E$180=2,IF(3=Element_Stiffness!$C$180,Element_Stiffness!U207,IF(3=Element_Stiffness!$E$180,Element_Stiffness!AA207,0)),0)),0)+IF(Element_Stiffness!$C$216,IF(Element_Stiffness!$C$215=2,IF(3=Element_Stiffness!$C$215,Element_Stiffness!U236,IF(3=Element_Stiffness!$E$215,Element_Stiffness!AA236,0)),IF(Element_Stiffness!$E$215=2,IF(3=Element_Stiffness!$C$215,Element_Stiffness!U242,IF(3=Element_Stiffness!$E$215,Element_Stiffness!AA242,0)),0)),0)</f>
        <v/>
      </c>
      <c r="AA17" s="21">
        <f>IF(Element_Stiffness!$C$6,IF(Element_Stiffness!$C$5=2,IF(4=Element_Stiffness!$C$5,Element_Stiffness!P26,IF(4=Element_Stiffness!$E$5,Element_Stiffness!V26,0)),IF(Element_Stiffness!$E$5=2,IF(4=Element_Stiffness!$C$5,Element_Stiffness!P32,IF(4=Element_Stiffness!$E$5,Element_Stiffness!V32,0)),0)),0)+IF(Element_Stiffness!$C$41,IF(Element_Stiffness!$C$40=2,IF(4=Element_Stiffness!$C$40,Element_Stiffness!P61,IF(4=Element_Stiffness!$E$40,Element_Stiffness!V61,0)),IF(Element_Stiffness!$E$40=2,IF(4=Element_Stiffness!$C$40,Element_Stiffness!P67,IF(4=Element_Stiffness!$E$40,Element_Stiffness!V67,0)),0)),0)+IF(Element_Stiffness!$C$76,IF(Element_Stiffness!$C$75=2,IF(4=Element_Stiffness!$C$75,Element_Stiffness!P96,IF(4=Element_Stiffness!$E$75,Element_Stiffness!V96,0)),IF(Element_Stiffness!$E$75=2,IF(4=Element_Stiffness!$C$75,Element_Stiffness!P102,IF(4=Element_Stiffness!$E$75,Element_Stiffness!V102,0)),0)),0)+IF(Element_Stiffness!$C$111,IF(Element_Stiffness!$C$110=2,IF(4=Element_Stiffness!$C$110,Element_Stiffness!P131,IF(4=Element_Stiffness!$E$110,Element_Stiffness!V131,0)),IF(Element_Stiffness!$E$110=2,IF(4=Element_Stiffness!$C$110,Element_Stiffness!P137,IF(4=Element_Stiffness!$E$110,Element_Stiffness!V137,0)),0)),0)+IF(Element_Stiffness!$C$146,IF(Element_Stiffness!$C$145=2,IF(4=Element_Stiffness!$C$145,Element_Stiffness!P166,IF(4=Element_Stiffness!$E$145,Element_Stiffness!V166,0)),IF(Element_Stiffness!$E$145=2,IF(4=Element_Stiffness!$C$145,Element_Stiffness!P172,IF(4=Element_Stiffness!$E$145,Element_Stiffness!V172,0)),0)),0)+IF(Element_Stiffness!$C$181,IF(Element_Stiffness!$C$180=2,IF(4=Element_Stiffness!$C$180,Element_Stiffness!P201,IF(4=Element_Stiffness!$E$180,Element_Stiffness!V201,0)),IF(Element_Stiffness!$E$180=2,IF(4=Element_Stiffness!$C$180,Element_Stiffness!P207,IF(4=Element_Stiffness!$E$180,Element_Stiffness!V207,0)),0)),0)+IF(Element_Stiffness!$C$216,IF(Element_Stiffness!$C$215=2,IF(4=Element_Stiffness!$C$215,Element_Stiffness!P236,IF(4=Element_Stiffness!$E$215,Element_Stiffness!V236,0)),IF(Element_Stiffness!$E$215=2,IF(4=Element_Stiffness!$C$215,Element_Stiffness!P242,IF(4=Element_Stiffness!$E$215,Element_Stiffness!V242,0)),0)),0)</f>
        <v/>
      </c>
      <c r="AB17" s="21">
        <f>IF(Element_Stiffness!$C$6,IF(Element_Stiffness!$C$5=2,IF(4=Element_Stiffness!$C$5,Element_Stiffness!Q26,IF(4=Element_Stiffness!$E$5,Element_Stiffness!W26,0)),IF(Element_Stiffness!$E$5=2,IF(4=Element_Stiffness!$C$5,Element_Stiffness!Q32,IF(4=Element_Stiffness!$E$5,Element_Stiffness!W32,0)),0)),0)+IF(Element_Stiffness!$C$41,IF(Element_Stiffness!$C$40=2,IF(4=Element_Stiffness!$C$40,Element_Stiffness!Q61,IF(4=Element_Stiffness!$E$40,Element_Stiffness!W61,0)),IF(Element_Stiffness!$E$40=2,IF(4=Element_Stiffness!$C$40,Element_Stiffness!Q67,IF(4=Element_Stiffness!$E$40,Element_Stiffness!W67,0)),0)),0)+IF(Element_Stiffness!$C$76,IF(Element_Stiffness!$C$75=2,IF(4=Element_Stiffness!$C$75,Element_Stiffness!Q96,IF(4=Element_Stiffness!$E$75,Element_Stiffness!W96,0)),IF(Element_Stiffness!$E$75=2,IF(4=Element_Stiffness!$C$75,Element_Stiffness!Q102,IF(4=Element_Stiffness!$E$75,Element_Stiffness!W102,0)),0)),0)+IF(Element_Stiffness!$C$111,IF(Element_Stiffness!$C$110=2,IF(4=Element_Stiffness!$C$110,Element_Stiffness!Q131,IF(4=Element_Stiffness!$E$110,Element_Stiffness!W131,0)),IF(Element_Stiffness!$E$110=2,IF(4=Element_Stiffness!$C$110,Element_Stiffness!Q137,IF(4=Element_Stiffness!$E$110,Element_Stiffness!W137,0)),0)),0)+IF(Element_Stiffness!$C$146,IF(Element_Stiffness!$C$145=2,IF(4=Element_Stiffness!$C$145,Element_Stiffness!Q166,IF(4=Element_Stiffness!$E$145,Element_Stiffness!W166,0)),IF(Element_Stiffness!$E$145=2,IF(4=Element_Stiffness!$C$145,Element_Stiffness!Q172,IF(4=Element_Stiffness!$E$145,Element_Stiffness!W172,0)),0)),0)+IF(Element_Stiffness!$C$181,IF(Element_Stiffness!$C$180=2,IF(4=Element_Stiffness!$C$180,Element_Stiffness!Q201,IF(4=Element_Stiffness!$E$180,Element_Stiffness!W201,0)),IF(Element_Stiffness!$E$180=2,IF(4=Element_Stiffness!$C$180,Element_Stiffness!Q207,IF(4=Element_Stiffness!$E$180,Element_Stiffness!W207,0)),0)),0)+IF(Element_Stiffness!$C$216,IF(Element_Stiffness!$C$215=2,IF(4=Element_Stiffness!$C$215,Element_Stiffness!Q236,IF(4=Element_Stiffness!$E$215,Element_Stiffness!W236,0)),IF(Element_Stiffness!$E$215=2,IF(4=Element_Stiffness!$C$215,Element_Stiffness!Q242,IF(4=Element_Stiffness!$E$215,Element_Stiffness!W242,0)),0)),0)</f>
        <v/>
      </c>
      <c r="AC17" s="21">
        <f>IF(Element_Stiffness!$C$6,IF(Element_Stiffness!$C$5=2,IF(4=Element_Stiffness!$C$5,Element_Stiffness!R26,IF(4=Element_Stiffness!$E$5,Element_Stiffness!X26,0)),IF(Element_Stiffness!$E$5=2,IF(4=Element_Stiffness!$C$5,Element_Stiffness!R32,IF(4=Element_Stiffness!$E$5,Element_Stiffness!X32,0)),0)),0)+IF(Element_Stiffness!$C$41,IF(Element_Stiffness!$C$40=2,IF(4=Element_Stiffness!$C$40,Element_Stiffness!R61,IF(4=Element_Stiffness!$E$40,Element_Stiffness!X61,0)),IF(Element_Stiffness!$E$40=2,IF(4=Element_Stiffness!$C$40,Element_Stiffness!R67,IF(4=Element_Stiffness!$E$40,Element_Stiffness!X67,0)),0)),0)+IF(Element_Stiffness!$C$76,IF(Element_Stiffness!$C$75=2,IF(4=Element_Stiffness!$C$75,Element_Stiffness!R96,IF(4=Element_Stiffness!$E$75,Element_Stiffness!X96,0)),IF(Element_Stiffness!$E$75=2,IF(4=Element_Stiffness!$C$75,Element_Stiffness!R102,IF(4=Element_Stiffness!$E$75,Element_Stiffness!X102,0)),0)),0)+IF(Element_Stiffness!$C$111,IF(Element_Stiffness!$C$110=2,IF(4=Element_Stiffness!$C$110,Element_Stiffness!R131,IF(4=Element_Stiffness!$E$110,Element_Stiffness!X131,0)),IF(Element_Stiffness!$E$110=2,IF(4=Element_Stiffness!$C$110,Element_Stiffness!R137,IF(4=Element_Stiffness!$E$110,Element_Stiffness!X137,0)),0)),0)+IF(Element_Stiffness!$C$146,IF(Element_Stiffness!$C$145=2,IF(4=Element_Stiffness!$C$145,Element_Stiffness!R166,IF(4=Element_Stiffness!$E$145,Element_Stiffness!X166,0)),IF(Element_Stiffness!$E$145=2,IF(4=Element_Stiffness!$C$145,Element_Stiffness!R172,IF(4=Element_Stiffness!$E$145,Element_Stiffness!X172,0)),0)),0)+IF(Element_Stiffness!$C$181,IF(Element_Stiffness!$C$180=2,IF(4=Element_Stiffness!$C$180,Element_Stiffness!R201,IF(4=Element_Stiffness!$E$180,Element_Stiffness!X201,0)),IF(Element_Stiffness!$E$180=2,IF(4=Element_Stiffness!$C$180,Element_Stiffness!R207,IF(4=Element_Stiffness!$E$180,Element_Stiffness!X207,0)),0)),0)+IF(Element_Stiffness!$C$216,IF(Element_Stiffness!$C$215=2,IF(4=Element_Stiffness!$C$215,Element_Stiffness!R236,IF(4=Element_Stiffness!$E$215,Element_Stiffness!X236,0)),IF(Element_Stiffness!$E$215=2,IF(4=Element_Stiffness!$C$215,Element_Stiffness!R242,IF(4=Element_Stiffness!$E$215,Element_Stiffness!X242,0)),0)),0)</f>
        <v/>
      </c>
      <c r="AD17" s="21">
        <f>IF(Element_Stiffness!$C$6,IF(Element_Stiffness!$C$5=2,IF(4=Element_Stiffness!$C$5,Element_Stiffness!S26,IF(4=Element_Stiffness!$E$5,Element_Stiffness!Y26,0)),IF(Element_Stiffness!$E$5=2,IF(4=Element_Stiffness!$C$5,Element_Stiffness!S32,IF(4=Element_Stiffness!$E$5,Element_Stiffness!Y32,0)),0)),0)+IF(Element_Stiffness!$C$41,IF(Element_Stiffness!$C$40=2,IF(4=Element_Stiffness!$C$40,Element_Stiffness!S61,IF(4=Element_Stiffness!$E$40,Element_Stiffness!Y61,0)),IF(Element_Stiffness!$E$40=2,IF(4=Element_Stiffness!$C$40,Element_Stiffness!S67,IF(4=Element_Stiffness!$E$40,Element_Stiffness!Y67,0)),0)),0)+IF(Element_Stiffness!$C$76,IF(Element_Stiffness!$C$75=2,IF(4=Element_Stiffness!$C$75,Element_Stiffness!S96,IF(4=Element_Stiffness!$E$75,Element_Stiffness!Y96,0)),IF(Element_Stiffness!$E$75=2,IF(4=Element_Stiffness!$C$75,Element_Stiffness!S102,IF(4=Element_Stiffness!$E$75,Element_Stiffness!Y102,0)),0)),0)+IF(Element_Stiffness!$C$111,IF(Element_Stiffness!$C$110=2,IF(4=Element_Stiffness!$C$110,Element_Stiffness!S131,IF(4=Element_Stiffness!$E$110,Element_Stiffness!Y131,0)),IF(Element_Stiffness!$E$110=2,IF(4=Element_Stiffness!$C$110,Element_Stiffness!S137,IF(4=Element_Stiffness!$E$110,Element_Stiffness!Y137,0)),0)),0)+IF(Element_Stiffness!$C$146,IF(Element_Stiffness!$C$145=2,IF(4=Element_Stiffness!$C$145,Element_Stiffness!S166,IF(4=Element_Stiffness!$E$145,Element_Stiffness!Y166,0)),IF(Element_Stiffness!$E$145=2,IF(4=Element_Stiffness!$C$145,Element_Stiffness!S172,IF(4=Element_Stiffness!$E$145,Element_Stiffness!Y172,0)),0)),0)+IF(Element_Stiffness!$C$181,IF(Element_Stiffness!$C$180=2,IF(4=Element_Stiffness!$C$180,Element_Stiffness!S201,IF(4=Element_Stiffness!$E$180,Element_Stiffness!Y201,0)),IF(Element_Stiffness!$E$180=2,IF(4=Element_Stiffness!$C$180,Element_Stiffness!S207,IF(4=Element_Stiffness!$E$180,Element_Stiffness!Y207,0)),0)),0)+IF(Element_Stiffness!$C$216,IF(Element_Stiffness!$C$215=2,IF(4=Element_Stiffness!$C$215,Element_Stiffness!S236,IF(4=Element_Stiffness!$E$215,Element_Stiffness!Y236,0)),IF(Element_Stiffness!$E$215=2,IF(4=Element_Stiffness!$C$215,Element_Stiffness!S242,IF(4=Element_Stiffness!$E$215,Element_Stiffness!Y242,0)),0)),0)</f>
        <v/>
      </c>
      <c r="AE17" s="21">
        <f>IF(Element_Stiffness!$C$6,IF(Element_Stiffness!$C$5=2,IF(4=Element_Stiffness!$C$5,Element_Stiffness!T26,IF(4=Element_Stiffness!$E$5,Element_Stiffness!Z26,0)),IF(Element_Stiffness!$E$5=2,IF(4=Element_Stiffness!$C$5,Element_Stiffness!T32,IF(4=Element_Stiffness!$E$5,Element_Stiffness!Z32,0)),0)),0)+IF(Element_Stiffness!$C$41,IF(Element_Stiffness!$C$40=2,IF(4=Element_Stiffness!$C$40,Element_Stiffness!T61,IF(4=Element_Stiffness!$E$40,Element_Stiffness!Z61,0)),IF(Element_Stiffness!$E$40=2,IF(4=Element_Stiffness!$C$40,Element_Stiffness!T67,IF(4=Element_Stiffness!$E$40,Element_Stiffness!Z67,0)),0)),0)+IF(Element_Stiffness!$C$76,IF(Element_Stiffness!$C$75=2,IF(4=Element_Stiffness!$C$75,Element_Stiffness!T96,IF(4=Element_Stiffness!$E$75,Element_Stiffness!Z96,0)),IF(Element_Stiffness!$E$75=2,IF(4=Element_Stiffness!$C$75,Element_Stiffness!T102,IF(4=Element_Stiffness!$E$75,Element_Stiffness!Z102,0)),0)),0)+IF(Element_Stiffness!$C$111,IF(Element_Stiffness!$C$110=2,IF(4=Element_Stiffness!$C$110,Element_Stiffness!T131,IF(4=Element_Stiffness!$E$110,Element_Stiffness!Z131,0)),IF(Element_Stiffness!$E$110=2,IF(4=Element_Stiffness!$C$110,Element_Stiffness!T137,IF(4=Element_Stiffness!$E$110,Element_Stiffness!Z137,0)),0)),0)+IF(Element_Stiffness!$C$146,IF(Element_Stiffness!$C$145=2,IF(4=Element_Stiffness!$C$145,Element_Stiffness!T166,IF(4=Element_Stiffness!$E$145,Element_Stiffness!Z166,0)),IF(Element_Stiffness!$E$145=2,IF(4=Element_Stiffness!$C$145,Element_Stiffness!T172,IF(4=Element_Stiffness!$E$145,Element_Stiffness!Z172,0)),0)),0)+IF(Element_Stiffness!$C$181,IF(Element_Stiffness!$C$180=2,IF(4=Element_Stiffness!$C$180,Element_Stiffness!T201,IF(4=Element_Stiffness!$E$180,Element_Stiffness!Z201,0)),IF(Element_Stiffness!$E$180=2,IF(4=Element_Stiffness!$C$180,Element_Stiffness!T207,IF(4=Element_Stiffness!$E$180,Element_Stiffness!Z207,0)),0)),0)+IF(Element_Stiffness!$C$216,IF(Element_Stiffness!$C$215=2,IF(4=Element_Stiffness!$C$215,Element_Stiffness!T236,IF(4=Element_Stiffness!$E$215,Element_Stiffness!Z236,0)),IF(Element_Stiffness!$E$215=2,IF(4=Element_Stiffness!$C$215,Element_Stiffness!T242,IF(4=Element_Stiffness!$E$215,Element_Stiffness!Z242,0)),0)),0)</f>
        <v/>
      </c>
      <c r="AF17" s="21">
        <f>IF(Element_Stiffness!$C$6,IF(Element_Stiffness!$C$5=2,IF(4=Element_Stiffness!$C$5,Element_Stiffness!U26,IF(4=Element_Stiffness!$E$5,Element_Stiffness!AA26,0)),IF(Element_Stiffness!$E$5=2,IF(4=Element_Stiffness!$C$5,Element_Stiffness!U32,IF(4=Element_Stiffness!$E$5,Element_Stiffness!AA32,0)),0)),0)+IF(Element_Stiffness!$C$41,IF(Element_Stiffness!$C$40=2,IF(4=Element_Stiffness!$C$40,Element_Stiffness!U61,IF(4=Element_Stiffness!$E$40,Element_Stiffness!AA61,0)),IF(Element_Stiffness!$E$40=2,IF(4=Element_Stiffness!$C$40,Element_Stiffness!U67,IF(4=Element_Stiffness!$E$40,Element_Stiffness!AA67,0)),0)),0)+IF(Element_Stiffness!$C$76,IF(Element_Stiffness!$C$75=2,IF(4=Element_Stiffness!$C$75,Element_Stiffness!U96,IF(4=Element_Stiffness!$E$75,Element_Stiffness!AA96,0)),IF(Element_Stiffness!$E$75=2,IF(4=Element_Stiffness!$C$75,Element_Stiffness!U102,IF(4=Element_Stiffness!$E$75,Element_Stiffness!AA102,0)),0)),0)+IF(Element_Stiffness!$C$111,IF(Element_Stiffness!$C$110=2,IF(4=Element_Stiffness!$C$110,Element_Stiffness!U131,IF(4=Element_Stiffness!$E$110,Element_Stiffness!AA131,0)),IF(Element_Stiffness!$E$110=2,IF(4=Element_Stiffness!$C$110,Element_Stiffness!U137,IF(4=Element_Stiffness!$E$110,Element_Stiffness!AA137,0)),0)),0)+IF(Element_Stiffness!$C$146,IF(Element_Stiffness!$C$145=2,IF(4=Element_Stiffness!$C$145,Element_Stiffness!U166,IF(4=Element_Stiffness!$E$145,Element_Stiffness!AA166,0)),IF(Element_Stiffness!$E$145=2,IF(4=Element_Stiffness!$C$145,Element_Stiffness!U172,IF(4=Element_Stiffness!$E$145,Element_Stiffness!AA172,0)),0)),0)+IF(Element_Stiffness!$C$181,IF(Element_Stiffness!$C$180=2,IF(4=Element_Stiffness!$C$180,Element_Stiffness!U201,IF(4=Element_Stiffness!$E$180,Element_Stiffness!AA201,0)),IF(Element_Stiffness!$E$180=2,IF(4=Element_Stiffness!$C$180,Element_Stiffness!U207,IF(4=Element_Stiffness!$E$180,Element_Stiffness!AA207,0)),0)),0)+IF(Element_Stiffness!$C$216,IF(Element_Stiffness!$C$215=2,IF(4=Element_Stiffness!$C$215,Element_Stiffness!U236,IF(4=Element_Stiffness!$E$215,Element_Stiffness!AA236,0)),IF(Element_Stiffness!$E$215=2,IF(4=Element_Stiffness!$C$215,Element_Stiffness!U242,IF(4=Element_Stiffness!$E$215,Element_Stiffness!AA242,0)),0)),0)</f>
        <v/>
      </c>
      <c r="AG17" s="21">
        <f>IF(Element_Stiffness!$C$6,IF(Element_Stiffness!$C$5=2,IF(5=Element_Stiffness!$C$5,Element_Stiffness!P26,IF(5=Element_Stiffness!$E$5,Element_Stiffness!V26,0)),IF(Element_Stiffness!$E$5=2,IF(5=Element_Stiffness!$C$5,Element_Stiffness!P32,IF(5=Element_Stiffness!$E$5,Element_Stiffness!V32,0)),0)),0)+IF(Element_Stiffness!$C$41,IF(Element_Stiffness!$C$40=2,IF(5=Element_Stiffness!$C$40,Element_Stiffness!P61,IF(5=Element_Stiffness!$E$40,Element_Stiffness!V61,0)),IF(Element_Stiffness!$E$40=2,IF(5=Element_Stiffness!$C$40,Element_Stiffness!P67,IF(5=Element_Stiffness!$E$40,Element_Stiffness!V67,0)),0)),0)+IF(Element_Stiffness!$C$76,IF(Element_Stiffness!$C$75=2,IF(5=Element_Stiffness!$C$75,Element_Stiffness!P96,IF(5=Element_Stiffness!$E$75,Element_Stiffness!V96,0)),IF(Element_Stiffness!$E$75=2,IF(5=Element_Stiffness!$C$75,Element_Stiffness!P102,IF(5=Element_Stiffness!$E$75,Element_Stiffness!V102,0)),0)),0)+IF(Element_Stiffness!$C$111,IF(Element_Stiffness!$C$110=2,IF(5=Element_Stiffness!$C$110,Element_Stiffness!P131,IF(5=Element_Stiffness!$E$110,Element_Stiffness!V131,0)),IF(Element_Stiffness!$E$110=2,IF(5=Element_Stiffness!$C$110,Element_Stiffness!P137,IF(5=Element_Stiffness!$E$110,Element_Stiffness!V137,0)),0)),0)+IF(Element_Stiffness!$C$146,IF(Element_Stiffness!$C$145=2,IF(5=Element_Stiffness!$C$145,Element_Stiffness!P166,IF(5=Element_Stiffness!$E$145,Element_Stiffness!V166,0)),IF(Element_Stiffness!$E$145=2,IF(5=Element_Stiffness!$C$145,Element_Stiffness!P172,IF(5=Element_Stiffness!$E$145,Element_Stiffness!V172,0)),0)),0)+IF(Element_Stiffness!$C$181,IF(Element_Stiffness!$C$180=2,IF(5=Element_Stiffness!$C$180,Element_Stiffness!P201,IF(5=Element_Stiffness!$E$180,Element_Stiffness!V201,0)),IF(Element_Stiffness!$E$180=2,IF(5=Element_Stiffness!$C$180,Element_Stiffness!P207,IF(5=Element_Stiffness!$E$180,Element_Stiffness!V207,0)),0)),0)+IF(Element_Stiffness!$C$216,IF(Element_Stiffness!$C$215=2,IF(5=Element_Stiffness!$C$215,Element_Stiffness!P236,IF(5=Element_Stiffness!$E$215,Element_Stiffness!V236,0)),IF(Element_Stiffness!$E$215=2,IF(5=Element_Stiffness!$C$215,Element_Stiffness!P242,IF(5=Element_Stiffness!$E$215,Element_Stiffness!V242,0)),0)),0)</f>
        <v/>
      </c>
      <c r="AH17" s="21">
        <f>IF(Element_Stiffness!$C$6,IF(Element_Stiffness!$C$5=2,IF(5=Element_Stiffness!$C$5,Element_Stiffness!Q26,IF(5=Element_Stiffness!$E$5,Element_Stiffness!W26,0)),IF(Element_Stiffness!$E$5=2,IF(5=Element_Stiffness!$C$5,Element_Stiffness!Q32,IF(5=Element_Stiffness!$E$5,Element_Stiffness!W32,0)),0)),0)+IF(Element_Stiffness!$C$41,IF(Element_Stiffness!$C$40=2,IF(5=Element_Stiffness!$C$40,Element_Stiffness!Q61,IF(5=Element_Stiffness!$E$40,Element_Stiffness!W61,0)),IF(Element_Stiffness!$E$40=2,IF(5=Element_Stiffness!$C$40,Element_Stiffness!Q67,IF(5=Element_Stiffness!$E$40,Element_Stiffness!W67,0)),0)),0)+IF(Element_Stiffness!$C$76,IF(Element_Stiffness!$C$75=2,IF(5=Element_Stiffness!$C$75,Element_Stiffness!Q96,IF(5=Element_Stiffness!$E$75,Element_Stiffness!W96,0)),IF(Element_Stiffness!$E$75=2,IF(5=Element_Stiffness!$C$75,Element_Stiffness!Q102,IF(5=Element_Stiffness!$E$75,Element_Stiffness!W102,0)),0)),0)+IF(Element_Stiffness!$C$111,IF(Element_Stiffness!$C$110=2,IF(5=Element_Stiffness!$C$110,Element_Stiffness!Q131,IF(5=Element_Stiffness!$E$110,Element_Stiffness!W131,0)),IF(Element_Stiffness!$E$110=2,IF(5=Element_Stiffness!$C$110,Element_Stiffness!Q137,IF(5=Element_Stiffness!$E$110,Element_Stiffness!W137,0)),0)),0)+IF(Element_Stiffness!$C$146,IF(Element_Stiffness!$C$145=2,IF(5=Element_Stiffness!$C$145,Element_Stiffness!Q166,IF(5=Element_Stiffness!$E$145,Element_Stiffness!W166,0)),IF(Element_Stiffness!$E$145=2,IF(5=Element_Stiffness!$C$145,Element_Stiffness!Q172,IF(5=Element_Stiffness!$E$145,Element_Stiffness!W172,0)),0)),0)+IF(Element_Stiffness!$C$181,IF(Element_Stiffness!$C$180=2,IF(5=Element_Stiffness!$C$180,Element_Stiffness!Q201,IF(5=Element_Stiffness!$E$180,Element_Stiffness!W201,0)),IF(Element_Stiffness!$E$180=2,IF(5=Element_Stiffness!$C$180,Element_Stiffness!Q207,IF(5=Element_Stiffness!$E$180,Element_Stiffness!W207,0)),0)),0)+IF(Element_Stiffness!$C$216,IF(Element_Stiffness!$C$215=2,IF(5=Element_Stiffness!$C$215,Element_Stiffness!Q236,IF(5=Element_Stiffness!$E$215,Element_Stiffness!W236,0)),IF(Element_Stiffness!$E$215=2,IF(5=Element_Stiffness!$C$215,Element_Stiffness!Q242,IF(5=Element_Stiffness!$E$215,Element_Stiffness!W242,0)),0)),0)</f>
        <v/>
      </c>
      <c r="AI17" s="21">
        <f>IF(Element_Stiffness!$C$6,IF(Element_Stiffness!$C$5=2,IF(5=Element_Stiffness!$C$5,Element_Stiffness!R26,IF(5=Element_Stiffness!$E$5,Element_Stiffness!X26,0)),IF(Element_Stiffness!$E$5=2,IF(5=Element_Stiffness!$C$5,Element_Stiffness!R32,IF(5=Element_Stiffness!$E$5,Element_Stiffness!X32,0)),0)),0)+IF(Element_Stiffness!$C$41,IF(Element_Stiffness!$C$40=2,IF(5=Element_Stiffness!$C$40,Element_Stiffness!R61,IF(5=Element_Stiffness!$E$40,Element_Stiffness!X61,0)),IF(Element_Stiffness!$E$40=2,IF(5=Element_Stiffness!$C$40,Element_Stiffness!R67,IF(5=Element_Stiffness!$E$40,Element_Stiffness!X67,0)),0)),0)+IF(Element_Stiffness!$C$76,IF(Element_Stiffness!$C$75=2,IF(5=Element_Stiffness!$C$75,Element_Stiffness!R96,IF(5=Element_Stiffness!$E$75,Element_Stiffness!X96,0)),IF(Element_Stiffness!$E$75=2,IF(5=Element_Stiffness!$C$75,Element_Stiffness!R102,IF(5=Element_Stiffness!$E$75,Element_Stiffness!X102,0)),0)),0)+IF(Element_Stiffness!$C$111,IF(Element_Stiffness!$C$110=2,IF(5=Element_Stiffness!$C$110,Element_Stiffness!R131,IF(5=Element_Stiffness!$E$110,Element_Stiffness!X131,0)),IF(Element_Stiffness!$E$110=2,IF(5=Element_Stiffness!$C$110,Element_Stiffness!R137,IF(5=Element_Stiffness!$E$110,Element_Stiffness!X137,0)),0)),0)+IF(Element_Stiffness!$C$146,IF(Element_Stiffness!$C$145=2,IF(5=Element_Stiffness!$C$145,Element_Stiffness!R166,IF(5=Element_Stiffness!$E$145,Element_Stiffness!X166,0)),IF(Element_Stiffness!$E$145=2,IF(5=Element_Stiffness!$C$145,Element_Stiffness!R172,IF(5=Element_Stiffness!$E$145,Element_Stiffness!X172,0)),0)),0)+IF(Element_Stiffness!$C$181,IF(Element_Stiffness!$C$180=2,IF(5=Element_Stiffness!$C$180,Element_Stiffness!R201,IF(5=Element_Stiffness!$E$180,Element_Stiffness!X201,0)),IF(Element_Stiffness!$E$180=2,IF(5=Element_Stiffness!$C$180,Element_Stiffness!R207,IF(5=Element_Stiffness!$E$180,Element_Stiffness!X207,0)),0)),0)+IF(Element_Stiffness!$C$216,IF(Element_Stiffness!$C$215=2,IF(5=Element_Stiffness!$C$215,Element_Stiffness!R236,IF(5=Element_Stiffness!$E$215,Element_Stiffness!X236,0)),IF(Element_Stiffness!$E$215=2,IF(5=Element_Stiffness!$C$215,Element_Stiffness!R242,IF(5=Element_Stiffness!$E$215,Element_Stiffness!X242,0)),0)),0)</f>
        <v/>
      </c>
      <c r="AJ17" s="21">
        <f>IF(Element_Stiffness!$C$6,IF(Element_Stiffness!$C$5=2,IF(5=Element_Stiffness!$C$5,Element_Stiffness!S26,IF(5=Element_Stiffness!$E$5,Element_Stiffness!Y26,0)),IF(Element_Stiffness!$E$5=2,IF(5=Element_Stiffness!$C$5,Element_Stiffness!S32,IF(5=Element_Stiffness!$E$5,Element_Stiffness!Y32,0)),0)),0)+IF(Element_Stiffness!$C$41,IF(Element_Stiffness!$C$40=2,IF(5=Element_Stiffness!$C$40,Element_Stiffness!S61,IF(5=Element_Stiffness!$E$40,Element_Stiffness!Y61,0)),IF(Element_Stiffness!$E$40=2,IF(5=Element_Stiffness!$C$40,Element_Stiffness!S67,IF(5=Element_Stiffness!$E$40,Element_Stiffness!Y67,0)),0)),0)+IF(Element_Stiffness!$C$76,IF(Element_Stiffness!$C$75=2,IF(5=Element_Stiffness!$C$75,Element_Stiffness!S96,IF(5=Element_Stiffness!$E$75,Element_Stiffness!Y96,0)),IF(Element_Stiffness!$E$75=2,IF(5=Element_Stiffness!$C$75,Element_Stiffness!S102,IF(5=Element_Stiffness!$E$75,Element_Stiffness!Y102,0)),0)),0)+IF(Element_Stiffness!$C$111,IF(Element_Stiffness!$C$110=2,IF(5=Element_Stiffness!$C$110,Element_Stiffness!S131,IF(5=Element_Stiffness!$E$110,Element_Stiffness!Y131,0)),IF(Element_Stiffness!$E$110=2,IF(5=Element_Stiffness!$C$110,Element_Stiffness!S137,IF(5=Element_Stiffness!$E$110,Element_Stiffness!Y137,0)),0)),0)+IF(Element_Stiffness!$C$146,IF(Element_Stiffness!$C$145=2,IF(5=Element_Stiffness!$C$145,Element_Stiffness!S166,IF(5=Element_Stiffness!$E$145,Element_Stiffness!Y166,0)),IF(Element_Stiffness!$E$145=2,IF(5=Element_Stiffness!$C$145,Element_Stiffness!S172,IF(5=Element_Stiffness!$E$145,Element_Stiffness!Y172,0)),0)),0)+IF(Element_Stiffness!$C$181,IF(Element_Stiffness!$C$180=2,IF(5=Element_Stiffness!$C$180,Element_Stiffness!S201,IF(5=Element_Stiffness!$E$180,Element_Stiffness!Y201,0)),IF(Element_Stiffness!$E$180=2,IF(5=Element_Stiffness!$C$180,Element_Stiffness!S207,IF(5=Element_Stiffness!$E$180,Element_Stiffness!Y207,0)),0)),0)+IF(Element_Stiffness!$C$216,IF(Element_Stiffness!$C$215=2,IF(5=Element_Stiffness!$C$215,Element_Stiffness!S236,IF(5=Element_Stiffness!$E$215,Element_Stiffness!Y236,0)),IF(Element_Stiffness!$E$215=2,IF(5=Element_Stiffness!$C$215,Element_Stiffness!S242,IF(5=Element_Stiffness!$E$215,Element_Stiffness!Y242,0)),0)),0)</f>
        <v/>
      </c>
      <c r="AK17" s="21">
        <f>IF(Element_Stiffness!$C$6,IF(Element_Stiffness!$C$5=2,IF(5=Element_Stiffness!$C$5,Element_Stiffness!T26,IF(5=Element_Stiffness!$E$5,Element_Stiffness!Z26,0)),IF(Element_Stiffness!$E$5=2,IF(5=Element_Stiffness!$C$5,Element_Stiffness!T32,IF(5=Element_Stiffness!$E$5,Element_Stiffness!Z32,0)),0)),0)+IF(Element_Stiffness!$C$41,IF(Element_Stiffness!$C$40=2,IF(5=Element_Stiffness!$C$40,Element_Stiffness!T61,IF(5=Element_Stiffness!$E$40,Element_Stiffness!Z61,0)),IF(Element_Stiffness!$E$40=2,IF(5=Element_Stiffness!$C$40,Element_Stiffness!T67,IF(5=Element_Stiffness!$E$40,Element_Stiffness!Z67,0)),0)),0)+IF(Element_Stiffness!$C$76,IF(Element_Stiffness!$C$75=2,IF(5=Element_Stiffness!$C$75,Element_Stiffness!T96,IF(5=Element_Stiffness!$E$75,Element_Stiffness!Z96,0)),IF(Element_Stiffness!$E$75=2,IF(5=Element_Stiffness!$C$75,Element_Stiffness!T102,IF(5=Element_Stiffness!$E$75,Element_Stiffness!Z102,0)),0)),0)+IF(Element_Stiffness!$C$111,IF(Element_Stiffness!$C$110=2,IF(5=Element_Stiffness!$C$110,Element_Stiffness!T131,IF(5=Element_Stiffness!$E$110,Element_Stiffness!Z131,0)),IF(Element_Stiffness!$E$110=2,IF(5=Element_Stiffness!$C$110,Element_Stiffness!T137,IF(5=Element_Stiffness!$E$110,Element_Stiffness!Z137,0)),0)),0)+IF(Element_Stiffness!$C$146,IF(Element_Stiffness!$C$145=2,IF(5=Element_Stiffness!$C$145,Element_Stiffness!T166,IF(5=Element_Stiffness!$E$145,Element_Stiffness!Z166,0)),IF(Element_Stiffness!$E$145=2,IF(5=Element_Stiffness!$C$145,Element_Stiffness!T172,IF(5=Element_Stiffness!$E$145,Element_Stiffness!Z172,0)),0)),0)+IF(Element_Stiffness!$C$181,IF(Element_Stiffness!$C$180=2,IF(5=Element_Stiffness!$C$180,Element_Stiffness!T201,IF(5=Element_Stiffness!$E$180,Element_Stiffness!Z201,0)),IF(Element_Stiffness!$E$180=2,IF(5=Element_Stiffness!$C$180,Element_Stiffness!T207,IF(5=Element_Stiffness!$E$180,Element_Stiffness!Z207,0)),0)),0)+IF(Element_Stiffness!$C$216,IF(Element_Stiffness!$C$215=2,IF(5=Element_Stiffness!$C$215,Element_Stiffness!T236,IF(5=Element_Stiffness!$E$215,Element_Stiffness!Z236,0)),IF(Element_Stiffness!$E$215=2,IF(5=Element_Stiffness!$C$215,Element_Stiffness!T242,IF(5=Element_Stiffness!$E$215,Element_Stiffness!Z242,0)),0)),0)</f>
        <v/>
      </c>
      <c r="AL17" s="21">
        <f>IF(Element_Stiffness!$C$6,IF(Element_Stiffness!$C$5=2,IF(5=Element_Stiffness!$C$5,Element_Stiffness!U26,IF(5=Element_Stiffness!$E$5,Element_Stiffness!AA26,0)),IF(Element_Stiffness!$E$5=2,IF(5=Element_Stiffness!$C$5,Element_Stiffness!U32,IF(5=Element_Stiffness!$E$5,Element_Stiffness!AA32,0)),0)),0)+IF(Element_Stiffness!$C$41,IF(Element_Stiffness!$C$40=2,IF(5=Element_Stiffness!$C$40,Element_Stiffness!U61,IF(5=Element_Stiffness!$E$40,Element_Stiffness!AA61,0)),IF(Element_Stiffness!$E$40=2,IF(5=Element_Stiffness!$C$40,Element_Stiffness!U67,IF(5=Element_Stiffness!$E$40,Element_Stiffness!AA67,0)),0)),0)+IF(Element_Stiffness!$C$76,IF(Element_Stiffness!$C$75=2,IF(5=Element_Stiffness!$C$75,Element_Stiffness!U96,IF(5=Element_Stiffness!$E$75,Element_Stiffness!AA96,0)),IF(Element_Stiffness!$E$75=2,IF(5=Element_Stiffness!$C$75,Element_Stiffness!U102,IF(5=Element_Stiffness!$E$75,Element_Stiffness!AA102,0)),0)),0)+IF(Element_Stiffness!$C$111,IF(Element_Stiffness!$C$110=2,IF(5=Element_Stiffness!$C$110,Element_Stiffness!U131,IF(5=Element_Stiffness!$E$110,Element_Stiffness!AA131,0)),IF(Element_Stiffness!$E$110=2,IF(5=Element_Stiffness!$C$110,Element_Stiffness!U137,IF(5=Element_Stiffness!$E$110,Element_Stiffness!AA137,0)),0)),0)+IF(Element_Stiffness!$C$146,IF(Element_Stiffness!$C$145=2,IF(5=Element_Stiffness!$C$145,Element_Stiffness!U166,IF(5=Element_Stiffness!$E$145,Element_Stiffness!AA166,0)),IF(Element_Stiffness!$E$145=2,IF(5=Element_Stiffness!$C$145,Element_Stiffness!U172,IF(5=Element_Stiffness!$E$145,Element_Stiffness!AA172,0)),0)),0)+IF(Element_Stiffness!$C$181,IF(Element_Stiffness!$C$180=2,IF(5=Element_Stiffness!$C$180,Element_Stiffness!U201,IF(5=Element_Stiffness!$E$180,Element_Stiffness!AA201,0)),IF(Element_Stiffness!$E$180=2,IF(5=Element_Stiffness!$C$180,Element_Stiffness!U207,IF(5=Element_Stiffness!$E$180,Element_Stiffness!AA207,0)),0)),0)+IF(Element_Stiffness!$C$216,IF(Element_Stiffness!$C$215=2,IF(5=Element_Stiffness!$C$215,Element_Stiffness!U236,IF(5=Element_Stiffness!$E$215,Element_Stiffness!AA236,0)),IF(Element_Stiffness!$E$215=2,IF(5=Element_Stiffness!$C$215,Element_Stiffness!U242,IF(5=Element_Stiffness!$E$215,Element_Stiffness!AA242,0)),0)),0)</f>
        <v/>
      </c>
      <c r="AM17" s="21">
        <f>IF(Element_Stiffness!$C$6,IF(Element_Stiffness!$C$5=2,IF(6=Element_Stiffness!$C$5,Element_Stiffness!P26,IF(6=Element_Stiffness!$E$5,Element_Stiffness!V26,0)),IF(Element_Stiffness!$E$5=2,IF(6=Element_Stiffness!$C$5,Element_Stiffness!P32,IF(6=Element_Stiffness!$E$5,Element_Stiffness!V32,0)),0)),0)+IF(Element_Stiffness!$C$41,IF(Element_Stiffness!$C$40=2,IF(6=Element_Stiffness!$C$40,Element_Stiffness!P61,IF(6=Element_Stiffness!$E$40,Element_Stiffness!V61,0)),IF(Element_Stiffness!$E$40=2,IF(6=Element_Stiffness!$C$40,Element_Stiffness!P67,IF(6=Element_Stiffness!$E$40,Element_Stiffness!V67,0)),0)),0)+IF(Element_Stiffness!$C$76,IF(Element_Stiffness!$C$75=2,IF(6=Element_Stiffness!$C$75,Element_Stiffness!P96,IF(6=Element_Stiffness!$E$75,Element_Stiffness!V96,0)),IF(Element_Stiffness!$E$75=2,IF(6=Element_Stiffness!$C$75,Element_Stiffness!P102,IF(6=Element_Stiffness!$E$75,Element_Stiffness!V102,0)),0)),0)+IF(Element_Stiffness!$C$111,IF(Element_Stiffness!$C$110=2,IF(6=Element_Stiffness!$C$110,Element_Stiffness!P131,IF(6=Element_Stiffness!$E$110,Element_Stiffness!V131,0)),IF(Element_Stiffness!$E$110=2,IF(6=Element_Stiffness!$C$110,Element_Stiffness!P137,IF(6=Element_Stiffness!$E$110,Element_Stiffness!V137,0)),0)),0)+IF(Element_Stiffness!$C$146,IF(Element_Stiffness!$C$145=2,IF(6=Element_Stiffness!$C$145,Element_Stiffness!P166,IF(6=Element_Stiffness!$E$145,Element_Stiffness!V166,0)),IF(Element_Stiffness!$E$145=2,IF(6=Element_Stiffness!$C$145,Element_Stiffness!P172,IF(6=Element_Stiffness!$E$145,Element_Stiffness!V172,0)),0)),0)+IF(Element_Stiffness!$C$181,IF(Element_Stiffness!$C$180=2,IF(6=Element_Stiffness!$C$180,Element_Stiffness!P201,IF(6=Element_Stiffness!$E$180,Element_Stiffness!V201,0)),IF(Element_Stiffness!$E$180=2,IF(6=Element_Stiffness!$C$180,Element_Stiffness!P207,IF(6=Element_Stiffness!$E$180,Element_Stiffness!V207,0)),0)),0)+IF(Element_Stiffness!$C$216,IF(Element_Stiffness!$C$215=2,IF(6=Element_Stiffness!$C$215,Element_Stiffness!P236,IF(6=Element_Stiffness!$E$215,Element_Stiffness!V236,0)),IF(Element_Stiffness!$E$215=2,IF(6=Element_Stiffness!$C$215,Element_Stiffness!P242,IF(6=Element_Stiffness!$E$215,Element_Stiffness!V242,0)),0)),0)</f>
        <v/>
      </c>
      <c r="AN17" s="21">
        <f>IF(Element_Stiffness!$C$6,IF(Element_Stiffness!$C$5=2,IF(6=Element_Stiffness!$C$5,Element_Stiffness!Q26,IF(6=Element_Stiffness!$E$5,Element_Stiffness!W26,0)),IF(Element_Stiffness!$E$5=2,IF(6=Element_Stiffness!$C$5,Element_Stiffness!Q32,IF(6=Element_Stiffness!$E$5,Element_Stiffness!W32,0)),0)),0)+IF(Element_Stiffness!$C$41,IF(Element_Stiffness!$C$40=2,IF(6=Element_Stiffness!$C$40,Element_Stiffness!Q61,IF(6=Element_Stiffness!$E$40,Element_Stiffness!W61,0)),IF(Element_Stiffness!$E$40=2,IF(6=Element_Stiffness!$C$40,Element_Stiffness!Q67,IF(6=Element_Stiffness!$E$40,Element_Stiffness!W67,0)),0)),0)+IF(Element_Stiffness!$C$76,IF(Element_Stiffness!$C$75=2,IF(6=Element_Stiffness!$C$75,Element_Stiffness!Q96,IF(6=Element_Stiffness!$E$75,Element_Stiffness!W96,0)),IF(Element_Stiffness!$E$75=2,IF(6=Element_Stiffness!$C$75,Element_Stiffness!Q102,IF(6=Element_Stiffness!$E$75,Element_Stiffness!W102,0)),0)),0)+IF(Element_Stiffness!$C$111,IF(Element_Stiffness!$C$110=2,IF(6=Element_Stiffness!$C$110,Element_Stiffness!Q131,IF(6=Element_Stiffness!$E$110,Element_Stiffness!W131,0)),IF(Element_Stiffness!$E$110=2,IF(6=Element_Stiffness!$C$110,Element_Stiffness!Q137,IF(6=Element_Stiffness!$E$110,Element_Stiffness!W137,0)),0)),0)+IF(Element_Stiffness!$C$146,IF(Element_Stiffness!$C$145=2,IF(6=Element_Stiffness!$C$145,Element_Stiffness!Q166,IF(6=Element_Stiffness!$E$145,Element_Stiffness!W166,0)),IF(Element_Stiffness!$E$145=2,IF(6=Element_Stiffness!$C$145,Element_Stiffness!Q172,IF(6=Element_Stiffness!$E$145,Element_Stiffness!W172,0)),0)),0)+IF(Element_Stiffness!$C$181,IF(Element_Stiffness!$C$180=2,IF(6=Element_Stiffness!$C$180,Element_Stiffness!Q201,IF(6=Element_Stiffness!$E$180,Element_Stiffness!W201,0)),IF(Element_Stiffness!$E$180=2,IF(6=Element_Stiffness!$C$180,Element_Stiffness!Q207,IF(6=Element_Stiffness!$E$180,Element_Stiffness!W207,0)),0)),0)+IF(Element_Stiffness!$C$216,IF(Element_Stiffness!$C$215=2,IF(6=Element_Stiffness!$C$215,Element_Stiffness!Q236,IF(6=Element_Stiffness!$E$215,Element_Stiffness!W236,0)),IF(Element_Stiffness!$E$215=2,IF(6=Element_Stiffness!$C$215,Element_Stiffness!Q242,IF(6=Element_Stiffness!$E$215,Element_Stiffness!W242,0)),0)),0)</f>
        <v/>
      </c>
      <c r="AO17" s="21">
        <f>IF(Element_Stiffness!$C$6,IF(Element_Stiffness!$C$5=2,IF(6=Element_Stiffness!$C$5,Element_Stiffness!R26,IF(6=Element_Stiffness!$E$5,Element_Stiffness!X26,0)),IF(Element_Stiffness!$E$5=2,IF(6=Element_Stiffness!$C$5,Element_Stiffness!R32,IF(6=Element_Stiffness!$E$5,Element_Stiffness!X32,0)),0)),0)+IF(Element_Stiffness!$C$41,IF(Element_Stiffness!$C$40=2,IF(6=Element_Stiffness!$C$40,Element_Stiffness!R61,IF(6=Element_Stiffness!$E$40,Element_Stiffness!X61,0)),IF(Element_Stiffness!$E$40=2,IF(6=Element_Stiffness!$C$40,Element_Stiffness!R67,IF(6=Element_Stiffness!$E$40,Element_Stiffness!X67,0)),0)),0)+IF(Element_Stiffness!$C$76,IF(Element_Stiffness!$C$75=2,IF(6=Element_Stiffness!$C$75,Element_Stiffness!R96,IF(6=Element_Stiffness!$E$75,Element_Stiffness!X96,0)),IF(Element_Stiffness!$E$75=2,IF(6=Element_Stiffness!$C$75,Element_Stiffness!R102,IF(6=Element_Stiffness!$E$75,Element_Stiffness!X102,0)),0)),0)+IF(Element_Stiffness!$C$111,IF(Element_Stiffness!$C$110=2,IF(6=Element_Stiffness!$C$110,Element_Stiffness!R131,IF(6=Element_Stiffness!$E$110,Element_Stiffness!X131,0)),IF(Element_Stiffness!$E$110=2,IF(6=Element_Stiffness!$C$110,Element_Stiffness!R137,IF(6=Element_Stiffness!$E$110,Element_Stiffness!X137,0)),0)),0)+IF(Element_Stiffness!$C$146,IF(Element_Stiffness!$C$145=2,IF(6=Element_Stiffness!$C$145,Element_Stiffness!R166,IF(6=Element_Stiffness!$E$145,Element_Stiffness!X166,0)),IF(Element_Stiffness!$E$145=2,IF(6=Element_Stiffness!$C$145,Element_Stiffness!R172,IF(6=Element_Stiffness!$E$145,Element_Stiffness!X172,0)),0)),0)+IF(Element_Stiffness!$C$181,IF(Element_Stiffness!$C$180=2,IF(6=Element_Stiffness!$C$180,Element_Stiffness!R201,IF(6=Element_Stiffness!$E$180,Element_Stiffness!X201,0)),IF(Element_Stiffness!$E$180=2,IF(6=Element_Stiffness!$C$180,Element_Stiffness!R207,IF(6=Element_Stiffness!$E$180,Element_Stiffness!X207,0)),0)),0)+IF(Element_Stiffness!$C$216,IF(Element_Stiffness!$C$215=2,IF(6=Element_Stiffness!$C$215,Element_Stiffness!R236,IF(6=Element_Stiffness!$E$215,Element_Stiffness!X236,0)),IF(Element_Stiffness!$E$215=2,IF(6=Element_Stiffness!$C$215,Element_Stiffness!R242,IF(6=Element_Stiffness!$E$215,Element_Stiffness!X242,0)),0)),0)</f>
        <v/>
      </c>
      <c r="AP17" s="21">
        <f>IF(Element_Stiffness!$C$6,IF(Element_Stiffness!$C$5=2,IF(6=Element_Stiffness!$C$5,Element_Stiffness!S26,IF(6=Element_Stiffness!$E$5,Element_Stiffness!Y26,0)),IF(Element_Stiffness!$E$5=2,IF(6=Element_Stiffness!$C$5,Element_Stiffness!S32,IF(6=Element_Stiffness!$E$5,Element_Stiffness!Y32,0)),0)),0)+IF(Element_Stiffness!$C$41,IF(Element_Stiffness!$C$40=2,IF(6=Element_Stiffness!$C$40,Element_Stiffness!S61,IF(6=Element_Stiffness!$E$40,Element_Stiffness!Y61,0)),IF(Element_Stiffness!$E$40=2,IF(6=Element_Stiffness!$C$40,Element_Stiffness!S67,IF(6=Element_Stiffness!$E$40,Element_Stiffness!Y67,0)),0)),0)+IF(Element_Stiffness!$C$76,IF(Element_Stiffness!$C$75=2,IF(6=Element_Stiffness!$C$75,Element_Stiffness!S96,IF(6=Element_Stiffness!$E$75,Element_Stiffness!Y96,0)),IF(Element_Stiffness!$E$75=2,IF(6=Element_Stiffness!$C$75,Element_Stiffness!S102,IF(6=Element_Stiffness!$E$75,Element_Stiffness!Y102,0)),0)),0)+IF(Element_Stiffness!$C$111,IF(Element_Stiffness!$C$110=2,IF(6=Element_Stiffness!$C$110,Element_Stiffness!S131,IF(6=Element_Stiffness!$E$110,Element_Stiffness!Y131,0)),IF(Element_Stiffness!$E$110=2,IF(6=Element_Stiffness!$C$110,Element_Stiffness!S137,IF(6=Element_Stiffness!$E$110,Element_Stiffness!Y137,0)),0)),0)+IF(Element_Stiffness!$C$146,IF(Element_Stiffness!$C$145=2,IF(6=Element_Stiffness!$C$145,Element_Stiffness!S166,IF(6=Element_Stiffness!$E$145,Element_Stiffness!Y166,0)),IF(Element_Stiffness!$E$145=2,IF(6=Element_Stiffness!$C$145,Element_Stiffness!S172,IF(6=Element_Stiffness!$E$145,Element_Stiffness!Y172,0)),0)),0)+IF(Element_Stiffness!$C$181,IF(Element_Stiffness!$C$180=2,IF(6=Element_Stiffness!$C$180,Element_Stiffness!S201,IF(6=Element_Stiffness!$E$180,Element_Stiffness!Y201,0)),IF(Element_Stiffness!$E$180=2,IF(6=Element_Stiffness!$C$180,Element_Stiffness!S207,IF(6=Element_Stiffness!$E$180,Element_Stiffness!Y207,0)),0)),0)+IF(Element_Stiffness!$C$216,IF(Element_Stiffness!$C$215=2,IF(6=Element_Stiffness!$C$215,Element_Stiffness!S236,IF(6=Element_Stiffness!$E$215,Element_Stiffness!Y236,0)),IF(Element_Stiffness!$E$215=2,IF(6=Element_Stiffness!$C$215,Element_Stiffness!S242,IF(6=Element_Stiffness!$E$215,Element_Stiffness!Y242,0)),0)),0)</f>
        <v/>
      </c>
      <c r="AQ17" s="21">
        <f>IF(Element_Stiffness!$C$6,IF(Element_Stiffness!$C$5=2,IF(6=Element_Stiffness!$C$5,Element_Stiffness!T26,IF(6=Element_Stiffness!$E$5,Element_Stiffness!Z26,0)),IF(Element_Stiffness!$E$5=2,IF(6=Element_Stiffness!$C$5,Element_Stiffness!T32,IF(6=Element_Stiffness!$E$5,Element_Stiffness!Z32,0)),0)),0)+IF(Element_Stiffness!$C$41,IF(Element_Stiffness!$C$40=2,IF(6=Element_Stiffness!$C$40,Element_Stiffness!T61,IF(6=Element_Stiffness!$E$40,Element_Stiffness!Z61,0)),IF(Element_Stiffness!$E$40=2,IF(6=Element_Stiffness!$C$40,Element_Stiffness!T67,IF(6=Element_Stiffness!$E$40,Element_Stiffness!Z67,0)),0)),0)+IF(Element_Stiffness!$C$76,IF(Element_Stiffness!$C$75=2,IF(6=Element_Stiffness!$C$75,Element_Stiffness!T96,IF(6=Element_Stiffness!$E$75,Element_Stiffness!Z96,0)),IF(Element_Stiffness!$E$75=2,IF(6=Element_Stiffness!$C$75,Element_Stiffness!T102,IF(6=Element_Stiffness!$E$75,Element_Stiffness!Z102,0)),0)),0)+IF(Element_Stiffness!$C$111,IF(Element_Stiffness!$C$110=2,IF(6=Element_Stiffness!$C$110,Element_Stiffness!T131,IF(6=Element_Stiffness!$E$110,Element_Stiffness!Z131,0)),IF(Element_Stiffness!$E$110=2,IF(6=Element_Stiffness!$C$110,Element_Stiffness!T137,IF(6=Element_Stiffness!$E$110,Element_Stiffness!Z137,0)),0)),0)+IF(Element_Stiffness!$C$146,IF(Element_Stiffness!$C$145=2,IF(6=Element_Stiffness!$C$145,Element_Stiffness!T166,IF(6=Element_Stiffness!$E$145,Element_Stiffness!Z166,0)),IF(Element_Stiffness!$E$145=2,IF(6=Element_Stiffness!$C$145,Element_Stiffness!T172,IF(6=Element_Stiffness!$E$145,Element_Stiffness!Z172,0)),0)),0)+IF(Element_Stiffness!$C$181,IF(Element_Stiffness!$C$180=2,IF(6=Element_Stiffness!$C$180,Element_Stiffness!T201,IF(6=Element_Stiffness!$E$180,Element_Stiffness!Z201,0)),IF(Element_Stiffness!$E$180=2,IF(6=Element_Stiffness!$C$180,Element_Stiffness!T207,IF(6=Element_Stiffness!$E$180,Element_Stiffness!Z207,0)),0)),0)+IF(Element_Stiffness!$C$216,IF(Element_Stiffness!$C$215=2,IF(6=Element_Stiffness!$C$215,Element_Stiffness!T236,IF(6=Element_Stiffness!$E$215,Element_Stiffness!Z236,0)),IF(Element_Stiffness!$E$215=2,IF(6=Element_Stiffness!$C$215,Element_Stiffness!T242,IF(6=Element_Stiffness!$E$215,Element_Stiffness!Z242,0)),0)),0)</f>
        <v/>
      </c>
      <c r="AR17" s="21">
        <f>IF(Element_Stiffness!$C$6,IF(Element_Stiffness!$C$5=2,IF(6=Element_Stiffness!$C$5,Element_Stiffness!U26,IF(6=Element_Stiffness!$E$5,Element_Stiffness!AA26,0)),IF(Element_Stiffness!$E$5=2,IF(6=Element_Stiffness!$C$5,Element_Stiffness!U32,IF(6=Element_Stiffness!$E$5,Element_Stiffness!AA32,0)),0)),0)+IF(Element_Stiffness!$C$41,IF(Element_Stiffness!$C$40=2,IF(6=Element_Stiffness!$C$40,Element_Stiffness!U61,IF(6=Element_Stiffness!$E$40,Element_Stiffness!AA61,0)),IF(Element_Stiffness!$E$40=2,IF(6=Element_Stiffness!$C$40,Element_Stiffness!U67,IF(6=Element_Stiffness!$E$40,Element_Stiffness!AA67,0)),0)),0)+IF(Element_Stiffness!$C$76,IF(Element_Stiffness!$C$75=2,IF(6=Element_Stiffness!$C$75,Element_Stiffness!U96,IF(6=Element_Stiffness!$E$75,Element_Stiffness!AA96,0)),IF(Element_Stiffness!$E$75=2,IF(6=Element_Stiffness!$C$75,Element_Stiffness!U102,IF(6=Element_Stiffness!$E$75,Element_Stiffness!AA102,0)),0)),0)+IF(Element_Stiffness!$C$111,IF(Element_Stiffness!$C$110=2,IF(6=Element_Stiffness!$C$110,Element_Stiffness!U131,IF(6=Element_Stiffness!$E$110,Element_Stiffness!AA131,0)),IF(Element_Stiffness!$E$110=2,IF(6=Element_Stiffness!$C$110,Element_Stiffness!U137,IF(6=Element_Stiffness!$E$110,Element_Stiffness!AA137,0)),0)),0)+IF(Element_Stiffness!$C$146,IF(Element_Stiffness!$C$145=2,IF(6=Element_Stiffness!$C$145,Element_Stiffness!U166,IF(6=Element_Stiffness!$E$145,Element_Stiffness!AA166,0)),IF(Element_Stiffness!$E$145=2,IF(6=Element_Stiffness!$C$145,Element_Stiffness!U172,IF(6=Element_Stiffness!$E$145,Element_Stiffness!AA172,0)),0)),0)+IF(Element_Stiffness!$C$181,IF(Element_Stiffness!$C$180=2,IF(6=Element_Stiffness!$C$180,Element_Stiffness!U201,IF(6=Element_Stiffness!$E$180,Element_Stiffness!AA201,0)),IF(Element_Stiffness!$E$180=2,IF(6=Element_Stiffness!$C$180,Element_Stiffness!U207,IF(6=Element_Stiffness!$E$180,Element_Stiffness!AA207,0)),0)),0)+IF(Element_Stiffness!$C$216,IF(Element_Stiffness!$C$215=2,IF(6=Element_Stiffness!$C$215,Element_Stiffness!U236,IF(6=Element_Stiffness!$E$215,Element_Stiffness!AA236,0)),IF(Element_Stiffness!$E$215=2,IF(6=Element_Stiffness!$C$215,Element_Stiffness!U242,IF(6=Element_Stiffness!$E$215,Element_Stiffness!AA242,0)),0)),0)</f>
        <v/>
      </c>
      <c r="AS17" s="21">
        <f>IF(Element_Stiffness!$C$6,IF(Element_Stiffness!$C$5=2,IF(7=Element_Stiffness!$C$5,Element_Stiffness!P26,IF(7=Element_Stiffness!$E$5,Element_Stiffness!V26,0)),IF(Element_Stiffness!$E$5=2,IF(7=Element_Stiffness!$C$5,Element_Stiffness!P32,IF(7=Element_Stiffness!$E$5,Element_Stiffness!V32,0)),0)),0)+IF(Element_Stiffness!$C$41,IF(Element_Stiffness!$C$40=2,IF(7=Element_Stiffness!$C$40,Element_Stiffness!P61,IF(7=Element_Stiffness!$E$40,Element_Stiffness!V61,0)),IF(Element_Stiffness!$E$40=2,IF(7=Element_Stiffness!$C$40,Element_Stiffness!P67,IF(7=Element_Stiffness!$E$40,Element_Stiffness!V67,0)),0)),0)+IF(Element_Stiffness!$C$76,IF(Element_Stiffness!$C$75=2,IF(7=Element_Stiffness!$C$75,Element_Stiffness!P96,IF(7=Element_Stiffness!$E$75,Element_Stiffness!V96,0)),IF(Element_Stiffness!$E$75=2,IF(7=Element_Stiffness!$C$75,Element_Stiffness!P102,IF(7=Element_Stiffness!$E$75,Element_Stiffness!V102,0)),0)),0)+IF(Element_Stiffness!$C$111,IF(Element_Stiffness!$C$110=2,IF(7=Element_Stiffness!$C$110,Element_Stiffness!P131,IF(7=Element_Stiffness!$E$110,Element_Stiffness!V131,0)),IF(Element_Stiffness!$E$110=2,IF(7=Element_Stiffness!$C$110,Element_Stiffness!P137,IF(7=Element_Stiffness!$E$110,Element_Stiffness!V137,0)),0)),0)+IF(Element_Stiffness!$C$146,IF(Element_Stiffness!$C$145=2,IF(7=Element_Stiffness!$C$145,Element_Stiffness!P166,IF(7=Element_Stiffness!$E$145,Element_Stiffness!V166,0)),IF(Element_Stiffness!$E$145=2,IF(7=Element_Stiffness!$C$145,Element_Stiffness!P172,IF(7=Element_Stiffness!$E$145,Element_Stiffness!V172,0)),0)),0)+IF(Element_Stiffness!$C$181,IF(Element_Stiffness!$C$180=2,IF(7=Element_Stiffness!$C$180,Element_Stiffness!P201,IF(7=Element_Stiffness!$E$180,Element_Stiffness!V201,0)),IF(Element_Stiffness!$E$180=2,IF(7=Element_Stiffness!$C$180,Element_Stiffness!P207,IF(7=Element_Stiffness!$E$180,Element_Stiffness!V207,0)),0)),0)+IF(Element_Stiffness!$C$216,IF(Element_Stiffness!$C$215=2,IF(7=Element_Stiffness!$C$215,Element_Stiffness!P236,IF(7=Element_Stiffness!$E$215,Element_Stiffness!V236,0)),IF(Element_Stiffness!$E$215=2,IF(7=Element_Stiffness!$C$215,Element_Stiffness!P242,IF(7=Element_Stiffness!$E$215,Element_Stiffness!V242,0)),0)),0)</f>
        <v/>
      </c>
      <c r="AT17" s="21">
        <f>IF(Element_Stiffness!$C$6,IF(Element_Stiffness!$C$5=2,IF(7=Element_Stiffness!$C$5,Element_Stiffness!Q26,IF(7=Element_Stiffness!$E$5,Element_Stiffness!W26,0)),IF(Element_Stiffness!$E$5=2,IF(7=Element_Stiffness!$C$5,Element_Stiffness!Q32,IF(7=Element_Stiffness!$E$5,Element_Stiffness!W32,0)),0)),0)+IF(Element_Stiffness!$C$41,IF(Element_Stiffness!$C$40=2,IF(7=Element_Stiffness!$C$40,Element_Stiffness!Q61,IF(7=Element_Stiffness!$E$40,Element_Stiffness!W61,0)),IF(Element_Stiffness!$E$40=2,IF(7=Element_Stiffness!$C$40,Element_Stiffness!Q67,IF(7=Element_Stiffness!$E$40,Element_Stiffness!W67,0)),0)),0)+IF(Element_Stiffness!$C$76,IF(Element_Stiffness!$C$75=2,IF(7=Element_Stiffness!$C$75,Element_Stiffness!Q96,IF(7=Element_Stiffness!$E$75,Element_Stiffness!W96,0)),IF(Element_Stiffness!$E$75=2,IF(7=Element_Stiffness!$C$75,Element_Stiffness!Q102,IF(7=Element_Stiffness!$E$75,Element_Stiffness!W102,0)),0)),0)+IF(Element_Stiffness!$C$111,IF(Element_Stiffness!$C$110=2,IF(7=Element_Stiffness!$C$110,Element_Stiffness!Q131,IF(7=Element_Stiffness!$E$110,Element_Stiffness!W131,0)),IF(Element_Stiffness!$E$110=2,IF(7=Element_Stiffness!$C$110,Element_Stiffness!Q137,IF(7=Element_Stiffness!$E$110,Element_Stiffness!W137,0)),0)),0)+IF(Element_Stiffness!$C$146,IF(Element_Stiffness!$C$145=2,IF(7=Element_Stiffness!$C$145,Element_Stiffness!Q166,IF(7=Element_Stiffness!$E$145,Element_Stiffness!W166,0)),IF(Element_Stiffness!$E$145=2,IF(7=Element_Stiffness!$C$145,Element_Stiffness!Q172,IF(7=Element_Stiffness!$E$145,Element_Stiffness!W172,0)),0)),0)+IF(Element_Stiffness!$C$181,IF(Element_Stiffness!$C$180=2,IF(7=Element_Stiffness!$C$180,Element_Stiffness!Q201,IF(7=Element_Stiffness!$E$180,Element_Stiffness!W201,0)),IF(Element_Stiffness!$E$180=2,IF(7=Element_Stiffness!$C$180,Element_Stiffness!Q207,IF(7=Element_Stiffness!$E$180,Element_Stiffness!W207,0)),0)),0)+IF(Element_Stiffness!$C$216,IF(Element_Stiffness!$C$215=2,IF(7=Element_Stiffness!$C$215,Element_Stiffness!Q236,IF(7=Element_Stiffness!$E$215,Element_Stiffness!W236,0)),IF(Element_Stiffness!$E$215=2,IF(7=Element_Stiffness!$C$215,Element_Stiffness!Q242,IF(7=Element_Stiffness!$E$215,Element_Stiffness!W242,0)),0)),0)</f>
        <v/>
      </c>
      <c r="AU17" s="21">
        <f>IF(Element_Stiffness!$C$6,IF(Element_Stiffness!$C$5=2,IF(7=Element_Stiffness!$C$5,Element_Stiffness!R26,IF(7=Element_Stiffness!$E$5,Element_Stiffness!X26,0)),IF(Element_Stiffness!$E$5=2,IF(7=Element_Stiffness!$C$5,Element_Stiffness!R32,IF(7=Element_Stiffness!$E$5,Element_Stiffness!X32,0)),0)),0)+IF(Element_Stiffness!$C$41,IF(Element_Stiffness!$C$40=2,IF(7=Element_Stiffness!$C$40,Element_Stiffness!R61,IF(7=Element_Stiffness!$E$40,Element_Stiffness!X61,0)),IF(Element_Stiffness!$E$40=2,IF(7=Element_Stiffness!$C$40,Element_Stiffness!R67,IF(7=Element_Stiffness!$E$40,Element_Stiffness!X67,0)),0)),0)+IF(Element_Stiffness!$C$76,IF(Element_Stiffness!$C$75=2,IF(7=Element_Stiffness!$C$75,Element_Stiffness!R96,IF(7=Element_Stiffness!$E$75,Element_Stiffness!X96,0)),IF(Element_Stiffness!$E$75=2,IF(7=Element_Stiffness!$C$75,Element_Stiffness!R102,IF(7=Element_Stiffness!$E$75,Element_Stiffness!X102,0)),0)),0)+IF(Element_Stiffness!$C$111,IF(Element_Stiffness!$C$110=2,IF(7=Element_Stiffness!$C$110,Element_Stiffness!R131,IF(7=Element_Stiffness!$E$110,Element_Stiffness!X131,0)),IF(Element_Stiffness!$E$110=2,IF(7=Element_Stiffness!$C$110,Element_Stiffness!R137,IF(7=Element_Stiffness!$E$110,Element_Stiffness!X137,0)),0)),0)+IF(Element_Stiffness!$C$146,IF(Element_Stiffness!$C$145=2,IF(7=Element_Stiffness!$C$145,Element_Stiffness!R166,IF(7=Element_Stiffness!$E$145,Element_Stiffness!X166,0)),IF(Element_Stiffness!$E$145=2,IF(7=Element_Stiffness!$C$145,Element_Stiffness!R172,IF(7=Element_Stiffness!$E$145,Element_Stiffness!X172,0)),0)),0)+IF(Element_Stiffness!$C$181,IF(Element_Stiffness!$C$180=2,IF(7=Element_Stiffness!$C$180,Element_Stiffness!R201,IF(7=Element_Stiffness!$E$180,Element_Stiffness!X201,0)),IF(Element_Stiffness!$E$180=2,IF(7=Element_Stiffness!$C$180,Element_Stiffness!R207,IF(7=Element_Stiffness!$E$180,Element_Stiffness!X207,0)),0)),0)+IF(Element_Stiffness!$C$216,IF(Element_Stiffness!$C$215=2,IF(7=Element_Stiffness!$C$215,Element_Stiffness!R236,IF(7=Element_Stiffness!$E$215,Element_Stiffness!X236,0)),IF(Element_Stiffness!$E$215=2,IF(7=Element_Stiffness!$C$215,Element_Stiffness!R242,IF(7=Element_Stiffness!$E$215,Element_Stiffness!X242,0)),0)),0)</f>
        <v/>
      </c>
      <c r="AV17" s="21">
        <f>IF(Element_Stiffness!$C$6,IF(Element_Stiffness!$C$5=2,IF(7=Element_Stiffness!$C$5,Element_Stiffness!S26,IF(7=Element_Stiffness!$E$5,Element_Stiffness!Y26,0)),IF(Element_Stiffness!$E$5=2,IF(7=Element_Stiffness!$C$5,Element_Stiffness!S32,IF(7=Element_Stiffness!$E$5,Element_Stiffness!Y32,0)),0)),0)+IF(Element_Stiffness!$C$41,IF(Element_Stiffness!$C$40=2,IF(7=Element_Stiffness!$C$40,Element_Stiffness!S61,IF(7=Element_Stiffness!$E$40,Element_Stiffness!Y61,0)),IF(Element_Stiffness!$E$40=2,IF(7=Element_Stiffness!$C$40,Element_Stiffness!S67,IF(7=Element_Stiffness!$E$40,Element_Stiffness!Y67,0)),0)),0)+IF(Element_Stiffness!$C$76,IF(Element_Stiffness!$C$75=2,IF(7=Element_Stiffness!$C$75,Element_Stiffness!S96,IF(7=Element_Stiffness!$E$75,Element_Stiffness!Y96,0)),IF(Element_Stiffness!$E$75=2,IF(7=Element_Stiffness!$C$75,Element_Stiffness!S102,IF(7=Element_Stiffness!$E$75,Element_Stiffness!Y102,0)),0)),0)+IF(Element_Stiffness!$C$111,IF(Element_Stiffness!$C$110=2,IF(7=Element_Stiffness!$C$110,Element_Stiffness!S131,IF(7=Element_Stiffness!$E$110,Element_Stiffness!Y131,0)),IF(Element_Stiffness!$E$110=2,IF(7=Element_Stiffness!$C$110,Element_Stiffness!S137,IF(7=Element_Stiffness!$E$110,Element_Stiffness!Y137,0)),0)),0)+IF(Element_Stiffness!$C$146,IF(Element_Stiffness!$C$145=2,IF(7=Element_Stiffness!$C$145,Element_Stiffness!S166,IF(7=Element_Stiffness!$E$145,Element_Stiffness!Y166,0)),IF(Element_Stiffness!$E$145=2,IF(7=Element_Stiffness!$C$145,Element_Stiffness!S172,IF(7=Element_Stiffness!$E$145,Element_Stiffness!Y172,0)),0)),0)+IF(Element_Stiffness!$C$181,IF(Element_Stiffness!$C$180=2,IF(7=Element_Stiffness!$C$180,Element_Stiffness!S201,IF(7=Element_Stiffness!$E$180,Element_Stiffness!Y201,0)),IF(Element_Stiffness!$E$180=2,IF(7=Element_Stiffness!$C$180,Element_Stiffness!S207,IF(7=Element_Stiffness!$E$180,Element_Stiffness!Y207,0)),0)),0)+IF(Element_Stiffness!$C$216,IF(Element_Stiffness!$C$215=2,IF(7=Element_Stiffness!$C$215,Element_Stiffness!S236,IF(7=Element_Stiffness!$E$215,Element_Stiffness!Y236,0)),IF(Element_Stiffness!$E$215=2,IF(7=Element_Stiffness!$C$215,Element_Stiffness!S242,IF(7=Element_Stiffness!$E$215,Element_Stiffness!Y242,0)),0)),0)</f>
        <v/>
      </c>
      <c r="AW17" s="21">
        <f>IF(Element_Stiffness!$C$6,IF(Element_Stiffness!$C$5=2,IF(7=Element_Stiffness!$C$5,Element_Stiffness!T26,IF(7=Element_Stiffness!$E$5,Element_Stiffness!Z26,0)),IF(Element_Stiffness!$E$5=2,IF(7=Element_Stiffness!$C$5,Element_Stiffness!T32,IF(7=Element_Stiffness!$E$5,Element_Stiffness!Z32,0)),0)),0)+IF(Element_Stiffness!$C$41,IF(Element_Stiffness!$C$40=2,IF(7=Element_Stiffness!$C$40,Element_Stiffness!T61,IF(7=Element_Stiffness!$E$40,Element_Stiffness!Z61,0)),IF(Element_Stiffness!$E$40=2,IF(7=Element_Stiffness!$C$40,Element_Stiffness!T67,IF(7=Element_Stiffness!$E$40,Element_Stiffness!Z67,0)),0)),0)+IF(Element_Stiffness!$C$76,IF(Element_Stiffness!$C$75=2,IF(7=Element_Stiffness!$C$75,Element_Stiffness!T96,IF(7=Element_Stiffness!$E$75,Element_Stiffness!Z96,0)),IF(Element_Stiffness!$E$75=2,IF(7=Element_Stiffness!$C$75,Element_Stiffness!T102,IF(7=Element_Stiffness!$E$75,Element_Stiffness!Z102,0)),0)),0)+IF(Element_Stiffness!$C$111,IF(Element_Stiffness!$C$110=2,IF(7=Element_Stiffness!$C$110,Element_Stiffness!T131,IF(7=Element_Stiffness!$E$110,Element_Stiffness!Z131,0)),IF(Element_Stiffness!$E$110=2,IF(7=Element_Stiffness!$C$110,Element_Stiffness!T137,IF(7=Element_Stiffness!$E$110,Element_Stiffness!Z137,0)),0)),0)+IF(Element_Stiffness!$C$146,IF(Element_Stiffness!$C$145=2,IF(7=Element_Stiffness!$C$145,Element_Stiffness!T166,IF(7=Element_Stiffness!$E$145,Element_Stiffness!Z166,0)),IF(Element_Stiffness!$E$145=2,IF(7=Element_Stiffness!$C$145,Element_Stiffness!T172,IF(7=Element_Stiffness!$E$145,Element_Stiffness!Z172,0)),0)),0)+IF(Element_Stiffness!$C$181,IF(Element_Stiffness!$C$180=2,IF(7=Element_Stiffness!$C$180,Element_Stiffness!T201,IF(7=Element_Stiffness!$E$180,Element_Stiffness!Z201,0)),IF(Element_Stiffness!$E$180=2,IF(7=Element_Stiffness!$C$180,Element_Stiffness!T207,IF(7=Element_Stiffness!$E$180,Element_Stiffness!Z207,0)),0)),0)+IF(Element_Stiffness!$C$216,IF(Element_Stiffness!$C$215=2,IF(7=Element_Stiffness!$C$215,Element_Stiffness!T236,IF(7=Element_Stiffness!$E$215,Element_Stiffness!Z236,0)),IF(Element_Stiffness!$E$215=2,IF(7=Element_Stiffness!$C$215,Element_Stiffness!T242,IF(7=Element_Stiffness!$E$215,Element_Stiffness!Z242,0)),0)),0)</f>
        <v/>
      </c>
      <c r="AX17" s="21">
        <f>IF(Element_Stiffness!$C$6,IF(Element_Stiffness!$C$5=2,IF(7=Element_Stiffness!$C$5,Element_Stiffness!U26,IF(7=Element_Stiffness!$E$5,Element_Stiffness!AA26,0)),IF(Element_Stiffness!$E$5=2,IF(7=Element_Stiffness!$C$5,Element_Stiffness!U32,IF(7=Element_Stiffness!$E$5,Element_Stiffness!AA32,0)),0)),0)+IF(Element_Stiffness!$C$41,IF(Element_Stiffness!$C$40=2,IF(7=Element_Stiffness!$C$40,Element_Stiffness!U61,IF(7=Element_Stiffness!$E$40,Element_Stiffness!AA61,0)),IF(Element_Stiffness!$E$40=2,IF(7=Element_Stiffness!$C$40,Element_Stiffness!U67,IF(7=Element_Stiffness!$E$40,Element_Stiffness!AA67,0)),0)),0)+IF(Element_Stiffness!$C$76,IF(Element_Stiffness!$C$75=2,IF(7=Element_Stiffness!$C$75,Element_Stiffness!U96,IF(7=Element_Stiffness!$E$75,Element_Stiffness!AA96,0)),IF(Element_Stiffness!$E$75=2,IF(7=Element_Stiffness!$C$75,Element_Stiffness!U102,IF(7=Element_Stiffness!$E$75,Element_Stiffness!AA102,0)),0)),0)+IF(Element_Stiffness!$C$111,IF(Element_Stiffness!$C$110=2,IF(7=Element_Stiffness!$C$110,Element_Stiffness!U131,IF(7=Element_Stiffness!$E$110,Element_Stiffness!AA131,0)),IF(Element_Stiffness!$E$110=2,IF(7=Element_Stiffness!$C$110,Element_Stiffness!U137,IF(7=Element_Stiffness!$E$110,Element_Stiffness!AA137,0)),0)),0)+IF(Element_Stiffness!$C$146,IF(Element_Stiffness!$C$145=2,IF(7=Element_Stiffness!$C$145,Element_Stiffness!U166,IF(7=Element_Stiffness!$E$145,Element_Stiffness!AA166,0)),IF(Element_Stiffness!$E$145=2,IF(7=Element_Stiffness!$C$145,Element_Stiffness!U172,IF(7=Element_Stiffness!$E$145,Element_Stiffness!AA172,0)),0)),0)+IF(Element_Stiffness!$C$181,IF(Element_Stiffness!$C$180=2,IF(7=Element_Stiffness!$C$180,Element_Stiffness!U201,IF(7=Element_Stiffness!$E$180,Element_Stiffness!AA201,0)),IF(Element_Stiffness!$E$180=2,IF(7=Element_Stiffness!$C$180,Element_Stiffness!U207,IF(7=Element_Stiffness!$E$180,Element_Stiffness!AA207,0)),0)),0)+IF(Element_Stiffness!$C$216,IF(Element_Stiffness!$C$215=2,IF(7=Element_Stiffness!$C$215,Element_Stiffness!U236,IF(7=Element_Stiffness!$E$215,Element_Stiffness!AA236,0)),IF(Element_Stiffness!$E$215=2,IF(7=Element_Stiffness!$C$215,Element_Stiffness!U242,IF(7=Element_Stiffness!$E$215,Element_Stiffness!AA242,0)),0)),0)</f>
        <v/>
      </c>
      <c r="AY17" s="21" t="n">
        <v>0</v>
      </c>
      <c r="AZ17" s="21">
        <f>IF(Element_Stiffness!$C$6,IF(Element_Stiffness!$C$5=2,Element_Stiffness!C26,IF(Element_Stiffness!$E$5=2,Element_Stiffness!C32,0)),0)+IF(Element_Stiffness!$C$41,IF(Element_Stiffness!$C$40=2,Element_Stiffness!C61,IF(Element_Stiffness!$E$40=2,Element_Stiffness!C67,0)),0)+IF(Element_Stiffness!$C$76,IF(Element_Stiffness!$C$75=2,Element_Stiffness!C96,IF(Element_Stiffness!$E$75=2,Element_Stiffness!C102,0)),0)+IF(Element_Stiffness!$C$111,IF(Element_Stiffness!$C$110=2,Element_Stiffness!C131,IF(Element_Stiffness!$E$110=2,Element_Stiffness!C137,0)),0)+IF(Element_Stiffness!$C$146,IF(Element_Stiffness!$C$145=2,Element_Stiffness!C166,IF(Element_Stiffness!$E$145=2,Element_Stiffness!C172,0)),0)+IF(Element_Stiffness!$C$181,IF(Element_Stiffness!$C$180=2,Element_Stiffness!C201,IF(Element_Stiffness!$E$180=2,Element_Stiffness!C207,0)),0)+IF(Element_Stiffness!$C$216,IF(Element_Stiffness!$C$215=2,Element_Stiffness!C236,IF(Element_Stiffness!$E$215=2,Element_Stiffness!C242,0)),0)</f>
        <v/>
      </c>
      <c r="BB17" s="28">
        <f>INDEX(MMULT(MINVERSE(C5:AX52), AY5:AY52), 13, 1)</f>
        <v/>
      </c>
      <c r="BC17" s="28">
        <f>INDEX(MMULT(MINVERSE(C5:AX52), AZ5:AZ52), 13, 1)</f>
        <v/>
      </c>
    </row>
    <row r="18">
      <c r="B18" s="27" t="inlineStr">
        <is>
          <t>N2_ty</t>
        </is>
      </c>
      <c r="C18" s="21">
        <f>IF(Element_Stiffness!$C$6,IF(Element_Stiffness!$C$5=2,IF(0=Element_Stiffness!$C$5,Element_Stiffness!P27,IF(0=Element_Stiffness!$E$5,Element_Stiffness!V27,0)),IF(Element_Stiffness!$E$5=2,IF(0=Element_Stiffness!$C$5,Element_Stiffness!P33,IF(0=Element_Stiffness!$E$5,Element_Stiffness!V33,0)),0)),0)+IF(Element_Stiffness!$C$41,IF(Element_Stiffness!$C$40=2,IF(0=Element_Stiffness!$C$40,Element_Stiffness!P62,IF(0=Element_Stiffness!$E$40,Element_Stiffness!V62,0)),IF(Element_Stiffness!$E$40=2,IF(0=Element_Stiffness!$C$40,Element_Stiffness!P68,IF(0=Element_Stiffness!$E$40,Element_Stiffness!V68,0)),0)),0)+IF(Element_Stiffness!$C$76,IF(Element_Stiffness!$C$75=2,IF(0=Element_Stiffness!$C$75,Element_Stiffness!P97,IF(0=Element_Stiffness!$E$75,Element_Stiffness!V97,0)),IF(Element_Stiffness!$E$75=2,IF(0=Element_Stiffness!$C$75,Element_Stiffness!P103,IF(0=Element_Stiffness!$E$75,Element_Stiffness!V103,0)),0)),0)+IF(Element_Stiffness!$C$111,IF(Element_Stiffness!$C$110=2,IF(0=Element_Stiffness!$C$110,Element_Stiffness!P132,IF(0=Element_Stiffness!$E$110,Element_Stiffness!V132,0)),IF(Element_Stiffness!$E$110=2,IF(0=Element_Stiffness!$C$110,Element_Stiffness!P138,IF(0=Element_Stiffness!$E$110,Element_Stiffness!V138,0)),0)),0)+IF(Element_Stiffness!$C$146,IF(Element_Stiffness!$C$145=2,IF(0=Element_Stiffness!$C$145,Element_Stiffness!P167,IF(0=Element_Stiffness!$E$145,Element_Stiffness!V167,0)),IF(Element_Stiffness!$E$145=2,IF(0=Element_Stiffness!$C$145,Element_Stiffness!P173,IF(0=Element_Stiffness!$E$145,Element_Stiffness!V173,0)),0)),0)+IF(Element_Stiffness!$C$181,IF(Element_Stiffness!$C$180=2,IF(0=Element_Stiffness!$C$180,Element_Stiffness!P202,IF(0=Element_Stiffness!$E$180,Element_Stiffness!V202,0)),IF(Element_Stiffness!$E$180=2,IF(0=Element_Stiffness!$C$180,Element_Stiffness!P208,IF(0=Element_Stiffness!$E$180,Element_Stiffness!V208,0)),0)),0)+IF(Element_Stiffness!$C$216,IF(Element_Stiffness!$C$215=2,IF(0=Element_Stiffness!$C$215,Element_Stiffness!P237,IF(0=Element_Stiffness!$E$215,Element_Stiffness!V237,0)),IF(Element_Stiffness!$E$215=2,IF(0=Element_Stiffness!$C$215,Element_Stiffness!P243,IF(0=Element_Stiffness!$E$215,Element_Stiffness!V243,0)),0)),0)</f>
        <v/>
      </c>
      <c r="D18" s="21">
        <f>IF(Element_Stiffness!$C$6,IF(Element_Stiffness!$C$5=2,IF(0=Element_Stiffness!$C$5,Element_Stiffness!Q27,IF(0=Element_Stiffness!$E$5,Element_Stiffness!W27,0)),IF(Element_Stiffness!$E$5=2,IF(0=Element_Stiffness!$C$5,Element_Stiffness!Q33,IF(0=Element_Stiffness!$E$5,Element_Stiffness!W33,0)),0)),0)+IF(Element_Stiffness!$C$41,IF(Element_Stiffness!$C$40=2,IF(0=Element_Stiffness!$C$40,Element_Stiffness!Q62,IF(0=Element_Stiffness!$E$40,Element_Stiffness!W62,0)),IF(Element_Stiffness!$E$40=2,IF(0=Element_Stiffness!$C$40,Element_Stiffness!Q68,IF(0=Element_Stiffness!$E$40,Element_Stiffness!W68,0)),0)),0)+IF(Element_Stiffness!$C$76,IF(Element_Stiffness!$C$75=2,IF(0=Element_Stiffness!$C$75,Element_Stiffness!Q97,IF(0=Element_Stiffness!$E$75,Element_Stiffness!W97,0)),IF(Element_Stiffness!$E$75=2,IF(0=Element_Stiffness!$C$75,Element_Stiffness!Q103,IF(0=Element_Stiffness!$E$75,Element_Stiffness!W103,0)),0)),0)+IF(Element_Stiffness!$C$111,IF(Element_Stiffness!$C$110=2,IF(0=Element_Stiffness!$C$110,Element_Stiffness!Q132,IF(0=Element_Stiffness!$E$110,Element_Stiffness!W132,0)),IF(Element_Stiffness!$E$110=2,IF(0=Element_Stiffness!$C$110,Element_Stiffness!Q138,IF(0=Element_Stiffness!$E$110,Element_Stiffness!W138,0)),0)),0)+IF(Element_Stiffness!$C$146,IF(Element_Stiffness!$C$145=2,IF(0=Element_Stiffness!$C$145,Element_Stiffness!Q167,IF(0=Element_Stiffness!$E$145,Element_Stiffness!W167,0)),IF(Element_Stiffness!$E$145=2,IF(0=Element_Stiffness!$C$145,Element_Stiffness!Q173,IF(0=Element_Stiffness!$E$145,Element_Stiffness!W173,0)),0)),0)+IF(Element_Stiffness!$C$181,IF(Element_Stiffness!$C$180=2,IF(0=Element_Stiffness!$C$180,Element_Stiffness!Q202,IF(0=Element_Stiffness!$E$180,Element_Stiffness!W202,0)),IF(Element_Stiffness!$E$180=2,IF(0=Element_Stiffness!$C$180,Element_Stiffness!Q208,IF(0=Element_Stiffness!$E$180,Element_Stiffness!W208,0)),0)),0)+IF(Element_Stiffness!$C$216,IF(Element_Stiffness!$C$215=2,IF(0=Element_Stiffness!$C$215,Element_Stiffness!Q237,IF(0=Element_Stiffness!$E$215,Element_Stiffness!W237,0)),IF(Element_Stiffness!$E$215=2,IF(0=Element_Stiffness!$C$215,Element_Stiffness!Q243,IF(0=Element_Stiffness!$E$215,Element_Stiffness!W243,0)),0)),0)</f>
        <v/>
      </c>
      <c r="E18" s="21">
        <f>IF(Element_Stiffness!$C$6,IF(Element_Stiffness!$C$5=2,IF(0=Element_Stiffness!$C$5,Element_Stiffness!R27,IF(0=Element_Stiffness!$E$5,Element_Stiffness!X27,0)),IF(Element_Stiffness!$E$5=2,IF(0=Element_Stiffness!$C$5,Element_Stiffness!R33,IF(0=Element_Stiffness!$E$5,Element_Stiffness!X33,0)),0)),0)+IF(Element_Stiffness!$C$41,IF(Element_Stiffness!$C$40=2,IF(0=Element_Stiffness!$C$40,Element_Stiffness!R62,IF(0=Element_Stiffness!$E$40,Element_Stiffness!X62,0)),IF(Element_Stiffness!$E$40=2,IF(0=Element_Stiffness!$C$40,Element_Stiffness!R68,IF(0=Element_Stiffness!$E$40,Element_Stiffness!X68,0)),0)),0)+IF(Element_Stiffness!$C$76,IF(Element_Stiffness!$C$75=2,IF(0=Element_Stiffness!$C$75,Element_Stiffness!R97,IF(0=Element_Stiffness!$E$75,Element_Stiffness!X97,0)),IF(Element_Stiffness!$E$75=2,IF(0=Element_Stiffness!$C$75,Element_Stiffness!R103,IF(0=Element_Stiffness!$E$75,Element_Stiffness!X103,0)),0)),0)+IF(Element_Stiffness!$C$111,IF(Element_Stiffness!$C$110=2,IF(0=Element_Stiffness!$C$110,Element_Stiffness!R132,IF(0=Element_Stiffness!$E$110,Element_Stiffness!X132,0)),IF(Element_Stiffness!$E$110=2,IF(0=Element_Stiffness!$C$110,Element_Stiffness!R138,IF(0=Element_Stiffness!$E$110,Element_Stiffness!X138,0)),0)),0)+IF(Element_Stiffness!$C$146,IF(Element_Stiffness!$C$145=2,IF(0=Element_Stiffness!$C$145,Element_Stiffness!R167,IF(0=Element_Stiffness!$E$145,Element_Stiffness!X167,0)),IF(Element_Stiffness!$E$145=2,IF(0=Element_Stiffness!$C$145,Element_Stiffness!R173,IF(0=Element_Stiffness!$E$145,Element_Stiffness!X173,0)),0)),0)+IF(Element_Stiffness!$C$181,IF(Element_Stiffness!$C$180=2,IF(0=Element_Stiffness!$C$180,Element_Stiffness!R202,IF(0=Element_Stiffness!$E$180,Element_Stiffness!X202,0)),IF(Element_Stiffness!$E$180=2,IF(0=Element_Stiffness!$C$180,Element_Stiffness!R208,IF(0=Element_Stiffness!$E$180,Element_Stiffness!X208,0)),0)),0)+IF(Element_Stiffness!$C$216,IF(Element_Stiffness!$C$215=2,IF(0=Element_Stiffness!$C$215,Element_Stiffness!R237,IF(0=Element_Stiffness!$E$215,Element_Stiffness!X237,0)),IF(Element_Stiffness!$E$215=2,IF(0=Element_Stiffness!$C$215,Element_Stiffness!R243,IF(0=Element_Stiffness!$E$215,Element_Stiffness!X243,0)),0)),0)</f>
        <v/>
      </c>
      <c r="F18" s="21">
        <f>IF(Element_Stiffness!$C$6,IF(Element_Stiffness!$C$5=2,IF(0=Element_Stiffness!$C$5,Element_Stiffness!S27,IF(0=Element_Stiffness!$E$5,Element_Stiffness!Y27,0)),IF(Element_Stiffness!$E$5=2,IF(0=Element_Stiffness!$C$5,Element_Stiffness!S33,IF(0=Element_Stiffness!$E$5,Element_Stiffness!Y33,0)),0)),0)+IF(Element_Stiffness!$C$41,IF(Element_Stiffness!$C$40=2,IF(0=Element_Stiffness!$C$40,Element_Stiffness!S62,IF(0=Element_Stiffness!$E$40,Element_Stiffness!Y62,0)),IF(Element_Stiffness!$E$40=2,IF(0=Element_Stiffness!$C$40,Element_Stiffness!S68,IF(0=Element_Stiffness!$E$40,Element_Stiffness!Y68,0)),0)),0)+IF(Element_Stiffness!$C$76,IF(Element_Stiffness!$C$75=2,IF(0=Element_Stiffness!$C$75,Element_Stiffness!S97,IF(0=Element_Stiffness!$E$75,Element_Stiffness!Y97,0)),IF(Element_Stiffness!$E$75=2,IF(0=Element_Stiffness!$C$75,Element_Stiffness!S103,IF(0=Element_Stiffness!$E$75,Element_Stiffness!Y103,0)),0)),0)+IF(Element_Stiffness!$C$111,IF(Element_Stiffness!$C$110=2,IF(0=Element_Stiffness!$C$110,Element_Stiffness!S132,IF(0=Element_Stiffness!$E$110,Element_Stiffness!Y132,0)),IF(Element_Stiffness!$E$110=2,IF(0=Element_Stiffness!$C$110,Element_Stiffness!S138,IF(0=Element_Stiffness!$E$110,Element_Stiffness!Y138,0)),0)),0)+IF(Element_Stiffness!$C$146,IF(Element_Stiffness!$C$145=2,IF(0=Element_Stiffness!$C$145,Element_Stiffness!S167,IF(0=Element_Stiffness!$E$145,Element_Stiffness!Y167,0)),IF(Element_Stiffness!$E$145=2,IF(0=Element_Stiffness!$C$145,Element_Stiffness!S173,IF(0=Element_Stiffness!$E$145,Element_Stiffness!Y173,0)),0)),0)+IF(Element_Stiffness!$C$181,IF(Element_Stiffness!$C$180=2,IF(0=Element_Stiffness!$C$180,Element_Stiffness!S202,IF(0=Element_Stiffness!$E$180,Element_Stiffness!Y202,0)),IF(Element_Stiffness!$E$180=2,IF(0=Element_Stiffness!$C$180,Element_Stiffness!S208,IF(0=Element_Stiffness!$E$180,Element_Stiffness!Y208,0)),0)),0)+IF(Element_Stiffness!$C$216,IF(Element_Stiffness!$C$215=2,IF(0=Element_Stiffness!$C$215,Element_Stiffness!S237,IF(0=Element_Stiffness!$E$215,Element_Stiffness!Y237,0)),IF(Element_Stiffness!$E$215=2,IF(0=Element_Stiffness!$C$215,Element_Stiffness!S243,IF(0=Element_Stiffness!$E$215,Element_Stiffness!Y243,0)),0)),0)</f>
        <v/>
      </c>
      <c r="G18" s="21">
        <f>IF(Element_Stiffness!$C$6,IF(Element_Stiffness!$C$5=2,IF(0=Element_Stiffness!$C$5,Element_Stiffness!T27,IF(0=Element_Stiffness!$E$5,Element_Stiffness!Z27,0)),IF(Element_Stiffness!$E$5=2,IF(0=Element_Stiffness!$C$5,Element_Stiffness!T33,IF(0=Element_Stiffness!$E$5,Element_Stiffness!Z33,0)),0)),0)+IF(Element_Stiffness!$C$41,IF(Element_Stiffness!$C$40=2,IF(0=Element_Stiffness!$C$40,Element_Stiffness!T62,IF(0=Element_Stiffness!$E$40,Element_Stiffness!Z62,0)),IF(Element_Stiffness!$E$40=2,IF(0=Element_Stiffness!$C$40,Element_Stiffness!T68,IF(0=Element_Stiffness!$E$40,Element_Stiffness!Z68,0)),0)),0)+IF(Element_Stiffness!$C$76,IF(Element_Stiffness!$C$75=2,IF(0=Element_Stiffness!$C$75,Element_Stiffness!T97,IF(0=Element_Stiffness!$E$75,Element_Stiffness!Z97,0)),IF(Element_Stiffness!$E$75=2,IF(0=Element_Stiffness!$C$75,Element_Stiffness!T103,IF(0=Element_Stiffness!$E$75,Element_Stiffness!Z103,0)),0)),0)+IF(Element_Stiffness!$C$111,IF(Element_Stiffness!$C$110=2,IF(0=Element_Stiffness!$C$110,Element_Stiffness!T132,IF(0=Element_Stiffness!$E$110,Element_Stiffness!Z132,0)),IF(Element_Stiffness!$E$110=2,IF(0=Element_Stiffness!$C$110,Element_Stiffness!T138,IF(0=Element_Stiffness!$E$110,Element_Stiffness!Z138,0)),0)),0)+IF(Element_Stiffness!$C$146,IF(Element_Stiffness!$C$145=2,IF(0=Element_Stiffness!$C$145,Element_Stiffness!T167,IF(0=Element_Stiffness!$E$145,Element_Stiffness!Z167,0)),IF(Element_Stiffness!$E$145=2,IF(0=Element_Stiffness!$C$145,Element_Stiffness!T173,IF(0=Element_Stiffness!$E$145,Element_Stiffness!Z173,0)),0)),0)+IF(Element_Stiffness!$C$181,IF(Element_Stiffness!$C$180=2,IF(0=Element_Stiffness!$C$180,Element_Stiffness!T202,IF(0=Element_Stiffness!$E$180,Element_Stiffness!Z202,0)),IF(Element_Stiffness!$E$180=2,IF(0=Element_Stiffness!$C$180,Element_Stiffness!T208,IF(0=Element_Stiffness!$E$180,Element_Stiffness!Z208,0)),0)),0)+IF(Element_Stiffness!$C$216,IF(Element_Stiffness!$C$215=2,IF(0=Element_Stiffness!$C$215,Element_Stiffness!T237,IF(0=Element_Stiffness!$E$215,Element_Stiffness!Z237,0)),IF(Element_Stiffness!$E$215=2,IF(0=Element_Stiffness!$C$215,Element_Stiffness!T243,IF(0=Element_Stiffness!$E$215,Element_Stiffness!Z243,0)),0)),0)</f>
        <v/>
      </c>
      <c r="H18" s="21">
        <f>IF(Element_Stiffness!$C$6,IF(Element_Stiffness!$C$5=2,IF(0=Element_Stiffness!$C$5,Element_Stiffness!U27,IF(0=Element_Stiffness!$E$5,Element_Stiffness!AA27,0)),IF(Element_Stiffness!$E$5=2,IF(0=Element_Stiffness!$C$5,Element_Stiffness!U33,IF(0=Element_Stiffness!$E$5,Element_Stiffness!AA33,0)),0)),0)+IF(Element_Stiffness!$C$41,IF(Element_Stiffness!$C$40=2,IF(0=Element_Stiffness!$C$40,Element_Stiffness!U62,IF(0=Element_Stiffness!$E$40,Element_Stiffness!AA62,0)),IF(Element_Stiffness!$E$40=2,IF(0=Element_Stiffness!$C$40,Element_Stiffness!U68,IF(0=Element_Stiffness!$E$40,Element_Stiffness!AA68,0)),0)),0)+IF(Element_Stiffness!$C$76,IF(Element_Stiffness!$C$75=2,IF(0=Element_Stiffness!$C$75,Element_Stiffness!U97,IF(0=Element_Stiffness!$E$75,Element_Stiffness!AA97,0)),IF(Element_Stiffness!$E$75=2,IF(0=Element_Stiffness!$C$75,Element_Stiffness!U103,IF(0=Element_Stiffness!$E$75,Element_Stiffness!AA103,0)),0)),0)+IF(Element_Stiffness!$C$111,IF(Element_Stiffness!$C$110=2,IF(0=Element_Stiffness!$C$110,Element_Stiffness!U132,IF(0=Element_Stiffness!$E$110,Element_Stiffness!AA132,0)),IF(Element_Stiffness!$E$110=2,IF(0=Element_Stiffness!$C$110,Element_Stiffness!U138,IF(0=Element_Stiffness!$E$110,Element_Stiffness!AA138,0)),0)),0)+IF(Element_Stiffness!$C$146,IF(Element_Stiffness!$C$145=2,IF(0=Element_Stiffness!$C$145,Element_Stiffness!U167,IF(0=Element_Stiffness!$E$145,Element_Stiffness!AA167,0)),IF(Element_Stiffness!$E$145=2,IF(0=Element_Stiffness!$C$145,Element_Stiffness!U173,IF(0=Element_Stiffness!$E$145,Element_Stiffness!AA173,0)),0)),0)+IF(Element_Stiffness!$C$181,IF(Element_Stiffness!$C$180=2,IF(0=Element_Stiffness!$C$180,Element_Stiffness!U202,IF(0=Element_Stiffness!$E$180,Element_Stiffness!AA202,0)),IF(Element_Stiffness!$E$180=2,IF(0=Element_Stiffness!$C$180,Element_Stiffness!U208,IF(0=Element_Stiffness!$E$180,Element_Stiffness!AA208,0)),0)),0)+IF(Element_Stiffness!$C$216,IF(Element_Stiffness!$C$215=2,IF(0=Element_Stiffness!$C$215,Element_Stiffness!U237,IF(0=Element_Stiffness!$E$215,Element_Stiffness!AA237,0)),IF(Element_Stiffness!$E$215=2,IF(0=Element_Stiffness!$C$215,Element_Stiffness!U243,IF(0=Element_Stiffness!$E$215,Element_Stiffness!AA243,0)),0)),0)</f>
        <v/>
      </c>
      <c r="I18" s="21">
        <f>IF(Element_Stiffness!$C$6,IF(Element_Stiffness!$C$5=2,IF(1=Element_Stiffness!$C$5,Element_Stiffness!P27,IF(1=Element_Stiffness!$E$5,Element_Stiffness!V27,0)),IF(Element_Stiffness!$E$5=2,IF(1=Element_Stiffness!$C$5,Element_Stiffness!P33,IF(1=Element_Stiffness!$E$5,Element_Stiffness!V33,0)),0)),0)+IF(Element_Stiffness!$C$41,IF(Element_Stiffness!$C$40=2,IF(1=Element_Stiffness!$C$40,Element_Stiffness!P62,IF(1=Element_Stiffness!$E$40,Element_Stiffness!V62,0)),IF(Element_Stiffness!$E$40=2,IF(1=Element_Stiffness!$C$40,Element_Stiffness!P68,IF(1=Element_Stiffness!$E$40,Element_Stiffness!V68,0)),0)),0)+IF(Element_Stiffness!$C$76,IF(Element_Stiffness!$C$75=2,IF(1=Element_Stiffness!$C$75,Element_Stiffness!P97,IF(1=Element_Stiffness!$E$75,Element_Stiffness!V97,0)),IF(Element_Stiffness!$E$75=2,IF(1=Element_Stiffness!$C$75,Element_Stiffness!P103,IF(1=Element_Stiffness!$E$75,Element_Stiffness!V103,0)),0)),0)+IF(Element_Stiffness!$C$111,IF(Element_Stiffness!$C$110=2,IF(1=Element_Stiffness!$C$110,Element_Stiffness!P132,IF(1=Element_Stiffness!$E$110,Element_Stiffness!V132,0)),IF(Element_Stiffness!$E$110=2,IF(1=Element_Stiffness!$C$110,Element_Stiffness!P138,IF(1=Element_Stiffness!$E$110,Element_Stiffness!V138,0)),0)),0)+IF(Element_Stiffness!$C$146,IF(Element_Stiffness!$C$145=2,IF(1=Element_Stiffness!$C$145,Element_Stiffness!P167,IF(1=Element_Stiffness!$E$145,Element_Stiffness!V167,0)),IF(Element_Stiffness!$E$145=2,IF(1=Element_Stiffness!$C$145,Element_Stiffness!P173,IF(1=Element_Stiffness!$E$145,Element_Stiffness!V173,0)),0)),0)+IF(Element_Stiffness!$C$181,IF(Element_Stiffness!$C$180=2,IF(1=Element_Stiffness!$C$180,Element_Stiffness!P202,IF(1=Element_Stiffness!$E$180,Element_Stiffness!V202,0)),IF(Element_Stiffness!$E$180=2,IF(1=Element_Stiffness!$C$180,Element_Stiffness!P208,IF(1=Element_Stiffness!$E$180,Element_Stiffness!V208,0)),0)),0)+IF(Element_Stiffness!$C$216,IF(Element_Stiffness!$C$215=2,IF(1=Element_Stiffness!$C$215,Element_Stiffness!P237,IF(1=Element_Stiffness!$E$215,Element_Stiffness!V237,0)),IF(Element_Stiffness!$E$215=2,IF(1=Element_Stiffness!$C$215,Element_Stiffness!P243,IF(1=Element_Stiffness!$E$215,Element_Stiffness!V243,0)),0)),0)</f>
        <v/>
      </c>
      <c r="J18" s="21">
        <f>IF(Element_Stiffness!$C$6,IF(Element_Stiffness!$C$5=2,IF(1=Element_Stiffness!$C$5,Element_Stiffness!Q27,IF(1=Element_Stiffness!$E$5,Element_Stiffness!W27,0)),IF(Element_Stiffness!$E$5=2,IF(1=Element_Stiffness!$C$5,Element_Stiffness!Q33,IF(1=Element_Stiffness!$E$5,Element_Stiffness!W33,0)),0)),0)+IF(Element_Stiffness!$C$41,IF(Element_Stiffness!$C$40=2,IF(1=Element_Stiffness!$C$40,Element_Stiffness!Q62,IF(1=Element_Stiffness!$E$40,Element_Stiffness!W62,0)),IF(Element_Stiffness!$E$40=2,IF(1=Element_Stiffness!$C$40,Element_Stiffness!Q68,IF(1=Element_Stiffness!$E$40,Element_Stiffness!W68,0)),0)),0)+IF(Element_Stiffness!$C$76,IF(Element_Stiffness!$C$75=2,IF(1=Element_Stiffness!$C$75,Element_Stiffness!Q97,IF(1=Element_Stiffness!$E$75,Element_Stiffness!W97,0)),IF(Element_Stiffness!$E$75=2,IF(1=Element_Stiffness!$C$75,Element_Stiffness!Q103,IF(1=Element_Stiffness!$E$75,Element_Stiffness!W103,0)),0)),0)+IF(Element_Stiffness!$C$111,IF(Element_Stiffness!$C$110=2,IF(1=Element_Stiffness!$C$110,Element_Stiffness!Q132,IF(1=Element_Stiffness!$E$110,Element_Stiffness!W132,0)),IF(Element_Stiffness!$E$110=2,IF(1=Element_Stiffness!$C$110,Element_Stiffness!Q138,IF(1=Element_Stiffness!$E$110,Element_Stiffness!W138,0)),0)),0)+IF(Element_Stiffness!$C$146,IF(Element_Stiffness!$C$145=2,IF(1=Element_Stiffness!$C$145,Element_Stiffness!Q167,IF(1=Element_Stiffness!$E$145,Element_Stiffness!W167,0)),IF(Element_Stiffness!$E$145=2,IF(1=Element_Stiffness!$C$145,Element_Stiffness!Q173,IF(1=Element_Stiffness!$E$145,Element_Stiffness!W173,0)),0)),0)+IF(Element_Stiffness!$C$181,IF(Element_Stiffness!$C$180=2,IF(1=Element_Stiffness!$C$180,Element_Stiffness!Q202,IF(1=Element_Stiffness!$E$180,Element_Stiffness!W202,0)),IF(Element_Stiffness!$E$180=2,IF(1=Element_Stiffness!$C$180,Element_Stiffness!Q208,IF(1=Element_Stiffness!$E$180,Element_Stiffness!W208,0)),0)),0)+IF(Element_Stiffness!$C$216,IF(Element_Stiffness!$C$215=2,IF(1=Element_Stiffness!$C$215,Element_Stiffness!Q237,IF(1=Element_Stiffness!$E$215,Element_Stiffness!W237,0)),IF(Element_Stiffness!$E$215=2,IF(1=Element_Stiffness!$C$215,Element_Stiffness!Q243,IF(1=Element_Stiffness!$E$215,Element_Stiffness!W243,0)),0)),0)</f>
        <v/>
      </c>
      <c r="K18" s="21">
        <f>IF(Element_Stiffness!$C$6,IF(Element_Stiffness!$C$5=2,IF(1=Element_Stiffness!$C$5,Element_Stiffness!R27,IF(1=Element_Stiffness!$E$5,Element_Stiffness!X27,0)),IF(Element_Stiffness!$E$5=2,IF(1=Element_Stiffness!$C$5,Element_Stiffness!R33,IF(1=Element_Stiffness!$E$5,Element_Stiffness!X33,0)),0)),0)+IF(Element_Stiffness!$C$41,IF(Element_Stiffness!$C$40=2,IF(1=Element_Stiffness!$C$40,Element_Stiffness!R62,IF(1=Element_Stiffness!$E$40,Element_Stiffness!X62,0)),IF(Element_Stiffness!$E$40=2,IF(1=Element_Stiffness!$C$40,Element_Stiffness!R68,IF(1=Element_Stiffness!$E$40,Element_Stiffness!X68,0)),0)),0)+IF(Element_Stiffness!$C$76,IF(Element_Stiffness!$C$75=2,IF(1=Element_Stiffness!$C$75,Element_Stiffness!R97,IF(1=Element_Stiffness!$E$75,Element_Stiffness!X97,0)),IF(Element_Stiffness!$E$75=2,IF(1=Element_Stiffness!$C$75,Element_Stiffness!R103,IF(1=Element_Stiffness!$E$75,Element_Stiffness!X103,0)),0)),0)+IF(Element_Stiffness!$C$111,IF(Element_Stiffness!$C$110=2,IF(1=Element_Stiffness!$C$110,Element_Stiffness!R132,IF(1=Element_Stiffness!$E$110,Element_Stiffness!X132,0)),IF(Element_Stiffness!$E$110=2,IF(1=Element_Stiffness!$C$110,Element_Stiffness!R138,IF(1=Element_Stiffness!$E$110,Element_Stiffness!X138,0)),0)),0)+IF(Element_Stiffness!$C$146,IF(Element_Stiffness!$C$145=2,IF(1=Element_Stiffness!$C$145,Element_Stiffness!R167,IF(1=Element_Stiffness!$E$145,Element_Stiffness!X167,0)),IF(Element_Stiffness!$E$145=2,IF(1=Element_Stiffness!$C$145,Element_Stiffness!R173,IF(1=Element_Stiffness!$E$145,Element_Stiffness!X173,0)),0)),0)+IF(Element_Stiffness!$C$181,IF(Element_Stiffness!$C$180=2,IF(1=Element_Stiffness!$C$180,Element_Stiffness!R202,IF(1=Element_Stiffness!$E$180,Element_Stiffness!X202,0)),IF(Element_Stiffness!$E$180=2,IF(1=Element_Stiffness!$C$180,Element_Stiffness!R208,IF(1=Element_Stiffness!$E$180,Element_Stiffness!X208,0)),0)),0)+IF(Element_Stiffness!$C$216,IF(Element_Stiffness!$C$215=2,IF(1=Element_Stiffness!$C$215,Element_Stiffness!R237,IF(1=Element_Stiffness!$E$215,Element_Stiffness!X237,0)),IF(Element_Stiffness!$E$215=2,IF(1=Element_Stiffness!$C$215,Element_Stiffness!R243,IF(1=Element_Stiffness!$E$215,Element_Stiffness!X243,0)),0)),0)</f>
        <v/>
      </c>
      <c r="L18" s="21">
        <f>IF(Element_Stiffness!$C$6,IF(Element_Stiffness!$C$5=2,IF(1=Element_Stiffness!$C$5,Element_Stiffness!S27,IF(1=Element_Stiffness!$E$5,Element_Stiffness!Y27,0)),IF(Element_Stiffness!$E$5=2,IF(1=Element_Stiffness!$C$5,Element_Stiffness!S33,IF(1=Element_Stiffness!$E$5,Element_Stiffness!Y33,0)),0)),0)+IF(Element_Stiffness!$C$41,IF(Element_Stiffness!$C$40=2,IF(1=Element_Stiffness!$C$40,Element_Stiffness!S62,IF(1=Element_Stiffness!$E$40,Element_Stiffness!Y62,0)),IF(Element_Stiffness!$E$40=2,IF(1=Element_Stiffness!$C$40,Element_Stiffness!S68,IF(1=Element_Stiffness!$E$40,Element_Stiffness!Y68,0)),0)),0)+IF(Element_Stiffness!$C$76,IF(Element_Stiffness!$C$75=2,IF(1=Element_Stiffness!$C$75,Element_Stiffness!S97,IF(1=Element_Stiffness!$E$75,Element_Stiffness!Y97,0)),IF(Element_Stiffness!$E$75=2,IF(1=Element_Stiffness!$C$75,Element_Stiffness!S103,IF(1=Element_Stiffness!$E$75,Element_Stiffness!Y103,0)),0)),0)+IF(Element_Stiffness!$C$111,IF(Element_Stiffness!$C$110=2,IF(1=Element_Stiffness!$C$110,Element_Stiffness!S132,IF(1=Element_Stiffness!$E$110,Element_Stiffness!Y132,0)),IF(Element_Stiffness!$E$110=2,IF(1=Element_Stiffness!$C$110,Element_Stiffness!S138,IF(1=Element_Stiffness!$E$110,Element_Stiffness!Y138,0)),0)),0)+IF(Element_Stiffness!$C$146,IF(Element_Stiffness!$C$145=2,IF(1=Element_Stiffness!$C$145,Element_Stiffness!S167,IF(1=Element_Stiffness!$E$145,Element_Stiffness!Y167,0)),IF(Element_Stiffness!$E$145=2,IF(1=Element_Stiffness!$C$145,Element_Stiffness!S173,IF(1=Element_Stiffness!$E$145,Element_Stiffness!Y173,0)),0)),0)+IF(Element_Stiffness!$C$181,IF(Element_Stiffness!$C$180=2,IF(1=Element_Stiffness!$C$180,Element_Stiffness!S202,IF(1=Element_Stiffness!$E$180,Element_Stiffness!Y202,0)),IF(Element_Stiffness!$E$180=2,IF(1=Element_Stiffness!$C$180,Element_Stiffness!S208,IF(1=Element_Stiffness!$E$180,Element_Stiffness!Y208,0)),0)),0)+IF(Element_Stiffness!$C$216,IF(Element_Stiffness!$C$215=2,IF(1=Element_Stiffness!$C$215,Element_Stiffness!S237,IF(1=Element_Stiffness!$E$215,Element_Stiffness!Y237,0)),IF(Element_Stiffness!$E$215=2,IF(1=Element_Stiffness!$C$215,Element_Stiffness!S243,IF(1=Element_Stiffness!$E$215,Element_Stiffness!Y243,0)),0)),0)</f>
        <v/>
      </c>
      <c r="M18" s="21">
        <f>IF(Element_Stiffness!$C$6,IF(Element_Stiffness!$C$5=2,IF(1=Element_Stiffness!$C$5,Element_Stiffness!T27,IF(1=Element_Stiffness!$E$5,Element_Stiffness!Z27,0)),IF(Element_Stiffness!$E$5=2,IF(1=Element_Stiffness!$C$5,Element_Stiffness!T33,IF(1=Element_Stiffness!$E$5,Element_Stiffness!Z33,0)),0)),0)+IF(Element_Stiffness!$C$41,IF(Element_Stiffness!$C$40=2,IF(1=Element_Stiffness!$C$40,Element_Stiffness!T62,IF(1=Element_Stiffness!$E$40,Element_Stiffness!Z62,0)),IF(Element_Stiffness!$E$40=2,IF(1=Element_Stiffness!$C$40,Element_Stiffness!T68,IF(1=Element_Stiffness!$E$40,Element_Stiffness!Z68,0)),0)),0)+IF(Element_Stiffness!$C$76,IF(Element_Stiffness!$C$75=2,IF(1=Element_Stiffness!$C$75,Element_Stiffness!T97,IF(1=Element_Stiffness!$E$75,Element_Stiffness!Z97,0)),IF(Element_Stiffness!$E$75=2,IF(1=Element_Stiffness!$C$75,Element_Stiffness!T103,IF(1=Element_Stiffness!$E$75,Element_Stiffness!Z103,0)),0)),0)+IF(Element_Stiffness!$C$111,IF(Element_Stiffness!$C$110=2,IF(1=Element_Stiffness!$C$110,Element_Stiffness!T132,IF(1=Element_Stiffness!$E$110,Element_Stiffness!Z132,0)),IF(Element_Stiffness!$E$110=2,IF(1=Element_Stiffness!$C$110,Element_Stiffness!T138,IF(1=Element_Stiffness!$E$110,Element_Stiffness!Z138,0)),0)),0)+IF(Element_Stiffness!$C$146,IF(Element_Stiffness!$C$145=2,IF(1=Element_Stiffness!$C$145,Element_Stiffness!T167,IF(1=Element_Stiffness!$E$145,Element_Stiffness!Z167,0)),IF(Element_Stiffness!$E$145=2,IF(1=Element_Stiffness!$C$145,Element_Stiffness!T173,IF(1=Element_Stiffness!$E$145,Element_Stiffness!Z173,0)),0)),0)+IF(Element_Stiffness!$C$181,IF(Element_Stiffness!$C$180=2,IF(1=Element_Stiffness!$C$180,Element_Stiffness!T202,IF(1=Element_Stiffness!$E$180,Element_Stiffness!Z202,0)),IF(Element_Stiffness!$E$180=2,IF(1=Element_Stiffness!$C$180,Element_Stiffness!T208,IF(1=Element_Stiffness!$E$180,Element_Stiffness!Z208,0)),0)),0)+IF(Element_Stiffness!$C$216,IF(Element_Stiffness!$C$215=2,IF(1=Element_Stiffness!$C$215,Element_Stiffness!T237,IF(1=Element_Stiffness!$E$215,Element_Stiffness!Z237,0)),IF(Element_Stiffness!$E$215=2,IF(1=Element_Stiffness!$C$215,Element_Stiffness!T243,IF(1=Element_Stiffness!$E$215,Element_Stiffness!Z243,0)),0)),0)</f>
        <v/>
      </c>
      <c r="N18" s="21">
        <f>IF(Element_Stiffness!$C$6,IF(Element_Stiffness!$C$5=2,IF(1=Element_Stiffness!$C$5,Element_Stiffness!U27,IF(1=Element_Stiffness!$E$5,Element_Stiffness!AA27,0)),IF(Element_Stiffness!$E$5=2,IF(1=Element_Stiffness!$C$5,Element_Stiffness!U33,IF(1=Element_Stiffness!$E$5,Element_Stiffness!AA33,0)),0)),0)+IF(Element_Stiffness!$C$41,IF(Element_Stiffness!$C$40=2,IF(1=Element_Stiffness!$C$40,Element_Stiffness!U62,IF(1=Element_Stiffness!$E$40,Element_Stiffness!AA62,0)),IF(Element_Stiffness!$E$40=2,IF(1=Element_Stiffness!$C$40,Element_Stiffness!U68,IF(1=Element_Stiffness!$E$40,Element_Stiffness!AA68,0)),0)),0)+IF(Element_Stiffness!$C$76,IF(Element_Stiffness!$C$75=2,IF(1=Element_Stiffness!$C$75,Element_Stiffness!U97,IF(1=Element_Stiffness!$E$75,Element_Stiffness!AA97,0)),IF(Element_Stiffness!$E$75=2,IF(1=Element_Stiffness!$C$75,Element_Stiffness!U103,IF(1=Element_Stiffness!$E$75,Element_Stiffness!AA103,0)),0)),0)+IF(Element_Stiffness!$C$111,IF(Element_Stiffness!$C$110=2,IF(1=Element_Stiffness!$C$110,Element_Stiffness!U132,IF(1=Element_Stiffness!$E$110,Element_Stiffness!AA132,0)),IF(Element_Stiffness!$E$110=2,IF(1=Element_Stiffness!$C$110,Element_Stiffness!U138,IF(1=Element_Stiffness!$E$110,Element_Stiffness!AA138,0)),0)),0)+IF(Element_Stiffness!$C$146,IF(Element_Stiffness!$C$145=2,IF(1=Element_Stiffness!$C$145,Element_Stiffness!U167,IF(1=Element_Stiffness!$E$145,Element_Stiffness!AA167,0)),IF(Element_Stiffness!$E$145=2,IF(1=Element_Stiffness!$C$145,Element_Stiffness!U173,IF(1=Element_Stiffness!$E$145,Element_Stiffness!AA173,0)),0)),0)+IF(Element_Stiffness!$C$181,IF(Element_Stiffness!$C$180=2,IF(1=Element_Stiffness!$C$180,Element_Stiffness!U202,IF(1=Element_Stiffness!$E$180,Element_Stiffness!AA202,0)),IF(Element_Stiffness!$E$180=2,IF(1=Element_Stiffness!$C$180,Element_Stiffness!U208,IF(1=Element_Stiffness!$E$180,Element_Stiffness!AA208,0)),0)),0)+IF(Element_Stiffness!$C$216,IF(Element_Stiffness!$C$215=2,IF(1=Element_Stiffness!$C$215,Element_Stiffness!U237,IF(1=Element_Stiffness!$E$215,Element_Stiffness!AA237,0)),IF(Element_Stiffness!$E$215=2,IF(1=Element_Stiffness!$C$215,Element_Stiffness!U243,IF(1=Element_Stiffness!$E$215,Element_Stiffness!AA243,0)),0)),0)</f>
        <v/>
      </c>
      <c r="O18" s="21">
        <f>IF(Element_Stiffness!$C$6,IF(Element_Stiffness!$C$5=2,IF(2=Element_Stiffness!$C$5,Element_Stiffness!P27,IF(2=Element_Stiffness!$E$5,Element_Stiffness!V27,0)),IF(Element_Stiffness!$E$5=2,IF(2=Element_Stiffness!$C$5,Element_Stiffness!P33,IF(2=Element_Stiffness!$E$5,Element_Stiffness!V33,0)),0)),0)+IF(Element_Stiffness!$C$41,IF(Element_Stiffness!$C$40=2,IF(2=Element_Stiffness!$C$40,Element_Stiffness!P62,IF(2=Element_Stiffness!$E$40,Element_Stiffness!V62,0)),IF(Element_Stiffness!$E$40=2,IF(2=Element_Stiffness!$C$40,Element_Stiffness!P68,IF(2=Element_Stiffness!$E$40,Element_Stiffness!V68,0)),0)),0)+IF(Element_Stiffness!$C$76,IF(Element_Stiffness!$C$75=2,IF(2=Element_Stiffness!$C$75,Element_Stiffness!P97,IF(2=Element_Stiffness!$E$75,Element_Stiffness!V97,0)),IF(Element_Stiffness!$E$75=2,IF(2=Element_Stiffness!$C$75,Element_Stiffness!P103,IF(2=Element_Stiffness!$E$75,Element_Stiffness!V103,0)),0)),0)+IF(Element_Stiffness!$C$111,IF(Element_Stiffness!$C$110=2,IF(2=Element_Stiffness!$C$110,Element_Stiffness!P132,IF(2=Element_Stiffness!$E$110,Element_Stiffness!V132,0)),IF(Element_Stiffness!$E$110=2,IF(2=Element_Stiffness!$C$110,Element_Stiffness!P138,IF(2=Element_Stiffness!$E$110,Element_Stiffness!V138,0)),0)),0)+IF(Element_Stiffness!$C$146,IF(Element_Stiffness!$C$145=2,IF(2=Element_Stiffness!$C$145,Element_Stiffness!P167,IF(2=Element_Stiffness!$E$145,Element_Stiffness!V167,0)),IF(Element_Stiffness!$E$145=2,IF(2=Element_Stiffness!$C$145,Element_Stiffness!P173,IF(2=Element_Stiffness!$E$145,Element_Stiffness!V173,0)),0)),0)+IF(Element_Stiffness!$C$181,IF(Element_Stiffness!$C$180=2,IF(2=Element_Stiffness!$C$180,Element_Stiffness!P202,IF(2=Element_Stiffness!$E$180,Element_Stiffness!V202,0)),IF(Element_Stiffness!$E$180=2,IF(2=Element_Stiffness!$C$180,Element_Stiffness!P208,IF(2=Element_Stiffness!$E$180,Element_Stiffness!V208,0)),0)),0)+IF(Element_Stiffness!$C$216,IF(Element_Stiffness!$C$215=2,IF(2=Element_Stiffness!$C$215,Element_Stiffness!P237,IF(2=Element_Stiffness!$E$215,Element_Stiffness!V237,0)),IF(Element_Stiffness!$E$215=2,IF(2=Element_Stiffness!$C$215,Element_Stiffness!P243,IF(2=Element_Stiffness!$E$215,Element_Stiffness!V243,0)),0)),0)</f>
        <v/>
      </c>
      <c r="P18" s="21">
        <f>IF(Element_Stiffness!$C$6,IF(Element_Stiffness!$C$5=2,IF(2=Element_Stiffness!$C$5,Element_Stiffness!Q27,IF(2=Element_Stiffness!$E$5,Element_Stiffness!W27,0)),IF(Element_Stiffness!$E$5=2,IF(2=Element_Stiffness!$C$5,Element_Stiffness!Q33,IF(2=Element_Stiffness!$E$5,Element_Stiffness!W33,0)),0)),0)+IF(Element_Stiffness!$C$41,IF(Element_Stiffness!$C$40=2,IF(2=Element_Stiffness!$C$40,Element_Stiffness!Q62,IF(2=Element_Stiffness!$E$40,Element_Stiffness!W62,0)),IF(Element_Stiffness!$E$40=2,IF(2=Element_Stiffness!$C$40,Element_Stiffness!Q68,IF(2=Element_Stiffness!$E$40,Element_Stiffness!W68,0)),0)),0)+IF(Element_Stiffness!$C$76,IF(Element_Stiffness!$C$75=2,IF(2=Element_Stiffness!$C$75,Element_Stiffness!Q97,IF(2=Element_Stiffness!$E$75,Element_Stiffness!W97,0)),IF(Element_Stiffness!$E$75=2,IF(2=Element_Stiffness!$C$75,Element_Stiffness!Q103,IF(2=Element_Stiffness!$E$75,Element_Stiffness!W103,0)),0)),0)+IF(Element_Stiffness!$C$111,IF(Element_Stiffness!$C$110=2,IF(2=Element_Stiffness!$C$110,Element_Stiffness!Q132,IF(2=Element_Stiffness!$E$110,Element_Stiffness!W132,0)),IF(Element_Stiffness!$E$110=2,IF(2=Element_Stiffness!$C$110,Element_Stiffness!Q138,IF(2=Element_Stiffness!$E$110,Element_Stiffness!W138,0)),0)),0)+IF(Element_Stiffness!$C$146,IF(Element_Stiffness!$C$145=2,IF(2=Element_Stiffness!$C$145,Element_Stiffness!Q167,IF(2=Element_Stiffness!$E$145,Element_Stiffness!W167,0)),IF(Element_Stiffness!$E$145=2,IF(2=Element_Stiffness!$C$145,Element_Stiffness!Q173,IF(2=Element_Stiffness!$E$145,Element_Stiffness!W173,0)),0)),0)+IF(Element_Stiffness!$C$181,IF(Element_Stiffness!$C$180=2,IF(2=Element_Stiffness!$C$180,Element_Stiffness!Q202,IF(2=Element_Stiffness!$E$180,Element_Stiffness!W202,0)),IF(Element_Stiffness!$E$180=2,IF(2=Element_Stiffness!$C$180,Element_Stiffness!Q208,IF(2=Element_Stiffness!$E$180,Element_Stiffness!W208,0)),0)),0)+IF(Element_Stiffness!$C$216,IF(Element_Stiffness!$C$215=2,IF(2=Element_Stiffness!$C$215,Element_Stiffness!Q237,IF(2=Element_Stiffness!$E$215,Element_Stiffness!W237,0)),IF(Element_Stiffness!$E$215=2,IF(2=Element_Stiffness!$C$215,Element_Stiffness!Q243,IF(2=Element_Stiffness!$E$215,Element_Stiffness!W243,0)),0)),0)+IF(Inputs!D42=TRUE,1E15,IF(ISNUMBER(Inputs!D42),Inputs!D42,0))</f>
        <v/>
      </c>
      <c r="Q18" s="21">
        <f>IF(Element_Stiffness!$C$6,IF(Element_Stiffness!$C$5=2,IF(2=Element_Stiffness!$C$5,Element_Stiffness!R27,IF(2=Element_Stiffness!$E$5,Element_Stiffness!X27,0)),IF(Element_Stiffness!$E$5=2,IF(2=Element_Stiffness!$C$5,Element_Stiffness!R33,IF(2=Element_Stiffness!$E$5,Element_Stiffness!X33,0)),0)),0)+IF(Element_Stiffness!$C$41,IF(Element_Stiffness!$C$40=2,IF(2=Element_Stiffness!$C$40,Element_Stiffness!R62,IF(2=Element_Stiffness!$E$40,Element_Stiffness!X62,0)),IF(Element_Stiffness!$E$40=2,IF(2=Element_Stiffness!$C$40,Element_Stiffness!R68,IF(2=Element_Stiffness!$E$40,Element_Stiffness!X68,0)),0)),0)+IF(Element_Stiffness!$C$76,IF(Element_Stiffness!$C$75=2,IF(2=Element_Stiffness!$C$75,Element_Stiffness!R97,IF(2=Element_Stiffness!$E$75,Element_Stiffness!X97,0)),IF(Element_Stiffness!$E$75=2,IF(2=Element_Stiffness!$C$75,Element_Stiffness!R103,IF(2=Element_Stiffness!$E$75,Element_Stiffness!X103,0)),0)),0)+IF(Element_Stiffness!$C$111,IF(Element_Stiffness!$C$110=2,IF(2=Element_Stiffness!$C$110,Element_Stiffness!R132,IF(2=Element_Stiffness!$E$110,Element_Stiffness!X132,0)),IF(Element_Stiffness!$E$110=2,IF(2=Element_Stiffness!$C$110,Element_Stiffness!R138,IF(2=Element_Stiffness!$E$110,Element_Stiffness!X138,0)),0)),0)+IF(Element_Stiffness!$C$146,IF(Element_Stiffness!$C$145=2,IF(2=Element_Stiffness!$C$145,Element_Stiffness!R167,IF(2=Element_Stiffness!$E$145,Element_Stiffness!X167,0)),IF(Element_Stiffness!$E$145=2,IF(2=Element_Stiffness!$C$145,Element_Stiffness!R173,IF(2=Element_Stiffness!$E$145,Element_Stiffness!X173,0)),0)),0)+IF(Element_Stiffness!$C$181,IF(Element_Stiffness!$C$180=2,IF(2=Element_Stiffness!$C$180,Element_Stiffness!R202,IF(2=Element_Stiffness!$E$180,Element_Stiffness!X202,0)),IF(Element_Stiffness!$E$180=2,IF(2=Element_Stiffness!$C$180,Element_Stiffness!R208,IF(2=Element_Stiffness!$E$180,Element_Stiffness!X208,0)),0)),0)+IF(Element_Stiffness!$C$216,IF(Element_Stiffness!$C$215=2,IF(2=Element_Stiffness!$C$215,Element_Stiffness!R237,IF(2=Element_Stiffness!$E$215,Element_Stiffness!X237,0)),IF(Element_Stiffness!$E$215=2,IF(2=Element_Stiffness!$C$215,Element_Stiffness!R243,IF(2=Element_Stiffness!$E$215,Element_Stiffness!X243,0)),0)),0)</f>
        <v/>
      </c>
      <c r="R18" s="21">
        <f>IF(Element_Stiffness!$C$6,IF(Element_Stiffness!$C$5=2,IF(2=Element_Stiffness!$C$5,Element_Stiffness!S27,IF(2=Element_Stiffness!$E$5,Element_Stiffness!Y27,0)),IF(Element_Stiffness!$E$5=2,IF(2=Element_Stiffness!$C$5,Element_Stiffness!S33,IF(2=Element_Stiffness!$E$5,Element_Stiffness!Y33,0)),0)),0)+IF(Element_Stiffness!$C$41,IF(Element_Stiffness!$C$40=2,IF(2=Element_Stiffness!$C$40,Element_Stiffness!S62,IF(2=Element_Stiffness!$E$40,Element_Stiffness!Y62,0)),IF(Element_Stiffness!$E$40=2,IF(2=Element_Stiffness!$C$40,Element_Stiffness!S68,IF(2=Element_Stiffness!$E$40,Element_Stiffness!Y68,0)),0)),0)+IF(Element_Stiffness!$C$76,IF(Element_Stiffness!$C$75=2,IF(2=Element_Stiffness!$C$75,Element_Stiffness!S97,IF(2=Element_Stiffness!$E$75,Element_Stiffness!Y97,0)),IF(Element_Stiffness!$E$75=2,IF(2=Element_Stiffness!$C$75,Element_Stiffness!S103,IF(2=Element_Stiffness!$E$75,Element_Stiffness!Y103,0)),0)),0)+IF(Element_Stiffness!$C$111,IF(Element_Stiffness!$C$110=2,IF(2=Element_Stiffness!$C$110,Element_Stiffness!S132,IF(2=Element_Stiffness!$E$110,Element_Stiffness!Y132,0)),IF(Element_Stiffness!$E$110=2,IF(2=Element_Stiffness!$C$110,Element_Stiffness!S138,IF(2=Element_Stiffness!$E$110,Element_Stiffness!Y138,0)),0)),0)+IF(Element_Stiffness!$C$146,IF(Element_Stiffness!$C$145=2,IF(2=Element_Stiffness!$C$145,Element_Stiffness!S167,IF(2=Element_Stiffness!$E$145,Element_Stiffness!Y167,0)),IF(Element_Stiffness!$E$145=2,IF(2=Element_Stiffness!$C$145,Element_Stiffness!S173,IF(2=Element_Stiffness!$E$145,Element_Stiffness!Y173,0)),0)),0)+IF(Element_Stiffness!$C$181,IF(Element_Stiffness!$C$180=2,IF(2=Element_Stiffness!$C$180,Element_Stiffness!S202,IF(2=Element_Stiffness!$E$180,Element_Stiffness!Y202,0)),IF(Element_Stiffness!$E$180=2,IF(2=Element_Stiffness!$C$180,Element_Stiffness!S208,IF(2=Element_Stiffness!$E$180,Element_Stiffness!Y208,0)),0)),0)+IF(Element_Stiffness!$C$216,IF(Element_Stiffness!$C$215=2,IF(2=Element_Stiffness!$C$215,Element_Stiffness!S237,IF(2=Element_Stiffness!$E$215,Element_Stiffness!Y237,0)),IF(Element_Stiffness!$E$215=2,IF(2=Element_Stiffness!$C$215,Element_Stiffness!S243,IF(2=Element_Stiffness!$E$215,Element_Stiffness!Y243,0)),0)),0)</f>
        <v/>
      </c>
      <c r="S18" s="21">
        <f>IF(Element_Stiffness!$C$6,IF(Element_Stiffness!$C$5=2,IF(2=Element_Stiffness!$C$5,Element_Stiffness!T27,IF(2=Element_Stiffness!$E$5,Element_Stiffness!Z27,0)),IF(Element_Stiffness!$E$5=2,IF(2=Element_Stiffness!$C$5,Element_Stiffness!T33,IF(2=Element_Stiffness!$E$5,Element_Stiffness!Z33,0)),0)),0)+IF(Element_Stiffness!$C$41,IF(Element_Stiffness!$C$40=2,IF(2=Element_Stiffness!$C$40,Element_Stiffness!T62,IF(2=Element_Stiffness!$E$40,Element_Stiffness!Z62,0)),IF(Element_Stiffness!$E$40=2,IF(2=Element_Stiffness!$C$40,Element_Stiffness!T68,IF(2=Element_Stiffness!$E$40,Element_Stiffness!Z68,0)),0)),0)+IF(Element_Stiffness!$C$76,IF(Element_Stiffness!$C$75=2,IF(2=Element_Stiffness!$C$75,Element_Stiffness!T97,IF(2=Element_Stiffness!$E$75,Element_Stiffness!Z97,0)),IF(Element_Stiffness!$E$75=2,IF(2=Element_Stiffness!$C$75,Element_Stiffness!T103,IF(2=Element_Stiffness!$E$75,Element_Stiffness!Z103,0)),0)),0)+IF(Element_Stiffness!$C$111,IF(Element_Stiffness!$C$110=2,IF(2=Element_Stiffness!$C$110,Element_Stiffness!T132,IF(2=Element_Stiffness!$E$110,Element_Stiffness!Z132,0)),IF(Element_Stiffness!$E$110=2,IF(2=Element_Stiffness!$C$110,Element_Stiffness!T138,IF(2=Element_Stiffness!$E$110,Element_Stiffness!Z138,0)),0)),0)+IF(Element_Stiffness!$C$146,IF(Element_Stiffness!$C$145=2,IF(2=Element_Stiffness!$C$145,Element_Stiffness!T167,IF(2=Element_Stiffness!$E$145,Element_Stiffness!Z167,0)),IF(Element_Stiffness!$E$145=2,IF(2=Element_Stiffness!$C$145,Element_Stiffness!T173,IF(2=Element_Stiffness!$E$145,Element_Stiffness!Z173,0)),0)),0)+IF(Element_Stiffness!$C$181,IF(Element_Stiffness!$C$180=2,IF(2=Element_Stiffness!$C$180,Element_Stiffness!T202,IF(2=Element_Stiffness!$E$180,Element_Stiffness!Z202,0)),IF(Element_Stiffness!$E$180=2,IF(2=Element_Stiffness!$C$180,Element_Stiffness!T208,IF(2=Element_Stiffness!$E$180,Element_Stiffness!Z208,0)),0)),0)+IF(Element_Stiffness!$C$216,IF(Element_Stiffness!$C$215=2,IF(2=Element_Stiffness!$C$215,Element_Stiffness!T237,IF(2=Element_Stiffness!$E$215,Element_Stiffness!Z237,0)),IF(Element_Stiffness!$E$215=2,IF(2=Element_Stiffness!$C$215,Element_Stiffness!T243,IF(2=Element_Stiffness!$E$215,Element_Stiffness!Z243,0)),0)),0)</f>
        <v/>
      </c>
      <c r="T18" s="21">
        <f>IF(Element_Stiffness!$C$6,IF(Element_Stiffness!$C$5=2,IF(2=Element_Stiffness!$C$5,Element_Stiffness!U27,IF(2=Element_Stiffness!$E$5,Element_Stiffness!AA27,0)),IF(Element_Stiffness!$E$5=2,IF(2=Element_Stiffness!$C$5,Element_Stiffness!U33,IF(2=Element_Stiffness!$E$5,Element_Stiffness!AA33,0)),0)),0)+IF(Element_Stiffness!$C$41,IF(Element_Stiffness!$C$40=2,IF(2=Element_Stiffness!$C$40,Element_Stiffness!U62,IF(2=Element_Stiffness!$E$40,Element_Stiffness!AA62,0)),IF(Element_Stiffness!$E$40=2,IF(2=Element_Stiffness!$C$40,Element_Stiffness!U68,IF(2=Element_Stiffness!$E$40,Element_Stiffness!AA68,0)),0)),0)+IF(Element_Stiffness!$C$76,IF(Element_Stiffness!$C$75=2,IF(2=Element_Stiffness!$C$75,Element_Stiffness!U97,IF(2=Element_Stiffness!$E$75,Element_Stiffness!AA97,0)),IF(Element_Stiffness!$E$75=2,IF(2=Element_Stiffness!$C$75,Element_Stiffness!U103,IF(2=Element_Stiffness!$E$75,Element_Stiffness!AA103,0)),0)),0)+IF(Element_Stiffness!$C$111,IF(Element_Stiffness!$C$110=2,IF(2=Element_Stiffness!$C$110,Element_Stiffness!U132,IF(2=Element_Stiffness!$E$110,Element_Stiffness!AA132,0)),IF(Element_Stiffness!$E$110=2,IF(2=Element_Stiffness!$C$110,Element_Stiffness!U138,IF(2=Element_Stiffness!$E$110,Element_Stiffness!AA138,0)),0)),0)+IF(Element_Stiffness!$C$146,IF(Element_Stiffness!$C$145=2,IF(2=Element_Stiffness!$C$145,Element_Stiffness!U167,IF(2=Element_Stiffness!$E$145,Element_Stiffness!AA167,0)),IF(Element_Stiffness!$E$145=2,IF(2=Element_Stiffness!$C$145,Element_Stiffness!U173,IF(2=Element_Stiffness!$E$145,Element_Stiffness!AA173,0)),0)),0)+IF(Element_Stiffness!$C$181,IF(Element_Stiffness!$C$180=2,IF(2=Element_Stiffness!$C$180,Element_Stiffness!U202,IF(2=Element_Stiffness!$E$180,Element_Stiffness!AA202,0)),IF(Element_Stiffness!$E$180=2,IF(2=Element_Stiffness!$C$180,Element_Stiffness!U208,IF(2=Element_Stiffness!$E$180,Element_Stiffness!AA208,0)),0)),0)+IF(Element_Stiffness!$C$216,IF(Element_Stiffness!$C$215=2,IF(2=Element_Stiffness!$C$215,Element_Stiffness!U237,IF(2=Element_Stiffness!$E$215,Element_Stiffness!AA237,0)),IF(Element_Stiffness!$E$215=2,IF(2=Element_Stiffness!$C$215,Element_Stiffness!U243,IF(2=Element_Stiffness!$E$215,Element_Stiffness!AA243,0)),0)),0)</f>
        <v/>
      </c>
      <c r="U18" s="21">
        <f>IF(Element_Stiffness!$C$6,IF(Element_Stiffness!$C$5=2,IF(3=Element_Stiffness!$C$5,Element_Stiffness!P27,IF(3=Element_Stiffness!$E$5,Element_Stiffness!V27,0)),IF(Element_Stiffness!$E$5=2,IF(3=Element_Stiffness!$C$5,Element_Stiffness!P33,IF(3=Element_Stiffness!$E$5,Element_Stiffness!V33,0)),0)),0)+IF(Element_Stiffness!$C$41,IF(Element_Stiffness!$C$40=2,IF(3=Element_Stiffness!$C$40,Element_Stiffness!P62,IF(3=Element_Stiffness!$E$40,Element_Stiffness!V62,0)),IF(Element_Stiffness!$E$40=2,IF(3=Element_Stiffness!$C$40,Element_Stiffness!P68,IF(3=Element_Stiffness!$E$40,Element_Stiffness!V68,0)),0)),0)+IF(Element_Stiffness!$C$76,IF(Element_Stiffness!$C$75=2,IF(3=Element_Stiffness!$C$75,Element_Stiffness!P97,IF(3=Element_Stiffness!$E$75,Element_Stiffness!V97,0)),IF(Element_Stiffness!$E$75=2,IF(3=Element_Stiffness!$C$75,Element_Stiffness!P103,IF(3=Element_Stiffness!$E$75,Element_Stiffness!V103,0)),0)),0)+IF(Element_Stiffness!$C$111,IF(Element_Stiffness!$C$110=2,IF(3=Element_Stiffness!$C$110,Element_Stiffness!P132,IF(3=Element_Stiffness!$E$110,Element_Stiffness!V132,0)),IF(Element_Stiffness!$E$110=2,IF(3=Element_Stiffness!$C$110,Element_Stiffness!P138,IF(3=Element_Stiffness!$E$110,Element_Stiffness!V138,0)),0)),0)+IF(Element_Stiffness!$C$146,IF(Element_Stiffness!$C$145=2,IF(3=Element_Stiffness!$C$145,Element_Stiffness!P167,IF(3=Element_Stiffness!$E$145,Element_Stiffness!V167,0)),IF(Element_Stiffness!$E$145=2,IF(3=Element_Stiffness!$C$145,Element_Stiffness!P173,IF(3=Element_Stiffness!$E$145,Element_Stiffness!V173,0)),0)),0)+IF(Element_Stiffness!$C$181,IF(Element_Stiffness!$C$180=2,IF(3=Element_Stiffness!$C$180,Element_Stiffness!P202,IF(3=Element_Stiffness!$E$180,Element_Stiffness!V202,0)),IF(Element_Stiffness!$E$180=2,IF(3=Element_Stiffness!$C$180,Element_Stiffness!P208,IF(3=Element_Stiffness!$E$180,Element_Stiffness!V208,0)),0)),0)+IF(Element_Stiffness!$C$216,IF(Element_Stiffness!$C$215=2,IF(3=Element_Stiffness!$C$215,Element_Stiffness!P237,IF(3=Element_Stiffness!$E$215,Element_Stiffness!V237,0)),IF(Element_Stiffness!$E$215=2,IF(3=Element_Stiffness!$C$215,Element_Stiffness!P243,IF(3=Element_Stiffness!$E$215,Element_Stiffness!V243,0)),0)),0)</f>
        <v/>
      </c>
      <c r="V18" s="21">
        <f>IF(Element_Stiffness!$C$6,IF(Element_Stiffness!$C$5=2,IF(3=Element_Stiffness!$C$5,Element_Stiffness!Q27,IF(3=Element_Stiffness!$E$5,Element_Stiffness!W27,0)),IF(Element_Stiffness!$E$5=2,IF(3=Element_Stiffness!$C$5,Element_Stiffness!Q33,IF(3=Element_Stiffness!$E$5,Element_Stiffness!W33,0)),0)),0)+IF(Element_Stiffness!$C$41,IF(Element_Stiffness!$C$40=2,IF(3=Element_Stiffness!$C$40,Element_Stiffness!Q62,IF(3=Element_Stiffness!$E$40,Element_Stiffness!W62,0)),IF(Element_Stiffness!$E$40=2,IF(3=Element_Stiffness!$C$40,Element_Stiffness!Q68,IF(3=Element_Stiffness!$E$40,Element_Stiffness!W68,0)),0)),0)+IF(Element_Stiffness!$C$76,IF(Element_Stiffness!$C$75=2,IF(3=Element_Stiffness!$C$75,Element_Stiffness!Q97,IF(3=Element_Stiffness!$E$75,Element_Stiffness!W97,0)),IF(Element_Stiffness!$E$75=2,IF(3=Element_Stiffness!$C$75,Element_Stiffness!Q103,IF(3=Element_Stiffness!$E$75,Element_Stiffness!W103,0)),0)),0)+IF(Element_Stiffness!$C$111,IF(Element_Stiffness!$C$110=2,IF(3=Element_Stiffness!$C$110,Element_Stiffness!Q132,IF(3=Element_Stiffness!$E$110,Element_Stiffness!W132,0)),IF(Element_Stiffness!$E$110=2,IF(3=Element_Stiffness!$C$110,Element_Stiffness!Q138,IF(3=Element_Stiffness!$E$110,Element_Stiffness!W138,0)),0)),0)+IF(Element_Stiffness!$C$146,IF(Element_Stiffness!$C$145=2,IF(3=Element_Stiffness!$C$145,Element_Stiffness!Q167,IF(3=Element_Stiffness!$E$145,Element_Stiffness!W167,0)),IF(Element_Stiffness!$E$145=2,IF(3=Element_Stiffness!$C$145,Element_Stiffness!Q173,IF(3=Element_Stiffness!$E$145,Element_Stiffness!W173,0)),0)),0)+IF(Element_Stiffness!$C$181,IF(Element_Stiffness!$C$180=2,IF(3=Element_Stiffness!$C$180,Element_Stiffness!Q202,IF(3=Element_Stiffness!$E$180,Element_Stiffness!W202,0)),IF(Element_Stiffness!$E$180=2,IF(3=Element_Stiffness!$C$180,Element_Stiffness!Q208,IF(3=Element_Stiffness!$E$180,Element_Stiffness!W208,0)),0)),0)+IF(Element_Stiffness!$C$216,IF(Element_Stiffness!$C$215=2,IF(3=Element_Stiffness!$C$215,Element_Stiffness!Q237,IF(3=Element_Stiffness!$E$215,Element_Stiffness!W237,0)),IF(Element_Stiffness!$E$215=2,IF(3=Element_Stiffness!$C$215,Element_Stiffness!Q243,IF(3=Element_Stiffness!$E$215,Element_Stiffness!W243,0)),0)),0)</f>
        <v/>
      </c>
      <c r="W18" s="21">
        <f>IF(Element_Stiffness!$C$6,IF(Element_Stiffness!$C$5=2,IF(3=Element_Stiffness!$C$5,Element_Stiffness!R27,IF(3=Element_Stiffness!$E$5,Element_Stiffness!X27,0)),IF(Element_Stiffness!$E$5=2,IF(3=Element_Stiffness!$C$5,Element_Stiffness!R33,IF(3=Element_Stiffness!$E$5,Element_Stiffness!X33,0)),0)),0)+IF(Element_Stiffness!$C$41,IF(Element_Stiffness!$C$40=2,IF(3=Element_Stiffness!$C$40,Element_Stiffness!R62,IF(3=Element_Stiffness!$E$40,Element_Stiffness!X62,0)),IF(Element_Stiffness!$E$40=2,IF(3=Element_Stiffness!$C$40,Element_Stiffness!R68,IF(3=Element_Stiffness!$E$40,Element_Stiffness!X68,0)),0)),0)+IF(Element_Stiffness!$C$76,IF(Element_Stiffness!$C$75=2,IF(3=Element_Stiffness!$C$75,Element_Stiffness!R97,IF(3=Element_Stiffness!$E$75,Element_Stiffness!X97,0)),IF(Element_Stiffness!$E$75=2,IF(3=Element_Stiffness!$C$75,Element_Stiffness!R103,IF(3=Element_Stiffness!$E$75,Element_Stiffness!X103,0)),0)),0)+IF(Element_Stiffness!$C$111,IF(Element_Stiffness!$C$110=2,IF(3=Element_Stiffness!$C$110,Element_Stiffness!R132,IF(3=Element_Stiffness!$E$110,Element_Stiffness!X132,0)),IF(Element_Stiffness!$E$110=2,IF(3=Element_Stiffness!$C$110,Element_Stiffness!R138,IF(3=Element_Stiffness!$E$110,Element_Stiffness!X138,0)),0)),0)+IF(Element_Stiffness!$C$146,IF(Element_Stiffness!$C$145=2,IF(3=Element_Stiffness!$C$145,Element_Stiffness!R167,IF(3=Element_Stiffness!$E$145,Element_Stiffness!X167,0)),IF(Element_Stiffness!$E$145=2,IF(3=Element_Stiffness!$C$145,Element_Stiffness!R173,IF(3=Element_Stiffness!$E$145,Element_Stiffness!X173,0)),0)),0)+IF(Element_Stiffness!$C$181,IF(Element_Stiffness!$C$180=2,IF(3=Element_Stiffness!$C$180,Element_Stiffness!R202,IF(3=Element_Stiffness!$E$180,Element_Stiffness!X202,0)),IF(Element_Stiffness!$E$180=2,IF(3=Element_Stiffness!$C$180,Element_Stiffness!R208,IF(3=Element_Stiffness!$E$180,Element_Stiffness!X208,0)),0)),0)+IF(Element_Stiffness!$C$216,IF(Element_Stiffness!$C$215=2,IF(3=Element_Stiffness!$C$215,Element_Stiffness!R237,IF(3=Element_Stiffness!$E$215,Element_Stiffness!X237,0)),IF(Element_Stiffness!$E$215=2,IF(3=Element_Stiffness!$C$215,Element_Stiffness!R243,IF(3=Element_Stiffness!$E$215,Element_Stiffness!X243,0)),0)),0)</f>
        <v/>
      </c>
      <c r="X18" s="21">
        <f>IF(Element_Stiffness!$C$6,IF(Element_Stiffness!$C$5=2,IF(3=Element_Stiffness!$C$5,Element_Stiffness!S27,IF(3=Element_Stiffness!$E$5,Element_Stiffness!Y27,0)),IF(Element_Stiffness!$E$5=2,IF(3=Element_Stiffness!$C$5,Element_Stiffness!S33,IF(3=Element_Stiffness!$E$5,Element_Stiffness!Y33,0)),0)),0)+IF(Element_Stiffness!$C$41,IF(Element_Stiffness!$C$40=2,IF(3=Element_Stiffness!$C$40,Element_Stiffness!S62,IF(3=Element_Stiffness!$E$40,Element_Stiffness!Y62,0)),IF(Element_Stiffness!$E$40=2,IF(3=Element_Stiffness!$C$40,Element_Stiffness!S68,IF(3=Element_Stiffness!$E$40,Element_Stiffness!Y68,0)),0)),0)+IF(Element_Stiffness!$C$76,IF(Element_Stiffness!$C$75=2,IF(3=Element_Stiffness!$C$75,Element_Stiffness!S97,IF(3=Element_Stiffness!$E$75,Element_Stiffness!Y97,0)),IF(Element_Stiffness!$E$75=2,IF(3=Element_Stiffness!$C$75,Element_Stiffness!S103,IF(3=Element_Stiffness!$E$75,Element_Stiffness!Y103,0)),0)),0)+IF(Element_Stiffness!$C$111,IF(Element_Stiffness!$C$110=2,IF(3=Element_Stiffness!$C$110,Element_Stiffness!S132,IF(3=Element_Stiffness!$E$110,Element_Stiffness!Y132,0)),IF(Element_Stiffness!$E$110=2,IF(3=Element_Stiffness!$C$110,Element_Stiffness!S138,IF(3=Element_Stiffness!$E$110,Element_Stiffness!Y138,0)),0)),0)+IF(Element_Stiffness!$C$146,IF(Element_Stiffness!$C$145=2,IF(3=Element_Stiffness!$C$145,Element_Stiffness!S167,IF(3=Element_Stiffness!$E$145,Element_Stiffness!Y167,0)),IF(Element_Stiffness!$E$145=2,IF(3=Element_Stiffness!$C$145,Element_Stiffness!S173,IF(3=Element_Stiffness!$E$145,Element_Stiffness!Y173,0)),0)),0)+IF(Element_Stiffness!$C$181,IF(Element_Stiffness!$C$180=2,IF(3=Element_Stiffness!$C$180,Element_Stiffness!S202,IF(3=Element_Stiffness!$E$180,Element_Stiffness!Y202,0)),IF(Element_Stiffness!$E$180=2,IF(3=Element_Stiffness!$C$180,Element_Stiffness!S208,IF(3=Element_Stiffness!$E$180,Element_Stiffness!Y208,0)),0)),0)+IF(Element_Stiffness!$C$216,IF(Element_Stiffness!$C$215=2,IF(3=Element_Stiffness!$C$215,Element_Stiffness!S237,IF(3=Element_Stiffness!$E$215,Element_Stiffness!Y237,0)),IF(Element_Stiffness!$E$215=2,IF(3=Element_Stiffness!$C$215,Element_Stiffness!S243,IF(3=Element_Stiffness!$E$215,Element_Stiffness!Y243,0)),0)),0)</f>
        <v/>
      </c>
      <c r="Y18" s="21">
        <f>IF(Element_Stiffness!$C$6,IF(Element_Stiffness!$C$5=2,IF(3=Element_Stiffness!$C$5,Element_Stiffness!T27,IF(3=Element_Stiffness!$E$5,Element_Stiffness!Z27,0)),IF(Element_Stiffness!$E$5=2,IF(3=Element_Stiffness!$C$5,Element_Stiffness!T33,IF(3=Element_Stiffness!$E$5,Element_Stiffness!Z33,0)),0)),0)+IF(Element_Stiffness!$C$41,IF(Element_Stiffness!$C$40=2,IF(3=Element_Stiffness!$C$40,Element_Stiffness!T62,IF(3=Element_Stiffness!$E$40,Element_Stiffness!Z62,0)),IF(Element_Stiffness!$E$40=2,IF(3=Element_Stiffness!$C$40,Element_Stiffness!T68,IF(3=Element_Stiffness!$E$40,Element_Stiffness!Z68,0)),0)),0)+IF(Element_Stiffness!$C$76,IF(Element_Stiffness!$C$75=2,IF(3=Element_Stiffness!$C$75,Element_Stiffness!T97,IF(3=Element_Stiffness!$E$75,Element_Stiffness!Z97,0)),IF(Element_Stiffness!$E$75=2,IF(3=Element_Stiffness!$C$75,Element_Stiffness!T103,IF(3=Element_Stiffness!$E$75,Element_Stiffness!Z103,0)),0)),0)+IF(Element_Stiffness!$C$111,IF(Element_Stiffness!$C$110=2,IF(3=Element_Stiffness!$C$110,Element_Stiffness!T132,IF(3=Element_Stiffness!$E$110,Element_Stiffness!Z132,0)),IF(Element_Stiffness!$E$110=2,IF(3=Element_Stiffness!$C$110,Element_Stiffness!T138,IF(3=Element_Stiffness!$E$110,Element_Stiffness!Z138,0)),0)),0)+IF(Element_Stiffness!$C$146,IF(Element_Stiffness!$C$145=2,IF(3=Element_Stiffness!$C$145,Element_Stiffness!T167,IF(3=Element_Stiffness!$E$145,Element_Stiffness!Z167,0)),IF(Element_Stiffness!$E$145=2,IF(3=Element_Stiffness!$C$145,Element_Stiffness!T173,IF(3=Element_Stiffness!$E$145,Element_Stiffness!Z173,0)),0)),0)+IF(Element_Stiffness!$C$181,IF(Element_Stiffness!$C$180=2,IF(3=Element_Stiffness!$C$180,Element_Stiffness!T202,IF(3=Element_Stiffness!$E$180,Element_Stiffness!Z202,0)),IF(Element_Stiffness!$E$180=2,IF(3=Element_Stiffness!$C$180,Element_Stiffness!T208,IF(3=Element_Stiffness!$E$180,Element_Stiffness!Z208,0)),0)),0)+IF(Element_Stiffness!$C$216,IF(Element_Stiffness!$C$215=2,IF(3=Element_Stiffness!$C$215,Element_Stiffness!T237,IF(3=Element_Stiffness!$E$215,Element_Stiffness!Z237,0)),IF(Element_Stiffness!$E$215=2,IF(3=Element_Stiffness!$C$215,Element_Stiffness!T243,IF(3=Element_Stiffness!$E$215,Element_Stiffness!Z243,0)),0)),0)</f>
        <v/>
      </c>
      <c r="Z18" s="21">
        <f>IF(Element_Stiffness!$C$6,IF(Element_Stiffness!$C$5=2,IF(3=Element_Stiffness!$C$5,Element_Stiffness!U27,IF(3=Element_Stiffness!$E$5,Element_Stiffness!AA27,0)),IF(Element_Stiffness!$E$5=2,IF(3=Element_Stiffness!$C$5,Element_Stiffness!U33,IF(3=Element_Stiffness!$E$5,Element_Stiffness!AA33,0)),0)),0)+IF(Element_Stiffness!$C$41,IF(Element_Stiffness!$C$40=2,IF(3=Element_Stiffness!$C$40,Element_Stiffness!U62,IF(3=Element_Stiffness!$E$40,Element_Stiffness!AA62,0)),IF(Element_Stiffness!$E$40=2,IF(3=Element_Stiffness!$C$40,Element_Stiffness!U68,IF(3=Element_Stiffness!$E$40,Element_Stiffness!AA68,0)),0)),0)+IF(Element_Stiffness!$C$76,IF(Element_Stiffness!$C$75=2,IF(3=Element_Stiffness!$C$75,Element_Stiffness!U97,IF(3=Element_Stiffness!$E$75,Element_Stiffness!AA97,0)),IF(Element_Stiffness!$E$75=2,IF(3=Element_Stiffness!$C$75,Element_Stiffness!U103,IF(3=Element_Stiffness!$E$75,Element_Stiffness!AA103,0)),0)),0)+IF(Element_Stiffness!$C$111,IF(Element_Stiffness!$C$110=2,IF(3=Element_Stiffness!$C$110,Element_Stiffness!U132,IF(3=Element_Stiffness!$E$110,Element_Stiffness!AA132,0)),IF(Element_Stiffness!$E$110=2,IF(3=Element_Stiffness!$C$110,Element_Stiffness!U138,IF(3=Element_Stiffness!$E$110,Element_Stiffness!AA138,0)),0)),0)+IF(Element_Stiffness!$C$146,IF(Element_Stiffness!$C$145=2,IF(3=Element_Stiffness!$C$145,Element_Stiffness!U167,IF(3=Element_Stiffness!$E$145,Element_Stiffness!AA167,0)),IF(Element_Stiffness!$E$145=2,IF(3=Element_Stiffness!$C$145,Element_Stiffness!U173,IF(3=Element_Stiffness!$E$145,Element_Stiffness!AA173,0)),0)),0)+IF(Element_Stiffness!$C$181,IF(Element_Stiffness!$C$180=2,IF(3=Element_Stiffness!$C$180,Element_Stiffness!U202,IF(3=Element_Stiffness!$E$180,Element_Stiffness!AA202,0)),IF(Element_Stiffness!$E$180=2,IF(3=Element_Stiffness!$C$180,Element_Stiffness!U208,IF(3=Element_Stiffness!$E$180,Element_Stiffness!AA208,0)),0)),0)+IF(Element_Stiffness!$C$216,IF(Element_Stiffness!$C$215=2,IF(3=Element_Stiffness!$C$215,Element_Stiffness!U237,IF(3=Element_Stiffness!$E$215,Element_Stiffness!AA237,0)),IF(Element_Stiffness!$E$215=2,IF(3=Element_Stiffness!$C$215,Element_Stiffness!U243,IF(3=Element_Stiffness!$E$215,Element_Stiffness!AA243,0)),0)),0)</f>
        <v/>
      </c>
      <c r="AA18" s="21">
        <f>IF(Element_Stiffness!$C$6,IF(Element_Stiffness!$C$5=2,IF(4=Element_Stiffness!$C$5,Element_Stiffness!P27,IF(4=Element_Stiffness!$E$5,Element_Stiffness!V27,0)),IF(Element_Stiffness!$E$5=2,IF(4=Element_Stiffness!$C$5,Element_Stiffness!P33,IF(4=Element_Stiffness!$E$5,Element_Stiffness!V33,0)),0)),0)+IF(Element_Stiffness!$C$41,IF(Element_Stiffness!$C$40=2,IF(4=Element_Stiffness!$C$40,Element_Stiffness!P62,IF(4=Element_Stiffness!$E$40,Element_Stiffness!V62,0)),IF(Element_Stiffness!$E$40=2,IF(4=Element_Stiffness!$C$40,Element_Stiffness!P68,IF(4=Element_Stiffness!$E$40,Element_Stiffness!V68,0)),0)),0)+IF(Element_Stiffness!$C$76,IF(Element_Stiffness!$C$75=2,IF(4=Element_Stiffness!$C$75,Element_Stiffness!P97,IF(4=Element_Stiffness!$E$75,Element_Stiffness!V97,0)),IF(Element_Stiffness!$E$75=2,IF(4=Element_Stiffness!$C$75,Element_Stiffness!P103,IF(4=Element_Stiffness!$E$75,Element_Stiffness!V103,0)),0)),0)+IF(Element_Stiffness!$C$111,IF(Element_Stiffness!$C$110=2,IF(4=Element_Stiffness!$C$110,Element_Stiffness!P132,IF(4=Element_Stiffness!$E$110,Element_Stiffness!V132,0)),IF(Element_Stiffness!$E$110=2,IF(4=Element_Stiffness!$C$110,Element_Stiffness!P138,IF(4=Element_Stiffness!$E$110,Element_Stiffness!V138,0)),0)),0)+IF(Element_Stiffness!$C$146,IF(Element_Stiffness!$C$145=2,IF(4=Element_Stiffness!$C$145,Element_Stiffness!P167,IF(4=Element_Stiffness!$E$145,Element_Stiffness!V167,0)),IF(Element_Stiffness!$E$145=2,IF(4=Element_Stiffness!$C$145,Element_Stiffness!P173,IF(4=Element_Stiffness!$E$145,Element_Stiffness!V173,0)),0)),0)+IF(Element_Stiffness!$C$181,IF(Element_Stiffness!$C$180=2,IF(4=Element_Stiffness!$C$180,Element_Stiffness!P202,IF(4=Element_Stiffness!$E$180,Element_Stiffness!V202,0)),IF(Element_Stiffness!$E$180=2,IF(4=Element_Stiffness!$C$180,Element_Stiffness!P208,IF(4=Element_Stiffness!$E$180,Element_Stiffness!V208,0)),0)),0)+IF(Element_Stiffness!$C$216,IF(Element_Stiffness!$C$215=2,IF(4=Element_Stiffness!$C$215,Element_Stiffness!P237,IF(4=Element_Stiffness!$E$215,Element_Stiffness!V237,0)),IF(Element_Stiffness!$E$215=2,IF(4=Element_Stiffness!$C$215,Element_Stiffness!P243,IF(4=Element_Stiffness!$E$215,Element_Stiffness!V243,0)),0)),0)</f>
        <v/>
      </c>
      <c r="AB18" s="21">
        <f>IF(Element_Stiffness!$C$6,IF(Element_Stiffness!$C$5=2,IF(4=Element_Stiffness!$C$5,Element_Stiffness!Q27,IF(4=Element_Stiffness!$E$5,Element_Stiffness!W27,0)),IF(Element_Stiffness!$E$5=2,IF(4=Element_Stiffness!$C$5,Element_Stiffness!Q33,IF(4=Element_Stiffness!$E$5,Element_Stiffness!W33,0)),0)),0)+IF(Element_Stiffness!$C$41,IF(Element_Stiffness!$C$40=2,IF(4=Element_Stiffness!$C$40,Element_Stiffness!Q62,IF(4=Element_Stiffness!$E$40,Element_Stiffness!W62,0)),IF(Element_Stiffness!$E$40=2,IF(4=Element_Stiffness!$C$40,Element_Stiffness!Q68,IF(4=Element_Stiffness!$E$40,Element_Stiffness!W68,0)),0)),0)+IF(Element_Stiffness!$C$76,IF(Element_Stiffness!$C$75=2,IF(4=Element_Stiffness!$C$75,Element_Stiffness!Q97,IF(4=Element_Stiffness!$E$75,Element_Stiffness!W97,0)),IF(Element_Stiffness!$E$75=2,IF(4=Element_Stiffness!$C$75,Element_Stiffness!Q103,IF(4=Element_Stiffness!$E$75,Element_Stiffness!W103,0)),0)),0)+IF(Element_Stiffness!$C$111,IF(Element_Stiffness!$C$110=2,IF(4=Element_Stiffness!$C$110,Element_Stiffness!Q132,IF(4=Element_Stiffness!$E$110,Element_Stiffness!W132,0)),IF(Element_Stiffness!$E$110=2,IF(4=Element_Stiffness!$C$110,Element_Stiffness!Q138,IF(4=Element_Stiffness!$E$110,Element_Stiffness!W138,0)),0)),0)+IF(Element_Stiffness!$C$146,IF(Element_Stiffness!$C$145=2,IF(4=Element_Stiffness!$C$145,Element_Stiffness!Q167,IF(4=Element_Stiffness!$E$145,Element_Stiffness!W167,0)),IF(Element_Stiffness!$E$145=2,IF(4=Element_Stiffness!$C$145,Element_Stiffness!Q173,IF(4=Element_Stiffness!$E$145,Element_Stiffness!W173,0)),0)),0)+IF(Element_Stiffness!$C$181,IF(Element_Stiffness!$C$180=2,IF(4=Element_Stiffness!$C$180,Element_Stiffness!Q202,IF(4=Element_Stiffness!$E$180,Element_Stiffness!W202,0)),IF(Element_Stiffness!$E$180=2,IF(4=Element_Stiffness!$C$180,Element_Stiffness!Q208,IF(4=Element_Stiffness!$E$180,Element_Stiffness!W208,0)),0)),0)+IF(Element_Stiffness!$C$216,IF(Element_Stiffness!$C$215=2,IF(4=Element_Stiffness!$C$215,Element_Stiffness!Q237,IF(4=Element_Stiffness!$E$215,Element_Stiffness!W237,0)),IF(Element_Stiffness!$E$215=2,IF(4=Element_Stiffness!$C$215,Element_Stiffness!Q243,IF(4=Element_Stiffness!$E$215,Element_Stiffness!W243,0)),0)),0)</f>
        <v/>
      </c>
      <c r="AC18" s="21">
        <f>IF(Element_Stiffness!$C$6,IF(Element_Stiffness!$C$5=2,IF(4=Element_Stiffness!$C$5,Element_Stiffness!R27,IF(4=Element_Stiffness!$E$5,Element_Stiffness!X27,0)),IF(Element_Stiffness!$E$5=2,IF(4=Element_Stiffness!$C$5,Element_Stiffness!R33,IF(4=Element_Stiffness!$E$5,Element_Stiffness!X33,0)),0)),0)+IF(Element_Stiffness!$C$41,IF(Element_Stiffness!$C$40=2,IF(4=Element_Stiffness!$C$40,Element_Stiffness!R62,IF(4=Element_Stiffness!$E$40,Element_Stiffness!X62,0)),IF(Element_Stiffness!$E$40=2,IF(4=Element_Stiffness!$C$40,Element_Stiffness!R68,IF(4=Element_Stiffness!$E$40,Element_Stiffness!X68,0)),0)),0)+IF(Element_Stiffness!$C$76,IF(Element_Stiffness!$C$75=2,IF(4=Element_Stiffness!$C$75,Element_Stiffness!R97,IF(4=Element_Stiffness!$E$75,Element_Stiffness!X97,0)),IF(Element_Stiffness!$E$75=2,IF(4=Element_Stiffness!$C$75,Element_Stiffness!R103,IF(4=Element_Stiffness!$E$75,Element_Stiffness!X103,0)),0)),0)+IF(Element_Stiffness!$C$111,IF(Element_Stiffness!$C$110=2,IF(4=Element_Stiffness!$C$110,Element_Stiffness!R132,IF(4=Element_Stiffness!$E$110,Element_Stiffness!X132,0)),IF(Element_Stiffness!$E$110=2,IF(4=Element_Stiffness!$C$110,Element_Stiffness!R138,IF(4=Element_Stiffness!$E$110,Element_Stiffness!X138,0)),0)),0)+IF(Element_Stiffness!$C$146,IF(Element_Stiffness!$C$145=2,IF(4=Element_Stiffness!$C$145,Element_Stiffness!R167,IF(4=Element_Stiffness!$E$145,Element_Stiffness!X167,0)),IF(Element_Stiffness!$E$145=2,IF(4=Element_Stiffness!$C$145,Element_Stiffness!R173,IF(4=Element_Stiffness!$E$145,Element_Stiffness!X173,0)),0)),0)+IF(Element_Stiffness!$C$181,IF(Element_Stiffness!$C$180=2,IF(4=Element_Stiffness!$C$180,Element_Stiffness!R202,IF(4=Element_Stiffness!$E$180,Element_Stiffness!X202,0)),IF(Element_Stiffness!$E$180=2,IF(4=Element_Stiffness!$C$180,Element_Stiffness!R208,IF(4=Element_Stiffness!$E$180,Element_Stiffness!X208,0)),0)),0)+IF(Element_Stiffness!$C$216,IF(Element_Stiffness!$C$215=2,IF(4=Element_Stiffness!$C$215,Element_Stiffness!R237,IF(4=Element_Stiffness!$E$215,Element_Stiffness!X237,0)),IF(Element_Stiffness!$E$215=2,IF(4=Element_Stiffness!$C$215,Element_Stiffness!R243,IF(4=Element_Stiffness!$E$215,Element_Stiffness!X243,0)),0)),0)</f>
        <v/>
      </c>
      <c r="AD18" s="21">
        <f>IF(Element_Stiffness!$C$6,IF(Element_Stiffness!$C$5=2,IF(4=Element_Stiffness!$C$5,Element_Stiffness!S27,IF(4=Element_Stiffness!$E$5,Element_Stiffness!Y27,0)),IF(Element_Stiffness!$E$5=2,IF(4=Element_Stiffness!$C$5,Element_Stiffness!S33,IF(4=Element_Stiffness!$E$5,Element_Stiffness!Y33,0)),0)),0)+IF(Element_Stiffness!$C$41,IF(Element_Stiffness!$C$40=2,IF(4=Element_Stiffness!$C$40,Element_Stiffness!S62,IF(4=Element_Stiffness!$E$40,Element_Stiffness!Y62,0)),IF(Element_Stiffness!$E$40=2,IF(4=Element_Stiffness!$C$40,Element_Stiffness!S68,IF(4=Element_Stiffness!$E$40,Element_Stiffness!Y68,0)),0)),0)+IF(Element_Stiffness!$C$76,IF(Element_Stiffness!$C$75=2,IF(4=Element_Stiffness!$C$75,Element_Stiffness!S97,IF(4=Element_Stiffness!$E$75,Element_Stiffness!Y97,0)),IF(Element_Stiffness!$E$75=2,IF(4=Element_Stiffness!$C$75,Element_Stiffness!S103,IF(4=Element_Stiffness!$E$75,Element_Stiffness!Y103,0)),0)),0)+IF(Element_Stiffness!$C$111,IF(Element_Stiffness!$C$110=2,IF(4=Element_Stiffness!$C$110,Element_Stiffness!S132,IF(4=Element_Stiffness!$E$110,Element_Stiffness!Y132,0)),IF(Element_Stiffness!$E$110=2,IF(4=Element_Stiffness!$C$110,Element_Stiffness!S138,IF(4=Element_Stiffness!$E$110,Element_Stiffness!Y138,0)),0)),0)+IF(Element_Stiffness!$C$146,IF(Element_Stiffness!$C$145=2,IF(4=Element_Stiffness!$C$145,Element_Stiffness!S167,IF(4=Element_Stiffness!$E$145,Element_Stiffness!Y167,0)),IF(Element_Stiffness!$E$145=2,IF(4=Element_Stiffness!$C$145,Element_Stiffness!S173,IF(4=Element_Stiffness!$E$145,Element_Stiffness!Y173,0)),0)),0)+IF(Element_Stiffness!$C$181,IF(Element_Stiffness!$C$180=2,IF(4=Element_Stiffness!$C$180,Element_Stiffness!S202,IF(4=Element_Stiffness!$E$180,Element_Stiffness!Y202,0)),IF(Element_Stiffness!$E$180=2,IF(4=Element_Stiffness!$C$180,Element_Stiffness!S208,IF(4=Element_Stiffness!$E$180,Element_Stiffness!Y208,0)),0)),0)+IF(Element_Stiffness!$C$216,IF(Element_Stiffness!$C$215=2,IF(4=Element_Stiffness!$C$215,Element_Stiffness!S237,IF(4=Element_Stiffness!$E$215,Element_Stiffness!Y237,0)),IF(Element_Stiffness!$E$215=2,IF(4=Element_Stiffness!$C$215,Element_Stiffness!S243,IF(4=Element_Stiffness!$E$215,Element_Stiffness!Y243,0)),0)),0)</f>
        <v/>
      </c>
      <c r="AE18" s="21">
        <f>IF(Element_Stiffness!$C$6,IF(Element_Stiffness!$C$5=2,IF(4=Element_Stiffness!$C$5,Element_Stiffness!T27,IF(4=Element_Stiffness!$E$5,Element_Stiffness!Z27,0)),IF(Element_Stiffness!$E$5=2,IF(4=Element_Stiffness!$C$5,Element_Stiffness!T33,IF(4=Element_Stiffness!$E$5,Element_Stiffness!Z33,0)),0)),0)+IF(Element_Stiffness!$C$41,IF(Element_Stiffness!$C$40=2,IF(4=Element_Stiffness!$C$40,Element_Stiffness!T62,IF(4=Element_Stiffness!$E$40,Element_Stiffness!Z62,0)),IF(Element_Stiffness!$E$40=2,IF(4=Element_Stiffness!$C$40,Element_Stiffness!T68,IF(4=Element_Stiffness!$E$40,Element_Stiffness!Z68,0)),0)),0)+IF(Element_Stiffness!$C$76,IF(Element_Stiffness!$C$75=2,IF(4=Element_Stiffness!$C$75,Element_Stiffness!T97,IF(4=Element_Stiffness!$E$75,Element_Stiffness!Z97,0)),IF(Element_Stiffness!$E$75=2,IF(4=Element_Stiffness!$C$75,Element_Stiffness!T103,IF(4=Element_Stiffness!$E$75,Element_Stiffness!Z103,0)),0)),0)+IF(Element_Stiffness!$C$111,IF(Element_Stiffness!$C$110=2,IF(4=Element_Stiffness!$C$110,Element_Stiffness!T132,IF(4=Element_Stiffness!$E$110,Element_Stiffness!Z132,0)),IF(Element_Stiffness!$E$110=2,IF(4=Element_Stiffness!$C$110,Element_Stiffness!T138,IF(4=Element_Stiffness!$E$110,Element_Stiffness!Z138,0)),0)),0)+IF(Element_Stiffness!$C$146,IF(Element_Stiffness!$C$145=2,IF(4=Element_Stiffness!$C$145,Element_Stiffness!T167,IF(4=Element_Stiffness!$E$145,Element_Stiffness!Z167,0)),IF(Element_Stiffness!$E$145=2,IF(4=Element_Stiffness!$C$145,Element_Stiffness!T173,IF(4=Element_Stiffness!$E$145,Element_Stiffness!Z173,0)),0)),0)+IF(Element_Stiffness!$C$181,IF(Element_Stiffness!$C$180=2,IF(4=Element_Stiffness!$C$180,Element_Stiffness!T202,IF(4=Element_Stiffness!$E$180,Element_Stiffness!Z202,0)),IF(Element_Stiffness!$E$180=2,IF(4=Element_Stiffness!$C$180,Element_Stiffness!T208,IF(4=Element_Stiffness!$E$180,Element_Stiffness!Z208,0)),0)),0)+IF(Element_Stiffness!$C$216,IF(Element_Stiffness!$C$215=2,IF(4=Element_Stiffness!$C$215,Element_Stiffness!T237,IF(4=Element_Stiffness!$E$215,Element_Stiffness!Z237,0)),IF(Element_Stiffness!$E$215=2,IF(4=Element_Stiffness!$C$215,Element_Stiffness!T243,IF(4=Element_Stiffness!$E$215,Element_Stiffness!Z243,0)),0)),0)</f>
        <v/>
      </c>
      <c r="AF18" s="21">
        <f>IF(Element_Stiffness!$C$6,IF(Element_Stiffness!$C$5=2,IF(4=Element_Stiffness!$C$5,Element_Stiffness!U27,IF(4=Element_Stiffness!$E$5,Element_Stiffness!AA27,0)),IF(Element_Stiffness!$E$5=2,IF(4=Element_Stiffness!$C$5,Element_Stiffness!U33,IF(4=Element_Stiffness!$E$5,Element_Stiffness!AA33,0)),0)),0)+IF(Element_Stiffness!$C$41,IF(Element_Stiffness!$C$40=2,IF(4=Element_Stiffness!$C$40,Element_Stiffness!U62,IF(4=Element_Stiffness!$E$40,Element_Stiffness!AA62,0)),IF(Element_Stiffness!$E$40=2,IF(4=Element_Stiffness!$C$40,Element_Stiffness!U68,IF(4=Element_Stiffness!$E$40,Element_Stiffness!AA68,0)),0)),0)+IF(Element_Stiffness!$C$76,IF(Element_Stiffness!$C$75=2,IF(4=Element_Stiffness!$C$75,Element_Stiffness!U97,IF(4=Element_Stiffness!$E$75,Element_Stiffness!AA97,0)),IF(Element_Stiffness!$E$75=2,IF(4=Element_Stiffness!$C$75,Element_Stiffness!U103,IF(4=Element_Stiffness!$E$75,Element_Stiffness!AA103,0)),0)),0)+IF(Element_Stiffness!$C$111,IF(Element_Stiffness!$C$110=2,IF(4=Element_Stiffness!$C$110,Element_Stiffness!U132,IF(4=Element_Stiffness!$E$110,Element_Stiffness!AA132,0)),IF(Element_Stiffness!$E$110=2,IF(4=Element_Stiffness!$C$110,Element_Stiffness!U138,IF(4=Element_Stiffness!$E$110,Element_Stiffness!AA138,0)),0)),0)+IF(Element_Stiffness!$C$146,IF(Element_Stiffness!$C$145=2,IF(4=Element_Stiffness!$C$145,Element_Stiffness!U167,IF(4=Element_Stiffness!$E$145,Element_Stiffness!AA167,0)),IF(Element_Stiffness!$E$145=2,IF(4=Element_Stiffness!$C$145,Element_Stiffness!U173,IF(4=Element_Stiffness!$E$145,Element_Stiffness!AA173,0)),0)),0)+IF(Element_Stiffness!$C$181,IF(Element_Stiffness!$C$180=2,IF(4=Element_Stiffness!$C$180,Element_Stiffness!U202,IF(4=Element_Stiffness!$E$180,Element_Stiffness!AA202,0)),IF(Element_Stiffness!$E$180=2,IF(4=Element_Stiffness!$C$180,Element_Stiffness!U208,IF(4=Element_Stiffness!$E$180,Element_Stiffness!AA208,0)),0)),0)+IF(Element_Stiffness!$C$216,IF(Element_Stiffness!$C$215=2,IF(4=Element_Stiffness!$C$215,Element_Stiffness!U237,IF(4=Element_Stiffness!$E$215,Element_Stiffness!AA237,0)),IF(Element_Stiffness!$E$215=2,IF(4=Element_Stiffness!$C$215,Element_Stiffness!U243,IF(4=Element_Stiffness!$E$215,Element_Stiffness!AA243,0)),0)),0)</f>
        <v/>
      </c>
      <c r="AG18" s="21">
        <f>IF(Element_Stiffness!$C$6,IF(Element_Stiffness!$C$5=2,IF(5=Element_Stiffness!$C$5,Element_Stiffness!P27,IF(5=Element_Stiffness!$E$5,Element_Stiffness!V27,0)),IF(Element_Stiffness!$E$5=2,IF(5=Element_Stiffness!$C$5,Element_Stiffness!P33,IF(5=Element_Stiffness!$E$5,Element_Stiffness!V33,0)),0)),0)+IF(Element_Stiffness!$C$41,IF(Element_Stiffness!$C$40=2,IF(5=Element_Stiffness!$C$40,Element_Stiffness!P62,IF(5=Element_Stiffness!$E$40,Element_Stiffness!V62,0)),IF(Element_Stiffness!$E$40=2,IF(5=Element_Stiffness!$C$40,Element_Stiffness!P68,IF(5=Element_Stiffness!$E$40,Element_Stiffness!V68,0)),0)),0)+IF(Element_Stiffness!$C$76,IF(Element_Stiffness!$C$75=2,IF(5=Element_Stiffness!$C$75,Element_Stiffness!P97,IF(5=Element_Stiffness!$E$75,Element_Stiffness!V97,0)),IF(Element_Stiffness!$E$75=2,IF(5=Element_Stiffness!$C$75,Element_Stiffness!P103,IF(5=Element_Stiffness!$E$75,Element_Stiffness!V103,0)),0)),0)+IF(Element_Stiffness!$C$111,IF(Element_Stiffness!$C$110=2,IF(5=Element_Stiffness!$C$110,Element_Stiffness!P132,IF(5=Element_Stiffness!$E$110,Element_Stiffness!V132,0)),IF(Element_Stiffness!$E$110=2,IF(5=Element_Stiffness!$C$110,Element_Stiffness!P138,IF(5=Element_Stiffness!$E$110,Element_Stiffness!V138,0)),0)),0)+IF(Element_Stiffness!$C$146,IF(Element_Stiffness!$C$145=2,IF(5=Element_Stiffness!$C$145,Element_Stiffness!P167,IF(5=Element_Stiffness!$E$145,Element_Stiffness!V167,0)),IF(Element_Stiffness!$E$145=2,IF(5=Element_Stiffness!$C$145,Element_Stiffness!P173,IF(5=Element_Stiffness!$E$145,Element_Stiffness!V173,0)),0)),0)+IF(Element_Stiffness!$C$181,IF(Element_Stiffness!$C$180=2,IF(5=Element_Stiffness!$C$180,Element_Stiffness!P202,IF(5=Element_Stiffness!$E$180,Element_Stiffness!V202,0)),IF(Element_Stiffness!$E$180=2,IF(5=Element_Stiffness!$C$180,Element_Stiffness!P208,IF(5=Element_Stiffness!$E$180,Element_Stiffness!V208,0)),0)),0)+IF(Element_Stiffness!$C$216,IF(Element_Stiffness!$C$215=2,IF(5=Element_Stiffness!$C$215,Element_Stiffness!P237,IF(5=Element_Stiffness!$E$215,Element_Stiffness!V237,0)),IF(Element_Stiffness!$E$215=2,IF(5=Element_Stiffness!$C$215,Element_Stiffness!P243,IF(5=Element_Stiffness!$E$215,Element_Stiffness!V243,0)),0)),0)</f>
        <v/>
      </c>
      <c r="AH18" s="21">
        <f>IF(Element_Stiffness!$C$6,IF(Element_Stiffness!$C$5=2,IF(5=Element_Stiffness!$C$5,Element_Stiffness!Q27,IF(5=Element_Stiffness!$E$5,Element_Stiffness!W27,0)),IF(Element_Stiffness!$E$5=2,IF(5=Element_Stiffness!$C$5,Element_Stiffness!Q33,IF(5=Element_Stiffness!$E$5,Element_Stiffness!W33,0)),0)),0)+IF(Element_Stiffness!$C$41,IF(Element_Stiffness!$C$40=2,IF(5=Element_Stiffness!$C$40,Element_Stiffness!Q62,IF(5=Element_Stiffness!$E$40,Element_Stiffness!W62,0)),IF(Element_Stiffness!$E$40=2,IF(5=Element_Stiffness!$C$40,Element_Stiffness!Q68,IF(5=Element_Stiffness!$E$40,Element_Stiffness!W68,0)),0)),0)+IF(Element_Stiffness!$C$76,IF(Element_Stiffness!$C$75=2,IF(5=Element_Stiffness!$C$75,Element_Stiffness!Q97,IF(5=Element_Stiffness!$E$75,Element_Stiffness!W97,0)),IF(Element_Stiffness!$E$75=2,IF(5=Element_Stiffness!$C$75,Element_Stiffness!Q103,IF(5=Element_Stiffness!$E$75,Element_Stiffness!W103,0)),0)),0)+IF(Element_Stiffness!$C$111,IF(Element_Stiffness!$C$110=2,IF(5=Element_Stiffness!$C$110,Element_Stiffness!Q132,IF(5=Element_Stiffness!$E$110,Element_Stiffness!W132,0)),IF(Element_Stiffness!$E$110=2,IF(5=Element_Stiffness!$C$110,Element_Stiffness!Q138,IF(5=Element_Stiffness!$E$110,Element_Stiffness!W138,0)),0)),0)+IF(Element_Stiffness!$C$146,IF(Element_Stiffness!$C$145=2,IF(5=Element_Stiffness!$C$145,Element_Stiffness!Q167,IF(5=Element_Stiffness!$E$145,Element_Stiffness!W167,0)),IF(Element_Stiffness!$E$145=2,IF(5=Element_Stiffness!$C$145,Element_Stiffness!Q173,IF(5=Element_Stiffness!$E$145,Element_Stiffness!W173,0)),0)),0)+IF(Element_Stiffness!$C$181,IF(Element_Stiffness!$C$180=2,IF(5=Element_Stiffness!$C$180,Element_Stiffness!Q202,IF(5=Element_Stiffness!$E$180,Element_Stiffness!W202,0)),IF(Element_Stiffness!$E$180=2,IF(5=Element_Stiffness!$C$180,Element_Stiffness!Q208,IF(5=Element_Stiffness!$E$180,Element_Stiffness!W208,0)),0)),0)+IF(Element_Stiffness!$C$216,IF(Element_Stiffness!$C$215=2,IF(5=Element_Stiffness!$C$215,Element_Stiffness!Q237,IF(5=Element_Stiffness!$E$215,Element_Stiffness!W237,0)),IF(Element_Stiffness!$E$215=2,IF(5=Element_Stiffness!$C$215,Element_Stiffness!Q243,IF(5=Element_Stiffness!$E$215,Element_Stiffness!W243,0)),0)),0)</f>
        <v/>
      </c>
      <c r="AI18" s="21">
        <f>IF(Element_Stiffness!$C$6,IF(Element_Stiffness!$C$5=2,IF(5=Element_Stiffness!$C$5,Element_Stiffness!R27,IF(5=Element_Stiffness!$E$5,Element_Stiffness!X27,0)),IF(Element_Stiffness!$E$5=2,IF(5=Element_Stiffness!$C$5,Element_Stiffness!R33,IF(5=Element_Stiffness!$E$5,Element_Stiffness!X33,0)),0)),0)+IF(Element_Stiffness!$C$41,IF(Element_Stiffness!$C$40=2,IF(5=Element_Stiffness!$C$40,Element_Stiffness!R62,IF(5=Element_Stiffness!$E$40,Element_Stiffness!X62,0)),IF(Element_Stiffness!$E$40=2,IF(5=Element_Stiffness!$C$40,Element_Stiffness!R68,IF(5=Element_Stiffness!$E$40,Element_Stiffness!X68,0)),0)),0)+IF(Element_Stiffness!$C$76,IF(Element_Stiffness!$C$75=2,IF(5=Element_Stiffness!$C$75,Element_Stiffness!R97,IF(5=Element_Stiffness!$E$75,Element_Stiffness!X97,0)),IF(Element_Stiffness!$E$75=2,IF(5=Element_Stiffness!$C$75,Element_Stiffness!R103,IF(5=Element_Stiffness!$E$75,Element_Stiffness!X103,0)),0)),0)+IF(Element_Stiffness!$C$111,IF(Element_Stiffness!$C$110=2,IF(5=Element_Stiffness!$C$110,Element_Stiffness!R132,IF(5=Element_Stiffness!$E$110,Element_Stiffness!X132,0)),IF(Element_Stiffness!$E$110=2,IF(5=Element_Stiffness!$C$110,Element_Stiffness!R138,IF(5=Element_Stiffness!$E$110,Element_Stiffness!X138,0)),0)),0)+IF(Element_Stiffness!$C$146,IF(Element_Stiffness!$C$145=2,IF(5=Element_Stiffness!$C$145,Element_Stiffness!R167,IF(5=Element_Stiffness!$E$145,Element_Stiffness!X167,0)),IF(Element_Stiffness!$E$145=2,IF(5=Element_Stiffness!$C$145,Element_Stiffness!R173,IF(5=Element_Stiffness!$E$145,Element_Stiffness!X173,0)),0)),0)+IF(Element_Stiffness!$C$181,IF(Element_Stiffness!$C$180=2,IF(5=Element_Stiffness!$C$180,Element_Stiffness!R202,IF(5=Element_Stiffness!$E$180,Element_Stiffness!X202,0)),IF(Element_Stiffness!$E$180=2,IF(5=Element_Stiffness!$C$180,Element_Stiffness!R208,IF(5=Element_Stiffness!$E$180,Element_Stiffness!X208,0)),0)),0)+IF(Element_Stiffness!$C$216,IF(Element_Stiffness!$C$215=2,IF(5=Element_Stiffness!$C$215,Element_Stiffness!R237,IF(5=Element_Stiffness!$E$215,Element_Stiffness!X237,0)),IF(Element_Stiffness!$E$215=2,IF(5=Element_Stiffness!$C$215,Element_Stiffness!R243,IF(5=Element_Stiffness!$E$215,Element_Stiffness!X243,0)),0)),0)</f>
        <v/>
      </c>
      <c r="AJ18" s="21">
        <f>IF(Element_Stiffness!$C$6,IF(Element_Stiffness!$C$5=2,IF(5=Element_Stiffness!$C$5,Element_Stiffness!S27,IF(5=Element_Stiffness!$E$5,Element_Stiffness!Y27,0)),IF(Element_Stiffness!$E$5=2,IF(5=Element_Stiffness!$C$5,Element_Stiffness!S33,IF(5=Element_Stiffness!$E$5,Element_Stiffness!Y33,0)),0)),0)+IF(Element_Stiffness!$C$41,IF(Element_Stiffness!$C$40=2,IF(5=Element_Stiffness!$C$40,Element_Stiffness!S62,IF(5=Element_Stiffness!$E$40,Element_Stiffness!Y62,0)),IF(Element_Stiffness!$E$40=2,IF(5=Element_Stiffness!$C$40,Element_Stiffness!S68,IF(5=Element_Stiffness!$E$40,Element_Stiffness!Y68,0)),0)),0)+IF(Element_Stiffness!$C$76,IF(Element_Stiffness!$C$75=2,IF(5=Element_Stiffness!$C$75,Element_Stiffness!S97,IF(5=Element_Stiffness!$E$75,Element_Stiffness!Y97,0)),IF(Element_Stiffness!$E$75=2,IF(5=Element_Stiffness!$C$75,Element_Stiffness!S103,IF(5=Element_Stiffness!$E$75,Element_Stiffness!Y103,0)),0)),0)+IF(Element_Stiffness!$C$111,IF(Element_Stiffness!$C$110=2,IF(5=Element_Stiffness!$C$110,Element_Stiffness!S132,IF(5=Element_Stiffness!$E$110,Element_Stiffness!Y132,0)),IF(Element_Stiffness!$E$110=2,IF(5=Element_Stiffness!$C$110,Element_Stiffness!S138,IF(5=Element_Stiffness!$E$110,Element_Stiffness!Y138,0)),0)),0)+IF(Element_Stiffness!$C$146,IF(Element_Stiffness!$C$145=2,IF(5=Element_Stiffness!$C$145,Element_Stiffness!S167,IF(5=Element_Stiffness!$E$145,Element_Stiffness!Y167,0)),IF(Element_Stiffness!$E$145=2,IF(5=Element_Stiffness!$C$145,Element_Stiffness!S173,IF(5=Element_Stiffness!$E$145,Element_Stiffness!Y173,0)),0)),0)+IF(Element_Stiffness!$C$181,IF(Element_Stiffness!$C$180=2,IF(5=Element_Stiffness!$C$180,Element_Stiffness!S202,IF(5=Element_Stiffness!$E$180,Element_Stiffness!Y202,0)),IF(Element_Stiffness!$E$180=2,IF(5=Element_Stiffness!$C$180,Element_Stiffness!S208,IF(5=Element_Stiffness!$E$180,Element_Stiffness!Y208,0)),0)),0)+IF(Element_Stiffness!$C$216,IF(Element_Stiffness!$C$215=2,IF(5=Element_Stiffness!$C$215,Element_Stiffness!S237,IF(5=Element_Stiffness!$E$215,Element_Stiffness!Y237,0)),IF(Element_Stiffness!$E$215=2,IF(5=Element_Stiffness!$C$215,Element_Stiffness!S243,IF(5=Element_Stiffness!$E$215,Element_Stiffness!Y243,0)),0)),0)</f>
        <v/>
      </c>
      <c r="AK18" s="21">
        <f>IF(Element_Stiffness!$C$6,IF(Element_Stiffness!$C$5=2,IF(5=Element_Stiffness!$C$5,Element_Stiffness!T27,IF(5=Element_Stiffness!$E$5,Element_Stiffness!Z27,0)),IF(Element_Stiffness!$E$5=2,IF(5=Element_Stiffness!$C$5,Element_Stiffness!T33,IF(5=Element_Stiffness!$E$5,Element_Stiffness!Z33,0)),0)),0)+IF(Element_Stiffness!$C$41,IF(Element_Stiffness!$C$40=2,IF(5=Element_Stiffness!$C$40,Element_Stiffness!T62,IF(5=Element_Stiffness!$E$40,Element_Stiffness!Z62,0)),IF(Element_Stiffness!$E$40=2,IF(5=Element_Stiffness!$C$40,Element_Stiffness!T68,IF(5=Element_Stiffness!$E$40,Element_Stiffness!Z68,0)),0)),0)+IF(Element_Stiffness!$C$76,IF(Element_Stiffness!$C$75=2,IF(5=Element_Stiffness!$C$75,Element_Stiffness!T97,IF(5=Element_Stiffness!$E$75,Element_Stiffness!Z97,0)),IF(Element_Stiffness!$E$75=2,IF(5=Element_Stiffness!$C$75,Element_Stiffness!T103,IF(5=Element_Stiffness!$E$75,Element_Stiffness!Z103,0)),0)),0)+IF(Element_Stiffness!$C$111,IF(Element_Stiffness!$C$110=2,IF(5=Element_Stiffness!$C$110,Element_Stiffness!T132,IF(5=Element_Stiffness!$E$110,Element_Stiffness!Z132,0)),IF(Element_Stiffness!$E$110=2,IF(5=Element_Stiffness!$C$110,Element_Stiffness!T138,IF(5=Element_Stiffness!$E$110,Element_Stiffness!Z138,0)),0)),0)+IF(Element_Stiffness!$C$146,IF(Element_Stiffness!$C$145=2,IF(5=Element_Stiffness!$C$145,Element_Stiffness!T167,IF(5=Element_Stiffness!$E$145,Element_Stiffness!Z167,0)),IF(Element_Stiffness!$E$145=2,IF(5=Element_Stiffness!$C$145,Element_Stiffness!T173,IF(5=Element_Stiffness!$E$145,Element_Stiffness!Z173,0)),0)),0)+IF(Element_Stiffness!$C$181,IF(Element_Stiffness!$C$180=2,IF(5=Element_Stiffness!$C$180,Element_Stiffness!T202,IF(5=Element_Stiffness!$E$180,Element_Stiffness!Z202,0)),IF(Element_Stiffness!$E$180=2,IF(5=Element_Stiffness!$C$180,Element_Stiffness!T208,IF(5=Element_Stiffness!$E$180,Element_Stiffness!Z208,0)),0)),0)+IF(Element_Stiffness!$C$216,IF(Element_Stiffness!$C$215=2,IF(5=Element_Stiffness!$C$215,Element_Stiffness!T237,IF(5=Element_Stiffness!$E$215,Element_Stiffness!Z237,0)),IF(Element_Stiffness!$E$215=2,IF(5=Element_Stiffness!$C$215,Element_Stiffness!T243,IF(5=Element_Stiffness!$E$215,Element_Stiffness!Z243,0)),0)),0)</f>
        <v/>
      </c>
      <c r="AL18" s="21">
        <f>IF(Element_Stiffness!$C$6,IF(Element_Stiffness!$C$5=2,IF(5=Element_Stiffness!$C$5,Element_Stiffness!U27,IF(5=Element_Stiffness!$E$5,Element_Stiffness!AA27,0)),IF(Element_Stiffness!$E$5=2,IF(5=Element_Stiffness!$C$5,Element_Stiffness!U33,IF(5=Element_Stiffness!$E$5,Element_Stiffness!AA33,0)),0)),0)+IF(Element_Stiffness!$C$41,IF(Element_Stiffness!$C$40=2,IF(5=Element_Stiffness!$C$40,Element_Stiffness!U62,IF(5=Element_Stiffness!$E$40,Element_Stiffness!AA62,0)),IF(Element_Stiffness!$E$40=2,IF(5=Element_Stiffness!$C$40,Element_Stiffness!U68,IF(5=Element_Stiffness!$E$40,Element_Stiffness!AA68,0)),0)),0)+IF(Element_Stiffness!$C$76,IF(Element_Stiffness!$C$75=2,IF(5=Element_Stiffness!$C$75,Element_Stiffness!U97,IF(5=Element_Stiffness!$E$75,Element_Stiffness!AA97,0)),IF(Element_Stiffness!$E$75=2,IF(5=Element_Stiffness!$C$75,Element_Stiffness!U103,IF(5=Element_Stiffness!$E$75,Element_Stiffness!AA103,0)),0)),0)+IF(Element_Stiffness!$C$111,IF(Element_Stiffness!$C$110=2,IF(5=Element_Stiffness!$C$110,Element_Stiffness!U132,IF(5=Element_Stiffness!$E$110,Element_Stiffness!AA132,0)),IF(Element_Stiffness!$E$110=2,IF(5=Element_Stiffness!$C$110,Element_Stiffness!U138,IF(5=Element_Stiffness!$E$110,Element_Stiffness!AA138,0)),0)),0)+IF(Element_Stiffness!$C$146,IF(Element_Stiffness!$C$145=2,IF(5=Element_Stiffness!$C$145,Element_Stiffness!U167,IF(5=Element_Stiffness!$E$145,Element_Stiffness!AA167,0)),IF(Element_Stiffness!$E$145=2,IF(5=Element_Stiffness!$C$145,Element_Stiffness!U173,IF(5=Element_Stiffness!$E$145,Element_Stiffness!AA173,0)),0)),0)+IF(Element_Stiffness!$C$181,IF(Element_Stiffness!$C$180=2,IF(5=Element_Stiffness!$C$180,Element_Stiffness!U202,IF(5=Element_Stiffness!$E$180,Element_Stiffness!AA202,0)),IF(Element_Stiffness!$E$180=2,IF(5=Element_Stiffness!$C$180,Element_Stiffness!U208,IF(5=Element_Stiffness!$E$180,Element_Stiffness!AA208,0)),0)),0)+IF(Element_Stiffness!$C$216,IF(Element_Stiffness!$C$215=2,IF(5=Element_Stiffness!$C$215,Element_Stiffness!U237,IF(5=Element_Stiffness!$E$215,Element_Stiffness!AA237,0)),IF(Element_Stiffness!$E$215=2,IF(5=Element_Stiffness!$C$215,Element_Stiffness!U243,IF(5=Element_Stiffness!$E$215,Element_Stiffness!AA243,0)),0)),0)</f>
        <v/>
      </c>
      <c r="AM18" s="21">
        <f>IF(Element_Stiffness!$C$6,IF(Element_Stiffness!$C$5=2,IF(6=Element_Stiffness!$C$5,Element_Stiffness!P27,IF(6=Element_Stiffness!$E$5,Element_Stiffness!V27,0)),IF(Element_Stiffness!$E$5=2,IF(6=Element_Stiffness!$C$5,Element_Stiffness!P33,IF(6=Element_Stiffness!$E$5,Element_Stiffness!V33,0)),0)),0)+IF(Element_Stiffness!$C$41,IF(Element_Stiffness!$C$40=2,IF(6=Element_Stiffness!$C$40,Element_Stiffness!P62,IF(6=Element_Stiffness!$E$40,Element_Stiffness!V62,0)),IF(Element_Stiffness!$E$40=2,IF(6=Element_Stiffness!$C$40,Element_Stiffness!P68,IF(6=Element_Stiffness!$E$40,Element_Stiffness!V68,0)),0)),0)+IF(Element_Stiffness!$C$76,IF(Element_Stiffness!$C$75=2,IF(6=Element_Stiffness!$C$75,Element_Stiffness!P97,IF(6=Element_Stiffness!$E$75,Element_Stiffness!V97,0)),IF(Element_Stiffness!$E$75=2,IF(6=Element_Stiffness!$C$75,Element_Stiffness!P103,IF(6=Element_Stiffness!$E$75,Element_Stiffness!V103,0)),0)),0)+IF(Element_Stiffness!$C$111,IF(Element_Stiffness!$C$110=2,IF(6=Element_Stiffness!$C$110,Element_Stiffness!P132,IF(6=Element_Stiffness!$E$110,Element_Stiffness!V132,0)),IF(Element_Stiffness!$E$110=2,IF(6=Element_Stiffness!$C$110,Element_Stiffness!P138,IF(6=Element_Stiffness!$E$110,Element_Stiffness!V138,0)),0)),0)+IF(Element_Stiffness!$C$146,IF(Element_Stiffness!$C$145=2,IF(6=Element_Stiffness!$C$145,Element_Stiffness!P167,IF(6=Element_Stiffness!$E$145,Element_Stiffness!V167,0)),IF(Element_Stiffness!$E$145=2,IF(6=Element_Stiffness!$C$145,Element_Stiffness!P173,IF(6=Element_Stiffness!$E$145,Element_Stiffness!V173,0)),0)),0)+IF(Element_Stiffness!$C$181,IF(Element_Stiffness!$C$180=2,IF(6=Element_Stiffness!$C$180,Element_Stiffness!P202,IF(6=Element_Stiffness!$E$180,Element_Stiffness!V202,0)),IF(Element_Stiffness!$E$180=2,IF(6=Element_Stiffness!$C$180,Element_Stiffness!P208,IF(6=Element_Stiffness!$E$180,Element_Stiffness!V208,0)),0)),0)+IF(Element_Stiffness!$C$216,IF(Element_Stiffness!$C$215=2,IF(6=Element_Stiffness!$C$215,Element_Stiffness!P237,IF(6=Element_Stiffness!$E$215,Element_Stiffness!V237,0)),IF(Element_Stiffness!$E$215=2,IF(6=Element_Stiffness!$C$215,Element_Stiffness!P243,IF(6=Element_Stiffness!$E$215,Element_Stiffness!V243,0)),0)),0)</f>
        <v/>
      </c>
      <c r="AN18" s="21">
        <f>IF(Element_Stiffness!$C$6,IF(Element_Stiffness!$C$5=2,IF(6=Element_Stiffness!$C$5,Element_Stiffness!Q27,IF(6=Element_Stiffness!$E$5,Element_Stiffness!W27,0)),IF(Element_Stiffness!$E$5=2,IF(6=Element_Stiffness!$C$5,Element_Stiffness!Q33,IF(6=Element_Stiffness!$E$5,Element_Stiffness!W33,0)),0)),0)+IF(Element_Stiffness!$C$41,IF(Element_Stiffness!$C$40=2,IF(6=Element_Stiffness!$C$40,Element_Stiffness!Q62,IF(6=Element_Stiffness!$E$40,Element_Stiffness!W62,0)),IF(Element_Stiffness!$E$40=2,IF(6=Element_Stiffness!$C$40,Element_Stiffness!Q68,IF(6=Element_Stiffness!$E$40,Element_Stiffness!W68,0)),0)),0)+IF(Element_Stiffness!$C$76,IF(Element_Stiffness!$C$75=2,IF(6=Element_Stiffness!$C$75,Element_Stiffness!Q97,IF(6=Element_Stiffness!$E$75,Element_Stiffness!W97,0)),IF(Element_Stiffness!$E$75=2,IF(6=Element_Stiffness!$C$75,Element_Stiffness!Q103,IF(6=Element_Stiffness!$E$75,Element_Stiffness!W103,0)),0)),0)+IF(Element_Stiffness!$C$111,IF(Element_Stiffness!$C$110=2,IF(6=Element_Stiffness!$C$110,Element_Stiffness!Q132,IF(6=Element_Stiffness!$E$110,Element_Stiffness!W132,0)),IF(Element_Stiffness!$E$110=2,IF(6=Element_Stiffness!$C$110,Element_Stiffness!Q138,IF(6=Element_Stiffness!$E$110,Element_Stiffness!W138,0)),0)),0)+IF(Element_Stiffness!$C$146,IF(Element_Stiffness!$C$145=2,IF(6=Element_Stiffness!$C$145,Element_Stiffness!Q167,IF(6=Element_Stiffness!$E$145,Element_Stiffness!W167,0)),IF(Element_Stiffness!$E$145=2,IF(6=Element_Stiffness!$C$145,Element_Stiffness!Q173,IF(6=Element_Stiffness!$E$145,Element_Stiffness!W173,0)),0)),0)+IF(Element_Stiffness!$C$181,IF(Element_Stiffness!$C$180=2,IF(6=Element_Stiffness!$C$180,Element_Stiffness!Q202,IF(6=Element_Stiffness!$E$180,Element_Stiffness!W202,0)),IF(Element_Stiffness!$E$180=2,IF(6=Element_Stiffness!$C$180,Element_Stiffness!Q208,IF(6=Element_Stiffness!$E$180,Element_Stiffness!W208,0)),0)),0)+IF(Element_Stiffness!$C$216,IF(Element_Stiffness!$C$215=2,IF(6=Element_Stiffness!$C$215,Element_Stiffness!Q237,IF(6=Element_Stiffness!$E$215,Element_Stiffness!W237,0)),IF(Element_Stiffness!$E$215=2,IF(6=Element_Stiffness!$C$215,Element_Stiffness!Q243,IF(6=Element_Stiffness!$E$215,Element_Stiffness!W243,0)),0)),0)</f>
        <v/>
      </c>
      <c r="AO18" s="21">
        <f>IF(Element_Stiffness!$C$6,IF(Element_Stiffness!$C$5=2,IF(6=Element_Stiffness!$C$5,Element_Stiffness!R27,IF(6=Element_Stiffness!$E$5,Element_Stiffness!X27,0)),IF(Element_Stiffness!$E$5=2,IF(6=Element_Stiffness!$C$5,Element_Stiffness!R33,IF(6=Element_Stiffness!$E$5,Element_Stiffness!X33,0)),0)),0)+IF(Element_Stiffness!$C$41,IF(Element_Stiffness!$C$40=2,IF(6=Element_Stiffness!$C$40,Element_Stiffness!R62,IF(6=Element_Stiffness!$E$40,Element_Stiffness!X62,0)),IF(Element_Stiffness!$E$40=2,IF(6=Element_Stiffness!$C$40,Element_Stiffness!R68,IF(6=Element_Stiffness!$E$40,Element_Stiffness!X68,0)),0)),0)+IF(Element_Stiffness!$C$76,IF(Element_Stiffness!$C$75=2,IF(6=Element_Stiffness!$C$75,Element_Stiffness!R97,IF(6=Element_Stiffness!$E$75,Element_Stiffness!X97,0)),IF(Element_Stiffness!$E$75=2,IF(6=Element_Stiffness!$C$75,Element_Stiffness!R103,IF(6=Element_Stiffness!$E$75,Element_Stiffness!X103,0)),0)),0)+IF(Element_Stiffness!$C$111,IF(Element_Stiffness!$C$110=2,IF(6=Element_Stiffness!$C$110,Element_Stiffness!R132,IF(6=Element_Stiffness!$E$110,Element_Stiffness!X132,0)),IF(Element_Stiffness!$E$110=2,IF(6=Element_Stiffness!$C$110,Element_Stiffness!R138,IF(6=Element_Stiffness!$E$110,Element_Stiffness!X138,0)),0)),0)+IF(Element_Stiffness!$C$146,IF(Element_Stiffness!$C$145=2,IF(6=Element_Stiffness!$C$145,Element_Stiffness!R167,IF(6=Element_Stiffness!$E$145,Element_Stiffness!X167,0)),IF(Element_Stiffness!$E$145=2,IF(6=Element_Stiffness!$C$145,Element_Stiffness!R173,IF(6=Element_Stiffness!$E$145,Element_Stiffness!X173,0)),0)),0)+IF(Element_Stiffness!$C$181,IF(Element_Stiffness!$C$180=2,IF(6=Element_Stiffness!$C$180,Element_Stiffness!R202,IF(6=Element_Stiffness!$E$180,Element_Stiffness!X202,0)),IF(Element_Stiffness!$E$180=2,IF(6=Element_Stiffness!$C$180,Element_Stiffness!R208,IF(6=Element_Stiffness!$E$180,Element_Stiffness!X208,0)),0)),0)+IF(Element_Stiffness!$C$216,IF(Element_Stiffness!$C$215=2,IF(6=Element_Stiffness!$C$215,Element_Stiffness!R237,IF(6=Element_Stiffness!$E$215,Element_Stiffness!X237,0)),IF(Element_Stiffness!$E$215=2,IF(6=Element_Stiffness!$C$215,Element_Stiffness!R243,IF(6=Element_Stiffness!$E$215,Element_Stiffness!X243,0)),0)),0)</f>
        <v/>
      </c>
      <c r="AP18" s="21">
        <f>IF(Element_Stiffness!$C$6,IF(Element_Stiffness!$C$5=2,IF(6=Element_Stiffness!$C$5,Element_Stiffness!S27,IF(6=Element_Stiffness!$E$5,Element_Stiffness!Y27,0)),IF(Element_Stiffness!$E$5=2,IF(6=Element_Stiffness!$C$5,Element_Stiffness!S33,IF(6=Element_Stiffness!$E$5,Element_Stiffness!Y33,0)),0)),0)+IF(Element_Stiffness!$C$41,IF(Element_Stiffness!$C$40=2,IF(6=Element_Stiffness!$C$40,Element_Stiffness!S62,IF(6=Element_Stiffness!$E$40,Element_Stiffness!Y62,0)),IF(Element_Stiffness!$E$40=2,IF(6=Element_Stiffness!$C$40,Element_Stiffness!S68,IF(6=Element_Stiffness!$E$40,Element_Stiffness!Y68,0)),0)),0)+IF(Element_Stiffness!$C$76,IF(Element_Stiffness!$C$75=2,IF(6=Element_Stiffness!$C$75,Element_Stiffness!S97,IF(6=Element_Stiffness!$E$75,Element_Stiffness!Y97,0)),IF(Element_Stiffness!$E$75=2,IF(6=Element_Stiffness!$C$75,Element_Stiffness!S103,IF(6=Element_Stiffness!$E$75,Element_Stiffness!Y103,0)),0)),0)+IF(Element_Stiffness!$C$111,IF(Element_Stiffness!$C$110=2,IF(6=Element_Stiffness!$C$110,Element_Stiffness!S132,IF(6=Element_Stiffness!$E$110,Element_Stiffness!Y132,0)),IF(Element_Stiffness!$E$110=2,IF(6=Element_Stiffness!$C$110,Element_Stiffness!S138,IF(6=Element_Stiffness!$E$110,Element_Stiffness!Y138,0)),0)),0)+IF(Element_Stiffness!$C$146,IF(Element_Stiffness!$C$145=2,IF(6=Element_Stiffness!$C$145,Element_Stiffness!S167,IF(6=Element_Stiffness!$E$145,Element_Stiffness!Y167,0)),IF(Element_Stiffness!$E$145=2,IF(6=Element_Stiffness!$C$145,Element_Stiffness!S173,IF(6=Element_Stiffness!$E$145,Element_Stiffness!Y173,0)),0)),0)+IF(Element_Stiffness!$C$181,IF(Element_Stiffness!$C$180=2,IF(6=Element_Stiffness!$C$180,Element_Stiffness!S202,IF(6=Element_Stiffness!$E$180,Element_Stiffness!Y202,0)),IF(Element_Stiffness!$E$180=2,IF(6=Element_Stiffness!$C$180,Element_Stiffness!S208,IF(6=Element_Stiffness!$E$180,Element_Stiffness!Y208,0)),0)),0)+IF(Element_Stiffness!$C$216,IF(Element_Stiffness!$C$215=2,IF(6=Element_Stiffness!$C$215,Element_Stiffness!S237,IF(6=Element_Stiffness!$E$215,Element_Stiffness!Y237,0)),IF(Element_Stiffness!$E$215=2,IF(6=Element_Stiffness!$C$215,Element_Stiffness!S243,IF(6=Element_Stiffness!$E$215,Element_Stiffness!Y243,0)),0)),0)</f>
        <v/>
      </c>
      <c r="AQ18" s="21">
        <f>IF(Element_Stiffness!$C$6,IF(Element_Stiffness!$C$5=2,IF(6=Element_Stiffness!$C$5,Element_Stiffness!T27,IF(6=Element_Stiffness!$E$5,Element_Stiffness!Z27,0)),IF(Element_Stiffness!$E$5=2,IF(6=Element_Stiffness!$C$5,Element_Stiffness!T33,IF(6=Element_Stiffness!$E$5,Element_Stiffness!Z33,0)),0)),0)+IF(Element_Stiffness!$C$41,IF(Element_Stiffness!$C$40=2,IF(6=Element_Stiffness!$C$40,Element_Stiffness!T62,IF(6=Element_Stiffness!$E$40,Element_Stiffness!Z62,0)),IF(Element_Stiffness!$E$40=2,IF(6=Element_Stiffness!$C$40,Element_Stiffness!T68,IF(6=Element_Stiffness!$E$40,Element_Stiffness!Z68,0)),0)),0)+IF(Element_Stiffness!$C$76,IF(Element_Stiffness!$C$75=2,IF(6=Element_Stiffness!$C$75,Element_Stiffness!T97,IF(6=Element_Stiffness!$E$75,Element_Stiffness!Z97,0)),IF(Element_Stiffness!$E$75=2,IF(6=Element_Stiffness!$C$75,Element_Stiffness!T103,IF(6=Element_Stiffness!$E$75,Element_Stiffness!Z103,0)),0)),0)+IF(Element_Stiffness!$C$111,IF(Element_Stiffness!$C$110=2,IF(6=Element_Stiffness!$C$110,Element_Stiffness!T132,IF(6=Element_Stiffness!$E$110,Element_Stiffness!Z132,0)),IF(Element_Stiffness!$E$110=2,IF(6=Element_Stiffness!$C$110,Element_Stiffness!T138,IF(6=Element_Stiffness!$E$110,Element_Stiffness!Z138,0)),0)),0)+IF(Element_Stiffness!$C$146,IF(Element_Stiffness!$C$145=2,IF(6=Element_Stiffness!$C$145,Element_Stiffness!T167,IF(6=Element_Stiffness!$E$145,Element_Stiffness!Z167,0)),IF(Element_Stiffness!$E$145=2,IF(6=Element_Stiffness!$C$145,Element_Stiffness!T173,IF(6=Element_Stiffness!$E$145,Element_Stiffness!Z173,0)),0)),0)+IF(Element_Stiffness!$C$181,IF(Element_Stiffness!$C$180=2,IF(6=Element_Stiffness!$C$180,Element_Stiffness!T202,IF(6=Element_Stiffness!$E$180,Element_Stiffness!Z202,0)),IF(Element_Stiffness!$E$180=2,IF(6=Element_Stiffness!$C$180,Element_Stiffness!T208,IF(6=Element_Stiffness!$E$180,Element_Stiffness!Z208,0)),0)),0)+IF(Element_Stiffness!$C$216,IF(Element_Stiffness!$C$215=2,IF(6=Element_Stiffness!$C$215,Element_Stiffness!T237,IF(6=Element_Stiffness!$E$215,Element_Stiffness!Z237,0)),IF(Element_Stiffness!$E$215=2,IF(6=Element_Stiffness!$C$215,Element_Stiffness!T243,IF(6=Element_Stiffness!$E$215,Element_Stiffness!Z243,0)),0)),0)</f>
        <v/>
      </c>
      <c r="AR18" s="21">
        <f>IF(Element_Stiffness!$C$6,IF(Element_Stiffness!$C$5=2,IF(6=Element_Stiffness!$C$5,Element_Stiffness!U27,IF(6=Element_Stiffness!$E$5,Element_Stiffness!AA27,0)),IF(Element_Stiffness!$E$5=2,IF(6=Element_Stiffness!$C$5,Element_Stiffness!U33,IF(6=Element_Stiffness!$E$5,Element_Stiffness!AA33,0)),0)),0)+IF(Element_Stiffness!$C$41,IF(Element_Stiffness!$C$40=2,IF(6=Element_Stiffness!$C$40,Element_Stiffness!U62,IF(6=Element_Stiffness!$E$40,Element_Stiffness!AA62,0)),IF(Element_Stiffness!$E$40=2,IF(6=Element_Stiffness!$C$40,Element_Stiffness!U68,IF(6=Element_Stiffness!$E$40,Element_Stiffness!AA68,0)),0)),0)+IF(Element_Stiffness!$C$76,IF(Element_Stiffness!$C$75=2,IF(6=Element_Stiffness!$C$75,Element_Stiffness!U97,IF(6=Element_Stiffness!$E$75,Element_Stiffness!AA97,0)),IF(Element_Stiffness!$E$75=2,IF(6=Element_Stiffness!$C$75,Element_Stiffness!U103,IF(6=Element_Stiffness!$E$75,Element_Stiffness!AA103,0)),0)),0)+IF(Element_Stiffness!$C$111,IF(Element_Stiffness!$C$110=2,IF(6=Element_Stiffness!$C$110,Element_Stiffness!U132,IF(6=Element_Stiffness!$E$110,Element_Stiffness!AA132,0)),IF(Element_Stiffness!$E$110=2,IF(6=Element_Stiffness!$C$110,Element_Stiffness!U138,IF(6=Element_Stiffness!$E$110,Element_Stiffness!AA138,0)),0)),0)+IF(Element_Stiffness!$C$146,IF(Element_Stiffness!$C$145=2,IF(6=Element_Stiffness!$C$145,Element_Stiffness!U167,IF(6=Element_Stiffness!$E$145,Element_Stiffness!AA167,0)),IF(Element_Stiffness!$E$145=2,IF(6=Element_Stiffness!$C$145,Element_Stiffness!U173,IF(6=Element_Stiffness!$E$145,Element_Stiffness!AA173,0)),0)),0)+IF(Element_Stiffness!$C$181,IF(Element_Stiffness!$C$180=2,IF(6=Element_Stiffness!$C$180,Element_Stiffness!U202,IF(6=Element_Stiffness!$E$180,Element_Stiffness!AA202,0)),IF(Element_Stiffness!$E$180=2,IF(6=Element_Stiffness!$C$180,Element_Stiffness!U208,IF(6=Element_Stiffness!$E$180,Element_Stiffness!AA208,0)),0)),0)+IF(Element_Stiffness!$C$216,IF(Element_Stiffness!$C$215=2,IF(6=Element_Stiffness!$C$215,Element_Stiffness!U237,IF(6=Element_Stiffness!$E$215,Element_Stiffness!AA237,0)),IF(Element_Stiffness!$E$215=2,IF(6=Element_Stiffness!$C$215,Element_Stiffness!U243,IF(6=Element_Stiffness!$E$215,Element_Stiffness!AA243,0)),0)),0)</f>
        <v/>
      </c>
      <c r="AS18" s="21">
        <f>IF(Element_Stiffness!$C$6,IF(Element_Stiffness!$C$5=2,IF(7=Element_Stiffness!$C$5,Element_Stiffness!P27,IF(7=Element_Stiffness!$E$5,Element_Stiffness!V27,0)),IF(Element_Stiffness!$E$5=2,IF(7=Element_Stiffness!$C$5,Element_Stiffness!P33,IF(7=Element_Stiffness!$E$5,Element_Stiffness!V33,0)),0)),0)+IF(Element_Stiffness!$C$41,IF(Element_Stiffness!$C$40=2,IF(7=Element_Stiffness!$C$40,Element_Stiffness!P62,IF(7=Element_Stiffness!$E$40,Element_Stiffness!V62,0)),IF(Element_Stiffness!$E$40=2,IF(7=Element_Stiffness!$C$40,Element_Stiffness!P68,IF(7=Element_Stiffness!$E$40,Element_Stiffness!V68,0)),0)),0)+IF(Element_Stiffness!$C$76,IF(Element_Stiffness!$C$75=2,IF(7=Element_Stiffness!$C$75,Element_Stiffness!P97,IF(7=Element_Stiffness!$E$75,Element_Stiffness!V97,0)),IF(Element_Stiffness!$E$75=2,IF(7=Element_Stiffness!$C$75,Element_Stiffness!P103,IF(7=Element_Stiffness!$E$75,Element_Stiffness!V103,0)),0)),0)+IF(Element_Stiffness!$C$111,IF(Element_Stiffness!$C$110=2,IF(7=Element_Stiffness!$C$110,Element_Stiffness!P132,IF(7=Element_Stiffness!$E$110,Element_Stiffness!V132,0)),IF(Element_Stiffness!$E$110=2,IF(7=Element_Stiffness!$C$110,Element_Stiffness!P138,IF(7=Element_Stiffness!$E$110,Element_Stiffness!V138,0)),0)),0)+IF(Element_Stiffness!$C$146,IF(Element_Stiffness!$C$145=2,IF(7=Element_Stiffness!$C$145,Element_Stiffness!P167,IF(7=Element_Stiffness!$E$145,Element_Stiffness!V167,0)),IF(Element_Stiffness!$E$145=2,IF(7=Element_Stiffness!$C$145,Element_Stiffness!P173,IF(7=Element_Stiffness!$E$145,Element_Stiffness!V173,0)),0)),0)+IF(Element_Stiffness!$C$181,IF(Element_Stiffness!$C$180=2,IF(7=Element_Stiffness!$C$180,Element_Stiffness!P202,IF(7=Element_Stiffness!$E$180,Element_Stiffness!V202,0)),IF(Element_Stiffness!$E$180=2,IF(7=Element_Stiffness!$C$180,Element_Stiffness!P208,IF(7=Element_Stiffness!$E$180,Element_Stiffness!V208,0)),0)),0)+IF(Element_Stiffness!$C$216,IF(Element_Stiffness!$C$215=2,IF(7=Element_Stiffness!$C$215,Element_Stiffness!P237,IF(7=Element_Stiffness!$E$215,Element_Stiffness!V237,0)),IF(Element_Stiffness!$E$215=2,IF(7=Element_Stiffness!$C$215,Element_Stiffness!P243,IF(7=Element_Stiffness!$E$215,Element_Stiffness!V243,0)),0)),0)</f>
        <v/>
      </c>
      <c r="AT18" s="21">
        <f>IF(Element_Stiffness!$C$6,IF(Element_Stiffness!$C$5=2,IF(7=Element_Stiffness!$C$5,Element_Stiffness!Q27,IF(7=Element_Stiffness!$E$5,Element_Stiffness!W27,0)),IF(Element_Stiffness!$E$5=2,IF(7=Element_Stiffness!$C$5,Element_Stiffness!Q33,IF(7=Element_Stiffness!$E$5,Element_Stiffness!W33,0)),0)),0)+IF(Element_Stiffness!$C$41,IF(Element_Stiffness!$C$40=2,IF(7=Element_Stiffness!$C$40,Element_Stiffness!Q62,IF(7=Element_Stiffness!$E$40,Element_Stiffness!W62,0)),IF(Element_Stiffness!$E$40=2,IF(7=Element_Stiffness!$C$40,Element_Stiffness!Q68,IF(7=Element_Stiffness!$E$40,Element_Stiffness!W68,0)),0)),0)+IF(Element_Stiffness!$C$76,IF(Element_Stiffness!$C$75=2,IF(7=Element_Stiffness!$C$75,Element_Stiffness!Q97,IF(7=Element_Stiffness!$E$75,Element_Stiffness!W97,0)),IF(Element_Stiffness!$E$75=2,IF(7=Element_Stiffness!$C$75,Element_Stiffness!Q103,IF(7=Element_Stiffness!$E$75,Element_Stiffness!W103,0)),0)),0)+IF(Element_Stiffness!$C$111,IF(Element_Stiffness!$C$110=2,IF(7=Element_Stiffness!$C$110,Element_Stiffness!Q132,IF(7=Element_Stiffness!$E$110,Element_Stiffness!W132,0)),IF(Element_Stiffness!$E$110=2,IF(7=Element_Stiffness!$C$110,Element_Stiffness!Q138,IF(7=Element_Stiffness!$E$110,Element_Stiffness!W138,0)),0)),0)+IF(Element_Stiffness!$C$146,IF(Element_Stiffness!$C$145=2,IF(7=Element_Stiffness!$C$145,Element_Stiffness!Q167,IF(7=Element_Stiffness!$E$145,Element_Stiffness!W167,0)),IF(Element_Stiffness!$E$145=2,IF(7=Element_Stiffness!$C$145,Element_Stiffness!Q173,IF(7=Element_Stiffness!$E$145,Element_Stiffness!W173,0)),0)),0)+IF(Element_Stiffness!$C$181,IF(Element_Stiffness!$C$180=2,IF(7=Element_Stiffness!$C$180,Element_Stiffness!Q202,IF(7=Element_Stiffness!$E$180,Element_Stiffness!W202,0)),IF(Element_Stiffness!$E$180=2,IF(7=Element_Stiffness!$C$180,Element_Stiffness!Q208,IF(7=Element_Stiffness!$E$180,Element_Stiffness!W208,0)),0)),0)+IF(Element_Stiffness!$C$216,IF(Element_Stiffness!$C$215=2,IF(7=Element_Stiffness!$C$215,Element_Stiffness!Q237,IF(7=Element_Stiffness!$E$215,Element_Stiffness!W237,0)),IF(Element_Stiffness!$E$215=2,IF(7=Element_Stiffness!$C$215,Element_Stiffness!Q243,IF(7=Element_Stiffness!$E$215,Element_Stiffness!W243,0)),0)),0)</f>
        <v/>
      </c>
      <c r="AU18" s="21">
        <f>IF(Element_Stiffness!$C$6,IF(Element_Stiffness!$C$5=2,IF(7=Element_Stiffness!$C$5,Element_Stiffness!R27,IF(7=Element_Stiffness!$E$5,Element_Stiffness!X27,0)),IF(Element_Stiffness!$E$5=2,IF(7=Element_Stiffness!$C$5,Element_Stiffness!R33,IF(7=Element_Stiffness!$E$5,Element_Stiffness!X33,0)),0)),0)+IF(Element_Stiffness!$C$41,IF(Element_Stiffness!$C$40=2,IF(7=Element_Stiffness!$C$40,Element_Stiffness!R62,IF(7=Element_Stiffness!$E$40,Element_Stiffness!X62,0)),IF(Element_Stiffness!$E$40=2,IF(7=Element_Stiffness!$C$40,Element_Stiffness!R68,IF(7=Element_Stiffness!$E$40,Element_Stiffness!X68,0)),0)),0)+IF(Element_Stiffness!$C$76,IF(Element_Stiffness!$C$75=2,IF(7=Element_Stiffness!$C$75,Element_Stiffness!R97,IF(7=Element_Stiffness!$E$75,Element_Stiffness!X97,0)),IF(Element_Stiffness!$E$75=2,IF(7=Element_Stiffness!$C$75,Element_Stiffness!R103,IF(7=Element_Stiffness!$E$75,Element_Stiffness!X103,0)),0)),0)+IF(Element_Stiffness!$C$111,IF(Element_Stiffness!$C$110=2,IF(7=Element_Stiffness!$C$110,Element_Stiffness!R132,IF(7=Element_Stiffness!$E$110,Element_Stiffness!X132,0)),IF(Element_Stiffness!$E$110=2,IF(7=Element_Stiffness!$C$110,Element_Stiffness!R138,IF(7=Element_Stiffness!$E$110,Element_Stiffness!X138,0)),0)),0)+IF(Element_Stiffness!$C$146,IF(Element_Stiffness!$C$145=2,IF(7=Element_Stiffness!$C$145,Element_Stiffness!R167,IF(7=Element_Stiffness!$E$145,Element_Stiffness!X167,0)),IF(Element_Stiffness!$E$145=2,IF(7=Element_Stiffness!$C$145,Element_Stiffness!R173,IF(7=Element_Stiffness!$E$145,Element_Stiffness!X173,0)),0)),0)+IF(Element_Stiffness!$C$181,IF(Element_Stiffness!$C$180=2,IF(7=Element_Stiffness!$C$180,Element_Stiffness!R202,IF(7=Element_Stiffness!$E$180,Element_Stiffness!X202,0)),IF(Element_Stiffness!$E$180=2,IF(7=Element_Stiffness!$C$180,Element_Stiffness!R208,IF(7=Element_Stiffness!$E$180,Element_Stiffness!X208,0)),0)),0)+IF(Element_Stiffness!$C$216,IF(Element_Stiffness!$C$215=2,IF(7=Element_Stiffness!$C$215,Element_Stiffness!R237,IF(7=Element_Stiffness!$E$215,Element_Stiffness!X237,0)),IF(Element_Stiffness!$E$215=2,IF(7=Element_Stiffness!$C$215,Element_Stiffness!R243,IF(7=Element_Stiffness!$E$215,Element_Stiffness!X243,0)),0)),0)</f>
        <v/>
      </c>
      <c r="AV18" s="21">
        <f>IF(Element_Stiffness!$C$6,IF(Element_Stiffness!$C$5=2,IF(7=Element_Stiffness!$C$5,Element_Stiffness!S27,IF(7=Element_Stiffness!$E$5,Element_Stiffness!Y27,0)),IF(Element_Stiffness!$E$5=2,IF(7=Element_Stiffness!$C$5,Element_Stiffness!S33,IF(7=Element_Stiffness!$E$5,Element_Stiffness!Y33,0)),0)),0)+IF(Element_Stiffness!$C$41,IF(Element_Stiffness!$C$40=2,IF(7=Element_Stiffness!$C$40,Element_Stiffness!S62,IF(7=Element_Stiffness!$E$40,Element_Stiffness!Y62,0)),IF(Element_Stiffness!$E$40=2,IF(7=Element_Stiffness!$C$40,Element_Stiffness!S68,IF(7=Element_Stiffness!$E$40,Element_Stiffness!Y68,0)),0)),0)+IF(Element_Stiffness!$C$76,IF(Element_Stiffness!$C$75=2,IF(7=Element_Stiffness!$C$75,Element_Stiffness!S97,IF(7=Element_Stiffness!$E$75,Element_Stiffness!Y97,0)),IF(Element_Stiffness!$E$75=2,IF(7=Element_Stiffness!$C$75,Element_Stiffness!S103,IF(7=Element_Stiffness!$E$75,Element_Stiffness!Y103,0)),0)),0)+IF(Element_Stiffness!$C$111,IF(Element_Stiffness!$C$110=2,IF(7=Element_Stiffness!$C$110,Element_Stiffness!S132,IF(7=Element_Stiffness!$E$110,Element_Stiffness!Y132,0)),IF(Element_Stiffness!$E$110=2,IF(7=Element_Stiffness!$C$110,Element_Stiffness!S138,IF(7=Element_Stiffness!$E$110,Element_Stiffness!Y138,0)),0)),0)+IF(Element_Stiffness!$C$146,IF(Element_Stiffness!$C$145=2,IF(7=Element_Stiffness!$C$145,Element_Stiffness!S167,IF(7=Element_Stiffness!$E$145,Element_Stiffness!Y167,0)),IF(Element_Stiffness!$E$145=2,IF(7=Element_Stiffness!$C$145,Element_Stiffness!S173,IF(7=Element_Stiffness!$E$145,Element_Stiffness!Y173,0)),0)),0)+IF(Element_Stiffness!$C$181,IF(Element_Stiffness!$C$180=2,IF(7=Element_Stiffness!$C$180,Element_Stiffness!S202,IF(7=Element_Stiffness!$E$180,Element_Stiffness!Y202,0)),IF(Element_Stiffness!$E$180=2,IF(7=Element_Stiffness!$C$180,Element_Stiffness!S208,IF(7=Element_Stiffness!$E$180,Element_Stiffness!Y208,0)),0)),0)+IF(Element_Stiffness!$C$216,IF(Element_Stiffness!$C$215=2,IF(7=Element_Stiffness!$C$215,Element_Stiffness!S237,IF(7=Element_Stiffness!$E$215,Element_Stiffness!Y237,0)),IF(Element_Stiffness!$E$215=2,IF(7=Element_Stiffness!$C$215,Element_Stiffness!S243,IF(7=Element_Stiffness!$E$215,Element_Stiffness!Y243,0)),0)),0)</f>
        <v/>
      </c>
      <c r="AW18" s="21">
        <f>IF(Element_Stiffness!$C$6,IF(Element_Stiffness!$C$5=2,IF(7=Element_Stiffness!$C$5,Element_Stiffness!T27,IF(7=Element_Stiffness!$E$5,Element_Stiffness!Z27,0)),IF(Element_Stiffness!$E$5=2,IF(7=Element_Stiffness!$C$5,Element_Stiffness!T33,IF(7=Element_Stiffness!$E$5,Element_Stiffness!Z33,0)),0)),0)+IF(Element_Stiffness!$C$41,IF(Element_Stiffness!$C$40=2,IF(7=Element_Stiffness!$C$40,Element_Stiffness!T62,IF(7=Element_Stiffness!$E$40,Element_Stiffness!Z62,0)),IF(Element_Stiffness!$E$40=2,IF(7=Element_Stiffness!$C$40,Element_Stiffness!T68,IF(7=Element_Stiffness!$E$40,Element_Stiffness!Z68,0)),0)),0)+IF(Element_Stiffness!$C$76,IF(Element_Stiffness!$C$75=2,IF(7=Element_Stiffness!$C$75,Element_Stiffness!T97,IF(7=Element_Stiffness!$E$75,Element_Stiffness!Z97,0)),IF(Element_Stiffness!$E$75=2,IF(7=Element_Stiffness!$C$75,Element_Stiffness!T103,IF(7=Element_Stiffness!$E$75,Element_Stiffness!Z103,0)),0)),0)+IF(Element_Stiffness!$C$111,IF(Element_Stiffness!$C$110=2,IF(7=Element_Stiffness!$C$110,Element_Stiffness!T132,IF(7=Element_Stiffness!$E$110,Element_Stiffness!Z132,0)),IF(Element_Stiffness!$E$110=2,IF(7=Element_Stiffness!$C$110,Element_Stiffness!T138,IF(7=Element_Stiffness!$E$110,Element_Stiffness!Z138,0)),0)),0)+IF(Element_Stiffness!$C$146,IF(Element_Stiffness!$C$145=2,IF(7=Element_Stiffness!$C$145,Element_Stiffness!T167,IF(7=Element_Stiffness!$E$145,Element_Stiffness!Z167,0)),IF(Element_Stiffness!$E$145=2,IF(7=Element_Stiffness!$C$145,Element_Stiffness!T173,IF(7=Element_Stiffness!$E$145,Element_Stiffness!Z173,0)),0)),0)+IF(Element_Stiffness!$C$181,IF(Element_Stiffness!$C$180=2,IF(7=Element_Stiffness!$C$180,Element_Stiffness!T202,IF(7=Element_Stiffness!$E$180,Element_Stiffness!Z202,0)),IF(Element_Stiffness!$E$180=2,IF(7=Element_Stiffness!$C$180,Element_Stiffness!T208,IF(7=Element_Stiffness!$E$180,Element_Stiffness!Z208,0)),0)),0)+IF(Element_Stiffness!$C$216,IF(Element_Stiffness!$C$215=2,IF(7=Element_Stiffness!$C$215,Element_Stiffness!T237,IF(7=Element_Stiffness!$E$215,Element_Stiffness!Z237,0)),IF(Element_Stiffness!$E$215=2,IF(7=Element_Stiffness!$C$215,Element_Stiffness!T243,IF(7=Element_Stiffness!$E$215,Element_Stiffness!Z243,0)),0)),0)</f>
        <v/>
      </c>
      <c r="AX18" s="21">
        <f>IF(Element_Stiffness!$C$6,IF(Element_Stiffness!$C$5=2,IF(7=Element_Stiffness!$C$5,Element_Stiffness!U27,IF(7=Element_Stiffness!$E$5,Element_Stiffness!AA27,0)),IF(Element_Stiffness!$E$5=2,IF(7=Element_Stiffness!$C$5,Element_Stiffness!U33,IF(7=Element_Stiffness!$E$5,Element_Stiffness!AA33,0)),0)),0)+IF(Element_Stiffness!$C$41,IF(Element_Stiffness!$C$40=2,IF(7=Element_Stiffness!$C$40,Element_Stiffness!U62,IF(7=Element_Stiffness!$E$40,Element_Stiffness!AA62,0)),IF(Element_Stiffness!$E$40=2,IF(7=Element_Stiffness!$C$40,Element_Stiffness!U68,IF(7=Element_Stiffness!$E$40,Element_Stiffness!AA68,0)),0)),0)+IF(Element_Stiffness!$C$76,IF(Element_Stiffness!$C$75=2,IF(7=Element_Stiffness!$C$75,Element_Stiffness!U97,IF(7=Element_Stiffness!$E$75,Element_Stiffness!AA97,0)),IF(Element_Stiffness!$E$75=2,IF(7=Element_Stiffness!$C$75,Element_Stiffness!U103,IF(7=Element_Stiffness!$E$75,Element_Stiffness!AA103,0)),0)),0)+IF(Element_Stiffness!$C$111,IF(Element_Stiffness!$C$110=2,IF(7=Element_Stiffness!$C$110,Element_Stiffness!U132,IF(7=Element_Stiffness!$E$110,Element_Stiffness!AA132,0)),IF(Element_Stiffness!$E$110=2,IF(7=Element_Stiffness!$C$110,Element_Stiffness!U138,IF(7=Element_Stiffness!$E$110,Element_Stiffness!AA138,0)),0)),0)+IF(Element_Stiffness!$C$146,IF(Element_Stiffness!$C$145=2,IF(7=Element_Stiffness!$C$145,Element_Stiffness!U167,IF(7=Element_Stiffness!$E$145,Element_Stiffness!AA167,0)),IF(Element_Stiffness!$E$145=2,IF(7=Element_Stiffness!$C$145,Element_Stiffness!U173,IF(7=Element_Stiffness!$E$145,Element_Stiffness!AA173,0)),0)),0)+IF(Element_Stiffness!$C$181,IF(Element_Stiffness!$C$180=2,IF(7=Element_Stiffness!$C$180,Element_Stiffness!U202,IF(7=Element_Stiffness!$E$180,Element_Stiffness!AA202,0)),IF(Element_Stiffness!$E$180=2,IF(7=Element_Stiffness!$C$180,Element_Stiffness!U208,IF(7=Element_Stiffness!$E$180,Element_Stiffness!AA208,0)),0)),0)+IF(Element_Stiffness!$C$216,IF(Element_Stiffness!$C$215=2,IF(7=Element_Stiffness!$C$215,Element_Stiffness!U237,IF(7=Element_Stiffness!$E$215,Element_Stiffness!AA237,0)),IF(Element_Stiffness!$E$215=2,IF(7=Element_Stiffness!$C$215,Element_Stiffness!U243,IF(7=Element_Stiffness!$E$215,Element_Stiffness!AA243,0)),0)),0)</f>
        <v/>
      </c>
      <c r="AY18" s="21" t="n">
        <v>0</v>
      </c>
      <c r="AZ18" s="21">
        <f>IF(Element_Stiffness!$C$6,IF(Element_Stiffness!$C$5=2,Element_Stiffness!C27,IF(Element_Stiffness!$E$5=2,Element_Stiffness!C33,0)),0)+IF(Element_Stiffness!$C$41,IF(Element_Stiffness!$C$40=2,Element_Stiffness!C62,IF(Element_Stiffness!$E$40=2,Element_Stiffness!C68,0)),0)+IF(Element_Stiffness!$C$76,IF(Element_Stiffness!$C$75=2,Element_Stiffness!C97,IF(Element_Stiffness!$E$75=2,Element_Stiffness!C103,0)),0)+IF(Element_Stiffness!$C$111,IF(Element_Stiffness!$C$110=2,Element_Stiffness!C132,IF(Element_Stiffness!$E$110=2,Element_Stiffness!C138,0)),0)+IF(Element_Stiffness!$C$146,IF(Element_Stiffness!$C$145=2,Element_Stiffness!C167,IF(Element_Stiffness!$E$145=2,Element_Stiffness!C173,0)),0)+IF(Element_Stiffness!$C$181,IF(Element_Stiffness!$C$180=2,Element_Stiffness!C202,IF(Element_Stiffness!$E$180=2,Element_Stiffness!C208,0)),0)+IF(Element_Stiffness!$C$216,IF(Element_Stiffness!$C$215=2,Element_Stiffness!C237,IF(Element_Stiffness!$E$215=2,Element_Stiffness!C243,0)),0)</f>
        <v/>
      </c>
      <c r="BB18" s="28">
        <f>INDEX(MMULT(MINVERSE(C5:AX52), AY5:AY52), 14, 1)</f>
        <v/>
      </c>
      <c r="BC18" s="28">
        <f>INDEX(MMULT(MINVERSE(C5:AX52), AZ5:AZ52), 14, 1)</f>
        <v/>
      </c>
    </row>
    <row r="19">
      <c r="B19" s="27" t="inlineStr">
        <is>
          <t>N2_tz</t>
        </is>
      </c>
      <c r="C19" s="21">
        <f>IF(Element_Stiffness!$C$6,IF(Element_Stiffness!$C$5=2,IF(0=Element_Stiffness!$C$5,Element_Stiffness!P28,IF(0=Element_Stiffness!$E$5,Element_Stiffness!V28,0)),IF(Element_Stiffness!$E$5=2,IF(0=Element_Stiffness!$C$5,Element_Stiffness!P34,IF(0=Element_Stiffness!$E$5,Element_Stiffness!V34,0)),0)),0)+IF(Element_Stiffness!$C$41,IF(Element_Stiffness!$C$40=2,IF(0=Element_Stiffness!$C$40,Element_Stiffness!P63,IF(0=Element_Stiffness!$E$40,Element_Stiffness!V63,0)),IF(Element_Stiffness!$E$40=2,IF(0=Element_Stiffness!$C$40,Element_Stiffness!P69,IF(0=Element_Stiffness!$E$40,Element_Stiffness!V69,0)),0)),0)+IF(Element_Stiffness!$C$76,IF(Element_Stiffness!$C$75=2,IF(0=Element_Stiffness!$C$75,Element_Stiffness!P98,IF(0=Element_Stiffness!$E$75,Element_Stiffness!V98,0)),IF(Element_Stiffness!$E$75=2,IF(0=Element_Stiffness!$C$75,Element_Stiffness!P104,IF(0=Element_Stiffness!$E$75,Element_Stiffness!V104,0)),0)),0)+IF(Element_Stiffness!$C$111,IF(Element_Stiffness!$C$110=2,IF(0=Element_Stiffness!$C$110,Element_Stiffness!P133,IF(0=Element_Stiffness!$E$110,Element_Stiffness!V133,0)),IF(Element_Stiffness!$E$110=2,IF(0=Element_Stiffness!$C$110,Element_Stiffness!P139,IF(0=Element_Stiffness!$E$110,Element_Stiffness!V139,0)),0)),0)+IF(Element_Stiffness!$C$146,IF(Element_Stiffness!$C$145=2,IF(0=Element_Stiffness!$C$145,Element_Stiffness!P168,IF(0=Element_Stiffness!$E$145,Element_Stiffness!V168,0)),IF(Element_Stiffness!$E$145=2,IF(0=Element_Stiffness!$C$145,Element_Stiffness!P174,IF(0=Element_Stiffness!$E$145,Element_Stiffness!V174,0)),0)),0)+IF(Element_Stiffness!$C$181,IF(Element_Stiffness!$C$180=2,IF(0=Element_Stiffness!$C$180,Element_Stiffness!P203,IF(0=Element_Stiffness!$E$180,Element_Stiffness!V203,0)),IF(Element_Stiffness!$E$180=2,IF(0=Element_Stiffness!$C$180,Element_Stiffness!P209,IF(0=Element_Stiffness!$E$180,Element_Stiffness!V209,0)),0)),0)+IF(Element_Stiffness!$C$216,IF(Element_Stiffness!$C$215=2,IF(0=Element_Stiffness!$C$215,Element_Stiffness!P238,IF(0=Element_Stiffness!$E$215,Element_Stiffness!V238,0)),IF(Element_Stiffness!$E$215=2,IF(0=Element_Stiffness!$C$215,Element_Stiffness!P244,IF(0=Element_Stiffness!$E$215,Element_Stiffness!V244,0)),0)),0)</f>
        <v/>
      </c>
      <c r="D19" s="21">
        <f>IF(Element_Stiffness!$C$6,IF(Element_Stiffness!$C$5=2,IF(0=Element_Stiffness!$C$5,Element_Stiffness!Q28,IF(0=Element_Stiffness!$E$5,Element_Stiffness!W28,0)),IF(Element_Stiffness!$E$5=2,IF(0=Element_Stiffness!$C$5,Element_Stiffness!Q34,IF(0=Element_Stiffness!$E$5,Element_Stiffness!W34,0)),0)),0)+IF(Element_Stiffness!$C$41,IF(Element_Stiffness!$C$40=2,IF(0=Element_Stiffness!$C$40,Element_Stiffness!Q63,IF(0=Element_Stiffness!$E$40,Element_Stiffness!W63,0)),IF(Element_Stiffness!$E$40=2,IF(0=Element_Stiffness!$C$40,Element_Stiffness!Q69,IF(0=Element_Stiffness!$E$40,Element_Stiffness!W69,0)),0)),0)+IF(Element_Stiffness!$C$76,IF(Element_Stiffness!$C$75=2,IF(0=Element_Stiffness!$C$75,Element_Stiffness!Q98,IF(0=Element_Stiffness!$E$75,Element_Stiffness!W98,0)),IF(Element_Stiffness!$E$75=2,IF(0=Element_Stiffness!$C$75,Element_Stiffness!Q104,IF(0=Element_Stiffness!$E$75,Element_Stiffness!W104,0)),0)),0)+IF(Element_Stiffness!$C$111,IF(Element_Stiffness!$C$110=2,IF(0=Element_Stiffness!$C$110,Element_Stiffness!Q133,IF(0=Element_Stiffness!$E$110,Element_Stiffness!W133,0)),IF(Element_Stiffness!$E$110=2,IF(0=Element_Stiffness!$C$110,Element_Stiffness!Q139,IF(0=Element_Stiffness!$E$110,Element_Stiffness!W139,0)),0)),0)+IF(Element_Stiffness!$C$146,IF(Element_Stiffness!$C$145=2,IF(0=Element_Stiffness!$C$145,Element_Stiffness!Q168,IF(0=Element_Stiffness!$E$145,Element_Stiffness!W168,0)),IF(Element_Stiffness!$E$145=2,IF(0=Element_Stiffness!$C$145,Element_Stiffness!Q174,IF(0=Element_Stiffness!$E$145,Element_Stiffness!W174,0)),0)),0)+IF(Element_Stiffness!$C$181,IF(Element_Stiffness!$C$180=2,IF(0=Element_Stiffness!$C$180,Element_Stiffness!Q203,IF(0=Element_Stiffness!$E$180,Element_Stiffness!W203,0)),IF(Element_Stiffness!$E$180=2,IF(0=Element_Stiffness!$C$180,Element_Stiffness!Q209,IF(0=Element_Stiffness!$E$180,Element_Stiffness!W209,0)),0)),0)+IF(Element_Stiffness!$C$216,IF(Element_Stiffness!$C$215=2,IF(0=Element_Stiffness!$C$215,Element_Stiffness!Q238,IF(0=Element_Stiffness!$E$215,Element_Stiffness!W238,0)),IF(Element_Stiffness!$E$215=2,IF(0=Element_Stiffness!$C$215,Element_Stiffness!Q244,IF(0=Element_Stiffness!$E$215,Element_Stiffness!W244,0)),0)),0)</f>
        <v/>
      </c>
      <c r="E19" s="21">
        <f>IF(Element_Stiffness!$C$6,IF(Element_Stiffness!$C$5=2,IF(0=Element_Stiffness!$C$5,Element_Stiffness!R28,IF(0=Element_Stiffness!$E$5,Element_Stiffness!X28,0)),IF(Element_Stiffness!$E$5=2,IF(0=Element_Stiffness!$C$5,Element_Stiffness!R34,IF(0=Element_Stiffness!$E$5,Element_Stiffness!X34,0)),0)),0)+IF(Element_Stiffness!$C$41,IF(Element_Stiffness!$C$40=2,IF(0=Element_Stiffness!$C$40,Element_Stiffness!R63,IF(0=Element_Stiffness!$E$40,Element_Stiffness!X63,0)),IF(Element_Stiffness!$E$40=2,IF(0=Element_Stiffness!$C$40,Element_Stiffness!R69,IF(0=Element_Stiffness!$E$40,Element_Stiffness!X69,0)),0)),0)+IF(Element_Stiffness!$C$76,IF(Element_Stiffness!$C$75=2,IF(0=Element_Stiffness!$C$75,Element_Stiffness!R98,IF(0=Element_Stiffness!$E$75,Element_Stiffness!X98,0)),IF(Element_Stiffness!$E$75=2,IF(0=Element_Stiffness!$C$75,Element_Stiffness!R104,IF(0=Element_Stiffness!$E$75,Element_Stiffness!X104,0)),0)),0)+IF(Element_Stiffness!$C$111,IF(Element_Stiffness!$C$110=2,IF(0=Element_Stiffness!$C$110,Element_Stiffness!R133,IF(0=Element_Stiffness!$E$110,Element_Stiffness!X133,0)),IF(Element_Stiffness!$E$110=2,IF(0=Element_Stiffness!$C$110,Element_Stiffness!R139,IF(0=Element_Stiffness!$E$110,Element_Stiffness!X139,0)),0)),0)+IF(Element_Stiffness!$C$146,IF(Element_Stiffness!$C$145=2,IF(0=Element_Stiffness!$C$145,Element_Stiffness!R168,IF(0=Element_Stiffness!$E$145,Element_Stiffness!X168,0)),IF(Element_Stiffness!$E$145=2,IF(0=Element_Stiffness!$C$145,Element_Stiffness!R174,IF(0=Element_Stiffness!$E$145,Element_Stiffness!X174,0)),0)),0)+IF(Element_Stiffness!$C$181,IF(Element_Stiffness!$C$180=2,IF(0=Element_Stiffness!$C$180,Element_Stiffness!R203,IF(0=Element_Stiffness!$E$180,Element_Stiffness!X203,0)),IF(Element_Stiffness!$E$180=2,IF(0=Element_Stiffness!$C$180,Element_Stiffness!R209,IF(0=Element_Stiffness!$E$180,Element_Stiffness!X209,0)),0)),0)+IF(Element_Stiffness!$C$216,IF(Element_Stiffness!$C$215=2,IF(0=Element_Stiffness!$C$215,Element_Stiffness!R238,IF(0=Element_Stiffness!$E$215,Element_Stiffness!X238,0)),IF(Element_Stiffness!$E$215=2,IF(0=Element_Stiffness!$C$215,Element_Stiffness!R244,IF(0=Element_Stiffness!$E$215,Element_Stiffness!X244,0)),0)),0)</f>
        <v/>
      </c>
      <c r="F19" s="21">
        <f>IF(Element_Stiffness!$C$6,IF(Element_Stiffness!$C$5=2,IF(0=Element_Stiffness!$C$5,Element_Stiffness!S28,IF(0=Element_Stiffness!$E$5,Element_Stiffness!Y28,0)),IF(Element_Stiffness!$E$5=2,IF(0=Element_Stiffness!$C$5,Element_Stiffness!S34,IF(0=Element_Stiffness!$E$5,Element_Stiffness!Y34,0)),0)),0)+IF(Element_Stiffness!$C$41,IF(Element_Stiffness!$C$40=2,IF(0=Element_Stiffness!$C$40,Element_Stiffness!S63,IF(0=Element_Stiffness!$E$40,Element_Stiffness!Y63,0)),IF(Element_Stiffness!$E$40=2,IF(0=Element_Stiffness!$C$40,Element_Stiffness!S69,IF(0=Element_Stiffness!$E$40,Element_Stiffness!Y69,0)),0)),0)+IF(Element_Stiffness!$C$76,IF(Element_Stiffness!$C$75=2,IF(0=Element_Stiffness!$C$75,Element_Stiffness!S98,IF(0=Element_Stiffness!$E$75,Element_Stiffness!Y98,0)),IF(Element_Stiffness!$E$75=2,IF(0=Element_Stiffness!$C$75,Element_Stiffness!S104,IF(0=Element_Stiffness!$E$75,Element_Stiffness!Y104,0)),0)),0)+IF(Element_Stiffness!$C$111,IF(Element_Stiffness!$C$110=2,IF(0=Element_Stiffness!$C$110,Element_Stiffness!S133,IF(0=Element_Stiffness!$E$110,Element_Stiffness!Y133,0)),IF(Element_Stiffness!$E$110=2,IF(0=Element_Stiffness!$C$110,Element_Stiffness!S139,IF(0=Element_Stiffness!$E$110,Element_Stiffness!Y139,0)),0)),0)+IF(Element_Stiffness!$C$146,IF(Element_Stiffness!$C$145=2,IF(0=Element_Stiffness!$C$145,Element_Stiffness!S168,IF(0=Element_Stiffness!$E$145,Element_Stiffness!Y168,0)),IF(Element_Stiffness!$E$145=2,IF(0=Element_Stiffness!$C$145,Element_Stiffness!S174,IF(0=Element_Stiffness!$E$145,Element_Stiffness!Y174,0)),0)),0)+IF(Element_Stiffness!$C$181,IF(Element_Stiffness!$C$180=2,IF(0=Element_Stiffness!$C$180,Element_Stiffness!S203,IF(0=Element_Stiffness!$E$180,Element_Stiffness!Y203,0)),IF(Element_Stiffness!$E$180=2,IF(0=Element_Stiffness!$C$180,Element_Stiffness!S209,IF(0=Element_Stiffness!$E$180,Element_Stiffness!Y209,0)),0)),0)+IF(Element_Stiffness!$C$216,IF(Element_Stiffness!$C$215=2,IF(0=Element_Stiffness!$C$215,Element_Stiffness!S238,IF(0=Element_Stiffness!$E$215,Element_Stiffness!Y238,0)),IF(Element_Stiffness!$E$215=2,IF(0=Element_Stiffness!$C$215,Element_Stiffness!S244,IF(0=Element_Stiffness!$E$215,Element_Stiffness!Y244,0)),0)),0)</f>
        <v/>
      </c>
      <c r="G19" s="21">
        <f>IF(Element_Stiffness!$C$6,IF(Element_Stiffness!$C$5=2,IF(0=Element_Stiffness!$C$5,Element_Stiffness!T28,IF(0=Element_Stiffness!$E$5,Element_Stiffness!Z28,0)),IF(Element_Stiffness!$E$5=2,IF(0=Element_Stiffness!$C$5,Element_Stiffness!T34,IF(0=Element_Stiffness!$E$5,Element_Stiffness!Z34,0)),0)),0)+IF(Element_Stiffness!$C$41,IF(Element_Stiffness!$C$40=2,IF(0=Element_Stiffness!$C$40,Element_Stiffness!T63,IF(0=Element_Stiffness!$E$40,Element_Stiffness!Z63,0)),IF(Element_Stiffness!$E$40=2,IF(0=Element_Stiffness!$C$40,Element_Stiffness!T69,IF(0=Element_Stiffness!$E$40,Element_Stiffness!Z69,0)),0)),0)+IF(Element_Stiffness!$C$76,IF(Element_Stiffness!$C$75=2,IF(0=Element_Stiffness!$C$75,Element_Stiffness!T98,IF(0=Element_Stiffness!$E$75,Element_Stiffness!Z98,0)),IF(Element_Stiffness!$E$75=2,IF(0=Element_Stiffness!$C$75,Element_Stiffness!T104,IF(0=Element_Stiffness!$E$75,Element_Stiffness!Z104,0)),0)),0)+IF(Element_Stiffness!$C$111,IF(Element_Stiffness!$C$110=2,IF(0=Element_Stiffness!$C$110,Element_Stiffness!T133,IF(0=Element_Stiffness!$E$110,Element_Stiffness!Z133,0)),IF(Element_Stiffness!$E$110=2,IF(0=Element_Stiffness!$C$110,Element_Stiffness!T139,IF(0=Element_Stiffness!$E$110,Element_Stiffness!Z139,0)),0)),0)+IF(Element_Stiffness!$C$146,IF(Element_Stiffness!$C$145=2,IF(0=Element_Stiffness!$C$145,Element_Stiffness!T168,IF(0=Element_Stiffness!$E$145,Element_Stiffness!Z168,0)),IF(Element_Stiffness!$E$145=2,IF(0=Element_Stiffness!$C$145,Element_Stiffness!T174,IF(0=Element_Stiffness!$E$145,Element_Stiffness!Z174,0)),0)),0)+IF(Element_Stiffness!$C$181,IF(Element_Stiffness!$C$180=2,IF(0=Element_Stiffness!$C$180,Element_Stiffness!T203,IF(0=Element_Stiffness!$E$180,Element_Stiffness!Z203,0)),IF(Element_Stiffness!$E$180=2,IF(0=Element_Stiffness!$C$180,Element_Stiffness!T209,IF(0=Element_Stiffness!$E$180,Element_Stiffness!Z209,0)),0)),0)+IF(Element_Stiffness!$C$216,IF(Element_Stiffness!$C$215=2,IF(0=Element_Stiffness!$C$215,Element_Stiffness!T238,IF(0=Element_Stiffness!$E$215,Element_Stiffness!Z238,0)),IF(Element_Stiffness!$E$215=2,IF(0=Element_Stiffness!$C$215,Element_Stiffness!T244,IF(0=Element_Stiffness!$E$215,Element_Stiffness!Z244,0)),0)),0)</f>
        <v/>
      </c>
      <c r="H19" s="21">
        <f>IF(Element_Stiffness!$C$6,IF(Element_Stiffness!$C$5=2,IF(0=Element_Stiffness!$C$5,Element_Stiffness!U28,IF(0=Element_Stiffness!$E$5,Element_Stiffness!AA28,0)),IF(Element_Stiffness!$E$5=2,IF(0=Element_Stiffness!$C$5,Element_Stiffness!U34,IF(0=Element_Stiffness!$E$5,Element_Stiffness!AA34,0)),0)),0)+IF(Element_Stiffness!$C$41,IF(Element_Stiffness!$C$40=2,IF(0=Element_Stiffness!$C$40,Element_Stiffness!U63,IF(0=Element_Stiffness!$E$40,Element_Stiffness!AA63,0)),IF(Element_Stiffness!$E$40=2,IF(0=Element_Stiffness!$C$40,Element_Stiffness!U69,IF(0=Element_Stiffness!$E$40,Element_Stiffness!AA69,0)),0)),0)+IF(Element_Stiffness!$C$76,IF(Element_Stiffness!$C$75=2,IF(0=Element_Stiffness!$C$75,Element_Stiffness!U98,IF(0=Element_Stiffness!$E$75,Element_Stiffness!AA98,0)),IF(Element_Stiffness!$E$75=2,IF(0=Element_Stiffness!$C$75,Element_Stiffness!U104,IF(0=Element_Stiffness!$E$75,Element_Stiffness!AA104,0)),0)),0)+IF(Element_Stiffness!$C$111,IF(Element_Stiffness!$C$110=2,IF(0=Element_Stiffness!$C$110,Element_Stiffness!U133,IF(0=Element_Stiffness!$E$110,Element_Stiffness!AA133,0)),IF(Element_Stiffness!$E$110=2,IF(0=Element_Stiffness!$C$110,Element_Stiffness!U139,IF(0=Element_Stiffness!$E$110,Element_Stiffness!AA139,0)),0)),0)+IF(Element_Stiffness!$C$146,IF(Element_Stiffness!$C$145=2,IF(0=Element_Stiffness!$C$145,Element_Stiffness!U168,IF(0=Element_Stiffness!$E$145,Element_Stiffness!AA168,0)),IF(Element_Stiffness!$E$145=2,IF(0=Element_Stiffness!$C$145,Element_Stiffness!U174,IF(0=Element_Stiffness!$E$145,Element_Stiffness!AA174,0)),0)),0)+IF(Element_Stiffness!$C$181,IF(Element_Stiffness!$C$180=2,IF(0=Element_Stiffness!$C$180,Element_Stiffness!U203,IF(0=Element_Stiffness!$E$180,Element_Stiffness!AA203,0)),IF(Element_Stiffness!$E$180=2,IF(0=Element_Stiffness!$C$180,Element_Stiffness!U209,IF(0=Element_Stiffness!$E$180,Element_Stiffness!AA209,0)),0)),0)+IF(Element_Stiffness!$C$216,IF(Element_Stiffness!$C$215=2,IF(0=Element_Stiffness!$C$215,Element_Stiffness!U238,IF(0=Element_Stiffness!$E$215,Element_Stiffness!AA238,0)),IF(Element_Stiffness!$E$215=2,IF(0=Element_Stiffness!$C$215,Element_Stiffness!U244,IF(0=Element_Stiffness!$E$215,Element_Stiffness!AA244,0)),0)),0)</f>
        <v/>
      </c>
      <c r="I19" s="21">
        <f>IF(Element_Stiffness!$C$6,IF(Element_Stiffness!$C$5=2,IF(1=Element_Stiffness!$C$5,Element_Stiffness!P28,IF(1=Element_Stiffness!$E$5,Element_Stiffness!V28,0)),IF(Element_Stiffness!$E$5=2,IF(1=Element_Stiffness!$C$5,Element_Stiffness!P34,IF(1=Element_Stiffness!$E$5,Element_Stiffness!V34,0)),0)),0)+IF(Element_Stiffness!$C$41,IF(Element_Stiffness!$C$40=2,IF(1=Element_Stiffness!$C$40,Element_Stiffness!P63,IF(1=Element_Stiffness!$E$40,Element_Stiffness!V63,0)),IF(Element_Stiffness!$E$40=2,IF(1=Element_Stiffness!$C$40,Element_Stiffness!P69,IF(1=Element_Stiffness!$E$40,Element_Stiffness!V69,0)),0)),0)+IF(Element_Stiffness!$C$76,IF(Element_Stiffness!$C$75=2,IF(1=Element_Stiffness!$C$75,Element_Stiffness!P98,IF(1=Element_Stiffness!$E$75,Element_Stiffness!V98,0)),IF(Element_Stiffness!$E$75=2,IF(1=Element_Stiffness!$C$75,Element_Stiffness!P104,IF(1=Element_Stiffness!$E$75,Element_Stiffness!V104,0)),0)),0)+IF(Element_Stiffness!$C$111,IF(Element_Stiffness!$C$110=2,IF(1=Element_Stiffness!$C$110,Element_Stiffness!P133,IF(1=Element_Stiffness!$E$110,Element_Stiffness!V133,0)),IF(Element_Stiffness!$E$110=2,IF(1=Element_Stiffness!$C$110,Element_Stiffness!P139,IF(1=Element_Stiffness!$E$110,Element_Stiffness!V139,0)),0)),0)+IF(Element_Stiffness!$C$146,IF(Element_Stiffness!$C$145=2,IF(1=Element_Stiffness!$C$145,Element_Stiffness!P168,IF(1=Element_Stiffness!$E$145,Element_Stiffness!V168,0)),IF(Element_Stiffness!$E$145=2,IF(1=Element_Stiffness!$C$145,Element_Stiffness!P174,IF(1=Element_Stiffness!$E$145,Element_Stiffness!V174,0)),0)),0)+IF(Element_Stiffness!$C$181,IF(Element_Stiffness!$C$180=2,IF(1=Element_Stiffness!$C$180,Element_Stiffness!P203,IF(1=Element_Stiffness!$E$180,Element_Stiffness!V203,0)),IF(Element_Stiffness!$E$180=2,IF(1=Element_Stiffness!$C$180,Element_Stiffness!P209,IF(1=Element_Stiffness!$E$180,Element_Stiffness!V209,0)),0)),0)+IF(Element_Stiffness!$C$216,IF(Element_Stiffness!$C$215=2,IF(1=Element_Stiffness!$C$215,Element_Stiffness!P238,IF(1=Element_Stiffness!$E$215,Element_Stiffness!V238,0)),IF(Element_Stiffness!$E$215=2,IF(1=Element_Stiffness!$C$215,Element_Stiffness!P244,IF(1=Element_Stiffness!$E$215,Element_Stiffness!V244,0)),0)),0)</f>
        <v/>
      </c>
      <c r="J19" s="21">
        <f>IF(Element_Stiffness!$C$6,IF(Element_Stiffness!$C$5=2,IF(1=Element_Stiffness!$C$5,Element_Stiffness!Q28,IF(1=Element_Stiffness!$E$5,Element_Stiffness!W28,0)),IF(Element_Stiffness!$E$5=2,IF(1=Element_Stiffness!$C$5,Element_Stiffness!Q34,IF(1=Element_Stiffness!$E$5,Element_Stiffness!W34,0)),0)),0)+IF(Element_Stiffness!$C$41,IF(Element_Stiffness!$C$40=2,IF(1=Element_Stiffness!$C$40,Element_Stiffness!Q63,IF(1=Element_Stiffness!$E$40,Element_Stiffness!W63,0)),IF(Element_Stiffness!$E$40=2,IF(1=Element_Stiffness!$C$40,Element_Stiffness!Q69,IF(1=Element_Stiffness!$E$40,Element_Stiffness!W69,0)),0)),0)+IF(Element_Stiffness!$C$76,IF(Element_Stiffness!$C$75=2,IF(1=Element_Stiffness!$C$75,Element_Stiffness!Q98,IF(1=Element_Stiffness!$E$75,Element_Stiffness!W98,0)),IF(Element_Stiffness!$E$75=2,IF(1=Element_Stiffness!$C$75,Element_Stiffness!Q104,IF(1=Element_Stiffness!$E$75,Element_Stiffness!W104,0)),0)),0)+IF(Element_Stiffness!$C$111,IF(Element_Stiffness!$C$110=2,IF(1=Element_Stiffness!$C$110,Element_Stiffness!Q133,IF(1=Element_Stiffness!$E$110,Element_Stiffness!W133,0)),IF(Element_Stiffness!$E$110=2,IF(1=Element_Stiffness!$C$110,Element_Stiffness!Q139,IF(1=Element_Stiffness!$E$110,Element_Stiffness!W139,0)),0)),0)+IF(Element_Stiffness!$C$146,IF(Element_Stiffness!$C$145=2,IF(1=Element_Stiffness!$C$145,Element_Stiffness!Q168,IF(1=Element_Stiffness!$E$145,Element_Stiffness!W168,0)),IF(Element_Stiffness!$E$145=2,IF(1=Element_Stiffness!$C$145,Element_Stiffness!Q174,IF(1=Element_Stiffness!$E$145,Element_Stiffness!W174,0)),0)),0)+IF(Element_Stiffness!$C$181,IF(Element_Stiffness!$C$180=2,IF(1=Element_Stiffness!$C$180,Element_Stiffness!Q203,IF(1=Element_Stiffness!$E$180,Element_Stiffness!W203,0)),IF(Element_Stiffness!$E$180=2,IF(1=Element_Stiffness!$C$180,Element_Stiffness!Q209,IF(1=Element_Stiffness!$E$180,Element_Stiffness!W209,0)),0)),0)+IF(Element_Stiffness!$C$216,IF(Element_Stiffness!$C$215=2,IF(1=Element_Stiffness!$C$215,Element_Stiffness!Q238,IF(1=Element_Stiffness!$E$215,Element_Stiffness!W238,0)),IF(Element_Stiffness!$E$215=2,IF(1=Element_Stiffness!$C$215,Element_Stiffness!Q244,IF(1=Element_Stiffness!$E$215,Element_Stiffness!W244,0)),0)),0)</f>
        <v/>
      </c>
      <c r="K19" s="21">
        <f>IF(Element_Stiffness!$C$6,IF(Element_Stiffness!$C$5=2,IF(1=Element_Stiffness!$C$5,Element_Stiffness!R28,IF(1=Element_Stiffness!$E$5,Element_Stiffness!X28,0)),IF(Element_Stiffness!$E$5=2,IF(1=Element_Stiffness!$C$5,Element_Stiffness!R34,IF(1=Element_Stiffness!$E$5,Element_Stiffness!X34,0)),0)),0)+IF(Element_Stiffness!$C$41,IF(Element_Stiffness!$C$40=2,IF(1=Element_Stiffness!$C$40,Element_Stiffness!R63,IF(1=Element_Stiffness!$E$40,Element_Stiffness!X63,0)),IF(Element_Stiffness!$E$40=2,IF(1=Element_Stiffness!$C$40,Element_Stiffness!R69,IF(1=Element_Stiffness!$E$40,Element_Stiffness!X69,0)),0)),0)+IF(Element_Stiffness!$C$76,IF(Element_Stiffness!$C$75=2,IF(1=Element_Stiffness!$C$75,Element_Stiffness!R98,IF(1=Element_Stiffness!$E$75,Element_Stiffness!X98,0)),IF(Element_Stiffness!$E$75=2,IF(1=Element_Stiffness!$C$75,Element_Stiffness!R104,IF(1=Element_Stiffness!$E$75,Element_Stiffness!X104,0)),0)),0)+IF(Element_Stiffness!$C$111,IF(Element_Stiffness!$C$110=2,IF(1=Element_Stiffness!$C$110,Element_Stiffness!R133,IF(1=Element_Stiffness!$E$110,Element_Stiffness!X133,0)),IF(Element_Stiffness!$E$110=2,IF(1=Element_Stiffness!$C$110,Element_Stiffness!R139,IF(1=Element_Stiffness!$E$110,Element_Stiffness!X139,0)),0)),0)+IF(Element_Stiffness!$C$146,IF(Element_Stiffness!$C$145=2,IF(1=Element_Stiffness!$C$145,Element_Stiffness!R168,IF(1=Element_Stiffness!$E$145,Element_Stiffness!X168,0)),IF(Element_Stiffness!$E$145=2,IF(1=Element_Stiffness!$C$145,Element_Stiffness!R174,IF(1=Element_Stiffness!$E$145,Element_Stiffness!X174,0)),0)),0)+IF(Element_Stiffness!$C$181,IF(Element_Stiffness!$C$180=2,IF(1=Element_Stiffness!$C$180,Element_Stiffness!R203,IF(1=Element_Stiffness!$E$180,Element_Stiffness!X203,0)),IF(Element_Stiffness!$E$180=2,IF(1=Element_Stiffness!$C$180,Element_Stiffness!R209,IF(1=Element_Stiffness!$E$180,Element_Stiffness!X209,0)),0)),0)+IF(Element_Stiffness!$C$216,IF(Element_Stiffness!$C$215=2,IF(1=Element_Stiffness!$C$215,Element_Stiffness!R238,IF(1=Element_Stiffness!$E$215,Element_Stiffness!X238,0)),IF(Element_Stiffness!$E$215=2,IF(1=Element_Stiffness!$C$215,Element_Stiffness!R244,IF(1=Element_Stiffness!$E$215,Element_Stiffness!X244,0)),0)),0)</f>
        <v/>
      </c>
      <c r="L19" s="21">
        <f>IF(Element_Stiffness!$C$6,IF(Element_Stiffness!$C$5=2,IF(1=Element_Stiffness!$C$5,Element_Stiffness!S28,IF(1=Element_Stiffness!$E$5,Element_Stiffness!Y28,0)),IF(Element_Stiffness!$E$5=2,IF(1=Element_Stiffness!$C$5,Element_Stiffness!S34,IF(1=Element_Stiffness!$E$5,Element_Stiffness!Y34,0)),0)),0)+IF(Element_Stiffness!$C$41,IF(Element_Stiffness!$C$40=2,IF(1=Element_Stiffness!$C$40,Element_Stiffness!S63,IF(1=Element_Stiffness!$E$40,Element_Stiffness!Y63,0)),IF(Element_Stiffness!$E$40=2,IF(1=Element_Stiffness!$C$40,Element_Stiffness!S69,IF(1=Element_Stiffness!$E$40,Element_Stiffness!Y69,0)),0)),0)+IF(Element_Stiffness!$C$76,IF(Element_Stiffness!$C$75=2,IF(1=Element_Stiffness!$C$75,Element_Stiffness!S98,IF(1=Element_Stiffness!$E$75,Element_Stiffness!Y98,0)),IF(Element_Stiffness!$E$75=2,IF(1=Element_Stiffness!$C$75,Element_Stiffness!S104,IF(1=Element_Stiffness!$E$75,Element_Stiffness!Y104,0)),0)),0)+IF(Element_Stiffness!$C$111,IF(Element_Stiffness!$C$110=2,IF(1=Element_Stiffness!$C$110,Element_Stiffness!S133,IF(1=Element_Stiffness!$E$110,Element_Stiffness!Y133,0)),IF(Element_Stiffness!$E$110=2,IF(1=Element_Stiffness!$C$110,Element_Stiffness!S139,IF(1=Element_Stiffness!$E$110,Element_Stiffness!Y139,0)),0)),0)+IF(Element_Stiffness!$C$146,IF(Element_Stiffness!$C$145=2,IF(1=Element_Stiffness!$C$145,Element_Stiffness!S168,IF(1=Element_Stiffness!$E$145,Element_Stiffness!Y168,0)),IF(Element_Stiffness!$E$145=2,IF(1=Element_Stiffness!$C$145,Element_Stiffness!S174,IF(1=Element_Stiffness!$E$145,Element_Stiffness!Y174,0)),0)),0)+IF(Element_Stiffness!$C$181,IF(Element_Stiffness!$C$180=2,IF(1=Element_Stiffness!$C$180,Element_Stiffness!S203,IF(1=Element_Stiffness!$E$180,Element_Stiffness!Y203,0)),IF(Element_Stiffness!$E$180=2,IF(1=Element_Stiffness!$C$180,Element_Stiffness!S209,IF(1=Element_Stiffness!$E$180,Element_Stiffness!Y209,0)),0)),0)+IF(Element_Stiffness!$C$216,IF(Element_Stiffness!$C$215=2,IF(1=Element_Stiffness!$C$215,Element_Stiffness!S238,IF(1=Element_Stiffness!$E$215,Element_Stiffness!Y238,0)),IF(Element_Stiffness!$E$215=2,IF(1=Element_Stiffness!$C$215,Element_Stiffness!S244,IF(1=Element_Stiffness!$E$215,Element_Stiffness!Y244,0)),0)),0)</f>
        <v/>
      </c>
      <c r="M19" s="21">
        <f>IF(Element_Stiffness!$C$6,IF(Element_Stiffness!$C$5=2,IF(1=Element_Stiffness!$C$5,Element_Stiffness!T28,IF(1=Element_Stiffness!$E$5,Element_Stiffness!Z28,0)),IF(Element_Stiffness!$E$5=2,IF(1=Element_Stiffness!$C$5,Element_Stiffness!T34,IF(1=Element_Stiffness!$E$5,Element_Stiffness!Z34,0)),0)),0)+IF(Element_Stiffness!$C$41,IF(Element_Stiffness!$C$40=2,IF(1=Element_Stiffness!$C$40,Element_Stiffness!T63,IF(1=Element_Stiffness!$E$40,Element_Stiffness!Z63,0)),IF(Element_Stiffness!$E$40=2,IF(1=Element_Stiffness!$C$40,Element_Stiffness!T69,IF(1=Element_Stiffness!$E$40,Element_Stiffness!Z69,0)),0)),0)+IF(Element_Stiffness!$C$76,IF(Element_Stiffness!$C$75=2,IF(1=Element_Stiffness!$C$75,Element_Stiffness!T98,IF(1=Element_Stiffness!$E$75,Element_Stiffness!Z98,0)),IF(Element_Stiffness!$E$75=2,IF(1=Element_Stiffness!$C$75,Element_Stiffness!T104,IF(1=Element_Stiffness!$E$75,Element_Stiffness!Z104,0)),0)),0)+IF(Element_Stiffness!$C$111,IF(Element_Stiffness!$C$110=2,IF(1=Element_Stiffness!$C$110,Element_Stiffness!T133,IF(1=Element_Stiffness!$E$110,Element_Stiffness!Z133,0)),IF(Element_Stiffness!$E$110=2,IF(1=Element_Stiffness!$C$110,Element_Stiffness!T139,IF(1=Element_Stiffness!$E$110,Element_Stiffness!Z139,0)),0)),0)+IF(Element_Stiffness!$C$146,IF(Element_Stiffness!$C$145=2,IF(1=Element_Stiffness!$C$145,Element_Stiffness!T168,IF(1=Element_Stiffness!$E$145,Element_Stiffness!Z168,0)),IF(Element_Stiffness!$E$145=2,IF(1=Element_Stiffness!$C$145,Element_Stiffness!T174,IF(1=Element_Stiffness!$E$145,Element_Stiffness!Z174,0)),0)),0)+IF(Element_Stiffness!$C$181,IF(Element_Stiffness!$C$180=2,IF(1=Element_Stiffness!$C$180,Element_Stiffness!T203,IF(1=Element_Stiffness!$E$180,Element_Stiffness!Z203,0)),IF(Element_Stiffness!$E$180=2,IF(1=Element_Stiffness!$C$180,Element_Stiffness!T209,IF(1=Element_Stiffness!$E$180,Element_Stiffness!Z209,0)),0)),0)+IF(Element_Stiffness!$C$216,IF(Element_Stiffness!$C$215=2,IF(1=Element_Stiffness!$C$215,Element_Stiffness!T238,IF(1=Element_Stiffness!$E$215,Element_Stiffness!Z238,0)),IF(Element_Stiffness!$E$215=2,IF(1=Element_Stiffness!$C$215,Element_Stiffness!T244,IF(1=Element_Stiffness!$E$215,Element_Stiffness!Z244,0)),0)),0)</f>
        <v/>
      </c>
      <c r="N19" s="21">
        <f>IF(Element_Stiffness!$C$6,IF(Element_Stiffness!$C$5=2,IF(1=Element_Stiffness!$C$5,Element_Stiffness!U28,IF(1=Element_Stiffness!$E$5,Element_Stiffness!AA28,0)),IF(Element_Stiffness!$E$5=2,IF(1=Element_Stiffness!$C$5,Element_Stiffness!U34,IF(1=Element_Stiffness!$E$5,Element_Stiffness!AA34,0)),0)),0)+IF(Element_Stiffness!$C$41,IF(Element_Stiffness!$C$40=2,IF(1=Element_Stiffness!$C$40,Element_Stiffness!U63,IF(1=Element_Stiffness!$E$40,Element_Stiffness!AA63,0)),IF(Element_Stiffness!$E$40=2,IF(1=Element_Stiffness!$C$40,Element_Stiffness!U69,IF(1=Element_Stiffness!$E$40,Element_Stiffness!AA69,0)),0)),0)+IF(Element_Stiffness!$C$76,IF(Element_Stiffness!$C$75=2,IF(1=Element_Stiffness!$C$75,Element_Stiffness!U98,IF(1=Element_Stiffness!$E$75,Element_Stiffness!AA98,0)),IF(Element_Stiffness!$E$75=2,IF(1=Element_Stiffness!$C$75,Element_Stiffness!U104,IF(1=Element_Stiffness!$E$75,Element_Stiffness!AA104,0)),0)),0)+IF(Element_Stiffness!$C$111,IF(Element_Stiffness!$C$110=2,IF(1=Element_Stiffness!$C$110,Element_Stiffness!U133,IF(1=Element_Stiffness!$E$110,Element_Stiffness!AA133,0)),IF(Element_Stiffness!$E$110=2,IF(1=Element_Stiffness!$C$110,Element_Stiffness!U139,IF(1=Element_Stiffness!$E$110,Element_Stiffness!AA139,0)),0)),0)+IF(Element_Stiffness!$C$146,IF(Element_Stiffness!$C$145=2,IF(1=Element_Stiffness!$C$145,Element_Stiffness!U168,IF(1=Element_Stiffness!$E$145,Element_Stiffness!AA168,0)),IF(Element_Stiffness!$E$145=2,IF(1=Element_Stiffness!$C$145,Element_Stiffness!U174,IF(1=Element_Stiffness!$E$145,Element_Stiffness!AA174,0)),0)),0)+IF(Element_Stiffness!$C$181,IF(Element_Stiffness!$C$180=2,IF(1=Element_Stiffness!$C$180,Element_Stiffness!U203,IF(1=Element_Stiffness!$E$180,Element_Stiffness!AA203,0)),IF(Element_Stiffness!$E$180=2,IF(1=Element_Stiffness!$C$180,Element_Stiffness!U209,IF(1=Element_Stiffness!$E$180,Element_Stiffness!AA209,0)),0)),0)+IF(Element_Stiffness!$C$216,IF(Element_Stiffness!$C$215=2,IF(1=Element_Stiffness!$C$215,Element_Stiffness!U238,IF(1=Element_Stiffness!$E$215,Element_Stiffness!AA238,0)),IF(Element_Stiffness!$E$215=2,IF(1=Element_Stiffness!$C$215,Element_Stiffness!U244,IF(1=Element_Stiffness!$E$215,Element_Stiffness!AA244,0)),0)),0)</f>
        <v/>
      </c>
      <c r="O19" s="21">
        <f>IF(Element_Stiffness!$C$6,IF(Element_Stiffness!$C$5=2,IF(2=Element_Stiffness!$C$5,Element_Stiffness!P28,IF(2=Element_Stiffness!$E$5,Element_Stiffness!V28,0)),IF(Element_Stiffness!$E$5=2,IF(2=Element_Stiffness!$C$5,Element_Stiffness!P34,IF(2=Element_Stiffness!$E$5,Element_Stiffness!V34,0)),0)),0)+IF(Element_Stiffness!$C$41,IF(Element_Stiffness!$C$40=2,IF(2=Element_Stiffness!$C$40,Element_Stiffness!P63,IF(2=Element_Stiffness!$E$40,Element_Stiffness!V63,0)),IF(Element_Stiffness!$E$40=2,IF(2=Element_Stiffness!$C$40,Element_Stiffness!P69,IF(2=Element_Stiffness!$E$40,Element_Stiffness!V69,0)),0)),0)+IF(Element_Stiffness!$C$76,IF(Element_Stiffness!$C$75=2,IF(2=Element_Stiffness!$C$75,Element_Stiffness!P98,IF(2=Element_Stiffness!$E$75,Element_Stiffness!V98,0)),IF(Element_Stiffness!$E$75=2,IF(2=Element_Stiffness!$C$75,Element_Stiffness!P104,IF(2=Element_Stiffness!$E$75,Element_Stiffness!V104,0)),0)),0)+IF(Element_Stiffness!$C$111,IF(Element_Stiffness!$C$110=2,IF(2=Element_Stiffness!$C$110,Element_Stiffness!P133,IF(2=Element_Stiffness!$E$110,Element_Stiffness!V133,0)),IF(Element_Stiffness!$E$110=2,IF(2=Element_Stiffness!$C$110,Element_Stiffness!P139,IF(2=Element_Stiffness!$E$110,Element_Stiffness!V139,0)),0)),0)+IF(Element_Stiffness!$C$146,IF(Element_Stiffness!$C$145=2,IF(2=Element_Stiffness!$C$145,Element_Stiffness!P168,IF(2=Element_Stiffness!$E$145,Element_Stiffness!V168,0)),IF(Element_Stiffness!$E$145=2,IF(2=Element_Stiffness!$C$145,Element_Stiffness!P174,IF(2=Element_Stiffness!$E$145,Element_Stiffness!V174,0)),0)),0)+IF(Element_Stiffness!$C$181,IF(Element_Stiffness!$C$180=2,IF(2=Element_Stiffness!$C$180,Element_Stiffness!P203,IF(2=Element_Stiffness!$E$180,Element_Stiffness!V203,0)),IF(Element_Stiffness!$E$180=2,IF(2=Element_Stiffness!$C$180,Element_Stiffness!P209,IF(2=Element_Stiffness!$E$180,Element_Stiffness!V209,0)),0)),0)+IF(Element_Stiffness!$C$216,IF(Element_Stiffness!$C$215=2,IF(2=Element_Stiffness!$C$215,Element_Stiffness!P238,IF(2=Element_Stiffness!$E$215,Element_Stiffness!V238,0)),IF(Element_Stiffness!$E$215=2,IF(2=Element_Stiffness!$C$215,Element_Stiffness!P244,IF(2=Element_Stiffness!$E$215,Element_Stiffness!V244,0)),0)),0)</f>
        <v/>
      </c>
      <c r="P19" s="21">
        <f>IF(Element_Stiffness!$C$6,IF(Element_Stiffness!$C$5=2,IF(2=Element_Stiffness!$C$5,Element_Stiffness!Q28,IF(2=Element_Stiffness!$E$5,Element_Stiffness!W28,0)),IF(Element_Stiffness!$E$5=2,IF(2=Element_Stiffness!$C$5,Element_Stiffness!Q34,IF(2=Element_Stiffness!$E$5,Element_Stiffness!W34,0)),0)),0)+IF(Element_Stiffness!$C$41,IF(Element_Stiffness!$C$40=2,IF(2=Element_Stiffness!$C$40,Element_Stiffness!Q63,IF(2=Element_Stiffness!$E$40,Element_Stiffness!W63,0)),IF(Element_Stiffness!$E$40=2,IF(2=Element_Stiffness!$C$40,Element_Stiffness!Q69,IF(2=Element_Stiffness!$E$40,Element_Stiffness!W69,0)),0)),0)+IF(Element_Stiffness!$C$76,IF(Element_Stiffness!$C$75=2,IF(2=Element_Stiffness!$C$75,Element_Stiffness!Q98,IF(2=Element_Stiffness!$E$75,Element_Stiffness!W98,0)),IF(Element_Stiffness!$E$75=2,IF(2=Element_Stiffness!$C$75,Element_Stiffness!Q104,IF(2=Element_Stiffness!$E$75,Element_Stiffness!W104,0)),0)),0)+IF(Element_Stiffness!$C$111,IF(Element_Stiffness!$C$110=2,IF(2=Element_Stiffness!$C$110,Element_Stiffness!Q133,IF(2=Element_Stiffness!$E$110,Element_Stiffness!W133,0)),IF(Element_Stiffness!$E$110=2,IF(2=Element_Stiffness!$C$110,Element_Stiffness!Q139,IF(2=Element_Stiffness!$E$110,Element_Stiffness!W139,0)),0)),0)+IF(Element_Stiffness!$C$146,IF(Element_Stiffness!$C$145=2,IF(2=Element_Stiffness!$C$145,Element_Stiffness!Q168,IF(2=Element_Stiffness!$E$145,Element_Stiffness!W168,0)),IF(Element_Stiffness!$E$145=2,IF(2=Element_Stiffness!$C$145,Element_Stiffness!Q174,IF(2=Element_Stiffness!$E$145,Element_Stiffness!W174,0)),0)),0)+IF(Element_Stiffness!$C$181,IF(Element_Stiffness!$C$180=2,IF(2=Element_Stiffness!$C$180,Element_Stiffness!Q203,IF(2=Element_Stiffness!$E$180,Element_Stiffness!W203,0)),IF(Element_Stiffness!$E$180=2,IF(2=Element_Stiffness!$C$180,Element_Stiffness!Q209,IF(2=Element_Stiffness!$E$180,Element_Stiffness!W209,0)),0)),0)+IF(Element_Stiffness!$C$216,IF(Element_Stiffness!$C$215=2,IF(2=Element_Stiffness!$C$215,Element_Stiffness!Q238,IF(2=Element_Stiffness!$E$215,Element_Stiffness!W238,0)),IF(Element_Stiffness!$E$215=2,IF(2=Element_Stiffness!$C$215,Element_Stiffness!Q244,IF(2=Element_Stiffness!$E$215,Element_Stiffness!W244,0)),0)),0)</f>
        <v/>
      </c>
      <c r="Q19" s="21">
        <f>IF(Element_Stiffness!$C$6,IF(Element_Stiffness!$C$5=2,IF(2=Element_Stiffness!$C$5,Element_Stiffness!R28,IF(2=Element_Stiffness!$E$5,Element_Stiffness!X28,0)),IF(Element_Stiffness!$E$5=2,IF(2=Element_Stiffness!$C$5,Element_Stiffness!R34,IF(2=Element_Stiffness!$E$5,Element_Stiffness!X34,0)),0)),0)+IF(Element_Stiffness!$C$41,IF(Element_Stiffness!$C$40=2,IF(2=Element_Stiffness!$C$40,Element_Stiffness!R63,IF(2=Element_Stiffness!$E$40,Element_Stiffness!X63,0)),IF(Element_Stiffness!$E$40=2,IF(2=Element_Stiffness!$C$40,Element_Stiffness!R69,IF(2=Element_Stiffness!$E$40,Element_Stiffness!X69,0)),0)),0)+IF(Element_Stiffness!$C$76,IF(Element_Stiffness!$C$75=2,IF(2=Element_Stiffness!$C$75,Element_Stiffness!R98,IF(2=Element_Stiffness!$E$75,Element_Stiffness!X98,0)),IF(Element_Stiffness!$E$75=2,IF(2=Element_Stiffness!$C$75,Element_Stiffness!R104,IF(2=Element_Stiffness!$E$75,Element_Stiffness!X104,0)),0)),0)+IF(Element_Stiffness!$C$111,IF(Element_Stiffness!$C$110=2,IF(2=Element_Stiffness!$C$110,Element_Stiffness!R133,IF(2=Element_Stiffness!$E$110,Element_Stiffness!X133,0)),IF(Element_Stiffness!$E$110=2,IF(2=Element_Stiffness!$C$110,Element_Stiffness!R139,IF(2=Element_Stiffness!$E$110,Element_Stiffness!X139,0)),0)),0)+IF(Element_Stiffness!$C$146,IF(Element_Stiffness!$C$145=2,IF(2=Element_Stiffness!$C$145,Element_Stiffness!R168,IF(2=Element_Stiffness!$E$145,Element_Stiffness!X168,0)),IF(Element_Stiffness!$E$145=2,IF(2=Element_Stiffness!$C$145,Element_Stiffness!R174,IF(2=Element_Stiffness!$E$145,Element_Stiffness!X174,0)),0)),0)+IF(Element_Stiffness!$C$181,IF(Element_Stiffness!$C$180=2,IF(2=Element_Stiffness!$C$180,Element_Stiffness!R203,IF(2=Element_Stiffness!$E$180,Element_Stiffness!X203,0)),IF(Element_Stiffness!$E$180=2,IF(2=Element_Stiffness!$C$180,Element_Stiffness!R209,IF(2=Element_Stiffness!$E$180,Element_Stiffness!X209,0)),0)),0)+IF(Element_Stiffness!$C$216,IF(Element_Stiffness!$C$215=2,IF(2=Element_Stiffness!$C$215,Element_Stiffness!R238,IF(2=Element_Stiffness!$E$215,Element_Stiffness!X238,0)),IF(Element_Stiffness!$E$215=2,IF(2=Element_Stiffness!$C$215,Element_Stiffness!R244,IF(2=Element_Stiffness!$E$215,Element_Stiffness!X244,0)),0)),0)+IF(Inputs!E42=TRUE,1E15,IF(ISNUMBER(Inputs!E42),Inputs!E42,0))</f>
        <v/>
      </c>
      <c r="R19" s="21">
        <f>IF(Element_Stiffness!$C$6,IF(Element_Stiffness!$C$5=2,IF(2=Element_Stiffness!$C$5,Element_Stiffness!S28,IF(2=Element_Stiffness!$E$5,Element_Stiffness!Y28,0)),IF(Element_Stiffness!$E$5=2,IF(2=Element_Stiffness!$C$5,Element_Stiffness!S34,IF(2=Element_Stiffness!$E$5,Element_Stiffness!Y34,0)),0)),0)+IF(Element_Stiffness!$C$41,IF(Element_Stiffness!$C$40=2,IF(2=Element_Stiffness!$C$40,Element_Stiffness!S63,IF(2=Element_Stiffness!$E$40,Element_Stiffness!Y63,0)),IF(Element_Stiffness!$E$40=2,IF(2=Element_Stiffness!$C$40,Element_Stiffness!S69,IF(2=Element_Stiffness!$E$40,Element_Stiffness!Y69,0)),0)),0)+IF(Element_Stiffness!$C$76,IF(Element_Stiffness!$C$75=2,IF(2=Element_Stiffness!$C$75,Element_Stiffness!S98,IF(2=Element_Stiffness!$E$75,Element_Stiffness!Y98,0)),IF(Element_Stiffness!$E$75=2,IF(2=Element_Stiffness!$C$75,Element_Stiffness!S104,IF(2=Element_Stiffness!$E$75,Element_Stiffness!Y104,0)),0)),0)+IF(Element_Stiffness!$C$111,IF(Element_Stiffness!$C$110=2,IF(2=Element_Stiffness!$C$110,Element_Stiffness!S133,IF(2=Element_Stiffness!$E$110,Element_Stiffness!Y133,0)),IF(Element_Stiffness!$E$110=2,IF(2=Element_Stiffness!$C$110,Element_Stiffness!S139,IF(2=Element_Stiffness!$E$110,Element_Stiffness!Y139,0)),0)),0)+IF(Element_Stiffness!$C$146,IF(Element_Stiffness!$C$145=2,IF(2=Element_Stiffness!$C$145,Element_Stiffness!S168,IF(2=Element_Stiffness!$E$145,Element_Stiffness!Y168,0)),IF(Element_Stiffness!$E$145=2,IF(2=Element_Stiffness!$C$145,Element_Stiffness!S174,IF(2=Element_Stiffness!$E$145,Element_Stiffness!Y174,0)),0)),0)+IF(Element_Stiffness!$C$181,IF(Element_Stiffness!$C$180=2,IF(2=Element_Stiffness!$C$180,Element_Stiffness!S203,IF(2=Element_Stiffness!$E$180,Element_Stiffness!Y203,0)),IF(Element_Stiffness!$E$180=2,IF(2=Element_Stiffness!$C$180,Element_Stiffness!S209,IF(2=Element_Stiffness!$E$180,Element_Stiffness!Y209,0)),0)),0)+IF(Element_Stiffness!$C$216,IF(Element_Stiffness!$C$215=2,IF(2=Element_Stiffness!$C$215,Element_Stiffness!S238,IF(2=Element_Stiffness!$E$215,Element_Stiffness!Y238,0)),IF(Element_Stiffness!$E$215=2,IF(2=Element_Stiffness!$C$215,Element_Stiffness!S244,IF(2=Element_Stiffness!$E$215,Element_Stiffness!Y244,0)),0)),0)</f>
        <v/>
      </c>
      <c r="S19" s="21">
        <f>IF(Element_Stiffness!$C$6,IF(Element_Stiffness!$C$5=2,IF(2=Element_Stiffness!$C$5,Element_Stiffness!T28,IF(2=Element_Stiffness!$E$5,Element_Stiffness!Z28,0)),IF(Element_Stiffness!$E$5=2,IF(2=Element_Stiffness!$C$5,Element_Stiffness!T34,IF(2=Element_Stiffness!$E$5,Element_Stiffness!Z34,0)),0)),0)+IF(Element_Stiffness!$C$41,IF(Element_Stiffness!$C$40=2,IF(2=Element_Stiffness!$C$40,Element_Stiffness!T63,IF(2=Element_Stiffness!$E$40,Element_Stiffness!Z63,0)),IF(Element_Stiffness!$E$40=2,IF(2=Element_Stiffness!$C$40,Element_Stiffness!T69,IF(2=Element_Stiffness!$E$40,Element_Stiffness!Z69,0)),0)),0)+IF(Element_Stiffness!$C$76,IF(Element_Stiffness!$C$75=2,IF(2=Element_Stiffness!$C$75,Element_Stiffness!T98,IF(2=Element_Stiffness!$E$75,Element_Stiffness!Z98,0)),IF(Element_Stiffness!$E$75=2,IF(2=Element_Stiffness!$C$75,Element_Stiffness!T104,IF(2=Element_Stiffness!$E$75,Element_Stiffness!Z104,0)),0)),0)+IF(Element_Stiffness!$C$111,IF(Element_Stiffness!$C$110=2,IF(2=Element_Stiffness!$C$110,Element_Stiffness!T133,IF(2=Element_Stiffness!$E$110,Element_Stiffness!Z133,0)),IF(Element_Stiffness!$E$110=2,IF(2=Element_Stiffness!$C$110,Element_Stiffness!T139,IF(2=Element_Stiffness!$E$110,Element_Stiffness!Z139,0)),0)),0)+IF(Element_Stiffness!$C$146,IF(Element_Stiffness!$C$145=2,IF(2=Element_Stiffness!$C$145,Element_Stiffness!T168,IF(2=Element_Stiffness!$E$145,Element_Stiffness!Z168,0)),IF(Element_Stiffness!$E$145=2,IF(2=Element_Stiffness!$C$145,Element_Stiffness!T174,IF(2=Element_Stiffness!$E$145,Element_Stiffness!Z174,0)),0)),0)+IF(Element_Stiffness!$C$181,IF(Element_Stiffness!$C$180=2,IF(2=Element_Stiffness!$C$180,Element_Stiffness!T203,IF(2=Element_Stiffness!$E$180,Element_Stiffness!Z203,0)),IF(Element_Stiffness!$E$180=2,IF(2=Element_Stiffness!$C$180,Element_Stiffness!T209,IF(2=Element_Stiffness!$E$180,Element_Stiffness!Z209,0)),0)),0)+IF(Element_Stiffness!$C$216,IF(Element_Stiffness!$C$215=2,IF(2=Element_Stiffness!$C$215,Element_Stiffness!T238,IF(2=Element_Stiffness!$E$215,Element_Stiffness!Z238,0)),IF(Element_Stiffness!$E$215=2,IF(2=Element_Stiffness!$C$215,Element_Stiffness!T244,IF(2=Element_Stiffness!$E$215,Element_Stiffness!Z244,0)),0)),0)</f>
        <v/>
      </c>
      <c r="T19" s="21">
        <f>IF(Element_Stiffness!$C$6,IF(Element_Stiffness!$C$5=2,IF(2=Element_Stiffness!$C$5,Element_Stiffness!U28,IF(2=Element_Stiffness!$E$5,Element_Stiffness!AA28,0)),IF(Element_Stiffness!$E$5=2,IF(2=Element_Stiffness!$C$5,Element_Stiffness!U34,IF(2=Element_Stiffness!$E$5,Element_Stiffness!AA34,0)),0)),0)+IF(Element_Stiffness!$C$41,IF(Element_Stiffness!$C$40=2,IF(2=Element_Stiffness!$C$40,Element_Stiffness!U63,IF(2=Element_Stiffness!$E$40,Element_Stiffness!AA63,0)),IF(Element_Stiffness!$E$40=2,IF(2=Element_Stiffness!$C$40,Element_Stiffness!U69,IF(2=Element_Stiffness!$E$40,Element_Stiffness!AA69,0)),0)),0)+IF(Element_Stiffness!$C$76,IF(Element_Stiffness!$C$75=2,IF(2=Element_Stiffness!$C$75,Element_Stiffness!U98,IF(2=Element_Stiffness!$E$75,Element_Stiffness!AA98,0)),IF(Element_Stiffness!$E$75=2,IF(2=Element_Stiffness!$C$75,Element_Stiffness!U104,IF(2=Element_Stiffness!$E$75,Element_Stiffness!AA104,0)),0)),0)+IF(Element_Stiffness!$C$111,IF(Element_Stiffness!$C$110=2,IF(2=Element_Stiffness!$C$110,Element_Stiffness!U133,IF(2=Element_Stiffness!$E$110,Element_Stiffness!AA133,0)),IF(Element_Stiffness!$E$110=2,IF(2=Element_Stiffness!$C$110,Element_Stiffness!U139,IF(2=Element_Stiffness!$E$110,Element_Stiffness!AA139,0)),0)),0)+IF(Element_Stiffness!$C$146,IF(Element_Stiffness!$C$145=2,IF(2=Element_Stiffness!$C$145,Element_Stiffness!U168,IF(2=Element_Stiffness!$E$145,Element_Stiffness!AA168,0)),IF(Element_Stiffness!$E$145=2,IF(2=Element_Stiffness!$C$145,Element_Stiffness!U174,IF(2=Element_Stiffness!$E$145,Element_Stiffness!AA174,0)),0)),0)+IF(Element_Stiffness!$C$181,IF(Element_Stiffness!$C$180=2,IF(2=Element_Stiffness!$C$180,Element_Stiffness!U203,IF(2=Element_Stiffness!$E$180,Element_Stiffness!AA203,0)),IF(Element_Stiffness!$E$180=2,IF(2=Element_Stiffness!$C$180,Element_Stiffness!U209,IF(2=Element_Stiffness!$E$180,Element_Stiffness!AA209,0)),0)),0)+IF(Element_Stiffness!$C$216,IF(Element_Stiffness!$C$215=2,IF(2=Element_Stiffness!$C$215,Element_Stiffness!U238,IF(2=Element_Stiffness!$E$215,Element_Stiffness!AA238,0)),IF(Element_Stiffness!$E$215=2,IF(2=Element_Stiffness!$C$215,Element_Stiffness!U244,IF(2=Element_Stiffness!$E$215,Element_Stiffness!AA244,0)),0)),0)</f>
        <v/>
      </c>
      <c r="U19" s="21">
        <f>IF(Element_Stiffness!$C$6,IF(Element_Stiffness!$C$5=2,IF(3=Element_Stiffness!$C$5,Element_Stiffness!P28,IF(3=Element_Stiffness!$E$5,Element_Stiffness!V28,0)),IF(Element_Stiffness!$E$5=2,IF(3=Element_Stiffness!$C$5,Element_Stiffness!P34,IF(3=Element_Stiffness!$E$5,Element_Stiffness!V34,0)),0)),0)+IF(Element_Stiffness!$C$41,IF(Element_Stiffness!$C$40=2,IF(3=Element_Stiffness!$C$40,Element_Stiffness!P63,IF(3=Element_Stiffness!$E$40,Element_Stiffness!V63,0)),IF(Element_Stiffness!$E$40=2,IF(3=Element_Stiffness!$C$40,Element_Stiffness!P69,IF(3=Element_Stiffness!$E$40,Element_Stiffness!V69,0)),0)),0)+IF(Element_Stiffness!$C$76,IF(Element_Stiffness!$C$75=2,IF(3=Element_Stiffness!$C$75,Element_Stiffness!P98,IF(3=Element_Stiffness!$E$75,Element_Stiffness!V98,0)),IF(Element_Stiffness!$E$75=2,IF(3=Element_Stiffness!$C$75,Element_Stiffness!P104,IF(3=Element_Stiffness!$E$75,Element_Stiffness!V104,0)),0)),0)+IF(Element_Stiffness!$C$111,IF(Element_Stiffness!$C$110=2,IF(3=Element_Stiffness!$C$110,Element_Stiffness!P133,IF(3=Element_Stiffness!$E$110,Element_Stiffness!V133,0)),IF(Element_Stiffness!$E$110=2,IF(3=Element_Stiffness!$C$110,Element_Stiffness!P139,IF(3=Element_Stiffness!$E$110,Element_Stiffness!V139,0)),0)),0)+IF(Element_Stiffness!$C$146,IF(Element_Stiffness!$C$145=2,IF(3=Element_Stiffness!$C$145,Element_Stiffness!P168,IF(3=Element_Stiffness!$E$145,Element_Stiffness!V168,0)),IF(Element_Stiffness!$E$145=2,IF(3=Element_Stiffness!$C$145,Element_Stiffness!P174,IF(3=Element_Stiffness!$E$145,Element_Stiffness!V174,0)),0)),0)+IF(Element_Stiffness!$C$181,IF(Element_Stiffness!$C$180=2,IF(3=Element_Stiffness!$C$180,Element_Stiffness!P203,IF(3=Element_Stiffness!$E$180,Element_Stiffness!V203,0)),IF(Element_Stiffness!$E$180=2,IF(3=Element_Stiffness!$C$180,Element_Stiffness!P209,IF(3=Element_Stiffness!$E$180,Element_Stiffness!V209,0)),0)),0)+IF(Element_Stiffness!$C$216,IF(Element_Stiffness!$C$215=2,IF(3=Element_Stiffness!$C$215,Element_Stiffness!P238,IF(3=Element_Stiffness!$E$215,Element_Stiffness!V238,0)),IF(Element_Stiffness!$E$215=2,IF(3=Element_Stiffness!$C$215,Element_Stiffness!P244,IF(3=Element_Stiffness!$E$215,Element_Stiffness!V244,0)),0)),0)</f>
        <v/>
      </c>
      <c r="V19" s="21">
        <f>IF(Element_Stiffness!$C$6,IF(Element_Stiffness!$C$5=2,IF(3=Element_Stiffness!$C$5,Element_Stiffness!Q28,IF(3=Element_Stiffness!$E$5,Element_Stiffness!W28,0)),IF(Element_Stiffness!$E$5=2,IF(3=Element_Stiffness!$C$5,Element_Stiffness!Q34,IF(3=Element_Stiffness!$E$5,Element_Stiffness!W34,0)),0)),0)+IF(Element_Stiffness!$C$41,IF(Element_Stiffness!$C$40=2,IF(3=Element_Stiffness!$C$40,Element_Stiffness!Q63,IF(3=Element_Stiffness!$E$40,Element_Stiffness!W63,0)),IF(Element_Stiffness!$E$40=2,IF(3=Element_Stiffness!$C$40,Element_Stiffness!Q69,IF(3=Element_Stiffness!$E$40,Element_Stiffness!W69,0)),0)),0)+IF(Element_Stiffness!$C$76,IF(Element_Stiffness!$C$75=2,IF(3=Element_Stiffness!$C$75,Element_Stiffness!Q98,IF(3=Element_Stiffness!$E$75,Element_Stiffness!W98,0)),IF(Element_Stiffness!$E$75=2,IF(3=Element_Stiffness!$C$75,Element_Stiffness!Q104,IF(3=Element_Stiffness!$E$75,Element_Stiffness!W104,0)),0)),0)+IF(Element_Stiffness!$C$111,IF(Element_Stiffness!$C$110=2,IF(3=Element_Stiffness!$C$110,Element_Stiffness!Q133,IF(3=Element_Stiffness!$E$110,Element_Stiffness!W133,0)),IF(Element_Stiffness!$E$110=2,IF(3=Element_Stiffness!$C$110,Element_Stiffness!Q139,IF(3=Element_Stiffness!$E$110,Element_Stiffness!W139,0)),0)),0)+IF(Element_Stiffness!$C$146,IF(Element_Stiffness!$C$145=2,IF(3=Element_Stiffness!$C$145,Element_Stiffness!Q168,IF(3=Element_Stiffness!$E$145,Element_Stiffness!W168,0)),IF(Element_Stiffness!$E$145=2,IF(3=Element_Stiffness!$C$145,Element_Stiffness!Q174,IF(3=Element_Stiffness!$E$145,Element_Stiffness!W174,0)),0)),0)+IF(Element_Stiffness!$C$181,IF(Element_Stiffness!$C$180=2,IF(3=Element_Stiffness!$C$180,Element_Stiffness!Q203,IF(3=Element_Stiffness!$E$180,Element_Stiffness!W203,0)),IF(Element_Stiffness!$E$180=2,IF(3=Element_Stiffness!$C$180,Element_Stiffness!Q209,IF(3=Element_Stiffness!$E$180,Element_Stiffness!W209,0)),0)),0)+IF(Element_Stiffness!$C$216,IF(Element_Stiffness!$C$215=2,IF(3=Element_Stiffness!$C$215,Element_Stiffness!Q238,IF(3=Element_Stiffness!$E$215,Element_Stiffness!W238,0)),IF(Element_Stiffness!$E$215=2,IF(3=Element_Stiffness!$C$215,Element_Stiffness!Q244,IF(3=Element_Stiffness!$E$215,Element_Stiffness!W244,0)),0)),0)</f>
        <v/>
      </c>
      <c r="W19" s="21">
        <f>IF(Element_Stiffness!$C$6,IF(Element_Stiffness!$C$5=2,IF(3=Element_Stiffness!$C$5,Element_Stiffness!R28,IF(3=Element_Stiffness!$E$5,Element_Stiffness!X28,0)),IF(Element_Stiffness!$E$5=2,IF(3=Element_Stiffness!$C$5,Element_Stiffness!R34,IF(3=Element_Stiffness!$E$5,Element_Stiffness!X34,0)),0)),0)+IF(Element_Stiffness!$C$41,IF(Element_Stiffness!$C$40=2,IF(3=Element_Stiffness!$C$40,Element_Stiffness!R63,IF(3=Element_Stiffness!$E$40,Element_Stiffness!X63,0)),IF(Element_Stiffness!$E$40=2,IF(3=Element_Stiffness!$C$40,Element_Stiffness!R69,IF(3=Element_Stiffness!$E$40,Element_Stiffness!X69,0)),0)),0)+IF(Element_Stiffness!$C$76,IF(Element_Stiffness!$C$75=2,IF(3=Element_Stiffness!$C$75,Element_Stiffness!R98,IF(3=Element_Stiffness!$E$75,Element_Stiffness!X98,0)),IF(Element_Stiffness!$E$75=2,IF(3=Element_Stiffness!$C$75,Element_Stiffness!R104,IF(3=Element_Stiffness!$E$75,Element_Stiffness!X104,0)),0)),0)+IF(Element_Stiffness!$C$111,IF(Element_Stiffness!$C$110=2,IF(3=Element_Stiffness!$C$110,Element_Stiffness!R133,IF(3=Element_Stiffness!$E$110,Element_Stiffness!X133,0)),IF(Element_Stiffness!$E$110=2,IF(3=Element_Stiffness!$C$110,Element_Stiffness!R139,IF(3=Element_Stiffness!$E$110,Element_Stiffness!X139,0)),0)),0)+IF(Element_Stiffness!$C$146,IF(Element_Stiffness!$C$145=2,IF(3=Element_Stiffness!$C$145,Element_Stiffness!R168,IF(3=Element_Stiffness!$E$145,Element_Stiffness!X168,0)),IF(Element_Stiffness!$E$145=2,IF(3=Element_Stiffness!$C$145,Element_Stiffness!R174,IF(3=Element_Stiffness!$E$145,Element_Stiffness!X174,0)),0)),0)+IF(Element_Stiffness!$C$181,IF(Element_Stiffness!$C$180=2,IF(3=Element_Stiffness!$C$180,Element_Stiffness!R203,IF(3=Element_Stiffness!$E$180,Element_Stiffness!X203,0)),IF(Element_Stiffness!$E$180=2,IF(3=Element_Stiffness!$C$180,Element_Stiffness!R209,IF(3=Element_Stiffness!$E$180,Element_Stiffness!X209,0)),0)),0)+IF(Element_Stiffness!$C$216,IF(Element_Stiffness!$C$215=2,IF(3=Element_Stiffness!$C$215,Element_Stiffness!R238,IF(3=Element_Stiffness!$E$215,Element_Stiffness!X238,0)),IF(Element_Stiffness!$E$215=2,IF(3=Element_Stiffness!$C$215,Element_Stiffness!R244,IF(3=Element_Stiffness!$E$215,Element_Stiffness!X244,0)),0)),0)</f>
        <v/>
      </c>
      <c r="X19" s="21">
        <f>IF(Element_Stiffness!$C$6,IF(Element_Stiffness!$C$5=2,IF(3=Element_Stiffness!$C$5,Element_Stiffness!S28,IF(3=Element_Stiffness!$E$5,Element_Stiffness!Y28,0)),IF(Element_Stiffness!$E$5=2,IF(3=Element_Stiffness!$C$5,Element_Stiffness!S34,IF(3=Element_Stiffness!$E$5,Element_Stiffness!Y34,0)),0)),0)+IF(Element_Stiffness!$C$41,IF(Element_Stiffness!$C$40=2,IF(3=Element_Stiffness!$C$40,Element_Stiffness!S63,IF(3=Element_Stiffness!$E$40,Element_Stiffness!Y63,0)),IF(Element_Stiffness!$E$40=2,IF(3=Element_Stiffness!$C$40,Element_Stiffness!S69,IF(3=Element_Stiffness!$E$40,Element_Stiffness!Y69,0)),0)),0)+IF(Element_Stiffness!$C$76,IF(Element_Stiffness!$C$75=2,IF(3=Element_Stiffness!$C$75,Element_Stiffness!S98,IF(3=Element_Stiffness!$E$75,Element_Stiffness!Y98,0)),IF(Element_Stiffness!$E$75=2,IF(3=Element_Stiffness!$C$75,Element_Stiffness!S104,IF(3=Element_Stiffness!$E$75,Element_Stiffness!Y104,0)),0)),0)+IF(Element_Stiffness!$C$111,IF(Element_Stiffness!$C$110=2,IF(3=Element_Stiffness!$C$110,Element_Stiffness!S133,IF(3=Element_Stiffness!$E$110,Element_Stiffness!Y133,0)),IF(Element_Stiffness!$E$110=2,IF(3=Element_Stiffness!$C$110,Element_Stiffness!S139,IF(3=Element_Stiffness!$E$110,Element_Stiffness!Y139,0)),0)),0)+IF(Element_Stiffness!$C$146,IF(Element_Stiffness!$C$145=2,IF(3=Element_Stiffness!$C$145,Element_Stiffness!S168,IF(3=Element_Stiffness!$E$145,Element_Stiffness!Y168,0)),IF(Element_Stiffness!$E$145=2,IF(3=Element_Stiffness!$C$145,Element_Stiffness!S174,IF(3=Element_Stiffness!$E$145,Element_Stiffness!Y174,0)),0)),0)+IF(Element_Stiffness!$C$181,IF(Element_Stiffness!$C$180=2,IF(3=Element_Stiffness!$C$180,Element_Stiffness!S203,IF(3=Element_Stiffness!$E$180,Element_Stiffness!Y203,0)),IF(Element_Stiffness!$E$180=2,IF(3=Element_Stiffness!$C$180,Element_Stiffness!S209,IF(3=Element_Stiffness!$E$180,Element_Stiffness!Y209,0)),0)),0)+IF(Element_Stiffness!$C$216,IF(Element_Stiffness!$C$215=2,IF(3=Element_Stiffness!$C$215,Element_Stiffness!S238,IF(3=Element_Stiffness!$E$215,Element_Stiffness!Y238,0)),IF(Element_Stiffness!$E$215=2,IF(3=Element_Stiffness!$C$215,Element_Stiffness!S244,IF(3=Element_Stiffness!$E$215,Element_Stiffness!Y244,0)),0)),0)</f>
        <v/>
      </c>
      <c r="Y19" s="21">
        <f>IF(Element_Stiffness!$C$6,IF(Element_Stiffness!$C$5=2,IF(3=Element_Stiffness!$C$5,Element_Stiffness!T28,IF(3=Element_Stiffness!$E$5,Element_Stiffness!Z28,0)),IF(Element_Stiffness!$E$5=2,IF(3=Element_Stiffness!$C$5,Element_Stiffness!T34,IF(3=Element_Stiffness!$E$5,Element_Stiffness!Z34,0)),0)),0)+IF(Element_Stiffness!$C$41,IF(Element_Stiffness!$C$40=2,IF(3=Element_Stiffness!$C$40,Element_Stiffness!T63,IF(3=Element_Stiffness!$E$40,Element_Stiffness!Z63,0)),IF(Element_Stiffness!$E$40=2,IF(3=Element_Stiffness!$C$40,Element_Stiffness!T69,IF(3=Element_Stiffness!$E$40,Element_Stiffness!Z69,0)),0)),0)+IF(Element_Stiffness!$C$76,IF(Element_Stiffness!$C$75=2,IF(3=Element_Stiffness!$C$75,Element_Stiffness!T98,IF(3=Element_Stiffness!$E$75,Element_Stiffness!Z98,0)),IF(Element_Stiffness!$E$75=2,IF(3=Element_Stiffness!$C$75,Element_Stiffness!T104,IF(3=Element_Stiffness!$E$75,Element_Stiffness!Z104,0)),0)),0)+IF(Element_Stiffness!$C$111,IF(Element_Stiffness!$C$110=2,IF(3=Element_Stiffness!$C$110,Element_Stiffness!T133,IF(3=Element_Stiffness!$E$110,Element_Stiffness!Z133,0)),IF(Element_Stiffness!$E$110=2,IF(3=Element_Stiffness!$C$110,Element_Stiffness!T139,IF(3=Element_Stiffness!$E$110,Element_Stiffness!Z139,0)),0)),0)+IF(Element_Stiffness!$C$146,IF(Element_Stiffness!$C$145=2,IF(3=Element_Stiffness!$C$145,Element_Stiffness!T168,IF(3=Element_Stiffness!$E$145,Element_Stiffness!Z168,0)),IF(Element_Stiffness!$E$145=2,IF(3=Element_Stiffness!$C$145,Element_Stiffness!T174,IF(3=Element_Stiffness!$E$145,Element_Stiffness!Z174,0)),0)),0)+IF(Element_Stiffness!$C$181,IF(Element_Stiffness!$C$180=2,IF(3=Element_Stiffness!$C$180,Element_Stiffness!T203,IF(3=Element_Stiffness!$E$180,Element_Stiffness!Z203,0)),IF(Element_Stiffness!$E$180=2,IF(3=Element_Stiffness!$C$180,Element_Stiffness!T209,IF(3=Element_Stiffness!$E$180,Element_Stiffness!Z209,0)),0)),0)+IF(Element_Stiffness!$C$216,IF(Element_Stiffness!$C$215=2,IF(3=Element_Stiffness!$C$215,Element_Stiffness!T238,IF(3=Element_Stiffness!$E$215,Element_Stiffness!Z238,0)),IF(Element_Stiffness!$E$215=2,IF(3=Element_Stiffness!$C$215,Element_Stiffness!T244,IF(3=Element_Stiffness!$E$215,Element_Stiffness!Z244,0)),0)),0)</f>
        <v/>
      </c>
      <c r="Z19" s="21">
        <f>IF(Element_Stiffness!$C$6,IF(Element_Stiffness!$C$5=2,IF(3=Element_Stiffness!$C$5,Element_Stiffness!U28,IF(3=Element_Stiffness!$E$5,Element_Stiffness!AA28,0)),IF(Element_Stiffness!$E$5=2,IF(3=Element_Stiffness!$C$5,Element_Stiffness!U34,IF(3=Element_Stiffness!$E$5,Element_Stiffness!AA34,0)),0)),0)+IF(Element_Stiffness!$C$41,IF(Element_Stiffness!$C$40=2,IF(3=Element_Stiffness!$C$40,Element_Stiffness!U63,IF(3=Element_Stiffness!$E$40,Element_Stiffness!AA63,0)),IF(Element_Stiffness!$E$40=2,IF(3=Element_Stiffness!$C$40,Element_Stiffness!U69,IF(3=Element_Stiffness!$E$40,Element_Stiffness!AA69,0)),0)),0)+IF(Element_Stiffness!$C$76,IF(Element_Stiffness!$C$75=2,IF(3=Element_Stiffness!$C$75,Element_Stiffness!U98,IF(3=Element_Stiffness!$E$75,Element_Stiffness!AA98,0)),IF(Element_Stiffness!$E$75=2,IF(3=Element_Stiffness!$C$75,Element_Stiffness!U104,IF(3=Element_Stiffness!$E$75,Element_Stiffness!AA104,0)),0)),0)+IF(Element_Stiffness!$C$111,IF(Element_Stiffness!$C$110=2,IF(3=Element_Stiffness!$C$110,Element_Stiffness!U133,IF(3=Element_Stiffness!$E$110,Element_Stiffness!AA133,0)),IF(Element_Stiffness!$E$110=2,IF(3=Element_Stiffness!$C$110,Element_Stiffness!U139,IF(3=Element_Stiffness!$E$110,Element_Stiffness!AA139,0)),0)),0)+IF(Element_Stiffness!$C$146,IF(Element_Stiffness!$C$145=2,IF(3=Element_Stiffness!$C$145,Element_Stiffness!U168,IF(3=Element_Stiffness!$E$145,Element_Stiffness!AA168,0)),IF(Element_Stiffness!$E$145=2,IF(3=Element_Stiffness!$C$145,Element_Stiffness!U174,IF(3=Element_Stiffness!$E$145,Element_Stiffness!AA174,0)),0)),0)+IF(Element_Stiffness!$C$181,IF(Element_Stiffness!$C$180=2,IF(3=Element_Stiffness!$C$180,Element_Stiffness!U203,IF(3=Element_Stiffness!$E$180,Element_Stiffness!AA203,0)),IF(Element_Stiffness!$E$180=2,IF(3=Element_Stiffness!$C$180,Element_Stiffness!U209,IF(3=Element_Stiffness!$E$180,Element_Stiffness!AA209,0)),0)),0)+IF(Element_Stiffness!$C$216,IF(Element_Stiffness!$C$215=2,IF(3=Element_Stiffness!$C$215,Element_Stiffness!U238,IF(3=Element_Stiffness!$E$215,Element_Stiffness!AA238,0)),IF(Element_Stiffness!$E$215=2,IF(3=Element_Stiffness!$C$215,Element_Stiffness!U244,IF(3=Element_Stiffness!$E$215,Element_Stiffness!AA244,0)),0)),0)</f>
        <v/>
      </c>
      <c r="AA19" s="21">
        <f>IF(Element_Stiffness!$C$6,IF(Element_Stiffness!$C$5=2,IF(4=Element_Stiffness!$C$5,Element_Stiffness!P28,IF(4=Element_Stiffness!$E$5,Element_Stiffness!V28,0)),IF(Element_Stiffness!$E$5=2,IF(4=Element_Stiffness!$C$5,Element_Stiffness!P34,IF(4=Element_Stiffness!$E$5,Element_Stiffness!V34,0)),0)),0)+IF(Element_Stiffness!$C$41,IF(Element_Stiffness!$C$40=2,IF(4=Element_Stiffness!$C$40,Element_Stiffness!P63,IF(4=Element_Stiffness!$E$40,Element_Stiffness!V63,0)),IF(Element_Stiffness!$E$40=2,IF(4=Element_Stiffness!$C$40,Element_Stiffness!P69,IF(4=Element_Stiffness!$E$40,Element_Stiffness!V69,0)),0)),0)+IF(Element_Stiffness!$C$76,IF(Element_Stiffness!$C$75=2,IF(4=Element_Stiffness!$C$75,Element_Stiffness!P98,IF(4=Element_Stiffness!$E$75,Element_Stiffness!V98,0)),IF(Element_Stiffness!$E$75=2,IF(4=Element_Stiffness!$C$75,Element_Stiffness!P104,IF(4=Element_Stiffness!$E$75,Element_Stiffness!V104,0)),0)),0)+IF(Element_Stiffness!$C$111,IF(Element_Stiffness!$C$110=2,IF(4=Element_Stiffness!$C$110,Element_Stiffness!P133,IF(4=Element_Stiffness!$E$110,Element_Stiffness!V133,0)),IF(Element_Stiffness!$E$110=2,IF(4=Element_Stiffness!$C$110,Element_Stiffness!P139,IF(4=Element_Stiffness!$E$110,Element_Stiffness!V139,0)),0)),0)+IF(Element_Stiffness!$C$146,IF(Element_Stiffness!$C$145=2,IF(4=Element_Stiffness!$C$145,Element_Stiffness!P168,IF(4=Element_Stiffness!$E$145,Element_Stiffness!V168,0)),IF(Element_Stiffness!$E$145=2,IF(4=Element_Stiffness!$C$145,Element_Stiffness!P174,IF(4=Element_Stiffness!$E$145,Element_Stiffness!V174,0)),0)),0)+IF(Element_Stiffness!$C$181,IF(Element_Stiffness!$C$180=2,IF(4=Element_Stiffness!$C$180,Element_Stiffness!P203,IF(4=Element_Stiffness!$E$180,Element_Stiffness!V203,0)),IF(Element_Stiffness!$E$180=2,IF(4=Element_Stiffness!$C$180,Element_Stiffness!P209,IF(4=Element_Stiffness!$E$180,Element_Stiffness!V209,0)),0)),0)+IF(Element_Stiffness!$C$216,IF(Element_Stiffness!$C$215=2,IF(4=Element_Stiffness!$C$215,Element_Stiffness!P238,IF(4=Element_Stiffness!$E$215,Element_Stiffness!V238,0)),IF(Element_Stiffness!$E$215=2,IF(4=Element_Stiffness!$C$215,Element_Stiffness!P244,IF(4=Element_Stiffness!$E$215,Element_Stiffness!V244,0)),0)),0)</f>
        <v/>
      </c>
      <c r="AB19" s="21">
        <f>IF(Element_Stiffness!$C$6,IF(Element_Stiffness!$C$5=2,IF(4=Element_Stiffness!$C$5,Element_Stiffness!Q28,IF(4=Element_Stiffness!$E$5,Element_Stiffness!W28,0)),IF(Element_Stiffness!$E$5=2,IF(4=Element_Stiffness!$C$5,Element_Stiffness!Q34,IF(4=Element_Stiffness!$E$5,Element_Stiffness!W34,0)),0)),0)+IF(Element_Stiffness!$C$41,IF(Element_Stiffness!$C$40=2,IF(4=Element_Stiffness!$C$40,Element_Stiffness!Q63,IF(4=Element_Stiffness!$E$40,Element_Stiffness!W63,0)),IF(Element_Stiffness!$E$40=2,IF(4=Element_Stiffness!$C$40,Element_Stiffness!Q69,IF(4=Element_Stiffness!$E$40,Element_Stiffness!W69,0)),0)),0)+IF(Element_Stiffness!$C$76,IF(Element_Stiffness!$C$75=2,IF(4=Element_Stiffness!$C$75,Element_Stiffness!Q98,IF(4=Element_Stiffness!$E$75,Element_Stiffness!W98,0)),IF(Element_Stiffness!$E$75=2,IF(4=Element_Stiffness!$C$75,Element_Stiffness!Q104,IF(4=Element_Stiffness!$E$75,Element_Stiffness!W104,0)),0)),0)+IF(Element_Stiffness!$C$111,IF(Element_Stiffness!$C$110=2,IF(4=Element_Stiffness!$C$110,Element_Stiffness!Q133,IF(4=Element_Stiffness!$E$110,Element_Stiffness!W133,0)),IF(Element_Stiffness!$E$110=2,IF(4=Element_Stiffness!$C$110,Element_Stiffness!Q139,IF(4=Element_Stiffness!$E$110,Element_Stiffness!W139,0)),0)),0)+IF(Element_Stiffness!$C$146,IF(Element_Stiffness!$C$145=2,IF(4=Element_Stiffness!$C$145,Element_Stiffness!Q168,IF(4=Element_Stiffness!$E$145,Element_Stiffness!W168,0)),IF(Element_Stiffness!$E$145=2,IF(4=Element_Stiffness!$C$145,Element_Stiffness!Q174,IF(4=Element_Stiffness!$E$145,Element_Stiffness!W174,0)),0)),0)+IF(Element_Stiffness!$C$181,IF(Element_Stiffness!$C$180=2,IF(4=Element_Stiffness!$C$180,Element_Stiffness!Q203,IF(4=Element_Stiffness!$E$180,Element_Stiffness!W203,0)),IF(Element_Stiffness!$E$180=2,IF(4=Element_Stiffness!$C$180,Element_Stiffness!Q209,IF(4=Element_Stiffness!$E$180,Element_Stiffness!W209,0)),0)),0)+IF(Element_Stiffness!$C$216,IF(Element_Stiffness!$C$215=2,IF(4=Element_Stiffness!$C$215,Element_Stiffness!Q238,IF(4=Element_Stiffness!$E$215,Element_Stiffness!W238,0)),IF(Element_Stiffness!$E$215=2,IF(4=Element_Stiffness!$C$215,Element_Stiffness!Q244,IF(4=Element_Stiffness!$E$215,Element_Stiffness!W244,0)),0)),0)</f>
        <v/>
      </c>
      <c r="AC19" s="21">
        <f>IF(Element_Stiffness!$C$6,IF(Element_Stiffness!$C$5=2,IF(4=Element_Stiffness!$C$5,Element_Stiffness!R28,IF(4=Element_Stiffness!$E$5,Element_Stiffness!X28,0)),IF(Element_Stiffness!$E$5=2,IF(4=Element_Stiffness!$C$5,Element_Stiffness!R34,IF(4=Element_Stiffness!$E$5,Element_Stiffness!X34,0)),0)),0)+IF(Element_Stiffness!$C$41,IF(Element_Stiffness!$C$40=2,IF(4=Element_Stiffness!$C$40,Element_Stiffness!R63,IF(4=Element_Stiffness!$E$40,Element_Stiffness!X63,0)),IF(Element_Stiffness!$E$40=2,IF(4=Element_Stiffness!$C$40,Element_Stiffness!R69,IF(4=Element_Stiffness!$E$40,Element_Stiffness!X69,0)),0)),0)+IF(Element_Stiffness!$C$76,IF(Element_Stiffness!$C$75=2,IF(4=Element_Stiffness!$C$75,Element_Stiffness!R98,IF(4=Element_Stiffness!$E$75,Element_Stiffness!X98,0)),IF(Element_Stiffness!$E$75=2,IF(4=Element_Stiffness!$C$75,Element_Stiffness!R104,IF(4=Element_Stiffness!$E$75,Element_Stiffness!X104,0)),0)),0)+IF(Element_Stiffness!$C$111,IF(Element_Stiffness!$C$110=2,IF(4=Element_Stiffness!$C$110,Element_Stiffness!R133,IF(4=Element_Stiffness!$E$110,Element_Stiffness!X133,0)),IF(Element_Stiffness!$E$110=2,IF(4=Element_Stiffness!$C$110,Element_Stiffness!R139,IF(4=Element_Stiffness!$E$110,Element_Stiffness!X139,0)),0)),0)+IF(Element_Stiffness!$C$146,IF(Element_Stiffness!$C$145=2,IF(4=Element_Stiffness!$C$145,Element_Stiffness!R168,IF(4=Element_Stiffness!$E$145,Element_Stiffness!X168,0)),IF(Element_Stiffness!$E$145=2,IF(4=Element_Stiffness!$C$145,Element_Stiffness!R174,IF(4=Element_Stiffness!$E$145,Element_Stiffness!X174,0)),0)),0)+IF(Element_Stiffness!$C$181,IF(Element_Stiffness!$C$180=2,IF(4=Element_Stiffness!$C$180,Element_Stiffness!R203,IF(4=Element_Stiffness!$E$180,Element_Stiffness!X203,0)),IF(Element_Stiffness!$E$180=2,IF(4=Element_Stiffness!$C$180,Element_Stiffness!R209,IF(4=Element_Stiffness!$E$180,Element_Stiffness!X209,0)),0)),0)+IF(Element_Stiffness!$C$216,IF(Element_Stiffness!$C$215=2,IF(4=Element_Stiffness!$C$215,Element_Stiffness!R238,IF(4=Element_Stiffness!$E$215,Element_Stiffness!X238,0)),IF(Element_Stiffness!$E$215=2,IF(4=Element_Stiffness!$C$215,Element_Stiffness!R244,IF(4=Element_Stiffness!$E$215,Element_Stiffness!X244,0)),0)),0)</f>
        <v/>
      </c>
      <c r="AD19" s="21">
        <f>IF(Element_Stiffness!$C$6,IF(Element_Stiffness!$C$5=2,IF(4=Element_Stiffness!$C$5,Element_Stiffness!S28,IF(4=Element_Stiffness!$E$5,Element_Stiffness!Y28,0)),IF(Element_Stiffness!$E$5=2,IF(4=Element_Stiffness!$C$5,Element_Stiffness!S34,IF(4=Element_Stiffness!$E$5,Element_Stiffness!Y34,0)),0)),0)+IF(Element_Stiffness!$C$41,IF(Element_Stiffness!$C$40=2,IF(4=Element_Stiffness!$C$40,Element_Stiffness!S63,IF(4=Element_Stiffness!$E$40,Element_Stiffness!Y63,0)),IF(Element_Stiffness!$E$40=2,IF(4=Element_Stiffness!$C$40,Element_Stiffness!S69,IF(4=Element_Stiffness!$E$40,Element_Stiffness!Y69,0)),0)),0)+IF(Element_Stiffness!$C$76,IF(Element_Stiffness!$C$75=2,IF(4=Element_Stiffness!$C$75,Element_Stiffness!S98,IF(4=Element_Stiffness!$E$75,Element_Stiffness!Y98,0)),IF(Element_Stiffness!$E$75=2,IF(4=Element_Stiffness!$C$75,Element_Stiffness!S104,IF(4=Element_Stiffness!$E$75,Element_Stiffness!Y104,0)),0)),0)+IF(Element_Stiffness!$C$111,IF(Element_Stiffness!$C$110=2,IF(4=Element_Stiffness!$C$110,Element_Stiffness!S133,IF(4=Element_Stiffness!$E$110,Element_Stiffness!Y133,0)),IF(Element_Stiffness!$E$110=2,IF(4=Element_Stiffness!$C$110,Element_Stiffness!S139,IF(4=Element_Stiffness!$E$110,Element_Stiffness!Y139,0)),0)),0)+IF(Element_Stiffness!$C$146,IF(Element_Stiffness!$C$145=2,IF(4=Element_Stiffness!$C$145,Element_Stiffness!S168,IF(4=Element_Stiffness!$E$145,Element_Stiffness!Y168,0)),IF(Element_Stiffness!$E$145=2,IF(4=Element_Stiffness!$C$145,Element_Stiffness!S174,IF(4=Element_Stiffness!$E$145,Element_Stiffness!Y174,0)),0)),0)+IF(Element_Stiffness!$C$181,IF(Element_Stiffness!$C$180=2,IF(4=Element_Stiffness!$C$180,Element_Stiffness!S203,IF(4=Element_Stiffness!$E$180,Element_Stiffness!Y203,0)),IF(Element_Stiffness!$E$180=2,IF(4=Element_Stiffness!$C$180,Element_Stiffness!S209,IF(4=Element_Stiffness!$E$180,Element_Stiffness!Y209,0)),0)),0)+IF(Element_Stiffness!$C$216,IF(Element_Stiffness!$C$215=2,IF(4=Element_Stiffness!$C$215,Element_Stiffness!S238,IF(4=Element_Stiffness!$E$215,Element_Stiffness!Y238,0)),IF(Element_Stiffness!$E$215=2,IF(4=Element_Stiffness!$C$215,Element_Stiffness!S244,IF(4=Element_Stiffness!$E$215,Element_Stiffness!Y244,0)),0)),0)</f>
        <v/>
      </c>
      <c r="AE19" s="21">
        <f>IF(Element_Stiffness!$C$6,IF(Element_Stiffness!$C$5=2,IF(4=Element_Stiffness!$C$5,Element_Stiffness!T28,IF(4=Element_Stiffness!$E$5,Element_Stiffness!Z28,0)),IF(Element_Stiffness!$E$5=2,IF(4=Element_Stiffness!$C$5,Element_Stiffness!T34,IF(4=Element_Stiffness!$E$5,Element_Stiffness!Z34,0)),0)),0)+IF(Element_Stiffness!$C$41,IF(Element_Stiffness!$C$40=2,IF(4=Element_Stiffness!$C$40,Element_Stiffness!T63,IF(4=Element_Stiffness!$E$40,Element_Stiffness!Z63,0)),IF(Element_Stiffness!$E$40=2,IF(4=Element_Stiffness!$C$40,Element_Stiffness!T69,IF(4=Element_Stiffness!$E$40,Element_Stiffness!Z69,0)),0)),0)+IF(Element_Stiffness!$C$76,IF(Element_Stiffness!$C$75=2,IF(4=Element_Stiffness!$C$75,Element_Stiffness!T98,IF(4=Element_Stiffness!$E$75,Element_Stiffness!Z98,0)),IF(Element_Stiffness!$E$75=2,IF(4=Element_Stiffness!$C$75,Element_Stiffness!T104,IF(4=Element_Stiffness!$E$75,Element_Stiffness!Z104,0)),0)),0)+IF(Element_Stiffness!$C$111,IF(Element_Stiffness!$C$110=2,IF(4=Element_Stiffness!$C$110,Element_Stiffness!T133,IF(4=Element_Stiffness!$E$110,Element_Stiffness!Z133,0)),IF(Element_Stiffness!$E$110=2,IF(4=Element_Stiffness!$C$110,Element_Stiffness!T139,IF(4=Element_Stiffness!$E$110,Element_Stiffness!Z139,0)),0)),0)+IF(Element_Stiffness!$C$146,IF(Element_Stiffness!$C$145=2,IF(4=Element_Stiffness!$C$145,Element_Stiffness!T168,IF(4=Element_Stiffness!$E$145,Element_Stiffness!Z168,0)),IF(Element_Stiffness!$E$145=2,IF(4=Element_Stiffness!$C$145,Element_Stiffness!T174,IF(4=Element_Stiffness!$E$145,Element_Stiffness!Z174,0)),0)),0)+IF(Element_Stiffness!$C$181,IF(Element_Stiffness!$C$180=2,IF(4=Element_Stiffness!$C$180,Element_Stiffness!T203,IF(4=Element_Stiffness!$E$180,Element_Stiffness!Z203,0)),IF(Element_Stiffness!$E$180=2,IF(4=Element_Stiffness!$C$180,Element_Stiffness!T209,IF(4=Element_Stiffness!$E$180,Element_Stiffness!Z209,0)),0)),0)+IF(Element_Stiffness!$C$216,IF(Element_Stiffness!$C$215=2,IF(4=Element_Stiffness!$C$215,Element_Stiffness!T238,IF(4=Element_Stiffness!$E$215,Element_Stiffness!Z238,0)),IF(Element_Stiffness!$E$215=2,IF(4=Element_Stiffness!$C$215,Element_Stiffness!T244,IF(4=Element_Stiffness!$E$215,Element_Stiffness!Z244,0)),0)),0)</f>
        <v/>
      </c>
      <c r="AF19" s="21">
        <f>IF(Element_Stiffness!$C$6,IF(Element_Stiffness!$C$5=2,IF(4=Element_Stiffness!$C$5,Element_Stiffness!U28,IF(4=Element_Stiffness!$E$5,Element_Stiffness!AA28,0)),IF(Element_Stiffness!$E$5=2,IF(4=Element_Stiffness!$C$5,Element_Stiffness!U34,IF(4=Element_Stiffness!$E$5,Element_Stiffness!AA34,0)),0)),0)+IF(Element_Stiffness!$C$41,IF(Element_Stiffness!$C$40=2,IF(4=Element_Stiffness!$C$40,Element_Stiffness!U63,IF(4=Element_Stiffness!$E$40,Element_Stiffness!AA63,0)),IF(Element_Stiffness!$E$40=2,IF(4=Element_Stiffness!$C$40,Element_Stiffness!U69,IF(4=Element_Stiffness!$E$40,Element_Stiffness!AA69,0)),0)),0)+IF(Element_Stiffness!$C$76,IF(Element_Stiffness!$C$75=2,IF(4=Element_Stiffness!$C$75,Element_Stiffness!U98,IF(4=Element_Stiffness!$E$75,Element_Stiffness!AA98,0)),IF(Element_Stiffness!$E$75=2,IF(4=Element_Stiffness!$C$75,Element_Stiffness!U104,IF(4=Element_Stiffness!$E$75,Element_Stiffness!AA104,0)),0)),0)+IF(Element_Stiffness!$C$111,IF(Element_Stiffness!$C$110=2,IF(4=Element_Stiffness!$C$110,Element_Stiffness!U133,IF(4=Element_Stiffness!$E$110,Element_Stiffness!AA133,0)),IF(Element_Stiffness!$E$110=2,IF(4=Element_Stiffness!$C$110,Element_Stiffness!U139,IF(4=Element_Stiffness!$E$110,Element_Stiffness!AA139,0)),0)),0)+IF(Element_Stiffness!$C$146,IF(Element_Stiffness!$C$145=2,IF(4=Element_Stiffness!$C$145,Element_Stiffness!U168,IF(4=Element_Stiffness!$E$145,Element_Stiffness!AA168,0)),IF(Element_Stiffness!$E$145=2,IF(4=Element_Stiffness!$C$145,Element_Stiffness!U174,IF(4=Element_Stiffness!$E$145,Element_Stiffness!AA174,0)),0)),0)+IF(Element_Stiffness!$C$181,IF(Element_Stiffness!$C$180=2,IF(4=Element_Stiffness!$C$180,Element_Stiffness!U203,IF(4=Element_Stiffness!$E$180,Element_Stiffness!AA203,0)),IF(Element_Stiffness!$E$180=2,IF(4=Element_Stiffness!$C$180,Element_Stiffness!U209,IF(4=Element_Stiffness!$E$180,Element_Stiffness!AA209,0)),0)),0)+IF(Element_Stiffness!$C$216,IF(Element_Stiffness!$C$215=2,IF(4=Element_Stiffness!$C$215,Element_Stiffness!U238,IF(4=Element_Stiffness!$E$215,Element_Stiffness!AA238,0)),IF(Element_Stiffness!$E$215=2,IF(4=Element_Stiffness!$C$215,Element_Stiffness!U244,IF(4=Element_Stiffness!$E$215,Element_Stiffness!AA244,0)),0)),0)</f>
        <v/>
      </c>
      <c r="AG19" s="21">
        <f>IF(Element_Stiffness!$C$6,IF(Element_Stiffness!$C$5=2,IF(5=Element_Stiffness!$C$5,Element_Stiffness!P28,IF(5=Element_Stiffness!$E$5,Element_Stiffness!V28,0)),IF(Element_Stiffness!$E$5=2,IF(5=Element_Stiffness!$C$5,Element_Stiffness!P34,IF(5=Element_Stiffness!$E$5,Element_Stiffness!V34,0)),0)),0)+IF(Element_Stiffness!$C$41,IF(Element_Stiffness!$C$40=2,IF(5=Element_Stiffness!$C$40,Element_Stiffness!P63,IF(5=Element_Stiffness!$E$40,Element_Stiffness!V63,0)),IF(Element_Stiffness!$E$40=2,IF(5=Element_Stiffness!$C$40,Element_Stiffness!P69,IF(5=Element_Stiffness!$E$40,Element_Stiffness!V69,0)),0)),0)+IF(Element_Stiffness!$C$76,IF(Element_Stiffness!$C$75=2,IF(5=Element_Stiffness!$C$75,Element_Stiffness!P98,IF(5=Element_Stiffness!$E$75,Element_Stiffness!V98,0)),IF(Element_Stiffness!$E$75=2,IF(5=Element_Stiffness!$C$75,Element_Stiffness!P104,IF(5=Element_Stiffness!$E$75,Element_Stiffness!V104,0)),0)),0)+IF(Element_Stiffness!$C$111,IF(Element_Stiffness!$C$110=2,IF(5=Element_Stiffness!$C$110,Element_Stiffness!P133,IF(5=Element_Stiffness!$E$110,Element_Stiffness!V133,0)),IF(Element_Stiffness!$E$110=2,IF(5=Element_Stiffness!$C$110,Element_Stiffness!P139,IF(5=Element_Stiffness!$E$110,Element_Stiffness!V139,0)),0)),0)+IF(Element_Stiffness!$C$146,IF(Element_Stiffness!$C$145=2,IF(5=Element_Stiffness!$C$145,Element_Stiffness!P168,IF(5=Element_Stiffness!$E$145,Element_Stiffness!V168,0)),IF(Element_Stiffness!$E$145=2,IF(5=Element_Stiffness!$C$145,Element_Stiffness!P174,IF(5=Element_Stiffness!$E$145,Element_Stiffness!V174,0)),0)),0)+IF(Element_Stiffness!$C$181,IF(Element_Stiffness!$C$180=2,IF(5=Element_Stiffness!$C$180,Element_Stiffness!P203,IF(5=Element_Stiffness!$E$180,Element_Stiffness!V203,0)),IF(Element_Stiffness!$E$180=2,IF(5=Element_Stiffness!$C$180,Element_Stiffness!P209,IF(5=Element_Stiffness!$E$180,Element_Stiffness!V209,0)),0)),0)+IF(Element_Stiffness!$C$216,IF(Element_Stiffness!$C$215=2,IF(5=Element_Stiffness!$C$215,Element_Stiffness!P238,IF(5=Element_Stiffness!$E$215,Element_Stiffness!V238,0)),IF(Element_Stiffness!$E$215=2,IF(5=Element_Stiffness!$C$215,Element_Stiffness!P244,IF(5=Element_Stiffness!$E$215,Element_Stiffness!V244,0)),0)),0)</f>
        <v/>
      </c>
      <c r="AH19" s="21">
        <f>IF(Element_Stiffness!$C$6,IF(Element_Stiffness!$C$5=2,IF(5=Element_Stiffness!$C$5,Element_Stiffness!Q28,IF(5=Element_Stiffness!$E$5,Element_Stiffness!W28,0)),IF(Element_Stiffness!$E$5=2,IF(5=Element_Stiffness!$C$5,Element_Stiffness!Q34,IF(5=Element_Stiffness!$E$5,Element_Stiffness!W34,0)),0)),0)+IF(Element_Stiffness!$C$41,IF(Element_Stiffness!$C$40=2,IF(5=Element_Stiffness!$C$40,Element_Stiffness!Q63,IF(5=Element_Stiffness!$E$40,Element_Stiffness!W63,0)),IF(Element_Stiffness!$E$40=2,IF(5=Element_Stiffness!$C$40,Element_Stiffness!Q69,IF(5=Element_Stiffness!$E$40,Element_Stiffness!W69,0)),0)),0)+IF(Element_Stiffness!$C$76,IF(Element_Stiffness!$C$75=2,IF(5=Element_Stiffness!$C$75,Element_Stiffness!Q98,IF(5=Element_Stiffness!$E$75,Element_Stiffness!W98,0)),IF(Element_Stiffness!$E$75=2,IF(5=Element_Stiffness!$C$75,Element_Stiffness!Q104,IF(5=Element_Stiffness!$E$75,Element_Stiffness!W104,0)),0)),0)+IF(Element_Stiffness!$C$111,IF(Element_Stiffness!$C$110=2,IF(5=Element_Stiffness!$C$110,Element_Stiffness!Q133,IF(5=Element_Stiffness!$E$110,Element_Stiffness!W133,0)),IF(Element_Stiffness!$E$110=2,IF(5=Element_Stiffness!$C$110,Element_Stiffness!Q139,IF(5=Element_Stiffness!$E$110,Element_Stiffness!W139,0)),0)),0)+IF(Element_Stiffness!$C$146,IF(Element_Stiffness!$C$145=2,IF(5=Element_Stiffness!$C$145,Element_Stiffness!Q168,IF(5=Element_Stiffness!$E$145,Element_Stiffness!W168,0)),IF(Element_Stiffness!$E$145=2,IF(5=Element_Stiffness!$C$145,Element_Stiffness!Q174,IF(5=Element_Stiffness!$E$145,Element_Stiffness!W174,0)),0)),0)+IF(Element_Stiffness!$C$181,IF(Element_Stiffness!$C$180=2,IF(5=Element_Stiffness!$C$180,Element_Stiffness!Q203,IF(5=Element_Stiffness!$E$180,Element_Stiffness!W203,0)),IF(Element_Stiffness!$E$180=2,IF(5=Element_Stiffness!$C$180,Element_Stiffness!Q209,IF(5=Element_Stiffness!$E$180,Element_Stiffness!W209,0)),0)),0)+IF(Element_Stiffness!$C$216,IF(Element_Stiffness!$C$215=2,IF(5=Element_Stiffness!$C$215,Element_Stiffness!Q238,IF(5=Element_Stiffness!$E$215,Element_Stiffness!W238,0)),IF(Element_Stiffness!$E$215=2,IF(5=Element_Stiffness!$C$215,Element_Stiffness!Q244,IF(5=Element_Stiffness!$E$215,Element_Stiffness!W244,0)),0)),0)</f>
        <v/>
      </c>
      <c r="AI19" s="21">
        <f>IF(Element_Stiffness!$C$6,IF(Element_Stiffness!$C$5=2,IF(5=Element_Stiffness!$C$5,Element_Stiffness!R28,IF(5=Element_Stiffness!$E$5,Element_Stiffness!X28,0)),IF(Element_Stiffness!$E$5=2,IF(5=Element_Stiffness!$C$5,Element_Stiffness!R34,IF(5=Element_Stiffness!$E$5,Element_Stiffness!X34,0)),0)),0)+IF(Element_Stiffness!$C$41,IF(Element_Stiffness!$C$40=2,IF(5=Element_Stiffness!$C$40,Element_Stiffness!R63,IF(5=Element_Stiffness!$E$40,Element_Stiffness!X63,0)),IF(Element_Stiffness!$E$40=2,IF(5=Element_Stiffness!$C$40,Element_Stiffness!R69,IF(5=Element_Stiffness!$E$40,Element_Stiffness!X69,0)),0)),0)+IF(Element_Stiffness!$C$76,IF(Element_Stiffness!$C$75=2,IF(5=Element_Stiffness!$C$75,Element_Stiffness!R98,IF(5=Element_Stiffness!$E$75,Element_Stiffness!X98,0)),IF(Element_Stiffness!$E$75=2,IF(5=Element_Stiffness!$C$75,Element_Stiffness!R104,IF(5=Element_Stiffness!$E$75,Element_Stiffness!X104,0)),0)),0)+IF(Element_Stiffness!$C$111,IF(Element_Stiffness!$C$110=2,IF(5=Element_Stiffness!$C$110,Element_Stiffness!R133,IF(5=Element_Stiffness!$E$110,Element_Stiffness!X133,0)),IF(Element_Stiffness!$E$110=2,IF(5=Element_Stiffness!$C$110,Element_Stiffness!R139,IF(5=Element_Stiffness!$E$110,Element_Stiffness!X139,0)),0)),0)+IF(Element_Stiffness!$C$146,IF(Element_Stiffness!$C$145=2,IF(5=Element_Stiffness!$C$145,Element_Stiffness!R168,IF(5=Element_Stiffness!$E$145,Element_Stiffness!X168,0)),IF(Element_Stiffness!$E$145=2,IF(5=Element_Stiffness!$C$145,Element_Stiffness!R174,IF(5=Element_Stiffness!$E$145,Element_Stiffness!X174,0)),0)),0)+IF(Element_Stiffness!$C$181,IF(Element_Stiffness!$C$180=2,IF(5=Element_Stiffness!$C$180,Element_Stiffness!R203,IF(5=Element_Stiffness!$E$180,Element_Stiffness!X203,0)),IF(Element_Stiffness!$E$180=2,IF(5=Element_Stiffness!$C$180,Element_Stiffness!R209,IF(5=Element_Stiffness!$E$180,Element_Stiffness!X209,0)),0)),0)+IF(Element_Stiffness!$C$216,IF(Element_Stiffness!$C$215=2,IF(5=Element_Stiffness!$C$215,Element_Stiffness!R238,IF(5=Element_Stiffness!$E$215,Element_Stiffness!X238,0)),IF(Element_Stiffness!$E$215=2,IF(5=Element_Stiffness!$C$215,Element_Stiffness!R244,IF(5=Element_Stiffness!$E$215,Element_Stiffness!X244,0)),0)),0)</f>
        <v/>
      </c>
      <c r="AJ19" s="21">
        <f>IF(Element_Stiffness!$C$6,IF(Element_Stiffness!$C$5=2,IF(5=Element_Stiffness!$C$5,Element_Stiffness!S28,IF(5=Element_Stiffness!$E$5,Element_Stiffness!Y28,0)),IF(Element_Stiffness!$E$5=2,IF(5=Element_Stiffness!$C$5,Element_Stiffness!S34,IF(5=Element_Stiffness!$E$5,Element_Stiffness!Y34,0)),0)),0)+IF(Element_Stiffness!$C$41,IF(Element_Stiffness!$C$40=2,IF(5=Element_Stiffness!$C$40,Element_Stiffness!S63,IF(5=Element_Stiffness!$E$40,Element_Stiffness!Y63,0)),IF(Element_Stiffness!$E$40=2,IF(5=Element_Stiffness!$C$40,Element_Stiffness!S69,IF(5=Element_Stiffness!$E$40,Element_Stiffness!Y69,0)),0)),0)+IF(Element_Stiffness!$C$76,IF(Element_Stiffness!$C$75=2,IF(5=Element_Stiffness!$C$75,Element_Stiffness!S98,IF(5=Element_Stiffness!$E$75,Element_Stiffness!Y98,0)),IF(Element_Stiffness!$E$75=2,IF(5=Element_Stiffness!$C$75,Element_Stiffness!S104,IF(5=Element_Stiffness!$E$75,Element_Stiffness!Y104,0)),0)),0)+IF(Element_Stiffness!$C$111,IF(Element_Stiffness!$C$110=2,IF(5=Element_Stiffness!$C$110,Element_Stiffness!S133,IF(5=Element_Stiffness!$E$110,Element_Stiffness!Y133,0)),IF(Element_Stiffness!$E$110=2,IF(5=Element_Stiffness!$C$110,Element_Stiffness!S139,IF(5=Element_Stiffness!$E$110,Element_Stiffness!Y139,0)),0)),0)+IF(Element_Stiffness!$C$146,IF(Element_Stiffness!$C$145=2,IF(5=Element_Stiffness!$C$145,Element_Stiffness!S168,IF(5=Element_Stiffness!$E$145,Element_Stiffness!Y168,0)),IF(Element_Stiffness!$E$145=2,IF(5=Element_Stiffness!$C$145,Element_Stiffness!S174,IF(5=Element_Stiffness!$E$145,Element_Stiffness!Y174,0)),0)),0)+IF(Element_Stiffness!$C$181,IF(Element_Stiffness!$C$180=2,IF(5=Element_Stiffness!$C$180,Element_Stiffness!S203,IF(5=Element_Stiffness!$E$180,Element_Stiffness!Y203,0)),IF(Element_Stiffness!$E$180=2,IF(5=Element_Stiffness!$C$180,Element_Stiffness!S209,IF(5=Element_Stiffness!$E$180,Element_Stiffness!Y209,0)),0)),0)+IF(Element_Stiffness!$C$216,IF(Element_Stiffness!$C$215=2,IF(5=Element_Stiffness!$C$215,Element_Stiffness!S238,IF(5=Element_Stiffness!$E$215,Element_Stiffness!Y238,0)),IF(Element_Stiffness!$E$215=2,IF(5=Element_Stiffness!$C$215,Element_Stiffness!S244,IF(5=Element_Stiffness!$E$215,Element_Stiffness!Y244,0)),0)),0)</f>
        <v/>
      </c>
      <c r="AK19" s="21">
        <f>IF(Element_Stiffness!$C$6,IF(Element_Stiffness!$C$5=2,IF(5=Element_Stiffness!$C$5,Element_Stiffness!T28,IF(5=Element_Stiffness!$E$5,Element_Stiffness!Z28,0)),IF(Element_Stiffness!$E$5=2,IF(5=Element_Stiffness!$C$5,Element_Stiffness!T34,IF(5=Element_Stiffness!$E$5,Element_Stiffness!Z34,0)),0)),0)+IF(Element_Stiffness!$C$41,IF(Element_Stiffness!$C$40=2,IF(5=Element_Stiffness!$C$40,Element_Stiffness!T63,IF(5=Element_Stiffness!$E$40,Element_Stiffness!Z63,0)),IF(Element_Stiffness!$E$40=2,IF(5=Element_Stiffness!$C$40,Element_Stiffness!T69,IF(5=Element_Stiffness!$E$40,Element_Stiffness!Z69,0)),0)),0)+IF(Element_Stiffness!$C$76,IF(Element_Stiffness!$C$75=2,IF(5=Element_Stiffness!$C$75,Element_Stiffness!T98,IF(5=Element_Stiffness!$E$75,Element_Stiffness!Z98,0)),IF(Element_Stiffness!$E$75=2,IF(5=Element_Stiffness!$C$75,Element_Stiffness!T104,IF(5=Element_Stiffness!$E$75,Element_Stiffness!Z104,0)),0)),0)+IF(Element_Stiffness!$C$111,IF(Element_Stiffness!$C$110=2,IF(5=Element_Stiffness!$C$110,Element_Stiffness!T133,IF(5=Element_Stiffness!$E$110,Element_Stiffness!Z133,0)),IF(Element_Stiffness!$E$110=2,IF(5=Element_Stiffness!$C$110,Element_Stiffness!T139,IF(5=Element_Stiffness!$E$110,Element_Stiffness!Z139,0)),0)),0)+IF(Element_Stiffness!$C$146,IF(Element_Stiffness!$C$145=2,IF(5=Element_Stiffness!$C$145,Element_Stiffness!T168,IF(5=Element_Stiffness!$E$145,Element_Stiffness!Z168,0)),IF(Element_Stiffness!$E$145=2,IF(5=Element_Stiffness!$C$145,Element_Stiffness!T174,IF(5=Element_Stiffness!$E$145,Element_Stiffness!Z174,0)),0)),0)+IF(Element_Stiffness!$C$181,IF(Element_Stiffness!$C$180=2,IF(5=Element_Stiffness!$C$180,Element_Stiffness!T203,IF(5=Element_Stiffness!$E$180,Element_Stiffness!Z203,0)),IF(Element_Stiffness!$E$180=2,IF(5=Element_Stiffness!$C$180,Element_Stiffness!T209,IF(5=Element_Stiffness!$E$180,Element_Stiffness!Z209,0)),0)),0)+IF(Element_Stiffness!$C$216,IF(Element_Stiffness!$C$215=2,IF(5=Element_Stiffness!$C$215,Element_Stiffness!T238,IF(5=Element_Stiffness!$E$215,Element_Stiffness!Z238,0)),IF(Element_Stiffness!$E$215=2,IF(5=Element_Stiffness!$C$215,Element_Stiffness!T244,IF(5=Element_Stiffness!$E$215,Element_Stiffness!Z244,0)),0)),0)</f>
        <v/>
      </c>
      <c r="AL19" s="21">
        <f>IF(Element_Stiffness!$C$6,IF(Element_Stiffness!$C$5=2,IF(5=Element_Stiffness!$C$5,Element_Stiffness!U28,IF(5=Element_Stiffness!$E$5,Element_Stiffness!AA28,0)),IF(Element_Stiffness!$E$5=2,IF(5=Element_Stiffness!$C$5,Element_Stiffness!U34,IF(5=Element_Stiffness!$E$5,Element_Stiffness!AA34,0)),0)),0)+IF(Element_Stiffness!$C$41,IF(Element_Stiffness!$C$40=2,IF(5=Element_Stiffness!$C$40,Element_Stiffness!U63,IF(5=Element_Stiffness!$E$40,Element_Stiffness!AA63,0)),IF(Element_Stiffness!$E$40=2,IF(5=Element_Stiffness!$C$40,Element_Stiffness!U69,IF(5=Element_Stiffness!$E$40,Element_Stiffness!AA69,0)),0)),0)+IF(Element_Stiffness!$C$76,IF(Element_Stiffness!$C$75=2,IF(5=Element_Stiffness!$C$75,Element_Stiffness!U98,IF(5=Element_Stiffness!$E$75,Element_Stiffness!AA98,0)),IF(Element_Stiffness!$E$75=2,IF(5=Element_Stiffness!$C$75,Element_Stiffness!U104,IF(5=Element_Stiffness!$E$75,Element_Stiffness!AA104,0)),0)),0)+IF(Element_Stiffness!$C$111,IF(Element_Stiffness!$C$110=2,IF(5=Element_Stiffness!$C$110,Element_Stiffness!U133,IF(5=Element_Stiffness!$E$110,Element_Stiffness!AA133,0)),IF(Element_Stiffness!$E$110=2,IF(5=Element_Stiffness!$C$110,Element_Stiffness!U139,IF(5=Element_Stiffness!$E$110,Element_Stiffness!AA139,0)),0)),0)+IF(Element_Stiffness!$C$146,IF(Element_Stiffness!$C$145=2,IF(5=Element_Stiffness!$C$145,Element_Stiffness!U168,IF(5=Element_Stiffness!$E$145,Element_Stiffness!AA168,0)),IF(Element_Stiffness!$E$145=2,IF(5=Element_Stiffness!$C$145,Element_Stiffness!U174,IF(5=Element_Stiffness!$E$145,Element_Stiffness!AA174,0)),0)),0)+IF(Element_Stiffness!$C$181,IF(Element_Stiffness!$C$180=2,IF(5=Element_Stiffness!$C$180,Element_Stiffness!U203,IF(5=Element_Stiffness!$E$180,Element_Stiffness!AA203,0)),IF(Element_Stiffness!$E$180=2,IF(5=Element_Stiffness!$C$180,Element_Stiffness!U209,IF(5=Element_Stiffness!$E$180,Element_Stiffness!AA209,0)),0)),0)+IF(Element_Stiffness!$C$216,IF(Element_Stiffness!$C$215=2,IF(5=Element_Stiffness!$C$215,Element_Stiffness!U238,IF(5=Element_Stiffness!$E$215,Element_Stiffness!AA238,0)),IF(Element_Stiffness!$E$215=2,IF(5=Element_Stiffness!$C$215,Element_Stiffness!U244,IF(5=Element_Stiffness!$E$215,Element_Stiffness!AA244,0)),0)),0)</f>
        <v/>
      </c>
      <c r="AM19" s="21">
        <f>IF(Element_Stiffness!$C$6,IF(Element_Stiffness!$C$5=2,IF(6=Element_Stiffness!$C$5,Element_Stiffness!P28,IF(6=Element_Stiffness!$E$5,Element_Stiffness!V28,0)),IF(Element_Stiffness!$E$5=2,IF(6=Element_Stiffness!$C$5,Element_Stiffness!P34,IF(6=Element_Stiffness!$E$5,Element_Stiffness!V34,0)),0)),0)+IF(Element_Stiffness!$C$41,IF(Element_Stiffness!$C$40=2,IF(6=Element_Stiffness!$C$40,Element_Stiffness!P63,IF(6=Element_Stiffness!$E$40,Element_Stiffness!V63,0)),IF(Element_Stiffness!$E$40=2,IF(6=Element_Stiffness!$C$40,Element_Stiffness!P69,IF(6=Element_Stiffness!$E$40,Element_Stiffness!V69,0)),0)),0)+IF(Element_Stiffness!$C$76,IF(Element_Stiffness!$C$75=2,IF(6=Element_Stiffness!$C$75,Element_Stiffness!P98,IF(6=Element_Stiffness!$E$75,Element_Stiffness!V98,0)),IF(Element_Stiffness!$E$75=2,IF(6=Element_Stiffness!$C$75,Element_Stiffness!P104,IF(6=Element_Stiffness!$E$75,Element_Stiffness!V104,0)),0)),0)+IF(Element_Stiffness!$C$111,IF(Element_Stiffness!$C$110=2,IF(6=Element_Stiffness!$C$110,Element_Stiffness!P133,IF(6=Element_Stiffness!$E$110,Element_Stiffness!V133,0)),IF(Element_Stiffness!$E$110=2,IF(6=Element_Stiffness!$C$110,Element_Stiffness!P139,IF(6=Element_Stiffness!$E$110,Element_Stiffness!V139,0)),0)),0)+IF(Element_Stiffness!$C$146,IF(Element_Stiffness!$C$145=2,IF(6=Element_Stiffness!$C$145,Element_Stiffness!P168,IF(6=Element_Stiffness!$E$145,Element_Stiffness!V168,0)),IF(Element_Stiffness!$E$145=2,IF(6=Element_Stiffness!$C$145,Element_Stiffness!P174,IF(6=Element_Stiffness!$E$145,Element_Stiffness!V174,0)),0)),0)+IF(Element_Stiffness!$C$181,IF(Element_Stiffness!$C$180=2,IF(6=Element_Stiffness!$C$180,Element_Stiffness!P203,IF(6=Element_Stiffness!$E$180,Element_Stiffness!V203,0)),IF(Element_Stiffness!$E$180=2,IF(6=Element_Stiffness!$C$180,Element_Stiffness!P209,IF(6=Element_Stiffness!$E$180,Element_Stiffness!V209,0)),0)),0)+IF(Element_Stiffness!$C$216,IF(Element_Stiffness!$C$215=2,IF(6=Element_Stiffness!$C$215,Element_Stiffness!P238,IF(6=Element_Stiffness!$E$215,Element_Stiffness!V238,0)),IF(Element_Stiffness!$E$215=2,IF(6=Element_Stiffness!$C$215,Element_Stiffness!P244,IF(6=Element_Stiffness!$E$215,Element_Stiffness!V244,0)),0)),0)</f>
        <v/>
      </c>
      <c r="AN19" s="21">
        <f>IF(Element_Stiffness!$C$6,IF(Element_Stiffness!$C$5=2,IF(6=Element_Stiffness!$C$5,Element_Stiffness!Q28,IF(6=Element_Stiffness!$E$5,Element_Stiffness!W28,0)),IF(Element_Stiffness!$E$5=2,IF(6=Element_Stiffness!$C$5,Element_Stiffness!Q34,IF(6=Element_Stiffness!$E$5,Element_Stiffness!W34,0)),0)),0)+IF(Element_Stiffness!$C$41,IF(Element_Stiffness!$C$40=2,IF(6=Element_Stiffness!$C$40,Element_Stiffness!Q63,IF(6=Element_Stiffness!$E$40,Element_Stiffness!W63,0)),IF(Element_Stiffness!$E$40=2,IF(6=Element_Stiffness!$C$40,Element_Stiffness!Q69,IF(6=Element_Stiffness!$E$40,Element_Stiffness!W69,0)),0)),0)+IF(Element_Stiffness!$C$76,IF(Element_Stiffness!$C$75=2,IF(6=Element_Stiffness!$C$75,Element_Stiffness!Q98,IF(6=Element_Stiffness!$E$75,Element_Stiffness!W98,0)),IF(Element_Stiffness!$E$75=2,IF(6=Element_Stiffness!$C$75,Element_Stiffness!Q104,IF(6=Element_Stiffness!$E$75,Element_Stiffness!W104,0)),0)),0)+IF(Element_Stiffness!$C$111,IF(Element_Stiffness!$C$110=2,IF(6=Element_Stiffness!$C$110,Element_Stiffness!Q133,IF(6=Element_Stiffness!$E$110,Element_Stiffness!W133,0)),IF(Element_Stiffness!$E$110=2,IF(6=Element_Stiffness!$C$110,Element_Stiffness!Q139,IF(6=Element_Stiffness!$E$110,Element_Stiffness!W139,0)),0)),0)+IF(Element_Stiffness!$C$146,IF(Element_Stiffness!$C$145=2,IF(6=Element_Stiffness!$C$145,Element_Stiffness!Q168,IF(6=Element_Stiffness!$E$145,Element_Stiffness!W168,0)),IF(Element_Stiffness!$E$145=2,IF(6=Element_Stiffness!$C$145,Element_Stiffness!Q174,IF(6=Element_Stiffness!$E$145,Element_Stiffness!W174,0)),0)),0)+IF(Element_Stiffness!$C$181,IF(Element_Stiffness!$C$180=2,IF(6=Element_Stiffness!$C$180,Element_Stiffness!Q203,IF(6=Element_Stiffness!$E$180,Element_Stiffness!W203,0)),IF(Element_Stiffness!$E$180=2,IF(6=Element_Stiffness!$C$180,Element_Stiffness!Q209,IF(6=Element_Stiffness!$E$180,Element_Stiffness!W209,0)),0)),0)+IF(Element_Stiffness!$C$216,IF(Element_Stiffness!$C$215=2,IF(6=Element_Stiffness!$C$215,Element_Stiffness!Q238,IF(6=Element_Stiffness!$E$215,Element_Stiffness!W238,0)),IF(Element_Stiffness!$E$215=2,IF(6=Element_Stiffness!$C$215,Element_Stiffness!Q244,IF(6=Element_Stiffness!$E$215,Element_Stiffness!W244,0)),0)),0)</f>
        <v/>
      </c>
      <c r="AO19" s="21">
        <f>IF(Element_Stiffness!$C$6,IF(Element_Stiffness!$C$5=2,IF(6=Element_Stiffness!$C$5,Element_Stiffness!R28,IF(6=Element_Stiffness!$E$5,Element_Stiffness!X28,0)),IF(Element_Stiffness!$E$5=2,IF(6=Element_Stiffness!$C$5,Element_Stiffness!R34,IF(6=Element_Stiffness!$E$5,Element_Stiffness!X34,0)),0)),0)+IF(Element_Stiffness!$C$41,IF(Element_Stiffness!$C$40=2,IF(6=Element_Stiffness!$C$40,Element_Stiffness!R63,IF(6=Element_Stiffness!$E$40,Element_Stiffness!X63,0)),IF(Element_Stiffness!$E$40=2,IF(6=Element_Stiffness!$C$40,Element_Stiffness!R69,IF(6=Element_Stiffness!$E$40,Element_Stiffness!X69,0)),0)),0)+IF(Element_Stiffness!$C$76,IF(Element_Stiffness!$C$75=2,IF(6=Element_Stiffness!$C$75,Element_Stiffness!R98,IF(6=Element_Stiffness!$E$75,Element_Stiffness!X98,0)),IF(Element_Stiffness!$E$75=2,IF(6=Element_Stiffness!$C$75,Element_Stiffness!R104,IF(6=Element_Stiffness!$E$75,Element_Stiffness!X104,0)),0)),0)+IF(Element_Stiffness!$C$111,IF(Element_Stiffness!$C$110=2,IF(6=Element_Stiffness!$C$110,Element_Stiffness!R133,IF(6=Element_Stiffness!$E$110,Element_Stiffness!X133,0)),IF(Element_Stiffness!$E$110=2,IF(6=Element_Stiffness!$C$110,Element_Stiffness!R139,IF(6=Element_Stiffness!$E$110,Element_Stiffness!X139,0)),0)),0)+IF(Element_Stiffness!$C$146,IF(Element_Stiffness!$C$145=2,IF(6=Element_Stiffness!$C$145,Element_Stiffness!R168,IF(6=Element_Stiffness!$E$145,Element_Stiffness!X168,0)),IF(Element_Stiffness!$E$145=2,IF(6=Element_Stiffness!$C$145,Element_Stiffness!R174,IF(6=Element_Stiffness!$E$145,Element_Stiffness!X174,0)),0)),0)+IF(Element_Stiffness!$C$181,IF(Element_Stiffness!$C$180=2,IF(6=Element_Stiffness!$C$180,Element_Stiffness!R203,IF(6=Element_Stiffness!$E$180,Element_Stiffness!X203,0)),IF(Element_Stiffness!$E$180=2,IF(6=Element_Stiffness!$C$180,Element_Stiffness!R209,IF(6=Element_Stiffness!$E$180,Element_Stiffness!X209,0)),0)),0)+IF(Element_Stiffness!$C$216,IF(Element_Stiffness!$C$215=2,IF(6=Element_Stiffness!$C$215,Element_Stiffness!R238,IF(6=Element_Stiffness!$E$215,Element_Stiffness!X238,0)),IF(Element_Stiffness!$E$215=2,IF(6=Element_Stiffness!$C$215,Element_Stiffness!R244,IF(6=Element_Stiffness!$E$215,Element_Stiffness!X244,0)),0)),0)</f>
        <v/>
      </c>
      <c r="AP19" s="21">
        <f>IF(Element_Stiffness!$C$6,IF(Element_Stiffness!$C$5=2,IF(6=Element_Stiffness!$C$5,Element_Stiffness!S28,IF(6=Element_Stiffness!$E$5,Element_Stiffness!Y28,0)),IF(Element_Stiffness!$E$5=2,IF(6=Element_Stiffness!$C$5,Element_Stiffness!S34,IF(6=Element_Stiffness!$E$5,Element_Stiffness!Y34,0)),0)),0)+IF(Element_Stiffness!$C$41,IF(Element_Stiffness!$C$40=2,IF(6=Element_Stiffness!$C$40,Element_Stiffness!S63,IF(6=Element_Stiffness!$E$40,Element_Stiffness!Y63,0)),IF(Element_Stiffness!$E$40=2,IF(6=Element_Stiffness!$C$40,Element_Stiffness!S69,IF(6=Element_Stiffness!$E$40,Element_Stiffness!Y69,0)),0)),0)+IF(Element_Stiffness!$C$76,IF(Element_Stiffness!$C$75=2,IF(6=Element_Stiffness!$C$75,Element_Stiffness!S98,IF(6=Element_Stiffness!$E$75,Element_Stiffness!Y98,0)),IF(Element_Stiffness!$E$75=2,IF(6=Element_Stiffness!$C$75,Element_Stiffness!S104,IF(6=Element_Stiffness!$E$75,Element_Stiffness!Y104,0)),0)),0)+IF(Element_Stiffness!$C$111,IF(Element_Stiffness!$C$110=2,IF(6=Element_Stiffness!$C$110,Element_Stiffness!S133,IF(6=Element_Stiffness!$E$110,Element_Stiffness!Y133,0)),IF(Element_Stiffness!$E$110=2,IF(6=Element_Stiffness!$C$110,Element_Stiffness!S139,IF(6=Element_Stiffness!$E$110,Element_Stiffness!Y139,0)),0)),0)+IF(Element_Stiffness!$C$146,IF(Element_Stiffness!$C$145=2,IF(6=Element_Stiffness!$C$145,Element_Stiffness!S168,IF(6=Element_Stiffness!$E$145,Element_Stiffness!Y168,0)),IF(Element_Stiffness!$E$145=2,IF(6=Element_Stiffness!$C$145,Element_Stiffness!S174,IF(6=Element_Stiffness!$E$145,Element_Stiffness!Y174,0)),0)),0)+IF(Element_Stiffness!$C$181,IF(Element_Stiffness!$C$180=2,IF(6=Element_Stiffness!$C$180,Element_Stiffness!S203,IF(6=Element_Stiffness!$E$180,Element_Stiffness!Y203,0)),IF(Element_Stiffness!$E$180=2,IF(6=Element_Stiffness!$C$180,Element_Stiffness!S209,IF(6=Element_Stiffness!$E$180,Element_Stiffness!Y209,0)),0)),0)+IF(Element_Stiffness!$C$216,IF(Element_Stiffness!$C$215=2,IF(6=Element_Stiffness!$C$215,Element_Stiffness!S238,IF(6=Element_Stiffness!$E$215,Element_Stiffness!Y238,0)),IF(Element_Stiffness!$E$215=2,IF(6=Element_Stiffness!$C$215,Element_Stiffness!S244,IF(6=Element_Stiffness!$E$215,Element_Stiffness!Y244,0)),0)),0)</f>
        <v/>
      </c>
      <c r="AQ19" s="21">
        <f>IF(Element_Stiffness!$C$6,IF(Element_Stiffness!$C$5=2,IF(6=Element_Stiffness!$C$5,Element_Stiffness!T28,IF(6=Element_Stiffness!$E$5,Element_Stiffness!Z28,0)),IF(Element_Stiffness!$E$5=2,IF(6=Element_Stiffness!$C$5,Element_Stiffness!T34,IF(6=Element_Stiffness!$E$5,Element_Stiffness!Z34,0)),0)),0)+IF(Element_Stiffness!$C$41,IF(Element_Stiffness!$C$40=2,IF(6=Element_Stiffness!$C$40,Element_Stiffness!T63,IF(6=Element_Stiffness!$E$40,Element_Stiffness!Z63,0)),IF(Element_Stiffness!$E$40=2,IF(6=Element_Stiffness!$C$40,Element_Stiffness!T69,IF(6=Element_Stiffness!$E$40,Element_Stiffness!Z69,0)),0)),0)+IF(Element_Stiffness!$C$76,IF(Element_Stiffness!$C$75=2,IF(6=Element_Stiffness!$C$75,Element_Stiffness!T98,IF(6=Element_Stiffness!$E$75,Element_Stiffness!Z98,0)),IF(Element_Stiffness!$E$75=2,IF(6=Element_Stiffness!$C$75,Element_Stiffness!T104,IF(6=Element_Stiffness!$E$75,Element_Stiffness!Z104,0)),0)),0)+IF(Element_Stiffness!$C$111,IF(Element_Stiffness!$C$110=2,IF(6=Element_Stiffness!$C$110,Element_Stiffness!T133,IF(6=Element_Stiffness!$E$110,Element_Stiffness!Z133,0)),IF(Element_Stiffness!$E$110=2,IF(6=Element_Stiffness!$C$110,Element_Stiffness!T139,IF(6=Element_Stiffness!$E$110,Element_Stiffness!Z139,0)),0)),0)+IF(Element_Stiffness!$C$146,IF(Element_Stiffness!$C$145=2,IF(6=Element_Stiffness!$C$145,Element_Stiffness!T168,IF(6=Element_Stiffness!$E$145,Element_Stiffness!Z168,0)),IF(Element_Stiffness!$E$145=2,IF(6=Element_Stiffness!$C$145,Element_Stiffness!T174,IF(6=Element_Stiffness!$E$145,Element_Stiffness!Z174,0)),0)),0)+IF(Element_Stiffness!$C$181,IF(Element_Stiffness!$C$180=2,IF(6=Element_Stiffness!$C$180,Element_Stiffness!T203,IF(6=Element_Stiffness!$E$180,Element_Stiffness!Z203,0)),IF(Element_Stiffness!$E$180=2,IF(6=Element_Stiffness!$C$180,Element_Stiffness!T209,IF(6=Element_Stiffness!$E$180,Element_Stiffness!Z209,0)),0)),0)+IF(Element_Stiffness!$C$216,IF(Element_Stiffness!$C$215=2,IF(6=Element_Stiffness!$C$215,Element_Stiffness!T238,IF(6=Element_Stiffness!$E$215,Element_Stiffness!Z238,0)),IF(Element_Stiffness!$E$215=2,IF(6=Element_Stiffness!$C$215,Element_Stiffness!T244,IF(6=Element_Stiffness!$E$215,Element_Stiffness!Z244,0)),0)),0)</f>
        <v/>
      </c>
      <c r="AR19" s="21">
        <f>IF(Element_Stiffness!$C$6,IF(Element_Stiffness!$C$5=2,IF(6=Element_Stiffness!$C$5,Element_Stiffness!U28,IF(6=Element_Stiffness!$E$5,Element_Stiffness!AA28,0)),IF(Element_Stiffness!$E$5=2,IF(6=Element_Stiffness!$C$5,Element_Stiffness!U34,IF(6=Element_Stiffness!$E$5,Element_Stiffness!AA34,0)),0)),0)+IF(Element_Stiffness!$C$41,IF(Element_Stiffness!$C$40=2,IF(6=Element_Stiffness!$C$40,Element_Stiffness!U63,IF(6=Element_Stiffness!$E$40,Element_Stiffness!AA63,0)),IF(Element_Stiffness!$E$40=2,IF(6=Element_Stiffness!$C$40,Element_Stiffness!U69,IF(6=Element_Stiffness!$E$40,Element_Stiffness!AA69,0)),0)),0)+IF(Element_Stiffness!$C$76,IF(Element_Stiffness!$C$75=2,IF(6=Element_Stiffness!$C$75,Element_Stiffness!U98,IF(6=Element_Stiffness!$E$75,Element_Stiffness!AA98,0)),IF(Element_Stiffness!$E$75=2,IF(6=Element_Stiffness!$C$75,Element_Stiffness!U104,IF(6=Element_Stiffness!$E$75,Element_Stiffness!AA104,0)),0)),0)+IF(Element_Stiffness!$C$111,IF(Element_Stiffness!$C$110=2,IF(6=Element_Stiffness!$C$110,Element_Stiffness!U133,IF(6=Element_Stiffness!$E$110,Element_Stiffness!AA133,0)),IF(Element_Stiffness!$E$110=2,IF(6=Element_Stiffness!$C$110,Element_Stiffness!U139,IF(6=Element_Stiffness!$E$110,Element_Stiffness!AA139,0)),0)),0)+IF(Element_Stiffness!$C$146,IF(Element_Stiffness!$C$145=2,IF(6=Element_Stiffness!$C$145,Element_Stiffness!U168,IF(6=Element_Stiffness!$E$145,Element_Stiffness!AA168,0)),IF(Element_Stiffness!$E$145=2,IF(6=Element_Stiffness!$C$145,Element_Stiffness!U174,IF(6=Element_Stiffness!$E$145,Element_Stiffness!AA174,0)),0)),0)+IF(Element_Stiffness!$C$181,IF(Element_Stiffness!$C$180=2,IF(6=Element_Stiffness!$C$180,Element_Stiffness!U203,IF(6=Element_Stiffness!$E$180,Element_Stiffness!AA203,0)),IF(Element_Stiffness!$E$180=2,IF(6=Element_Stiffness!$C$180,Element_Stiffness!U209,IF(6=Element_Stiffness!$E$180,Element_Stiffness!AA209,0)),0)),0)+IF(Element_Stiffness!$C$216,IF(Element_Stiffness!$C$215=2,IF(6=Element_Stiffness!$C$215,Element_Stiffness!U238,IF(6=Element_Stiffness!$E$215,Element_Stiffness!AA238,0)),IF(Element_Stiffness!$E$215=2,IF(6=Element_Stiffness!$C$215,Element_Stiffness!U244,IF(6=Element_Stiffness!$E$215,Element_Stiffness!AA244,0)),0)),0)</f>
        <v/>
      </c>
      <c r="AS19" s="21">
        <f>IF(Element_Stiffness!$C$6,IF(Element_Stiffness!$C$5=2,IF(7=Element_Stiffness!$C$5,Element_Stiffness!P28,IF(7=Element_Stiffness!$E$5,Element_Stiffness!V28,0)),IF(Element_Stiffness!$E$5=2,IF(7=Element_Stiffness!$C$5,Element_Stiffness!P34,IF(7=Element_Stiffness!$E$5,Element_Stiffness!V34,0)),0)),0)+IF(Element_Stiffness!$C$41,IF(Element_Stiffness!$C$40=2,IF(7=Element_Stiffness!$C$40,Element_Stiffness!P63,IF(7=Element_Stiffness!$E$40,Element_Stiffness!V63,0)),IF(Element_Stiffness!$E$40=2,IF(7=Element_Stiffness!$C$40,Element_Stiffness!P69,IF(7=Element_Stiffness!$E$40,Element_Stiffness!V69,0)),0)),0)+IF(Element_Stiffness!$C$76,IF(Element_Stiffness!$C$75=2,IF(7=Element_Stiffness!$C$75,Element_Stiffness!P98,IF(7=Element_Stiffness!$E$75,Element_Stiffness!V98,0)),IF(Element_Stiffness!$E$75=2,IF(7=Element_Stiffness!$C$75,Element_Stiffness!P104,IF(7=Element_Stiffness!$E$75,Element_Stiffness!V104,0)),0)),0)+IF(Element_Stiffness!$C$111,IF(Element_Stiffness!$C$110=2,IF(7=Element_Stiffness!$C$110,Element_Stiffness!P133,IF(7=Element_Stiffness!$E$110,Element_Stiffness!V133,0)),IF(Element_Stiffness!$E$110=2,IF(7=Element_Stiffness!$C$110,Element_Stiffness!P139,IF(7=Element_Stiffness!$E$110,Element_Stiffness!V139,0)),0)),0)+IF(Element_Stiffness!$C$146,IF(Element_Stiffness!$C$145=2,IF(7=Element_Stiffness!$C$145,Element_Stiffness!P168,IF(7=Element_Stiffness!$E$145,Element_Stiffness!V168,0)),IF(Element_Stiffness!$E$145=2,IF(7=Element_Stiffness!$C$145,Element_Stiffness!P174,IF(7=Element_Stiffness!$E$145,Element_Stiffness!V174,0)),0)),0)+IF(Element_Stiffness!$C$181,IF(Element_Stiffness!$C$180=2,IF(7=Element_Stiffness!$C$180,Element_Stiffness!P203,IF(7=Element_Stiffness!$E$180,Element_Stiffness!V203,0)),IF(Element_Stiffness!$E$180=2,IF(7=Element_Stiffness!$C$180,Element_Stiffness!P209,IF(7=Element_Stiffness!$E$180,Element_Stiffness!V209,0)),0)),0)+IF(Element_Stiffness!$C$216,IF(Element_Stiffness!$C$215=2,IF(7=Element_Stiffness!$C$215,Element_Stiffness!P238,IF(7=Element_Stiffness!$E$215,Element_Stiffness!V238,0)),IF(Element_Stiffness!$E$215=2,IF(7=Element_Stiffness!$C$215,Element_Stiffness!P244,IF(7=Element_Stiffness!$E$215,Element_Stiffness!V244,0)),0)),0)</f>
        <v/>
      </c>
      <c r="AT19" s="21">
        <f>IF(Element_Stiffness!$C$6,IF(Element_Stiffness!$C$5=2,IF(7=Element_Stiffness!$C$5,Element_Stiffness!Q28,IF(7=Element_Stiffness!$E$5,Element_Stiffness!W28,0)),IF(Element_Stiffness!$E$5=2,IF(7=Element_Stiffness!$C$5,Element_Stiffness!Q34,IF(7=Element_Stiffness!$E$5,Element_Stiffness!W34,0)),0)),0)+IF(Element_Stiffness!$C$41,IF(Element_Stiffness!$C$40=2,IF(7=Element_Stiffness!$C$40,Element_Stiffness!Q63,IF(7=Element_Stiffness!$E$40,Element_Stiffness!W63,0)),IF(Element_Stiffness!$E$40=2,IF(7=Element_Stiffness!$C$40,Element_Stiffness!Q69,IF(7=Element_Stiffness!$E$40,Element_Stiffness!W69,0)),0)),0)+IF(Element_Stiffness!$C$76,IF(Element_Stiffness!$C$75=2,IF(7=Element_Stiffness!$C$75,Element_Stiffness!Q98,IF(7=Element_Stiffness!$E$75,Element_Stiffness!W98,0)),IF(Element_Stiffness!$E$75=2,IF(7=Element_Stiffness!$C$75,Element_Stiffness!Q104,IF(7=Element_Stiffness!$E$75,Element_Stiffness!W104,0)),0)),0)+IF(Element_Stiffness!$C$111,IF(Element_Stiffness!$C$110=2,IF(7=Element_Stiffness!$C$110,Element_Stiffness!Q133,IF(7=Element_Stiffness!$E$110,Element_Stiffness!W133,0)),IF(Element_Stiffness!$E$110=2,IF(7=Element_Stiffness!$C$110,Element_Stiffness!Q139,IF(7=Element_Stiffness!$E$110,Element_Stiffness!W139,0)),0)),0)+IF(Element_Stiffness!$C$146,IF(Element_Stiffness!$C$145=2,IF(7=Element_Stiffness!$C$145,Element_Stiffness!Q168,IF(7=Element_Stiffness!$E$145,Element_Stiffness!W168,0)),IF(Element_Stiffness!$E$145=2,IF(7=Element_Stiffness!$C$145,Element_Stiffness!Q174,IF(7=Element_Stiffness!$E$145,Element_Stiffness!W174,0)),0)),0)+IF(Element_Stiffness!$C$181,IF(Element_Stiffness!$C$180=2,IF(7=Element_Stiffness!$C$180,Element_Stiffness!Q203,IF(7=Element_Stiffness!$E$180,Element_Stiffness!W203,0)),IF(Element_Stiffness!$E$180=2,IF(7=Element_Stiffness!$C$180,Element_Stiffness!Q209,IF(7=Element_Stiffness!$E$180,Element_Stiffness!W209,0)),0)),0)+IF(Element_Stiffness!$C$216,IF(Element_Stiffness!$C$215=2,IF(7=Element_Stiffness!$C$215,Element_Stiffness!Q238,IF(7=Element_Stiffness!$E$215,Element_Stiffness!W238,0)),IF(Element_Stiffness!$E$215=2,IF(7=Element_Stiffness!$C$215,Element_Stiffness!Q244,IF(7=Element_Stiffness!$E$215,Element_Stiffness!W244,0)),0)),0)</f>
        <v/>
      </c>
      <c r="AU19" s="21">
        <f>IF(Element_Stiffness!$C$6,IF(Element_Stiffness!$C$5=2,IF(7=Element_Stiffness!$C$5,Element_Stiffness!R28,IF(7=Element_Stiffness!$E$5,Element_Stiffness!X28,0)),IF(Element_Stiffness!$E$5=2,IF(7=Element_Stiffness!$C$5,Element_Stiffness!R34,IF(7=Element_Stiffness!$E$5,Element_Stiffness!X34,0)),0)),0)+IF(Element_Stiffness!$C$41,IF(Element_Stiffness!$C$40=2,IF(7=Element_Stiffness!$C$40,Element_Stiffness!R63,IF(7=Element_Stiffness!$E$40,Element_Stiffness!X63,0)),IF(Element_Stiffness!$E$40=2,IF(7=Element_Stiffness!$C$40,Element_Stiffness!R69,IF(7=Element_Stiffness!$E$40,Element_Stiffness!X69,0)),0)),0)+IF(Element_Stiffness!$C$76,IF(Element_Stiffness!$C$75=2,IF(7=Element_Stiffness!$C$75,Element_Stiffness!R98,IF(7=Element_Stiffness!$E$75,Element_Stiffness!X98,0)),IF(Element_Stiffness!$E$75=2,IF(7=Element_Stiffness!$C$75,Element_Stiffness!R104,IF(7=Element_Stiffness!$E$75,Element_Stiffness!X104,0)),0)),0)+IF(Element_Stiffness!$C$111,IF(Element_Stiffness!$C$110=2,IF(7=Element_Stiffness!$C$110,Element_Stiffness!R133,IF(7=Element_Stiffness!$E$110,Element_Stiffness!X133,0)),IF(Element_Stiffness!$E$110=2,IF(7=Element_Stiffness!$C$110,Element_Stiffness!R139,IF(7=Element_Stiffness!$E$110,Element_Stiffness!X139,0)),0)),0)+IF(Element_Stiffness!$C$146,IF(Element_Stiffness!$C$145=2,IF(7=Element_Stiffness!$C$145,Element_Stiffness!R168,IF(7=Element_Stiffness!$E$145,Element_Stiffness!X168,0)),IF(Element_Stiffness!$E$145=2,IF(7=Element_Stiffness!$C$145,Element_Stiffness!R174,IF(7=Element_Stiffness!$E$145,Element_Stiffness!X174,0)),0)),0)+IF(Element_Stiffness!$C$181,IF(Element_Stiffness!$C$180=2,IF(7=Element_Stiffness!$C$180,Element_Stiffness!R203,IF(7=Element_Stiffness!$E$180,Element_Stiffness!X203,0)),IF(Element_Stiffness!$E$180=2,IF(7=Element_Stiffness!$C$180,Element_Stiffness!R209,IF(7=Element_Stiffness!$E$180,Element_Stiffness!X209,0)),0)),0)+IF(Element_Stiffness!$C$216,IF(Element_Stiffness!$C$215=2,IF(7=Element_Stiffness!$C$215,Element_Stiffness!R238,IF(7=Element_Stiffness!$E$215,Element_Stiffness!X238,0)),IF(Element_Stiffness!$E$215=2,IF(7=Element_Stiffness!$C$215,Element_Stiffness!R244,IF(7=Element_Stiffness!$E$215,Element_Stiffness!X244,0)),0)),0)</f>
        <v/>
      </c>
      <c r="AV19" s="21">
        <f>IF(Element_Stiffness!$C$6,IF(Element_Stiffness!$C$5=2,IF(7=Element_Stiffness!$C$5,Element_Stiffness!S28,IF(7=Element_Stiffness!$E$5,Element_Stiffness!Y28,0)),IF(Element_Stiffness!$E$5=2,IF(7=Element_Stiffness!$C$5,Element_Stiffness!S34,IF(7=Element_Stiffness!$E$5,Element_Stiffness!Y34,0)),0)),0)+IF(Element_Stiffness!$C$41,IF(Element_Stiffness!$C$40=2,IF(7=Element_Stiffness!$C$40,Element_Stiffness!S63,IF(7=Element_Stiffness!$E$40,Element_Stiffness!Y63,0)),IF(Element_Stiffness!$E$40=2,IF(7=Element_Stiffness!$C$40,Element_Stiffness!S69,IF(7=Element_Stiffness!$E$40,Element_Stiffness!Y69,0)),0)),0)+IF(Element_Stiffness!$C$76,IF(Element_Stiffness!$C$75=2,IF(7=Element_Stiffness!$C$75,Element_Stiffness!S98,IF(7=Element_Stiffness!$E$75,Element_Stiffness!Y98,0)),IF(Element_Stiffness!$E$75=2,IF(7=Element_Stiffness!$C$75,Element_Stiffness!S104,IF(7=Element_Stiffness!$E$75,Element_Stiffness!Y104,0)),0)),0)+IF(Element_Stiffness!$C$111,IF(Element_Stiffness!$C$110=2,IF(7=Element_Stiffness!$C$110,Element_Stiffness!S133,IF(7=Element_Stiffness!$E$110,Element_Stiffness!Y133,0)),IF(Element_Stiffness!$E$110=2,IF(7=Element_Stiffness!$C$110,Element_Stiffness!S139,IF(7=Element_Stiffness!$E$110,Element_Stiffness!Y139,0)),0)),0)+IF(Element_Stiffness!$C$146,IF(Element_Stiffness!$C$145=2,IF(7=Element_Stiffness!$C$145,Element_Stiffness!S168,IF(7=Element_Stiffness!$E$145,Element_Stiffness!Y168,0)),IF(Element_Stiffness!$E$145=2,IF(7=Element_Stiffness!$C$145,Element_Stiffness!S174,IF(7=Element_Stiffness!$E$145,Element_Stiffness!Y174,0)),0)),0)+IF(Element_Stiffness!$C$181,IF(Element_Stiffness!$C$180=2,IF(7=Element_Stiffness!$C$180,Element_Stiffness!S203,IF(7=Element_Stiffness!$E$180,Element_Stiffness!Y203,0)),IF(Element_Stiffness!$E$180=2,IF(7=Element_Stiffness!$C$180,Element_Stiffness!S209,IF(7=Element_Stiffness!$E$180,Element_Stiffness!Y209,0)),0)),0)+IF(Element_Stiffness!$C$216,IF(Element_Stiffness!$C$215=2,IF(7=Element_Stiffness!$C$215,Element_Stiffness!S238,IF(7=Element_Stiffness!$E$215,Element_Stiffness!Y238,0)),IF(Element_Stiffness!$E$215=2,IF(7=Element_Stiffness!$C$215,Element_Stiffness!S244,IF(7=Element_Stiffness!$E$215,Element_Stiffness!Y244,0)),0)),0)</f>
        <v/>
      </c>
      <c r="AW19" s="21">
        <f>IF(Element_Stiffness!$C$6,IF(Element_Stiffness!$C$5=2,IF(7=Element_Stiffness!$C$5,Element_Stiffness!T28,IF(7=Element_Stiffness!$E$5,Element_Stiffness!Z28,0)),IF(Element_Stiffness!$E$5=2,IF(7=Element_Stiffness!$C$5,Element_Stiffness!T34,IF(7=Element_Stiffness!$E$5,Element_Stiffness!Z34,0)),0)),0)+IF(Element_Stiffness!$C$41,IF(Element_Stiffness!$C$40=2,IF(7=Element_Stiffness!$C$40,Element_Stiffness!T63,IF(7=Element_Stiffness!$E$40,Element_Stiffness!Z63,0)),IF(Element_Stiffness!$E$40=2,IF(7=Element_Stiffness!$C$40,Element_Stiffness!T69,IF(7=Element_Stiffness!$E$40,Element_Stiffness!Z69,0)),0)),0)+IF(Element_Stiffness!$C$76,IF(Element_Stiffness!$C$75=2,IF(7=Element_Stiffness!$C$75,Element_Stiffness!T98,IF(7=Element_Stiffness!$E$75,Element_Stiffness!Z98,0)),IF(Element_Stiffness!$E$75=2,IF(7=Element_Stiffness!$C$75,Element_Stiffness!T104,IF(7=Element_Stiffness!$E$75,Element_Stiffness!Z104,0)),0)),0)+IF(Element_Stiffness!$C$111,IF(Element_Stiffness!$C$110=2,IF(7=Element_Stiffness!$C$110,Element_Stiffness!T133,IF(7=Element_Stiffness!$E$110,Element_Stiffness!Z133,0)),IF(Element_Stiffness!$E$110=2,IF(7=Element_Stiffness!$C$110,Element_Stiffness!T139,IF(7=Element_Stiffness!$E$110,Element_Stiffness!Z139,0)),0)),0)+IF(Element_Stiffness!$C$146,IF(Element_Stiffness!$C$145=2,IF(7=Element_Stiffness!$C$145,Element_Stiffness!T168,IF(7=Element_Stiffness!$E$145,Element_Stiffness!Z168,0)),IF(Element_Stiffness!$E$145=2,IF(7=Element_Stiffness!$C$145,Element_Stiffness!T174,IF(7=Element_Stiffness!$E$145,Element_Stiffness!Z174,0)),0)),0)+IF(Element_Stiffness!$C$181,IF(Element_Stiffness!$C$180=2,IF(7=Element_Stiffness!$C$180,Element_Stiffness!T203,IF(7=Element_Stiffness!$E$180,Element_Stiffness!Z203,0)),IF(Element_Stiffness!$E$180=2,IF(7=Element_Stiffness!$C$180,Element_Stiffness!T209,IF(7=Element_Stiffness!$E$180,Element_Stiffness!Z209,0)),0)),0)+IF(Element_Stiffness!$C$216,IF(Element_Stiffness!$C$215=2,IF(7=Element_Stiffness!$C$215,Element_Stiffness!T238,IF(7=Element_Stiffness!$E$215,Element_Stiffness!Z238,0)),IF(Element_Stiffness!$E$215=2,IF(7=Element_Stiffness!$C$215,Element_Stiffness!T244,IF(7=Element_Stiffness!$E$215,Element_Stiffness!Z244,0)),0)),0)</f>
        <v/>
      </c>
      <c r="AX19" s="21">
        <f>IF(Element_Stiffness!$C$6,IF(Element_Stiffness!$C$5=2,IF(7=Element_Stiffness!$C$5,Element_Stiffness!U28,IF(7=Element_Stiffness!$E$5,Element_Stiffness!AA28,0)),IF(Element_Stiffness!$E$5=2,IF(7=Element_Stiffness!$C$5,Element_Stiffness!U34,IF(7=Element_Stiffness!$E$5,Element_Stiffness!AA34,0)),0)),0)+IF(Element_Stiffness!$C$41,IF(Element_Stiffness!$C$40=2,IF(7=Element_Stiffness!$C$40,Element_Stiffness!U63,IF(7=Element_Stiffness!$E$40,Element_Stiffness!AA63,0)),IF(Element_Stiffness!$E$40=2,IF(7=Element_Stiffness!$C$40,Element_Stiffness!U69,IF(7=Element_Stiffness!$E$40,Element_Stiffness!AA69,0)),0)),0)+IF(Element_Stiffness!$C$76,IF(Element_Stiffness!$C$75=2,IF(7=Element_Stiffness!$C$75,Element_Stiffness!U98,IF(7=Element_Stiffness!$E$75,Element_Stiffness!AA98,0)),IF(Element_Stiffness!$E$75=2,IF(7=Element_Stiffness!$C$75,Element_Stiffness!U104,IF(7=Element_Stiffness!$E$75,Element_Stiffness!AA104,0)),0)),0)+IF(Element_Stiffness!$C$111,IF(Element_Stiffness!$C$110=2,IF(7=Element_Stiffness!$C$110,Element_Stiffness!U133,IF(7=Element_Stiffness!$E$110,Element_Stiffness!AA133,0)),IF(Element_Stiffness!$E$110=2,IF(7=Element_Stiffness!$C$110,Element_Stiffness!U139,IF(7=Element_Stiffness!$E$110,Element_Stiffness!AA139,0)),0)),0)+IF(Element_Stiffness!$C$146,IF(Element_Stiffness!$C$145=2,IF(7=Element_Stiffness!$C$145,Element_Stiffness!U168,IF(7=Element_Stiffness!$E$145,Element_Stiffness!AA168,0)),IF(Element_Stiffness!$E$145=2,IF(7=Element_Stiffness!$C$145,Element_Stiffness!U174,IF(7=Element_Stiffness!$E$145,Element_Stiffness!AA174,0)),0)),0)+IF(Element_Stiffness!$C$181,IF(Element_Stiffness!$C$180=2,IF(7=Element_Stiffness!$C$180,Element_Stiffness!U203,IF(7=Element_Stiffness!$E$180,Element_Stiffness!AA203,0)),IF(Element_Stiffness!$E$180=2,IF(7=Element_Stiffness!$C$180,Element_Stiffness!U209,IF(7=Element_Stiffness!$E$180,Element_Stiffness!AA209,0)),0)),0)+IF(Element_Stiffness!$C$216,IF(Element_Stiffness!$C$215=2,IF(7=Element_Stiffness!$C$215,Element_Stiffness!U238,IF(7=Element_Stiffness!$E$215,Element_Stiffness!AA238,0)),IF(Element_Stiffness!$E$215=2,IF(7=Element_Stiffness!$C$215,Element_Stiffness!U244,IF(7=Element_Stiffness!$E$215,Element_Stiffness!AA244,0)),0)),0)</f>
        <v/>
      </c>
      <c r="AY19" s="21" t="n">
        <v>0</v>
      </c>
      <c r="AZ19" s="21">
        <f>IF(Element_Stiffness!$C$6,IF(Element_Stiffness!$C$5=2,Element_Stiffness!C28,IF(Element_Stiffness!$E$5=2,Element_Stiffness!C34,0)),0)+IF(Element_Stiffness!$C$41,IF(Element_Stiffness!$C$40=2,Element_Stiffness!C63,IF(Element_Stiffness!$E$40=2,Element_Stiffness!C69,0)),0)+IF(Element_Stiffness!$C$76,IF(Element_Stiffness!$C$75=2,Element_Stiffness!C98,IF(Element_Stiffness!$E$75=2,Element_Stiffness!C104,0)),0)+IF(Element_Stiffness!$C$111,IF(Element_Stiffness!$C$110=2,Element_Stiffness!C133,IF(Element_Stiffness!$E$110=2,Element_Stiffness!C139,0)),0)+IF(Element_Stiffness!$C$146,IF(Element_Stiffness!$C$145=2,Element_Stiffness!C168,IF(Element_Stiffness!$E$145=2,Element_Stiffness!C174,0)),0)+IF(Element_Stiffness!$C$181,IF(Element_Stiffness!$C$180=2,Element_Stiffness!C203,IF(Element_Stiffness!$E$180=2,Element_Stiffness!C209,0)),0)+IF(Element_Stiffness!$C$216,IF(Element_Stiffness!$C$215=2,Element_Stiffness!C238,IF(Element_Stiffness!$E$215=2,Element_Stiffness!C244,0)),0)</f>
        <v/>
      </c>
      <c r="BB19" s="28">
        <f>INDEX(MMULT(MINVERSE(C5:AX52), AY5:AY52), 15, 1)</f>
        <v/>
      </c>
      <c r="BC19" s="28">
        <f>INDEX(MMULT(MINVERSE(C5:AX52), AZ5:AZ52), 15, 1)</f>
        <v/>
      </c>
    </row>
    <row r="20">
      <c r="B20" s="27" t="inlineStr">
        <is>
          <t>N2_rx</t>
        </is>
      </c>
      <c r="C20" s="21">
        <f>IF(Element_Stiffness!$C$6,IF(Element_Stiffness!$C$5=2,IF(0=Element_Stiffness!$C$5,Element_Stiffness!P29,IF(0=Element_Stiffness!$E$5,Element_Stiffness!V29,0)),IF(Element_Stiffness!$E$5=2,IF(0=Element_Stiffness!$C$5,Element_Stiffness!P35,IF(0=Element_Stiffness!$E$5,Element_Stiffness!V35,0)),0)),0)+IF(Element_Stiffness!$C$41,IF(Element_Stiffness!$C$40=2,IF(0=Element_Stiffness!$C$40,Element_Stiffness!P64,IF(0=Element_Stiffness!$E$40,Element_Stiffness!V64,0)),IF(Element_Stiffness!$E$40=2,IF(0=Element_Stiffness!$C$40,Element_Stiffness!P70,IF(0=Element_Stiffness!$E$40,Element_Stiffness!V70,0)),0)),0)+IF(Element_Stiffness!$C$76,IF(Element_Stiffness!$C$75=2,IF(0=Element_Stiffness!$C$75,Element_Stiffness!P99,IF(0=Element_Stiffness!$E$75,Element_Stiffness!V99,0)),IF(Element_Stiffness!$E$75=2,IF(0=Element_Stiffness!$C$75,Element_Stiffness!P105,IF(0=Element_Stiffness!$E$75,Element_Stiffness!V105,0)),0)),0)+IF(Element_Stiffness!$C$111,IF(Element_Stiffness!$C$110=2,IF(0=Element_Stiffness!$C$110,Element_Stiffness!P134,IF(0=Element_Stiffness!$E$110,Element_Stiffness!V134,0)),IF(Element_Stiffness!$E$110=2,IF(0=Element_Stiffness!$C$110,Element_Stiffness!P140,IF(0=Element_Stiffness!$E$110,Element_Stiffness!V140,0)),0)),0)+IF(Element_Stiffness!$C$146,IF(Element_Stiffness!$C$145=2,IF(0=Element_Stiffness!$C$145,Element_Stiffness!P169,IF(0=Element_Stiffness!$E$145,Element_Stiffness!V169,0)),IF(Element_Stiffness!$E$145=2,IF(0=Element_Stiffness!$C$145,Element_Stiffness!P175,IF(0=Element_Stiffness!$E$145,Element_Stiffness!V175,0)),0)),0)+IF(Element_Stiffness!$C$181,IF(Element_Stiffness!$C$180=2,IF(0=Element_Stiffness!$C$180,Element_Stiffness!P204,IF(0=Element_Stiffness!$E$180,Element_Stiffness!V204,0)),IF(Element_Stiffness!$E$180=2,IF(0=Element_Stiffness!$C$180,Element_Stiffness!P210,IF(0=Element_Stiffness!$E$180,Element_Stiffness!V210,0)),0)),0)+IF(Element_Stiffness!$C$216,IF(Element_Stiffness!$C$215=2,IF(0=Element_Stiffness!$C$215,Element_Stiffness!P239,IF(0=Element_Stiffness!$E$215,Element_Stiffness!V239,0)),IF(Element_Stiffness!$E$215=2,IF(0=Element_Stiffness!$C$215,Element_Stiffness!P245,IF(0=Element_Stiffness!$E$215,Element_Stiffness!V245,0)),0)),0)</f>
        <v/>
      </c>
      <c r="D20" s="21">
        <f>IF(Element_Stiffness!$C$6,IF(Element_Stiffness!$C$5=2,IF(0=Element_Stiffness!$C$5,Element_Stiffness!Q29,IF(0=Element_Stiffness!$E$5,Element_Stiffness!W29,0)),IF(Element_Stiffness!$E$5=2,IF(0=Element_Stiffness!$C$5,Element_Stiffness!Q35,IF(0=Element_Stiffness!$E$5,Element_Stiffness!W35,0)),0)),0)+IF(Element_Stiffness!$C$41,IF(Element_Stiffness!$C$40=2,IF(0=Element_Stiffness!$C$40,Element_Stiffness!Q64,IF(0=Element_Stiffness!$E$40,Element_Stiffness!W64,0)),IF(Element_Stiffness!$E$40=2,IF(0=Element_Stiffness!$C$40,Element_Stiffness!Q70,IF(0=Element_Stiffness!$E$40,Element_Stiffness!W70,0)),0)),0)+IF(Element_Stiffness!$C$76,IF(Element_Stiffness!$C$75=2,IF(0=Element_Stiffness!$C$75,Element_Stiffness!Q99,IF(0=Element_Stiffness!$E$75,Element_Stiffness!W99,0)),IF(Element_Stiffness!$E$75=2,IF(0=Element_Stiffness!$C$75,Element_Stiffness!Q105,IF(0=Element_Stiffness!$E$75,Element_Stiffness!W105,0)),0)),0)+IF(Element_Stiffness!$C$111,IF(Element_Stiffness!$C$110=2,IF(0=Element_Stiffness!$C$110,Element_Stiffness!Q134,IF(0=Element_Stiffness!$E$110,Element_Stiffness!W134,0)),IF(Element_Stiffness!$E$110=2,IF(0=Element_Stiffness!$C$110,Element_Stiffness!Q140,IF(0=Element_Stiffness!$E$110,Element_Stiffness!W140,0)),0)),0)+IF(Element_Stiffness!$C$146,IF(Element_Stiffness!$C$145=2,IF(0=Element_Stiffness!$C$145,Element_Stiffness!Q169,IF(0=Element_Stiffness!$E$145,Element_Stiffness!W169,0)),IF(Element_Stiffness!$E$145=2,IF(0=Element_Stiffness!$C$145,Element_Stiffness!Q175,IF(0=Element_Stiffness!$E$145,Element_Stiffness!W175,0)),0)),0)+IF(Element_Stiffness!$C$181,IF(Element_Stiffness!$C$180=2,IF(0=Element_Stiffness!$C$180,Element_Stiffness!Q204,IF(0=Element_Stiffness!$E$180,Element_Stiffness!W204,0)),IF(Element_Stiffness!$E$180=2,IF(0=Element_Stiffness!$C$180,Element_Stiffness!Q210,IF(0=Element_Stiffness!$E$180,Element_Stiffness!W210,0)),0)),0)+IF(Element_Stiffness!$C$216,IF(Element_Stiffness!$C$215=2,IF(0=Element_Stiffness!$C$215,Element_Stiffness!Q239,IF(0=Element_Stiffness!$E$215,Element_Stiffness!W239,0)),IF(Element_Stiffness!$E$215=2,IF(0=Element_Stiffness!$C$215,Element_Stiffness!Q245,IF(0=Element_Stiffness!$E$215,Element_Stiffness!W245,0)),0)),0)</f>
        <v/>
      </c>
      <c r="E20" s="21">
        <f>IF(Element_Stiffness!$C$6,IF(Element_Stiffness!$C$5=2,IF(0=Element_Stiffness!$C$5,Element_Stiffness!R29,IF(0=Element_Stiffness!$E$5,Element_Stiffness!X29,0)),IF(Element_Stiffness!$E$5=2,IF(0=Element_Stiffness!$C$5,Element_Stiffness!R35,IF(0=Element_Stiffness!$E$5,Element_Stiffness!X35,0)),0)),0)+IF(Element_Stiffness!$C$41,IF(Element_Stiffness!$C$40=2,IF(0=Element_Stiffness!$C$40,Element_Stiffness!R64,IF(0=Element_Stiffness!$E$40,Element_Stiffness!X64,0)),IF(Element_Stiffness!$E$40=2,IF(0=Element_Stiffness!$C$40,Element_Stiffness!R70,IF(0=Element_Stiffness!$E$40,Element_Stiffness!X70,0)),0)),0)+IF(Element_Stiffness!$C$76,IF(Element_Stiffness!$C$75=2,IF(0=Element_Stiffness!$C$75,Element_Stiffness!R99,IF(0=Element_Stiffness!$E$75,Element_Stiffness!X99,0)),IF(Element_Stiffness!$E$75=2,IF(0=Element_Stiffness!$C$75,Element_Stiffness!R105,IF(0=Element_Stiffness!$E$75,Element_Stiffness!X105,0)),0)),0)+IF(Element_Stiffness!$C$111,IF(Element_Stiffness!$C$110=2,IF(0=Element_Stiffness!$C$110,Element_Stiffness!R134,IF(0=Element_Stiffness!$E$110,Element_Stiffness!X134,0)),IF(Element_Stiffness!$E$110=2,IF(0=Element_Stiffness!$C$110,Element_Stiffness!R140,IF(0=Element_Stiffness!$E$110,Element_Stiffness!X140,0)),0)),0)+IF(Element_Stiffness!$C$146,IF(Element_Stiffness!$C$145=2,IF(0=Element_Stiffness!$C$145,Element_Stiffness!R169,IF(0=Element_Stiffness!$E$145,Element_Stiffness!X169,0)),IF(Element_Stiffness!$E$145=2,IF(0=Element_Stiffness!$C$145,Element_Stiffness!R175,IF(0=Element_Stiffness!$E$145,Element_Stiffness!X175,0)),0)),0)+IF(Element_Stiffness!$C$181,IF(Element_Stiffness!$C$180=2,IF(0=Element_Stiffness!$C$180,Element_Stiffness!R204,IF(0=Element_Stiffness!$E$180,Element_Stiffness!X204,0)),IF(Element_Stiffness!$E$180=2,IF(0=Element_Stiffness!$C$180,Element_Stiffness!R210,IF(0=Element_Stiffness!$E$180,Element_Stiffness!X210,0)),0)),0)+IF(Element_Stiffness!$C$216,IF(Element_Stiffness!$C$215=2,IF(0=Element_Stiffness!$C$215,Element_Stiffness!R239,IF(0=Element_Stiffness!$E$215,Element_Stiffness!X239,0)),IF(Element_Stiffness!$E$215=2,IF(0=Element_Stiffness!$C$215,Element_Stiffness!R245,IF(0=Element_Stiffness!$E$215,Element_Stiffness!X245,0)),0)),0)</f>
        <v/>
      </c>
      <c r="F20" s="21">
        <f>IF(Element_Stiffness!$C$6,IF(Element_Stiffness!$C$5=2,IF(0=Element_Stiffness!$C$5,Element_Stiffness!S29,IF(0=Element_Stiffness!$E$5,Element_Stiffness!Y29,0)),IF(Element_Stiffness!$E$5=2,IF(0=Element_Stiffness!$C$5,Element_Stiffness!S35,IF(0=Element_Stiffness!$E$5,Element_Stiffness!Y35,0)),0)),0)+IF(Element_Stiffness!$C$41,IF(Element_Stiffness!$C$40=2,IF(0=Element_Stiffness!$C$40,Element_Stiffness!S64,IF(0=Element_Stiffness!$E$40,Element_Stiffness!Y64,0)),IF(Element_Stiffness!$E$40=2,IF(0=Element_Stiffness!$C$40,Element_Stiffness!S70,IF(0=Element_Stiffness!$E$40,Element_Stiffness!Y70,0)),0)),0)+IF(Element_Stiffness!$C$76,IF(Element_Stiffness!$C$75=2,IF(0=Element_Stiffness!$C$75,Element_Stiffness!S99,IF(0=Element_Stiffness!$E$75,Element_Stiffness!Y99,0)),IF(Element_Stiffness!$E$75=2,IF(0=Element_Stiffness!$C$75,Element_Stiffness!S105,IF(0=Element_Stiffness!$E$75,Element_Stiffness!Y105,0)),0)),0)+IF(Element_Stiffness!$C$111,IF(Element_Stiffness!$C$110=2,IF(0=Element_Stiffness!$C$110,Element_Stiffness!S134,IF(0=Element_Stiffness!$E$110,Element_Stiffness!Y134,0)),IF(Element_Stiffness!$E$110=2,IF(0=Element_Stiffness!$C$110,Element_Stiffness!S140,IF(0=Element_Stiffness!$E$110,Element_Stiffness!Y140,0)),0)),0)+IF(Element_Stiffness!$C$146,IF(Element_Stiffness!$C$145=2,IF(0=Element_Stiffness!$C$145,Element_Stiffness!S169,IF(0=Element_Stiffness!$E$145,Element_Stiffness!Y169,0)),IF(Element_Stiffness!$E$145=2,IF(0=Element_Stiffness!$C$145,Element_Stiffness!S175,IF(0=Element_Stiffness!$E$145,Element_Stiffness!Y175,0)),0)),0)+IF(Element_Stiffness!$C$181,IF(Element_Stiffness!$C$180=2,IF(0=Element_Stiffness!$C$180,Element_Stiffness!S204,IF(0=Element_Stiffness!$E$180,Element_Stiffness!Y204,0)),IF(Element_Stiffness!$E$180=2,IF(0=Element_Stiffness!$C$180,Element_Stiffness!S210,IF(0=Element_Stiffness!$E$180,Element_Stiffness!Y210,0)),0)),0)+IF(Element_Stiffness!$C$216,IF(Element_Stiffness!$C$215=2,IF(0=Element_Stiffness!$C$215,Element_Stiffness!S239,IF(0=Element_Stiffness!$E$215,Element_Stiffness!Y239,0)),IF(Element_Stiffness!$E$215=2,IF(0=Element_Stiffness!$C$215,Element_Stiffness!S245,IF(0=Element_Stiffness!$E$215,Element_Stiffness!Y245,0)),0)),0)</f>
        <v/>
      </c>
      <c r="G20" s="21">
        <f>IF(Element_Stiffness!$C$6,IF(Element_Stiffness!$C$5=2,IF(0=Element_Stiffness!$C$5,Element_Stiffness!T29,IF(0=Element_Stiffness!$E$5,Element_Stiffness!Z29,0)),IF(Element_Stiffness!$E$5=2,IF(0=Element_Stiffness!$C$5,Element_Stiffness!T35,IF(0=Element_Stiffness!$E$5,Element_Stiffness!Z35,0)),0)),0)+IF(Element_Stiffness!$C$41,IF(Element_Stiffness!$C$40=2,IF(0=Element_Stiffness!$C$40,Element_Stiffness!T64,IF(0=Element_Stiffness!$E$40,Element_Stiffness!Z64,0)),IF(Element_Stiffness!$E$40=2,IF(0=Element_Stiffness!$C$40,Element_Stiffness!T70,IF(0=Element_Stiffness!$E$40,Element_Stiffness!Z70,0)),0)),0)+IF(Element_Stiffness!$C$76,IF(Element_Stiffness!$C$75=2,IF(0=Element_Stiffness!$C$75,Element_Stiffness!T99,IF(0=Element_Stiffness!$E$75,Element_Stiffness!Z99,0)),IF(Element_Stiffness!$E$75=2,IF(0=Element_Stiffness!$C$75,Element_Stiffness!T105,IF(0=Element_Stiffness!$E$75,Element_Stiffness!Z105,0)),0)),0)+IF(Element_Stiffness!$C$111,IF(Element_Stiffness!$C$110=2,IF(0=Element_Stiffness!$C$110,Element_Stiffness!T134,IF(0=Element_Stiffness!$E$110,Element_Stiffness!Z134,0)),IF(Element_Stiffness!$E$110=2,IF(0=Element_Stiffness!$C$110,Element_Stiffness!T140,IF(0=Element_Stiffness!$E$110,Element_Stiffness!Z140,0)),0)),0)+IF(Element_Stiffness!$C$146,IF(Element_Stiffness!$C$145=2,IF(0=Element_Stiffness!$C$145,Element_Stiffness!T169,IF(0=Element_Stiffness!$E$145,Element_Stiffness!Z169,0)),IF(Element_Stiffness!$E$145=2,IF(0=Element_Stiffness!$C$145,Element_Stiffness!T175,IF(0=Element_Stiffness!$E$145,Element_Stiffness!Z175,0)),0)),0)+IF(Element_Stiffness!$C$181,IF(Element_Stiffness!$C$180=2,IF(0=Element_Stiffness!$C$180,Element_Stiffness!T204,IF(0=Element_Stiffness!$E$180,Element_Stiffness!Z204,0)),IF(Element_Stiffness!$E$180=2,IF(0=Element_Stiffness!$C$180,Element_Stiffness!T210,IF(0=Element_Stiffness!$E$180,Element_Stiffness!Z210,0)),0)),0)+IF(Element_Stiffness!$C$216,IF(Element_Stiffness!$C$215=2,IF(0=Element_Stiffness!$C$215,Element_Stiffness!T239,IF(0=Element_Stiffness!$E$215,Element_Stiffness!Z239,0)),IF(Element_Stiffness!$E$215=2,IF(0=Element_Stiffness!$C$215,Element_Stiffness!T245,IF(0=Element_Stiffness!$E$215,Element_Stiffness!Z245,0)),0)),0)</f>
        <v/>
      </c>
      <c r="H20" s="21">
        <f>IF(Element_Stiffness!$C$6,IF(Element_Stiffness!$C$5=2,IF(0=Element_Stiffness!$C$5,Element_Stiffness!U29,IF(0=Element_Stiffness!$E$5,Element_Stiffness!AA29,0)),IF(Element_Stiffness!$E$5=2,IF(0=Element_Stiffness!$C$5,Element_Stiffness!U35,IF(0=Element_Stiffness!$E$5,Element_Stiffness!AA35,0)),0)),0)+IF(Element_Stiffness!$C$41,IF(Element_Stiffness!$C$40=2,IF(0=Element_Stiffness!$C$40,Element_Stiffness!U64,IF(0=Element_Stiffness!$E$40,Element_Stiffness!AA64,0)),IF(Element_Stiffness!$E$40=2,IF(0=Element_Stiffness!$C$40,Element_Stiffness!U70,IF(0=Element_Stiffness!$E$40,Element_Stiffness!AA70,0)),0)),0)+IF(Element_Stiffness!$C$76,IF(Element_Stiffness!$C$75=2,IF(0=Element_Stiffness!$C$75,Element_Stiffness!U99,IF(0=Element_Stiffness!$E$75,Element_Stiffness!AA99,0)),IF(Element_Stiffness!$E$75=2,IF(0=Element_Stiffness!$C$75,Element_Stiffness!U105,IF(0=Element_Stiffness!$E$75,Element_Stiffness!AA105,0)),0)),0)+IF(Element_Stiffness!$C$111,IF(Element_Stiffness!$C$110=2,IF(0=Element_Stiffness!$C$110,Element_Stiffness!U134,IF(0=Element_Stiffness!$E$110,Element_Stiffness!AA134,0)),IF(Element_Stiffness!$E$110=2,IF(0=Element_Stiffness!$C$110,Element_Stiffness!U140,IF(0=Element_Stiffness!$E$110,Element_Stiffness!AA140,0)),0)),0)+IF(Element_Stiffness!$C$146,IF(Element_Stiffness!$C$145=2,IF(0=Element_Stiffness!$C$145,Element_Stiffness!U169,IF(0=Element_Stiffness!$E$145,Element_Stiffness!AA169,0)),IF(Element_Stiffness!$E$145=2,IF(0=Element_Stiffness!$C$145,Element_Stiffness!U175,IF(0=Element_Stiffness!$E$145,Element_Stiffness!AA175,0)),0)),0)+IF(Element_Stiffness!$C$181,IF(Element_Stiffness!$C$180=2,IF(0=Element_Stiffness!$C$180,Element_Stiffness!U204,IF(0=Element_Stiffness!$E$180,Element_Stiffness!AA204,0)),IF(Element_Stiffness!$E$180=2,IF(0=Element_Stiffness!$C$180,Element_Stiffness!U210,IF(0=Element_Stiffness!$E$180,Element_Stiffness!AA210,0)),0)),0)+IF(Element_Stiffness!$C$216,IF(Element_Stiffness!$C$215=2,IF(0=Element_Stiffness!$C$215,Element_Stiffness!U239,IF(0=Element_Stiffness!$E$215,Element_Stiffness!AA239,0)),IF(Element_Stiffness!$E$215=2,IF(0=Element_Stiffness!$C$215,Element_Stiffness!U245,IF(0=Element_Stiffness!$E$215,Element_Stiffness!AA245,0)),0)),0)</f>
        <v/>
      </c>
      <c r="I20" s="21">
        <f>IF(Element_Stiffness!$C$6,IF(Element_Stiffness!$C$5=2,IF(1=Element_Stiffness!$C$5,Element_Stiffness!P29,IF(1=Element_Stiffness!$E$5,Element_Stiffness!V29,0)),IF(Element_Stiffness!$E$5=2,IF(1=Element_Stiffness!$C$5,Element_Stiffness!P35,IF(1=Element_Stiffness!$E$5,Element_Stiffness!V35,0)),0)),0)+IF(Element_Stiffness!$C$41,IF(Element_Stiffness!$C$40=2,IF(1=Element_Stiffness!$C$40,Element_Stiffness!P64,IF(1=Element_Stiffness!$E$40,Element_Stiffness!V64,0)),IF(Element_Stiffness!$E$40=2,IF(1=Element_Stiffness!$C$40,Element_Stiffness!P70,IF(1=Element_Stiffness!$E$40,Element_Stiffness!V70,0)),0)),0)+IF(Element_Stiffness!$C$76,IF(Element_Stiffness!$C$75=2,IF(1=Element_Stiffness!$C$75,Element_Stiffness!P99,IF(1=Element_Stiffness!$E$75,Element_Stiffness!V99,0)),IF(Element_Stiffness!$E$75=2,IF(1=Element_Stiffness!$C$75,Element_Stiffness!P105,IF(1=Element_Stiffness!$E$75,Element_Stiffness!V105,0)),0)),0)+IF(Element_Stiffness!$C$111,IF(Element_Stiffness!$C$110=2,IF(1=Element_Stiffness!$C$110,Element_Stiffness!P134,IF(1=Element_Stiffness!$E$110,Element_Stiffness!V134,0)),IF(Element_Stiffness!$E$110=2,IF(1=Element_Stiffness!$C$110,Element_Stiffness!P140,IF(1=Element_Stiffness!$E$110,Element_Stiffness!V140,0)),0)),0)+IF(Element_Stiffness!$C$146,IF(Element_Stiffness!$C$145=2,IF(1=Element_Stiffness!$C$145,Element_Stiffness!P169,IF(1=Element_Stiffness!$E$145,Element_Stiffness!V169,0)),IF(Element_Stiffness!$E$145=2,IF(1=Element_Stiffness!$C$145,Element_Stiffness!P175,IF(1=Element_Stiffness!$E$145,Element_Stiffness!V175,0)),0)),0)+IF(Element_Stiffness!$C$181,IF(Element_Stiffness!$C$180=2,IF(1=Element_Stiffness!$C$180,Element_Stiffness!P204,IF(1=Element_Stiffness!$E$180,Element_Stiffness!V204,0)),IF(Element_Stiffness!$E$180=2,IF(1=Element_Stiffness!$C$180,Element_Stiffness!P210,IF(1=Element_Stiffness!$E$180,Element_Stiffness!V210,0)),0)),0)+IF(Element_Stiffness!$C$216,IF(Element_Stiffness!$C$215=2,IF(1=Element_Stiffness!$C$215,Element_Stiffness!P239,IF(1=Element_Stiffness!$E$215,Element_Stiffness!V239,0)),IF(Element_Stiffness!$E$215=2,IF(1=Element_Stiffness!$C$215,Element_Stiffness!P245,IF(1=Element_Stiffness!$E$215,Element_Stiffness!V245,0)),0)),0)</f>
        <v/>
      </c>
      <c r="J20" s="21">
        <f>IF(Element_Stiffness!$C$6,IF(Element_Stiffness!$C$5=2,IF(1=Element_Stiffness!$C$5,Element_Stiffness!Q29,IF(1=Element_Stiffness!$E$5,Element_Stiffness!W29,0)),IF(Element_Stiffness!$E$5=2,IF(1=Element_Stiffness!$C$5,Element_Stiffness!Q35,IF(1=Element_Stiffness!$E$5,Element_Stiffness!W35,0)),0)),0)+IF(Element_Stiffness!$C$41,IF(Element_Stiffness!$C$40=2,IF(1=Element_Stiffness!$C$40,Element_Stiffness!Q64,IF(1=Element_Stiffness!$E$40,Element_Stiffness!W64,0)),IF(Element_Stiffness!$E$40=2,IF(1=Element_Stiffness!$C$40,Element_Stiffness!Q70,IF(1=Element_Stiffness!$E$40,Element_Stiffness!W70,0)),0)),0)+IF(Element_Stiffness!$C$76,IF(Element_Stiffness!$C$75=2,IF(1=Element_Stiffness!$C$75,Element_Stiffness!Q99,IF(1=Element_Stiffness!$E$75,Element_Stiffness!W99,0)),IF(Element_Stiffness!$E$75=2,IF(1=Element_Stiffness!$C$75,Element_Stiffness!Q105,IF(1=Element_Stiffness!$E$75,Element_Stiffness!W105,0)),0)),0)+IF(Element_Stiffness!$C$111,IF(Element_Stiffness!$C$110=2,IF(1=Element_Stiffness!$C$110,Element_Stiffness!Q134,IF(1=Element_Stiffness!$E$110,Element_Stiffness!W134,0)),IF(Element_Stiffness!$E$110=2,IF(1=Element_Stiffness!$C$110,Element_Stiffness!Q140,IF(1=Element_Stiffness!$E$110,Element_Stiffness!W140,0)),0)),0)+IF(Element_Stiffness!$C$146,IF(Element_Stiffness!$C$145=2,IF(1=Element_Stiffness!$C$145,Element_Stiffness!Q169,IF(1=Element_Stiffness!$E$145,Element_Stiffness!W169,0)),IF(Element_Stiffness!$E$145=2,IF(1=Element_Stiffness!$C$145,Element_Stiffness!Q175,IF(1=Element_Stiffness!$E$145,Element_Stiffness!W175,0)),0)),0)+IF(Element_Stiffness!$C$181,IF(Element_Stiffness!$C$180=2,IF(1=Element_Stiffness!$C$180,Element_Stiffness!Q204,IF(1=Element_Stiffness!$E$180,Element_Stiffness!W204,0)),IF(Element_Stiffness!$E$180=2,IF(1=Element_Stiffness!$C$180,Element_Stiffness!Q210,IF(1=Element_Stiffness!$E$180,Element_Stiffness!W210,0)),0)),0)+IF(Element_Stiffness!$C$216,IF(Element_Stiffness!$C$215=2,IF(1=Element_Stiffness!$C$215,Element_Stiffness!Q239,IF(1=Element_Stiffness!$E$215,Element_Stiffness!W239,0)),IF(Element_Stiffness!$E$215=2,IF(1=Element_Stiffness!$C$215,Element_Stiffness!Q245,IF(1=Element_Stiffness!$E$215,Element_Stiffness!W245,0)),0)),0)</f>
        <v/>
      </c>
      <c r="K20" s="21">
        <f>IF(Element_Stiffness!$C$6,IF(Element_Stiffness!$C$5=2,IF(1=Element_Stiffness!$C$5,Element_Stiffness!R29,IF(1=Element_Stiffness!$E$5,Element_Stiffness!X29,0)),IF(Element_Stiffness!$E$5=2,IF(1=Element_Stiffness!$C$5,Element_Stiffness!R35,IF(1=Element_Stiffness!$E$5,Element_Stiffness!X35,0)),0)),0)+IF(Element_Stiffness!$C$41,IF(Element_Stiffness!$C$40=2,IF(1=Element_Stiffness!$C$40,Element_Stiffness!R64,IF(1=Element_Stiffness!$E$40,Element_Stiffness!X64,0)),IF(Element_Stiffness!$E$40=2,IF(1=Element_Stiffness!$C$40,Element_Stiffness!R70,IF(1=Element_Stiffness!$E$40,Element_Stiffness!X70,0)),0)),0)+IF(Element_Stiffness!$C$76,IF(Element_Stiffness!$C$75=2,IF(1=Element_Stiffness!$C$75,Element_Stiffness!R99,IF(1=Element_Stiffness!$E$75,Element_Stiffness!X99,0)),IF(Element_Stiffness!$E$75=2,IF(1=Element_Stiffness!$C$75,Element_Stiffness!R105,IF(1=Element_Stiffness!$E$75,Element_Stiffness!X105,0)),0)),0)+IF(Element_Stiffness!$C$111,IF(Element_Stiffness!$C$110=2,IF(1=Element_Stiffness!$C$110,Element_Stiffness!R134,IF(1=Element_Stiffness!$E$110,Element_Stiffness!X134,0)),IF(Element_Stiffness!$E$110=2,IF(1=Element_Stiffness!$C$110,Element_Stiffness!R140,IF(1=Element_Stiffness!$E$110,Element_Stiffness!X140,0)),0)),0)+IF(Element_Stiffness!$C$146,IF(Element_Stiffness!$C$145=2,IF(1=Element_Stiffness!$C$145,Element_Stiffness!R169,IF(1=Element_Stiffness!$E$145,Element_Stiffness!X169,0)),IF(Element_Stiffness!$E$145=2,IF(1=Element_Stiffness!$C$145,Element_Stiffness!R175,IF(1=Element_Stiffness!$E$145,Element_Stiffness!X175,0)),0)),0)+IF(Element_Stiffness!$C$181,IF(Element_Stiffness!$C$180=2,IF(1=Element_Stiffness!$C$180,Element_Stiffness!R204,IF(1=Element_Stiffness!$E$180,Element_Stiffness!X204,0)),IF(Element_Stiffness!$E$180=2,IF(1=Element_Stiffness!$C$180,Element_Stiffness!R210,IF(1=Element_Stiffness!$E$180,Element_Stiffness!X210,0)),0)),0)+IF(Element_Stiffness!$C$216,IF(Element_Stiffness!$C$215=2,IF(1=Element_Stiffness!$C$215,Element_Stiffness!R239,IF(1=Element_Stiffness!$E$215,Element_Stiffness!X239,0)),IF(Element_Stiffness!$E$215=2,IF(1=Element_Stiffness!$C$215,Element_Stiffness!R245,IF(1=Element_Stiffness!$E$215,Element_Stiffness!X245,0)),0)),0)</f>
        <v/>
      </c>
      <c r="L20" s="21">
        <f>IF(Element_Stiffness!$C$6,IF(Element_Stiffness!$C$5=2,IF(1=Element_Stiffness!$C$5,Element_Stiffness!S29,IF(1=Element_Stiffness!$E$5,Element_Stiffness!Y29,0)),IF(Element_Stiffness!$E$5=2,IF(1=Element_Stiffness!$C$5,Element_Stiffness!S35,IF(1=Element_Stiffness!$E$5,Element_Stiffness!Y35,0)),0)),0)+IF(Element_Stiffness!$C$41,IF(Element_Stiffness!$C$40=2,IF(1=Element_Stiffness!$C$40,Element_Stiffness!S64,IF(1=Element_Stiffness!$E$40,Element_Stiffness!Y64,0)),IF(Element_Stiffness!$E$40=2,IF(1=Element_Stiffness!$C$40,Element_Stiffness!S70,IF(1=Element_Stiffness!$E$40,Element_Stiffness!Y70,0)),0)),0)+IF(Element_Stiffness!$C$76,IF(Element_Stiffness!$C$75=2,IF(1=Element_Stiffness!$C$75,Element_Stiffness!S99,IF(1=Element_Stiffness!$E$75,Element_Stiffness!Y99,0)),IF(Element_Stiffness!$E$75=2,IF(1=Element_Stiffness!$C$75,Element_Stiffness!S105,IF(1=Element_Stiffness!$E$75,Element_Stiffness!Y105,0)),0)),0)+IF(Element_Stiffness!$C$111,IF(Element_Stiffness!$C$110=2,IF(1=Element_Stiffness!$C$110,Element_Stiffness!S134,IF(1=Element_Stiffness!$E$110,Element_Stiffness!Y134,0)),IF(Element_Stiffness!$E$110=2,IF(1=Element_Stiffness!$C$110,Element_Stiffness!S140,IF(1=Element_Stiffness!$E$110,Element_Stiffness!Y140,0)),0)),0)+IF(Element_Stiffness!$C$146,IF(Element_Stiffness!$C$145=2,IF(1=Element_Stiffness!$C$145,Element_Stiffness!S169,IF(1=Element_Stiffness!$E$145,Element_Stiffness!Y169,0)),IF(Element_Stiffness!$E$145=2,IF(1=Element_Stiffness!$C$145,Element_Stiffness!S175,IF(1=Element_Stiffness!$E$145,Element_Stiffness!Y175,0)),0)),0)+IF(Element_Stiffness!$C$181,IF(Element_Stiffness!$C$180=2,IF(1=Element_Stiffness!$C$180,Element_Stiffness!S204,IF(1=Element_Stiffness!$E$180,Element_Stiffness!Y204,0)),IF(Element_Stiffness!$E$180=2,IF(1=Element_Stiffness!$C$180,Element_Stiffness!S210,IF(1=Element_Stiffness!$E$180,Element_Stiffness!Y210,0)),0)),0)+IF(Element_Stiffness!$C$216,IF(Element_Stiffness!$C$215=2,IF(1=Element_Stiffness!$C$215,Element_Stiffness!S239,IF(1=Element_Stiffness!$E$215,Element_Stiffness!Y239,0)),IF(Element_Stiffness!$E$215=2,IF(1=Element_Stiffness!$C$215,Element_Stiffness!S245,IF(1=Element_Stiffness!$E$215,Element_Stiffness!Y245,0)),0)),0)</f>
        <v/>
      </c>
      <c r="M20" s="21">
        <f>IF(Element_Stiffness!$C$6,IF(Element_Stiffness!$C$5=2,IF(1=Element_Stiffness!$C$5,Element_Stiffness!T29,IF(1=Element_Stiffness!$E$5,Element_Stiffness!Z29,0)),IF(Element_Stiffness!$E$5=2,IF(1=Element_Stiffness!$C$5,Element_Stiffness!T35,IF(1=Element_Stiffness!$E$5,Element_Stiffness!Z35,0)),0)),0)+IF(Element_Stiffness!$C$41,IF(Element_Stiffness!$C$40=2,IF(1=Element_Stiffness!$C$40,Element_Stiffness!T64,IF(1=Element_Stiffness!$E$40,Element_Stiffness!Z64,0)),IF(Element_Stiffness!$E$40=2,IF(1=Element_Stiffness!$C$40,Element_Stiffness!T70,IF(1=Element_Stiffness!$E$40,Element_Stiffness!Z70,0)),0)),0)+IF(Element_Stiffness!$C$76,IF(Element_Stiffness!$C$75=2,IF(1=Element_Stiffness!$C$75,Element_Stiffness!T99,IF(1=Element_Stiffness!$E$75,Element_Stiffness!Z99,0)),IF(Element_Stiffness!$E$75=2,IF(1=Element_Stiffness!$C$75,Element_Stiffness!T105,IF(1=Element_Stiffness!$E$75,Element_Stiffness!Z105,0)),0)),0)+IF(Element_Stiffness!$C$111,IF(Element_Stiffness!$C$110=2,IF(1=Element_Stiffness!$C$110,Element_Stiffness!T134,IF(1=Element_Stiffness!$E$110,Element_Stiffness!Z134,0)),IF(Element_Stiffness!$E$110=2,IF(1=Element_Stiffness!$C$110,Element_Stiffness!T140,IF(1=Element_Stiffness!$E$110,Element_Stiffness!Z140,0)),0)),0)+IF(Element_Stiffness!$C$146,IF(Element_Stiffness!$C$145=2,IF(1=Element_Stiffness!$C$145,Element_Stiffness!T169,IF(1=Element_Stiffness!$E$145,Element_Stiffness!Z169,0)),IF(Element_Stiffness!$E$145=2,IF(1=Element_Stiffness!$C$145,Element_Stiffness!T175,IF(1=Element_Stiffness!$E$145,Element_Stiffness!Z175,0)),0)),0)+IF(Element_Stiffness!$C$181,IF(Element_Stiffness!$C$180=2,IF(1=Element_Stiffness!$C$180,Element_Stiffness!T204,IF(1=Element_Stiffness!$E$180,Element_Stiffness!Z204,0)),IF(Element_Stiffness!$E$180=2,IF(1=Element_Stiffness!$C$180,Element_Stiffness!T210,IF(1=Element_Stiffness!$E$180,Element_Stiffness!Z210,0)),0)),0)+IF(Element_Stiffness!$C$216,IF(Element_Stiffness!$C$215=2,IF(1=Element_Stiffness!$C$215,Element_Stiffness!T239,IF(1=Element_Stiffness!$E$215,Element_Stiffness!Z239,0)),IF(Element_Stiffness!$E$215=2,IF(1=Element_Stiffness!$C$215,Element_Stiffness!T245,IF(1=Element_Stiffness!$E$215,Element_Stiffness!Z245,0)),0)),0)</f>
        <v/>
      </c>
      <c r="N20" s="21">
        <f>IF(Element_Stiffness!$C$6,IF(Element_Stiffness!$C$5=2,IF(1=Element_Stiffness!$C$5,Element_Stiffness!U29,IF(1=Element_Stiffness!$E$5,Element_Stiffness!AA29,0)),IF(Element_Stiffness!$E$5=2,IF(1=Element_Stiffness!$C$5,Element_Stiffness!U35,IF(1=Element_Stiffness!$E$5,Element_Stiffness!AA35,0)),0)),0)+IF(Element_Stiffness!$C$41,IF(Element_Stiffness!$C$40=2,IF(1=Element_Stiffness!$C$40,Element_Stiffness!U64,IF(1=Element_Stiffness!$E$40,Element_Stiffness!AA64,0)),IF(Element_Stiffness!$E$40=2,IF(1=Element_Stiffness!$C$40,Element_Stiffness!U70,IF(1=Element_Stiffness!$E$40,Element_Stiffness!AA70,0)),0)),0)+IF(Element_Stiffness!$C$76,IF(Element_Stiffness!$C$75=2,IF(1=Element_Stiffness!$C$75,Element_Stiffness!U99,IF(1=Element_Stiffness!$E$75,Element_Stiffness!AA99,0)),IF(Element_Stiffness!$E$75=2,IF(1=Element_Stiffness!$C$75,Element_Stiffness!U105,IF(1=Element_Stiffness!$E$75,Element_Stiffness!AA105,0)),0)),0)+IF(Element_Stiffness!$C$111,IF(Element_Stiffness!$C$110=2,IF(1=Element_Stiffness!$C$110,Element_Stiffness!U134,IF(1=Element_Stiffness!$E$110,Element_Stiffness!AA134,0)),IF(Element_Stiffness!$E$110=2,IF(1=Element_Stiffness!$C$110,Element_Stiffness!U140,IF(1=Element_Stiffness!$E$110,Element_Stiffness!AA140,0)),0)),0)+IF(Element_Stiffness!$C$146,IF(Element_Stiffness!$C$145=2,IF(1=Element_Stiffness!$C$145,Element_Stiffness!U169,IF(1=Element_Stiffness!$E$145,Element_Stiffness!AA169,0)),IF(Element_Stiffness!$E$145=2,IF(1=Element_Stiffness!$C$145,Element_Stiffness!U175,IF(1=Element_Stiffness!$E$145,Element_Stiffness!AA175,0)),0)),0)+IF(Element_Stiffness!$C$181,IF(Element_Stiffness!$C$180=2,IF(1=Element_Stiffness!$C$180,Element_Stiffness!U204,IF(1=Element_Stiffness!$E$180,Element_Stiffness!AA204,0)),IF(Element_Stiffness!$E$180=2,IF(1=Element_Stiffness!$C$180,Element_Stiffness!U210,IF(1=Element_Stiffness!$E$180,Element_Stiffness!AA210,0)),0)),0)+IF(Element_Stiffness!$C$216,IF(Element_Stiffness!$C$215=2,IF(1=Element_Stiffness!$C$215,Element_Stiffness!U239,IF(1=Element_Stiffness!$E$215,Element_Stiffness!AA239,0)),IF(Element_Stiffness!$E$215=2,IF(1=Element_Stiffness!$C$215,Element_Stiffness!U245,IF(1=Element_Stiffness!$E$215,Element_Stiffness!AA245,0)),0)),0)</f>
        <v/>
      </c>
      <c r="O20" s="21">
        <f>IF(Element_Stiffness!$C$6,IF(Element_Stiffness!$C$5=2,IF(2=Element_Stiffness!$C$5,Element_Stiffness!P29,IF(2=Element_Stiffness!$E$5,Element_Stiffness!V29,0)),IF(Element_Stiffness!$E$5=2,IF(2=Element_Stiffness!$C$5,Element_Stiffness!P35,IF(2=Element_Stiffness!$E$5,Element_Stiffness!V35,0)),0)),0)+IF(Element_Stiffness!$C$41,IF(Element_Stiffness!$C$40=2,IF(2=Element_Stiffness!$C$40,Element_Stiffness!P64,IF(2=Element_Stiffness!$E$40,Element_Stiffness!V64,0)),IF(Element_Stiffness!$E$40=2,IF(2=Element_Stiffness!$C$40,Element_Stiffness!P70,IF(2=Element_Stiffness!$E$40,Element_Stiffness!V70,0)),0)),0)+IF(Element_Stiffness!$C$76,IF(Element_Stiffness!$C$75=2,IF(2=Element_Stiffness!$C$75,Element_Stiffness!P99,IF(2=Element_Stiffness!$E$75,Element_Stiffness!V99,0)),IF(Element_Stiffness!$E$75=2,IF(2=Element_Stiffness!$C$75,Element_Stiffness!P105,IF(2=Element_Stiffness!$E$75,Element_Stiffness!V105,0)),0)),0)+IF(Element_Stiffness!$C$111,IF(Element_Stiffness!$C$110=2,IF(2=Element_Stiffness!$C$110,Element_Stiffness!P134,IF(2=Element_Stiffness!$E$110,Element_Stiffness!V134,0)),IF(Element_Stiffness!$E$110=2,IF(2=Element_Stiffness!$C$110,Element_Stiffness!P140,IF(2=Element_Stiffness!$E$110,Element_Stiffness!V140,0)),0)),0)+IF(Element_Stiffness!$C$146,IF(Element_Stiffness!$C$145=2,IF(2=Element_Stiffness!$C$145,Element_Stiffness!P169,IF(2=Element_Stiffness!$E$145,Element_Stiffness!V169,0)),IF(Element_Stiffness!$E$145=2,IF(2=Element_Stiffness!$C$145,Element_Stiffness!P175,IF(2=Element_Stiffness!$E$145,Element_Stiffness!V175,0)),0)),0)+IF(Element_Stiffness!$C$181,IF(Element_Stiffness!$C$180=2,IF(2=Element_Stiffness!$C$180,Element_Stiffness!P204,IF(2=Element_Stiffness!$E$180,Element_Stiffness!V204,0)),IF(Element_Stiffness!$E$180=2,IF(2=Element_Stiffness!$C$180,Element_Stiffness!P210,IF(2=Element_Stiffness!$E$180,Element_Stiffness!V210,0)),0)),0)+IF(Element_Stiffness!$C$216,IF(Element_Stiffness!$C$215=2,IF(2=Element_Stiffness!$C$215,Element_Stiffness!P239,IF(2=Element_Stiffness!$E$215,Element_Stiffness!V239,0)),IF(Element_Stiffness!$E$215=2,IF(2=Element_Stiffness!$C$215,Element_Stiffness!P245,IF(2=Element_Stiffness!$E$215,Element_Stiffness!V245,0)),0)),0)</f>
        <v/>
      </c>
      <c r="P20" s="21">
        <f>IF(Element_Stiffness!$C$6,IF(Element_Stiffness!$C$5=2,IF(2=Element_Stiffness!$C$5,Element_Stiffness!Q29,IF(2=Element_Stiffness!$E$5,Element_Stiffness!W29,0)),IF(Element_Stiffness!$E$5=2,IF(2=Element_Stiffness!$C$5,Element_Stiffness!Q35,IF(2=Element_Stiffness!$E$5,Element_Stiffness!W35,0)),0)),0)+IF(Element_Stiffness!$C$41,IF(Element_Stiffness!$C$40=2,IF(2=Element_Stiffness!$C$40,Element_Stiffness!Q64,IF(2=Element_Stiffness!$E$40,Element_Stiffness!W64,0)),IF(Element_Stiffness!$E$40=2,IF(2=Element_Stiffness!$C$40,Element_Stiffness!Q70,IF(2=Element_Stiffness!$E$40,Element_Stiffness!W70,0)),0)),0)+IF(Element_Stiffness!$C$76,IF(Element_Stiffness!$C$75=2,IF(2=Element_Stiffness!$C$75,Element_Stiffness!Q99,IF(2=Element_Stiffness!$E$75,Element_Stiffness!W99,0)),IF(Element_Stiffness!$E$75=2,IF(2=Element_Stiffness!$C$75,Element_Stiffness!Q105,IF(2=Element_Stiffness!$E$75,Element_Stiffness!W105,0)),0)),0)+IF(Element_Stiffness!$C$111,IF(Element_Stiffness!$C$110=2,IF(2=Element_Stiffness!$C$110,Element_Stiffness!Q134,IF(2=Element_Stiffness!$E$110,Element_Stiffness!W134,0)),IF(Element_Stiffness!$E$110=2,IF(2=Element_Stiffness!$C$110,Element_Stiffness!Q140,IF(2=Element_Stiffness!$E$110,Element_Stiffness!W140,0)),0)),0)+IF(Element_Stiffness!$C$146,IF(Element_Stiffness!$C$145=2,IF(2=Element_Stiffness!$C$145,Element_Stiffness!Q169,IF(2=Element_Stiffness!$E$145,Element_Stiffness!W169,0)),IF(Element_Stiffness!$E$145=2,IF(2=Element_Stiffness!$C$145,Element_Stiffness!Q175,IF(2=Element_Stiffness!$E$145,Element_Stiffness!W175,0)),0)),0)+IF(Element_Stiffness!$C$181,IF(Element_Stiffness!$C$180=2,IF(2=Element_Stiffness!$C$180,Element_Stiffness!Q204,IF(2=Element_Stiffness!$E$180,Element_Stiffness!W204,0)),IF(Element_Stiffness!$E$180=2,IF(2=Element_Stiffness!$C$180,Element_Stiffness!Q210,IF(2=Element_Stiffness!$E$180,Element_Stiffness!W210,0)),0)),0)+IF(Element_Stiffness!$C$216,IF(Element_Stiffness!$C$215=2,IF(2=Element_Stiffness!$C$215,Element_Stiffness!Q239,IF(2=Element_Stiffness!$E$215,Element_Stiffness!W239,0)),IF(Element_Stiffness!$E$215=2,IF(2=Element_Stiffness!$C$215,Element_Stiffness!Q245,IF(2=Element_Stiffness!$E$215,Element_Stiffness!W245,0)),0)),0)</f>
        <v/>
      </c>
      <c r="Q20" s="21">
        <f>IF(Element_Stiffness!$C$6,IF(Element_Stiffness!$C$5=2,IF(2=Element_Stiffness!$C$5,Element_Stiffness!R29,IF(2=Element_Stiffness!$E$5,Element_Stiffness!X29,0)),IF(Element_Stiffness!$E$5=2,IF(2=Element_Stiffness!$C$5,Element_Stiffness!R35,IF(2=Element_Stiffness!$E$5,Element_Stiffness!X35,0)),0)),0)+IF(Element_Stiffness!$C$41,IF(Element_Stiffness!$C$40=2,IF(2=Element_Stiffness!$C$40,Element_Stiffness!R64,IF(2=Element_Stiffness!$E$40,Element_Stiffness!X64,0)),IF(Element_Stiffness!$E$40=2,IF(2=Element_Stiffness!$C$40,Element_Stiffness!R70,IF(2=Element_Stiffness!$E$40,Element_Stiffness!X70,0)),0)),0)+IF(Element_Stiffness!$C$76,IF(Element_Stiffness!$C$75=2,IF(2=Element_Stiffness!$C$75,Element_Stiffness!R99,IF(2=Element_Stiffness!$E$75,Element_Stiffness!X99,0)),IF(Element_Stiffness!$E$75=2,IF(2=Element_Stiffness!$C$75,Element_Stiffness!R105,IF(2=Element_Stiffness!$E$75,Element_Stiffness!X105,0)),0)),0)+IF(Element_Stiffness!$C$111,IF(Element_Stiffness!$C$110=2,IF(2=Element_Stiffness!$C$110,Element_Stiffness!R134,IF(2=Element_Stiffness!$E$110,Element_Stiffness!X134,0)),IF(Element_Stiffness!$E$110=2,IF(2=Element_Stiffness!$C$110,Element_Stiffness!R140,IF(2=Element_Stiffness!$E$110,Element_Stiffness!X140,0)),0)),0)+IF(Element_Stiffness!$C$146,IF(Element_Stiffness!$C$145=2,IF(2=Element_Stiffness!$C$145,Element_Stiffness!R169,IF(2=Element_Stiffness!$E$145,Element_Stiffness!X169,0)),IF(Element_Stiffness!$E$145=2,IF(2=Element_Stiffness!$C$145,Element_Stiffness!R175,IF(2=Element_Stiffness!$E$145,Element_Stiffness!X175,0)),0)),0)+IF(Element_Stiffness!$C$181,IF(Element_Stiffness!$C$180=2,IF(2=Element_Stiffness!$C$180,Element_Stiffness!R204,IF(2=Element_Stiffness!$E$180,Element_Stiffness!X204,0)),IF(Element_Stiffness!$E$180=2,IF(2=Element_Stiffness!$C$180,Element_Stiffness!R210,IF(2=Element_Stiffness!$E$180,Element_Stiffness!X210,0)),0)),0)+IF(Element_Stiffness!$C$216,IF(Element_Stiffness!$C$215=2,IF(2=Element_Stiffness!$C$215,Element_Stiffness!R239,IF(2=Element_Stiffness!$E$215,Element_Stiffness!X239,0)),IF(Element_Stiffness!$E$215=2,IF(2=Element_Stiffness!$C$215,Element_Stiffness!R245,IF(2=Element_Stiffness!$E$215,Element_Stiffness!X245,0)),0)),0)</f>
        <v/>
      </c>
      <c r="R20" s="21">
        <f>IF(Element_Stiffness!$C$6,IF(Element_Stiffness!$C$5=2,IF(2=Element_Stiffness!$C$5,Element_Stiffness!S29,IF(2=Element_Stiffness!$E$5,Element_Stiffness!Y29,0)),IF(Element_Stiffness!$E$5=2,IF(2=Element_Stiffness!$C$5,Element_Stiffness!S35,IF(2=Element_Stiffness!$E$5,Element_Stiffness!Y35,0)),0)),0)+IF(Element_Stiffness!$C$41,IF(Element_Stiffness!$C$40=2,IF(2=Element_Stiffness!$C$40,Element_Stiffness!S64,IF(2=Element_Stiffness!$E$40,Element_Stiffness!Y64,0)),IF(Element_Stiffness!$E$40=2,IF(2=Element_Stiffness!$C$40,Element_Stiffness!S70,IF(2=Element_Stiffness!$E$40,Element_Stiffness!Y70,0)),0)),0)+IF(Element_Stiffness!$C$76,IF(Element_Stiffness!$C$75=2,IF(2=Element_Stiffness!$C$75,Element_Stiffness!S99,IF(2=Element_Stiffness!$E$75,Element_Stiffness!Y99,0)),IF(Element_Stiffness!$E$75=2,IF(2=Element_Stiffness!$C$75,Element_Stiffness!S105,IF(2=Element_Stiffness!$E$75,Element_Stiffness!Y105,0)),0)),0)+IF(Element_Stiffness!$C$111,IF(Element_Stiffness!$C$110=2,IF(2=Element_Stiffness!$C$110,Element_Stiffness!S134,IF(2=Element_Stiffness!$E$110,Element_Stiffness!Y134,0)),IF(Element_Stiffness!$E$110=2,IF(2=Element_Stiffness!$C$110,Element_Stiffness!S140,IF(2=Element_Stiffness!$E$110,Element_Stiffness!Y140,0)),0)),0)+IF(Element_Stiffness!$C$146,IF(Element_Stiffness!$C$145=2,IF(2=Element_Stiffness!$C$145,Element_Stiffness!S169,IF(2=Element_Stiffness!$E$145,Element_Stiffness!Y169,0)),IF(Element_Stiffness!$E$145=2,IF(2=Element_Stiffness!$C$145,Element_Stiffness!S175,IF(2=Element_Stiffness!$E$145,Element_Stiffness!Y175,0)),0)),0)+IF(Element_Stiffness!$C$181,IF(Element_Stiffness!$C$180=2,IF(2=Element_Stiffness!$C$180,Element_Stiffness!S204,IF(2=Element_Stiffness!$E$180,Element_Stiffness!Y204,0)),IF(Element_Stiffness!$E$180=2,IF(2=Element_Stiffness!$C$180,Element_Stiffness!S210,IF(2=Element_Stiffness!$E$180,Element_Stiffness!Y210,0)),0)),0)+IF(Element_Stiffness!$C$216,IF(Element_Stiffness!$C$215=2,IF(2=Element_Stiffness!$C$215,Element_Stiffness!S239,IF(2=Element_Stiffness!$E$215,Element_Stiffness!Y239,0)),IF(Element_Stiffness!$E$215=2,IF(2=Element_Stiffness!$C$215,Element_Stiffness!S245,IF(2=Element_Stiffness!$E$215,Element_Stiffness!Y245,0)),0)),0)+IF(Inputs!F42=TRUE,1E15,IF(ISNUMBER(Inputs!F42),Inputs!F42,0))</f>
        <v/>
      </c>
      <c r="S20" s="21">
        <f>IF(Element_Stiffness!$C$6,IF(Element_Stiffness!$C$5=2,IF(2=Element_Stiffness!$C$5,Element_Stiffness!T29,IF(2=Element_Stiffness!$E$5,Element_Stiffness!Z29,0)),IF(Element_Stiffness!$E$5=2,IF(2=Element_Stiffness!$C$5,Element_Stiffness!T35,IF(2=Element_Stiffness!$E$5,Element_Stiffness!Z35,0)),0)),0)+IF(Element_Stiffness!$C$41,IF(Element_Stiffness!$C$40=2,IF(2=Element_Stiffness!$C$40,Element_Stiffness!T64,IF(2=Element_Stiffness!$E$40,Element_Stiffness!Z64,0)),IF(Element_Stiffness!$E$40=2,IF(2=Element_Stiffness!$C$40,Element_Stiffness!T70,IF(2=Element_Stiffness!$E$40,Element_Stiffness!Z70,0)),0)),0)+IF(Element_Stiffness!$C$76,IF(Element_Stiffness!$C$75=2,IF(2=Element_Stiffness!$C$75,Element_Stiffness!T99,IF(2=Element_Stiffness!$E$75,Element_Stiffness!Z99,0)),IF(Element_Stiffness!$E$75=2,IF(2=Element_Stiffness!$C$75,Element_Stiffness!T105,IF(2=Element_Stiffness!$E$75,Element_Stiffness!Z105,0)),0)),0)+IF(Element_Stiffness!$C$111,IF(Element_Stiffness!$C$110=2,IF(2=Element_Stiffness!$C$110,Element_Stiffness!T134,IF(2=Element_Stiffness!$E$110,Element_Stiffness!Z134,0)),IF(Element_Stiffness!$E$110=2,IF(2=Element_Stiffness!$C$110,Element_Stiffness!T140,IF(2=Element_Stiffness!$E$110,Element_Stiffness!Z140,0)),0)),0)+IF(Element_Stiffness!$C$146,IF(Element_Stiffness!$C$145=2,IF(2=Element_Stiffness!$C$145,Element_Stiffness!T169,IF(2=Element_Stiffness!$E$145,Element_Stiffness!Z169,0)),IF(Element_Stiffness!$E$145=2,IF(2=Element_Stiffness!$C$145,Element_Stiffness!T175,IF(2=Element_Stiffness!$E$145,Element_Stiffness!Z175,0)),0)),0)+IF(Element_Stiffness!$C$181,IF(Element_Stiffness!$C$180=2,IF(2=Element_Stiffness!$C$180,Element_Stiffness!T204,IF(2=Element_Stiffness!$E$180,Element_Stiffness!Z204,0)),IF(Element_Stiffness!$E$180=2,IF(2=Element_Stiffness!$C$180,Element_Stiffness!T210,IF(2=Element_Stiffness!$E$180,Element_Stiffness!Z210,0)),0)),0)+IF(Element_Stiffness!$C$216,IF(Element_Stiffness!$C$215=2,IF(2=Element_Stiffness!$C$215,Element_Stiffness!T239,IF(2=Element_Stiffness!$E$215,Element_Stiffness!Z239,0)),IF(Element_Stiffness!$E$215=2,IF(2=Element_Stiffness!$C$215,Element_Stiffness!T245,IF(2=Element_Stiffness!$E$215,Element_Stiffness!Z245,0)),0)),0)</f>
        <v/>
      </c>
      <c r="T20" s="21">
        <f>IF(Element_Stiffness!$C$6,IF(Element_Stiffness!$C$5=2,IF(2=Element_Stiffness!$C$5,Element_Stiffness!U29,IF(2=Element_Stiffness!$E$5,Element_Stiffness!AA29,0)),IF(Element_Stiffness!$E$5=2,IF(2=Element_Stiffness!$C$5,Element_Stiffness!U35,IF(2=Element_Stiffness!$E$5,Element_Stiffness!AA35,0)),0)),0)+IF(Element_Stiffness!$C$41,IF(Element_Stiffness!$C$40=2,IF(2=Element_Stiffness!$C$40,Element_Stiffness!U64,IF(2=Element_Stiffness!$E$40,Element_Stiffness!AA64,0)),IF(Element_Stiffness!$E$40=2,IF(2=Element_Stiffness!$C$40,Element_Stiffness!U70,IF(2=Element_Stiffness!$E$40,Element_Stiffness!AA70,0)),0)),0)+IF(Element_Stiffness!$C$76,IF(Element_Stiffness!$C$75=2,IF(2=Element_Stiffness!$C$75,Element_Stiffness!U99,IF(2=Element_Stiffness!$E$75,Element_Stiffness!AA99,0)),IF(Element_Stiffness!$E$75=2,IF(2=Element_Stiffness!$C$75,Element_Stiffness!U105,IF(2=Element_Stiffness!$E$75,Element_Stiffness!AA105,0)),0)),0)+IF(Element_Stiffness!$C$111,IF(Element_Stiffness!$C$110=2,IF(2=Element_Stiffness!$C$110,Element_Stiffness!U134,IF(2=Element_Stiffness!$E$110,Element_Stiffness!AA134,0)),IF(Element_Stiffness!$E$110=2,IF(2=Element_Stiffness!$C$110,Element_Stiffness!U140,IF(2=Element_Stiffness!$E$110,Element_Stiffness!AA140,0)),0)),0)+IF(Element_Stiffness!$C$146,IF(Element_Stiffness!$C$145=2,IF(2=Element_Stiffness!$C$145,Element_Stiffness!U169,IF(2=Element_Stiffness!$E$145,Element_Stiffness!AA169,0)),IF(Element_Stiffness!$E$145=2,IF(2=Element_Stiffness!$C$145,Element_Stiffness!U175,IF(2=Element_Stiffness!$E$145,Element_Stiffness!AA175,0)),0)),0)+IF(Element_Stiffness!$C$181,IF(Element_Stiffness!$C$180=2,IF(2=Element_Stiffness!$C$180,Element_Stiffness!U204,IF(2=Element_Stiffness!$E$180,Element_Stiffness!AA204,0)),IF(Element_Stiffness!$E$180=2,IF(2=Element_Stiffness!$C$180,Element_Stiffness!U210,IF(2=Element_Stiffness!$E$180,Element_Stiffness!AA210,0)),0)),0)+IF(Element_Stiffness!$C$216,IF(Element_Stiffness!$C$215=2,IF(2=Element_Stiffness!$C$215,Element_Stiffness!U239,IF(2=Element_Stiffness!$E$215,Element_Stiffness!AA239,0)),IF(Element_Stiffness!$E$215=2,IF(2=Element_Stiffness!$C$215,Element_Stiffness!U245,IF(2=Element_Stiffness!$E$215,Element_Stiffness!AA245,0)),0)),0)</f>
        <v/>
      </c>
      <c r="U20" s="21">
        <f>IF(Element_Stiffness!$C$6,IF(Element_Stiffness!$C$5=2,IF(3=Element_Stiffness!$C$5,Element_Stiffness!P29,IF(3=Element_Stiffness!$E$5,Element_Stiffness!V29,0)),IF(Element_Stiffness!$E$5=2,IF(3=Element_Stiffness!$C$5,Element_Stiffness!P35,IF(3=Element_Stiffness!$E$5,Element_Stiffness!V35,0)),0)),0)+IF(Element_Stiffness!$C$41,IF(Element_Stiffness!$C$40=2,IF(3=Element_Stiffness!$C$40,Element_Stiffness!P64,IF(3=Element_Stiffness!$E$40,Element_Stiffness!V64,0)),IF(Element_Stiffness!$E$40=2,IF(3=Element_Stiffness!$C$40,Element_Stiffness!P70,IF(3=Element_Stiffness!$E$40,Element_Stiffness!V70,0)),0)),0)+IF(Element_Stiffness!$C$76,IF(Element_Stiffness!$C$75=2,IF(3=Element_Stiffness!$C$75,Element_Stiffness!P99,IF(3=Element_Stiffness!$E$75,Element_Stiffness!V99,0)),IF(Element_Stiffness!$E$75=2,IF(3=Element_Stiffness!$C$75,Element_Stiffness!P105,IF(3=Element_Stiffness!$E$75,Element_Stiffness!V105,0)),0)),0)+IF(Element_Stiffness!$C$111,IF(Element_Stiffness!$C$110=2,IF(3=Element_Stiffness!$C$110,Element_Stiffness!P134,IF(3=Element_Stiffness!$E$110,Element_Stiffness!V134,0)),IF(Element_Stiffness!$E$110=2,IF(3=Element_Stiffness!$C$110,Element_Stiffness!P140,IF(3=Element_Stiffness!$E$110,Element_Stiffness!V140,0)),0)),0)+IF(Element_Stiffness!$C$146,IF(Element_Stiffness!$C$145=2,IF(3=Element_Stiffness!$C$145,Element_Stiffness!P169,IF(3=Element_Stiffness!$E$145,Element_Stiffness!V169,0)),IF(Element_Stiffness!$E$145=2,IF(3=Element_Stiffness!$C$145,Element_Stiffness!P175,IF(3=Element_Stiffness!$E$145,Element_Stiffness!V175,0)),0)),0)+IF(Element_Stiffness!$C$181,IF(Element_Stiffness!$C$180=2,IF(3=Element_Stiffness!$C$180,Element_Stiffness!P204,IF(3=Element_Stiffness!$E$180,Element_Stiffness!V204,0)),IF(Element_Stiffness!$E$180=2,IF(3=Element_Stiffness!$C$180,Element_Stiffness!P210,IF(3=Element_Stiffness!$E$180,Element_Stiffness!V210,0)),0)),0)+IF(Element_Stiffness!$C$216,IF(Element_Stiffness!$C$215=2,IF(3=Element_Stiffness!$C$215,Element_Stiffness!P239,IF(3=Element_Stiffness!$E$215,Element_Stiffness!V239,0)),IF(Element_Stiffness!$E$215=2,IF(3=Element_Stiffness!$C$215,Element_Stiffness!P245,IF(3=Element_Stiffness!$E$215,Element_Stiffness!V245,0)),0)),0)</f>
        <v/>
      </c>
      <c r="V20" s="21">
        <f>IF(Element_Stiffness!$C$6,IF(Element_Stiffness!$C$5=2,IF(3=Element_Stiffness!$C$5,Element_Stiffness!Q29,IF(3=Element_Stiffness!$E$5,Element_Stiffness!W29,0)),IF(Element_Stiffness!$E$5=2,IF(3=Element_Stiffness!$C$5,Element_Stiffness!Q35,IF(3=Element_Stiffness!$E$5,Element_Stiffness!W35,0)),0)),0)+IF(Element_Stiffness!$C$41,IF(Element_Stiffness!$C$40=2,IF(3=Element_Stiffness!$C$40,Element_Stiffness!Q64,IF(3=Element_Stiffness!$E$40,Element_Stiffness!W64,0)),IF(Element_Stiffness!$E$40=2,IF(3=Element_Stiffness!$C$40,Element_Stiffness!Q70,IF(3=Element_Stiffness!$E$40,Element_Stiffness!W70,0)),0)),0)+IF(Element_Stiffness!$C$76,IF(Element_Stiffness!$C$75=2,IF(3=Element_Stiffness!$C$75,Element_Stiffness!Q99,IF(3=Element_Stiffness!$E$75,Element_Stiffness!W99,0)),IF(Element_Stiffness!$E$75=2,IF(3=Element_Stiffness!$C$75,Element_Stiffness!Q105,IF(3=Element_Stiffness!$E$75,Element_Stiffness!W105,0)),0)),0)+IF(Element_Stiffness!$C$111,IF(Element_Stiffness!$C$110=2,IF(3=Element_Stiffness!$C$110,Element_Stiffness!Q134,IF(3=Element_Stiffness!$E$110,Element_Stiffness!W134,0)),IF(Element_Stiffness!$E$110=2,IF(3=Element_Stiffness!$C$110,Element_Stiffness!Q140,IF(3=Element_Stiffness!$E$110,Element_Stiffness!W140,0)),0)),0)+IF(Element_Stiffness!$C$146,IF(Element_Stiffness!$C$145=2,IF(3=Element_Stiffness!$C$145,Element_Stiffness!Q169,IF(3=Element_Stiffness!$E$145,Element_Stiffness!W169,0)),IF(Element_Stiffness!$E$145=2,IF(3=Element_Stiffness!$C$145,Element_Stiffness!Q175,IF(3=Element_Stiffness!$E$145,Element_Stiffness!W175,0)),0)),0)+IF(Element_Stiffness!$C$181,IF(Element_Stiffness!$C$180=2,IF(3=Element_Stiffness!$C$180,Element_Stiffness!Q204,IF(3=Element_Stiffness!$E$180,Element_Stiffness!W204,0)),IF(Element_Stiffness!$E$180=2,IF(3=Element_Stiffness!$C$180,Element_Stiffness!Q210,IF(3=Element_Stiffness!$E$180,Element_Stiffness!W210,0)),0)),0)+IF(Element_Stiffness!$C$216,IF(Element_Stiffness!$C$215=2,IF(3=Element_Stiffness!$C$215,Element_Stiffness!Q239,IF(3=Element_Stiffness!$E$215,Element_Stiffness!W239,0)),IF(Element_Stiffness!$E$215=2,IF(3=Element_Stiffness!$C$215,Element_Stiffness!Q245,IF(3=Element_Stiffness!$E$215,Element_Stiffness!W245,0)),0)),0)</f>
        <v/>
      </c>
      <c r="W20" s="21">
        <f>IF(Element_Stiffness!$C$6,IF(Element_Stiffness!$C$5=2,IF(3=Element_Stiffness!$C$5,Element_Stiffness!R29,IF(3=Element_Stiffness!$E$5,Element_Stiffness!X29,0)),IF(Element_Stiffness!$E$5=2,IF(3=Element_Stiffness!$C$5,Element_Stiffness!R35,IF(3=Element_Stiffness!$E$5,Element_Stiffness!X35,0)),0)),0)+IF(Element_Stiffness!$C$41,IF(Element_Stiffness!$C$40=2,IF(3=Element_Stiffness!$C$40,Element_Stiffness!R64,IF(3=Element_Stiffness!$E$40,Element_Stiffness!X64,0)),IF(Element_Stiffness!$E$40=2,IF(3=Element_Stiffness!$C$40,Element_Stiffness!R70,IF(3=Element_Stiffness!$E$40,Element_Stiffness!X70,0)),0)),0)+IF(Element_Stiffness!$C$76,IF(Element_Stiffness!$C$75=2,IF(3=Element_Stiffness!$C$75,Element_Stiffness!R99,IF(3=Element_Stiffness!$E$75,Element_Stiffness!X99,0)),IF(Element_Stiffness!$E$75=2,IF(3=Element_Stiffness!$C$75,Element_Stiffness!R105,IF(3=Element_Stiffness!$E$75,Element_Stiffness!X105,0)),0)),0)+IF(Element_Stiffness!$C$111,IF(Element_Stiffness!$C$110=2,IF(3=Element_Stiffness!$C$110,Element_Stiffness!R134,IF(3=Element_Stiffness!$E$110,Element_Stiffness!X134,0)),IF(Element_Stiffness!$E$110=2,IF(3=Element_Stiffness!$C$110,Element_Stiffness!R140,IF(3=Element_Stiffness!$E$110,Element_Stiffness!X140,0)),0)),0)+IF(Element_Stiffness!$C$146,IF(Element_Stiffness!$C$145=2,IF(3=Element_Stiffness!$C$145,Element_Stiffness!R169,IF(3=Element_Stiffness!$E$145,Element_Stiffness!X169,0)),IF(Element_Stiffness!$E$145=2,IF(3=Element_Stiffness!$C$145,Element_Stiffness!R175,IF(3=Element_Stiffness!$E$145,Element_Stiffness!X175,0)),0)),0)+IF(Element_Stiffness!$C$181,IF(Element_Stiffness!$C$180=2,IF(3=Element_Stiffness!$C$180,Element_Stiffness!R204,IF(3=Element_Stiffness!$E$180,Element_Stiffness!X204,0)),IF(Element_Stiffness!$E$180=2,IF(3=Element_Stiffness!$C$180,Element_Stiffness!R210,IF(3=Element_Stiffness!$E$180,Element_Stiffness!X210,0)),0)),0)+IF(Element_Stiffness!$C$216,IF(Element_Stiffness!$C$215=2,IF(3=Element_Stiffness!$C$215,Element_Stiffness!R239,IF(3=Element_Stiffness!$E$215,Element_Stiffness!X239,0)),IF(Element_Stiffness!$E$215=2,IF(3=Element_Stiffness!$C$215,Element_Stiffness!R245,IF(3=Element_Stiffness!$E$215,Element_Stiffness!X245,0)),0)),0)</f>
        <v/>
      </c>
      <c r="X20" s="21">
        <f>IF(Element_Stiffness!$C$6,IF(Element_Stiffness!$C$5=2,IF(3=Element_Stiffness!$C$5,Element_Stiffness!S29,IF(3=Element_Stiffness!$E$5,Element_Stiffness!Y29,0)),IF(Element_Stiffness!$E$5=2,IF(3=Element_Stiffness!$C$5,Element_Stiffness!S35,IF(3=Element_Stiffness!$E$5,Element_Stiffness!Y35,0)),0)),0)+IF(Element_Stiffness!$C$41,IF(Element_Stiffness!$C$40=2,IF(3=Element_Stiffness!$C$40,Element_Stiffness!S64,IF(3=Element_Stiffness!$E$40,Element_Stiffness!Y64,0)),IF(Element_Stiffness!$E$40=2,IF(3=Element_Stiffness!$C$40,Element_Stiffness!S70,IF(3=Element_Stiffness!$E$40,Element_Stiffness!Y70,0)),0)),0)+IF(Element_Stiffness!$C$76,IF(Element_Stiffness!$C$75=2,IF(3=Element_Stiffness!$C$75,Element_Stiffness!S99,IF(3=Element_Stiffness!$E$75,Element_Stiffness!Y99,0)),IF(Element_Stiffness!$E$75=2,IF(3=Element_Stiffness!$C$75,Element_Stiffness!S105,IF(3=Element_Stiffness!$E$75,Element_Stiffness!Y105,0)),0)),0)+IF(Element_Stiffness!$C$111,IF(Element_Stiffness!$C$110=2,IF(3=Element_Stiffness!$C$110,Element_Stiffness!S134,IF(3=Element_Stiffness!$E$110,Element_Stiffness!Y134,0)),IF(Element_Stiffness!$E$110=2,IF(3=Element_Stiffness!$C$110,Element_Stiffness!S140,IF(3=Element_Stiffness!$E$110,Element_Stiffness!Y140,0)),0)),0)+IF(Element_Stiffness!$C$146,IF(Element_Stiffness!$C$145=2,IF(3=Element_Stiffness!$C$145,Element_Stiffness!S169,IF(3=Element_Stiffness!$E$145,Element_Stiffness!Y169,0)),IF(Element_Stiffness!$E$145=2,IF(3=Element_Stiffness!$C$145,Element_Stiffness!S175,IF(3=Element_Stiffness!$E$145,Element_Stiffness!Y175,0)),0)),0)+IF(Element_Stiffness!$C$181,IF(Element_Stiffness!$C$180=2,IF(3=Element_Stiffness!$C$180,Element_Stiffness!S204,IF(3=Element_Stiffness!$E$180,Element_Stiffness!Y204,0)),IF(Element_Stiffness!$E$180=2,IF(3=Element_Stiffness!$C$180,Element_Stiffness!S210,IF(3=Element_Stiffness!$E$180,Element_Stiffness!Y210,0)),0)),0)+IF(Element_Stiffness!$C$216,IF(Element_Stiffness!$C$215=2,IF(3=Element_Stiffness!$C$215,Element_Stiffness!S239,IF(3=Element_Stiffness!$E$215,Element_Stiffness!Y239,0)),IF(Element_Stiffness!$E$215=2,IF(3=Element_Stiffness!$C$215,Element_Stiffness!S245,IF(3=Element_Stiffness!$E$215,Element_Stiffness!Y245,0)),0)),0)</f>
        <v/>
      </c>
      <c r="Y20" s="21">
        <f>IF(Element_Stiffness!$C$6,IF(Element_Stiffness!$C$5=2,IF(3=Element_Stiffness!$C$5,Element_Stiffness!T29,IF(3=Element_Stiffness!$E$5,Element_Stiffness!Z29,0)),IF(Element_Stiffness!$E$5=2,IF(3=Element_Stiffness!$C$5,Element_Stiffness!T35,IF(3=Element_Stiffness!$E$5,Element_Stiffness!Z35,0)),0)),0)+IF(Element_Stiffness!$C$41,IF(Element_Stiffness!$C$40=2,IF(3=Element_Stiffness!$C$40,Element_Stiffness!T64,IF(3=Element_Stiffness!$E$40,Element_Stiffness!Z64,0)),IF(Element_Stiffness!$E$40=2,IF(3=Element_Stiffness!$C$40,Element_Stiffness!T70,IF(3=Element_Stiffness!$E$40,Element_Stiffness!Z70,0)),0)),0)+IF(Element_Stiffness!$C$76,IF(Element_Stiffness!$C$75=2,IF(3=Element_Stiffness!$C$75,Element_Stiffness!T99,IF(3=Element_Stiffness!$E$75,Element_Stiffness!Z99,0)),IF(Element_Stiffness!$E$75=2,IF(3=Element_Stiffness!$C$75,Element_Stiffness!T105,IF(3=Element_Stiffness!$E$75,Element_Stiffness!Z105,0)),0)),0)+IF(Element_Stiffness!$C$111,IF(Element_Stiffness!$C$110=2,IF(3=Element_Stiffness!$C$110,Element_Stiffness!T134,IF(3=Element_Stiffness!$E$110,Element_Stiffness!Z134,0)),IF(Element_Stiffness!$E$110=2,IF(3=Element_Stiffness!$C$110,Element_Stiffness!T140,IF(3=Element_Stiffness!$E$110,Element_Stiffness!Z140,0)),0)),0)+IF(Element_Stiffness!$C$146,IF(Element_Stiffness!$C$145=2,IF(3=Element_Stiffness!$C$145,Element_Stiffness!T169,IF(3=Element_Stiffness!$E$145,Element_Stiffness!Z169,0)),IF(Element_Stiffness!$E$145=2,IF(3=Element_Stiffness!$C$145,Element_Stiffness!T175,IF(3=Element_Stiffness!$E$145,Element_Stiffness!Z175,0)),0)),0)+IF(Element_Stiffness!$C$181,IF(Element_Stiffness!$C$180=2,IF(3=Element_Stiffness!$C$180,Element_Stiffness!T204,IF(3=Element_Stiffness!$E$180,Element_Stiffness!Z204,0)),IF(Element_Stiffness!$E$180=2,IF(3=Element_Stiffness!$C$180,Element_Stiffness!T210,IF(3=Element_Stiffness!$E$180,Element_Stiffness!Z210,0)),0)),0)+IF(Element_Stiffness!$C$216,IF(Element_Stiffness!$C$215=2,IF(3=Element_Stiffness!$C$215,Element_Stiffness!T239,IF(3=Element_Stiffness!$E$215,Element_Stiffness!Z239,0)),IF(Element_Stiffness!$E$215=2,IF(3=Element_Stiffness!$C$215,Element_Stiffness!T245,IF(3=Element_Stiffness!$E$215,Element_Stiffness!Z245,0)),0)),0)</f>
        <v/>
      </c>
      <c r="Z20" s="21">
        <f>IF(Element_Stiffness!$C$6,IF(Element_Stiffness!$C$5=2,IF(3=Element_Stiffness!$C$5,Element_Stiffness!U29,IF(3=Element_Stiffness!$E$5,Element_Stiffness!AA29,0)),IF(Element_Stiffness!$E$5=2,IF(3=Element_Stiffness!$C$5,Element_Stiffness!U35,IF(3=Element_Stiffness!$E$5,Element_Stiffness!AA35,0)),0)),0)+IF(Element_Stiffness!$C$41,IF(Element_Stiffness!$C$40=2,IF(3=Element_Stiffness!$C$40,Element_Stiffness!U64,IF(3=Element_Stiffness!$E$40,Element_Stiffness!AA64,0)),IF(Element_Stiffness!$E$40=2,IF(3=Element_Stiffness!$C$40,Element_Stiffness!U70,IF(3=Element_Stiffness!$E$40,Element_Stiffness!AA70,0)),0)),0)+IF(Element_Stiffness!$C$76,IF(Element_Stiffness!$C$75=2,IF(3=Element_Stiffness!$C$75,Element_Stiffness!U99,IF(3=Element_Stiffness!$E$75,Element_Stiffness!AA99,0)),IF(Element_Stiffness!$E$75=2,IF(3=Element_Stiffness!$C$75,Element_Stiffness!U105,IF(3=Element_Stiffness!$E$75,Element_Stiffness!AA105,0)),0)),0)+IF(Element_Stiffness!$C$111,IF(Element_Stiffness!$C$110=2,IF(3=Element_Stiffness!$C$110,Element_Stiffness!U134,IF(3=Element_Stiffness!$E$110,Element_Stiffness!AA134,0)),IF(Element_Stiffness!$E$110=2,IF(3=Element_Stiffness!$C$110,Element_Stiffness!U140,IF(3=Element_Stiffness!$E$110,Element_Stiffness!AA140,0)),0)),0)+IF(Element_Stiffness!$C$146,IF(Element_Stiffness!$C$145=2,IF(3=Element_Stiffness!$C$145,Element_Stiffness!U169,IF(3=Element_Stiffness!$E$145,Element_Stiffness!AA169,0)),IF(Element_Stiffness!$E$145=2,IF(3=Element_Stiffness!$C$145,Element_Stiffness!U175,IF(3=Element_Stiffness!$E$145,Element_Stiffness!AA175,0)),0)),0)+IF(Element_Stiffness!$C$181,IF(Element_Stiffness!$C$180=2,IF(3=Element_Stiffness!$C$180,Element_Stiffness!U204,IF(3=Element_Stiffness!$E$180,Element_Stiffness!AA204,0)),IF(Element_Stiffness!$E$180=2,IF(3=Element_Stiffness!$C$180,Element_Stiffness!U210,IF(3=Element_Stiffness!$E$180,Element_Stiffness!AA210,0)),0)),0)+IF(Element_Stiffness!$C$216,IF(Element_Stiffness!$C$215=2,IF(3=Element_Stiffness!$C$215,Element_Stiffness!U239,IF(3=Element_Stiffness!$E$215,Element_Stiffness!AA239,0)),IF(Element_Stiffness!$E$215=2,IF(3=Element_Stiffness!$C$215,Element_Stiffness!U245,IF(3=Element_Stiffness!$E$215,Element_Stiffness!AA245,0)),0)),0)</f>
        <v/>
      </c>
      <c r="AA20" s="21">
        <f>IF(Element_Stiffness!$C$6,IF(Element_Stiffness!$C$5=2,IF(4=Element_Stiffness!$C$5,Element_Stiffness!P29,IF(4=Element_Stiffness!$E$5,Element_Stiffness!V29,0)),IF(Element_Stiffness!$E$5=2,IF(4=Element_Stiffness!$C$5,Element_Stiffness!P35,IF(4=Element_Stiffness!$E$5,Element_Stiffness!V35,0)),0)),0)+IF(Element_Stiffness!$C$41,IF(Element_Stiffness!$C$40=2,IF(4=Element_Stiffness!$C$40,Element_Stiffness!P64,IF(4=Element_Stiffness!$E$40,Element_Stiffness!V64,0)),IF(Element_Stiffness!$E$40=2,IF(4=Element_Stiffness!$C$40,Element_Stiffness!P70,IF(4=Element_Stiffness!$E$40,Element_Stiffness!V70,0)),0)),0)+IF(Element_Stiffness!$C$76,IF(Element_Stiffness!$C$75=2,IF(4=Element_Stiffness!$C$75,Element_Stiffness!P99,IF(4=Element_Stiffness!$E$75,Element_Stiffness!V99,0)),IF(Element_Stiffness!$E$75=2,IF(4=Element_Stiffness!$C$75,Element_Stiffness!P105,IF(4=Element_Stiffness!$E$75,Element_Stiffness!V105,0)),0)),0)+IF(Element_Stiffness!$C$111,IF(Element_Stiffness!$C$110=2,IF(4=Element_Stiffness!$C$110,Element_Stiffness!P134,IF(4=Element_Stiffness!$E$110,Element_Stiffness!V134,0)),IF(Element_Stiffness!$E$110=2,IF(4=Element_Stiffness!$C$110,Element_Stiffness!P140,IF(4=Element_Stiffness!$E$110,Element_Stiffness!V140,0)),0)),0)+IF(Element_Stiffness!$C$146,IF(Element_Stiffness!$C$145=2,IF(4=Element_Stiffness!$C$145,Element_Stiffness!P169,IF(4=Element_Stiffness!$E$145,Element_Stiffness!V169,0)),IF(Element_Stiffness!$E$145=2,IF(4=Element_Stiffness!$C$145,Element_Stiffness!P175,IF(4=Element_Stiffness!$E$145,Element_Stiffness!V175,0)),0)),0)+IF(Element_Stiffness!$C$181,IF(Element_Stiffness!$C$180=2,IF(4=Element_Stiffness!$C$180,Element_Stiffness!P204,IF(4=Element_Stiffness!$E$180,Element_Stiffness!V204,0)),IF(Element_Stiffness!$E$180=2,IF(4=Element_Stiffness!$C$180,Element_Stiffness!P210,IF(4=Element_Stiffness!$E$180,Element_Stiffness!V210,0)),0)),0)+IF(Element_Stiffness!$C$216,IF(Element_Stiffness!$C$215=2,IF(4=Element_Stiffness!$C$215,Element_Stiffness!P239,IF(4=Element_Stiffness!$E$215,Element_Stiffness!V239,0)),IF(Element_Stiffness!$E$215=2,IF(4=Element_Stiffness!$C$215,Element_Stiffness!P245,IF(4=Element_Stiffness!$E$215,Element_Stiffness!V245,0)),0)),0)</f>
        <v/>
      </c>
      <c r="AB20" s="21">
        <f>IF(Element_Stiffness!$C$6,IF(Element_Stiffness!$C$5=2,IF(4=Element_Stiffness!$C$5,Element_Stiffness!Q29,IF(4=Element_Stiffness!$E$5,Element_Stiffness!W29,0)),IF(Element_Stiffness!$E$5=2,IF(4=Element_Stiffness!$C$5,Element_Stiffness!Q35,IF(4=Element_Stiffness!$E$5,Element_Stiffness!W35,0)),0)),0)+IF(Element_Stiffness!$C$41,IF(Element_Stiffness!$C$40=2,IF(4=Element_Stiffness!$C$40,Element_Stiffness!Q64,IF(4=Element_Stiffness!$E$40,Element_Stiffness!W64,0)),IF(Element_Stiffness!$E$40=2,IF(4=Element_Stiffness!$C$40,Element_Stiffness!Q70,IF(4=Element_Stiffness!$E$40,Element_Stiffness!W70,0)),0)),0)+IF(Element_Stiffness!$C$76,IF(Element_Stiffness!$C$75=2,IF(4=Element_Stiffness!$C$75,Element_Stiffness!Q99,IF(4=Element_Stiffness!$E$75,Element_Stiffness!W99,0)),IF(Element_Stiffness!$E$75=2,IF(4=Element_Stiffness!$C$75,Element_Stiffness!Q105,IF(4=Element_Stiffness!$E$75,Element_Stiffness!W105,0)),0)),0)+IF(Element_Stiffness!$C$111,IF(Element_Stiffness!$C$110=2,IF(4=Element_Stiffness!$C$110,Element_Stiffness!Q134,IF(4=Element_Stiffness!$E$110,Element_Stiffness!W134,0)),IF(Element_Stiffness!$E$110=2,IF(4=Element_Stiffness!$C$110,Element_Stiffness!Q140,IF(4=Element_Stiffness!$E$110,Element_Stiffness!W140,0)),0)),0)+IF(Element_Stiffness!$C$146,IF(Element_Stiffness!$C$145=2,IF(4=Element_Stiffness!$C$145,Element_Stiffness!Q169,IF(4=Element_Stiffness!$E$145,Element_Stiffness!W169,0)),IF(Element_Stiffness!$E$145=2,IF(4=Element_Stiffness!$C$145,Element_Stiffness!Q175,IF(4=Element_Stiffness!$E$145,Element_Stiffness!W175,0)),0)),0)+IF(Element_Stiffness!$C$181,IF(Element_Stiffness!$C$180=2,IF(4=Element_Stiffness!$C$180,Element_Stiffness!Q204,IF(4=Element_Stiffness!$E$180,Element_Stiffness!W204,0)),IF(Element_Stiffness!$E$180=2,IF(4=Element_Stiffness!$C$180,Element_Stiffness!Q210,IF(4=Element_Stiffness!$E$180,Element_Stiffness!W210,0)),0)),0)+IF(Element_Stiffness!$C$216,IF(Element_Stiffness!$C$215=2,IF(4=Element_Stiffness!$C$215,Element_Stiffness!Q239,IF(4=Element_Stiffness!$E$215,Element_Stiffness!W239,0)),IF(Element_Stiffness!$E$215=2,IF(4=Element_Stiffness!$C$215,Element_Stiffness!Q245,IF(4=Element_Stiffness!$E$215,Element_Stiffness!W245,0)),0)),0)</f>
        <v/>
      </c>
      <c r="AC20" s="21">
        <f>IF(Element_Stiffness!$C$6,IF(Element_Stiffness!$C$5=2,IF(4=Element_Stiffness!$C$5,Element_Stiffness!R29,IF(4=Element_Stiffness!$E$5,Element_Stiffness!X29,0)),IF(Element_Stiffness!$E$5=2,IF(4=Element_Stiffness!$C$5,Element_Stiffness!R35,IF(4=Element_Stiffness!$E$5,Element_Stiffness!X35,0)),0)),0)+IF(Element_Stiffness!$C$41,IF(Element_Stiffness!$C$40=2,IF(4=Element_Stiffness!$C$40,Element_Stiffness!R64,IF(4=Element_Stiffness!$E$40,Element_Stiffness!X64,0)),IF(Element_Stiffness!$E$40=2,IF(4=Element_Stiffness!$C$40,Element_Stiffness!R70,IF(4=Element_Stiffness!$E$40,Element_Stiffness!X70,0)),0)),0)+IF(Element_Stiffness!$C$76,IF(Element_Stiffness!$C$75=2,IF(4=Element_Stiffness!$C$75,Element_Stiffness!R99,IF(4=Element_Stiffness!$E$75,Element_Stiffness!X99,0)),IF(Element_Stiffness!$E$75=2,IF(4=Element_Stiffness!$C$75,Element_Stiffness!R105,IF(4=Element_Stiffness!$E$75,Element_Stiffness!X105,0)),0)),0)+IF(Element_Stiffness!$C$111,IF(Element_Stiffness!$C$110=2,IF(4=Element_Stiffness!$C$110,Element_Stiffness!R134,IF(4=Element_Stiffness!$E$110,Element_Stiffness!X134,0)),IF(Element_Stiffness!$E$110=2,IF(4=Element_Stiffness!$C$110,Element_Stiffness!R140,IF(4=Element_Stiffness!$E$110,Element_Stiffness!X140,0)),0)),0)+IF(Element_Stiffness!$C$146,IF(Element_Stiffness!$C$145=2,IF(4=Element_Stiffness!$C$145,Element_Stiffness!R169,IF(4=Element_Stiffness!$E$145,Element_Stiffness!X169,0)),IF(Element_Stiffness!$E$145=2,IF(4=Element_Stiffness!$C$145,Element_Stiffness!R175,IF(4=Element_Stiffness!$E$145,Element_Stiffness!X175,0)),0)),0)+IF(Element_Stiffness!$C$181,IF(Element_Stiffness!$C$180=2,IF(4=Element_Stiffness!$C$180,Element_Stiffness!R204,IF(4=Element_Stiffness!$E$180,Element_Stiffness!X204,0)),IF(Element_Stiffness!$E$180=2,IF(4=Element_Stiffness!$C$180,Element_Stiffness!R210,IF(4=Element_Stiffness!$E$180,Element_Stiffness!X210,0)),0)),0)+IF(Element_Stiffness!$C$216,IF(Element_Stiffness!$C$215=2,IF(4=Element_Stiffness!$C$215,Element_Stiffness!R239,IF(4=Element_Stiffness!$E$215,Element_Stiffness!X239,0)),IF(Element_Stiffness!$E$215=2,IF(4=Element_Stiffness!$C$215,Element_Stiffness!R245,IF(4=Element_Stiffness!$E$215,Element_Stiffness!X245,0)),0)),0)</f>
        <v/>
      </c>
      <c r="AD20" s="21">
        <f>IF(Element_Stiffness!$C$6,IF(Element_Stiffness!$C$5=2,IF(4=Element_Stiffness!$C$5,Element_Stiffness!S29,IF(4=Element_Stiffness!$E$5,Element_Stiffness!Y29,0)),IF(Element_Stiffness!$E$5=2,IF(4=Element_Stiffness!$C$5,Element_Stiffness!S35,IF(4=Element_Stiffness!$E$5,Element_Stiffness!Y35,0)),0)),0)+IF(Element_Stiffness!$C$41,IF(Element_Stiffness!$C$40=2,IF(4=Element_Stiffness!$C$40,Element_Stiffness!S64,IF(4=Element_Stiffness!$E$40,Element_Stiffness!Y64,0)),IF(Element_Stiffness!$E$40=2,IF(4=Element_Stiffness!$C$40,Element_Stiffness!S70,IF(4=Element_Stiffness!$E$40,Element_Stiffness!Y70,0)),0)),0)+IF(Element_Stiffness!$C$76,IF(Element_Stiffness!$C$75=2,IF(4=Element_Stiffness!$C$75,Element_Stiffness!S99,IF(4=Element_Stiffness!$E$75,Element_Stiffness!Y99,0)),IF(Element_Stiffness!$E$75=2,IF(4=Element_Stiffness!$C$75,Element_Stiffness!S105,IF(4=Element_Stiffness!$E$75,Element_Stiffness!Y105,0)),0)),0)+IF(Element_Stiffness!$C$111,IF(Element_Stiffness!$C$110=2,IF(4=Element_Stiffness!$C$110,Element_Stiffness!S134,IF(4=Element_Stiffness!$E$110,Element_Stiffness!Y134,0)),IF(Element_Stiffness!$E$110=2,IF(4=Element_Stiffness!$C$110,Element_Stiffness!S140,IF(4=Element_Stiffness!$E$110,Element_Stiffness!Y140,0)),0)),0)+IF(Element_Stiffness!$C$146,IF(Element_Stiffness!$C$145=2,IF(4=Element_Stiffness!$C$145,Element_Stiffness!S169,IF(4=Element_Stiffness!$E$145,Element_Stiffness!Y169,0)),IF(Element_Stiffness!$E$145=2,IF(4=Element_Stiffness!$C$145,Element_Stiffness!S175,IF(4=Element_Stiffness!$E$145,Element_Stiffness!Y175,0)),0)),0)+IF(Element_Stiffness!$C$181,IF(Element_Stiffness!$C$180=2,IF(4=Element_Stiffness!$C$180,Element_Stiffness!S204,IF(4=Element_Stiffness!$E$180,Element_Stiffness!Y204,0)),IF(Element_Stiffness!$E$180=2,IF(4=Element_Stiffness!$C$180,Element_Stiffness!S210,IF(4=Element_Stiffness!$E$180,Element_Stiffness!Y210,0)),0)),0)+IF(Element_Stiffness!$C$216,IF(Element_Stiffness!$C$215=2,IF(4=Element_Stiffness!$C$215,Element_Stiffness!S239,IF(4=Element_Stiffness!$E$215,Element_Stiffness!Y239,0)),IF(Element_Stiffness!$E$215=2,IF(4=Element_Stiffness!$C$215,Element_Stiffness!S245,IF(4=Element_Stiffness!$E$215,Element_Stiffness!Y245,0)),0)),0)</f>
        <v/>
      </c>
      <c r="AE20" s="21">
        <f>IF(Element_Stiffness!$C$6,IF(Element_Stiffness!$C$5=2,IF(4=Element_Stiffness!$C$5,Element_Stiffness!T29,IF(4=Element_Stiffness!$E$5,Element_Stiffness!Z29,0)),IF(Element_Stiffness!$E$5=2,IF(4=Element_Stiffness!$C$5,Element_Stiffness!T35,IF(4=Element_Stiffness!$E$5,Element_Stiffness!Z35,0)),0)),0)+IF(Element_Stiffness!$C$41,IF(Element_Stiffness!$C$40=2,IF(4=Element_Stiffness!$C$40,Element_Stiffness!T64,IF(4=Element_Stiffness!$E$40,Element_Stiffness!Z64,0)),IF(Element_Stiffness!$E$40=2,IF(4=Element_Stiffness!$C$40,Element_Stiffness!T70,IF(4=Element_Stiffness!$E$40,Element_Stiffness!Z70,0)),0)),0)+IF(Element_Stiffness!$C$76,IF(Element_Stiffness!$C$75=2,IF(4=Element_Stiffness!$C$75,Element_Stiffness!T99,IF(4=Element_Stiffness!$E$75,Element_Stiffness!Z99,0)),IF(Element_Stiffness!$E$75=2,IF(4=Element_Stiffness!$C$75,Element_Stiffness!T105,IF(4=Element_Stiffness!$E$75,Element_Stiffness!Z105,0)),0)),0)+IF(Element_Stiffness!$C$111,IF(Element_Stiffness!$C$110=2,IF(4=Element_Stiffness!$C$110,Element_Stiffness!T134,IF(4=Element_Stiffness!$E$110,Element_Stiffness!Z134,0)),IF(Element_Stiffness!$E$110=2,IF(4=Element_Stiffness!$C$110,Element_Stiffness!T140,IF(4=Element_Stiffness!$E$110,Element_Stiffness!Z140,0)),0)),0)+IF(Element_Stiffness!$C$146,IF(Element_Stiffness!$C$145=2,IF(4=Element_Stiffness!$C$145,Element_Stiffness!T169,IF(4=Element_Stiffness!$E$145,Element_Stiffness!Z169,0)),IF(Element_Stiffness!$E$145=2,IF(4=Element_Stiffness!$C$145,Element_Stiffness!T175,IF(4=Element_Stiffness!$E$145,Element_Stiffness!Z175,0)),0)),0)+IF(Element_Stiffness!$C$181,IF(Element_Stiffness!$C$180=2,IF(4=Element_Stiffness!$C$180,Element_Stiffness!T204,IF(4=Element_Stiffness!$E$180,Element_Stiffness!Z204,0)),IF(Element_Stiffness!$E$180=2,IF(4=Element_Stiffness!$C$180,Element_Stiffness!T210,IF(4=Element_Stiffness!$E$180,Element_Stiffness!Z210,0)),0)),0)+IF(Element_Stiffness!$C$216,IF(Element_Stiffness!$C$215=2,IF(4=Element_Stiffness!$C$215,Element_Stiffness!T239,IF(4=Element_Stiffness!$E$215,Element_Stiffness!Z239,0)),IF(Element_Stiffness!$E$215=2,IF(4=Element_Stiffness!$C$215,Element_Stiffness!T245,IF(4=Element_Stiffness!$E$215,Element_Stiffness!Z245,0)),0)),0)</f>
        <v/>
      </c>
      <c r="AF20" s="21">
        <f>IF(Element_Stiffness!$C$6,IF(Element_Stiffness!$C$5=2,IF(4=Element_Stiffness!$C$5,Element_Stiffness!U29,IF(4=Element_Stiffness!$E$5,Element_Stiffness!AA29,0)),IF(Element_Stiffness!$E$5=2,IF(4=Element_Stiffness!$C$5,Element_Stiffness!U35,IF(4=Element_Stiffness!$E$5,Element_Stiffness!AA35,0)),0)),0)+IF(Element_Stiffness!$C$41,IF(Element_Stiffness!$C$40=2,IF(4=Element_Stiffness!$C$40,Element_Stiffness!U64,IF(4=Element_Stiffness!$E$40,Element_Stiffness!AA64,0)),IF(Element_Stiffness!$E$40=2,IF(4=Element_Stiffness!$C$40,Element_Stiffness!U70,IF(4=Element_Stiffness!$E$40,Element_Stiffness!AA70,0)),0)),0)+IF(Element_Stiffness!$C$76,IF(Element_Stiffness!$C$75=2,IF(4=Element_Stiffness!$C$75,Element_Stiffness!U99,IF(4=Element_Stiffness!$E$75,Element_Stiffness!AA99,0)),IF(Element_Stiffness!$E$75=2,IF(4=Element_Stiffness!$C$75,Element_Stiffness!U105,IF(4=Element_Stiffness!$E$75,Element_Stiffness!AA105,0)),0)),0)+IF(Element_Stiffness!$C$111,IF(Element_Stiffness!$C$110=2,IF(4=Element_Stiffness!$C$110,Element_Stiffness!U134,IF(4=Element_Stiffness!$E$110,Element_Stiffness!AA134,0)),IF(Element_Stiffness!$E$110=2,IF(4=Element_Stiffness!$C$110,Element_Stiffness!U140,IF(4=Element_Stiffness!$E$110,Element_Stiffness!AA140,0)),0)),0)+IF(Element_Stiffness!$C$146,IF(Element_Stiffness!$C$145=2,IF(4=Element_Stiffness!$C$145,Element_Stiffness!U169,IF(4=Element_Stiffness!$E$145,Element_Stiffness!AA169,0)),IF(Element_Stiffness!$E$145=2,IF(4=Element_Stiffness!$C$145,Element_Stiffness!U175,IF(4=Element_Stiffness!$E$145,Element_Stiffness!AA175,0)),0)),0)+IF(Element_Stiffness!$C$181,IF(Element_Stiffness!$C$180=2,IF(4=Element_Stiffness!$C$180,Element_Stiffness!U204,IF(4=Element_Stiffness!$E$180,Element_Stiffness!AA204,0)),IF(Element_Stiffness!$E$180=2,IF(4=Element_Stiffness!$C$180,Element_Stiffness!U210,IF(4=Element_Stiffness!$E$180,Element_Stiffness!AA210,0)),0)),0)+IF(Element_Stiffness!$C$216,IF(Element_Stiffness!$C$215=2,IF(4=Element_Stiffness!$C$215,Element_Stiffness!U239,IF(4=Element_Stiffness!$E$215,Element_Stiffness!AA239,0)),IF(Element_Stiffness!$E$215=2,IF(4=Element_Stiffness!$C$215,Element_Stiffness!U245,IF(4=Element_Stiffness!$E$215,Element_Stiffness!AA245,0)),0)),0)</f>
        <v/>
      </c>
      <c r="AG20" s="21">
        <f>IF(Element_Stiffness!$C$6,IF(Element_Stiffness!$C$5=2,IF(5=Element_Stiffness!$C$5,Element_Stiffness!P29,IF(5=Element_Stiffness!$E$5,Element_Stiffness!V29,0)),IF(Element_Stiffness!$E$5=2,IF(5=Element_Stiffness!$C$5,Element_Stiffness!P35,IF(5=Element_Stiffness!$E$5,Element_Stiffness!V35,0)),0)),0)+IF(Element_Stiffness!$C$41,IF(Element_Stiffness!$C$40=2,IF(5=Element_Stiffness!$C$40,Element_Stiffness!P64,IF(5=Element_Stiffness!$E$40,Element_Stiffness!V64,0)),IF(Element_Stiffness!$E$40=2,IF(5=Element_Stiffness!$C$40,Element_Stiffness!P70,IF(5=Element_Stiffness!$E$40,Element_Stiffness!V70,0)),0)),0)+IF(Element_Stiffness!$C$76,IF(Element_Stiffness!$C$75=2,IF(5=Element_Stiffness!$C$75,Element_Stiffness!P99,IF(5=Element_Stiffness!$E$75,Element_Stiffness!V99,0)),IF(Element_Stiffness!$E$75=2,IF(5=Element_Stiffness!$C$75,Element_Stiffness!P105,IF(5=Element_Stiffness!$E$75,Element_Stiffness!V105,0)),0)),0)+IF(Element_Stiffness!$C$111,IF(Element_Stiffness!$C$110=2,IF(5=Element_Stiffness!$C$110,Element_Stiffness!P134,IF(5=Element_Stiffness!$E$110,Element_Stiffness!V134,0)),IF(Element_Stiffness!$E$110=2,IF(5=Element_Stiffness!$C$110,Element_Stiffness!P140,IF(5=Element_Stiffness!$E$110,Element_Stiffness!V140,0)),0)),0)+IF(Element_Stiffness!$C$146,IF(Element_Stiffness!$C$145=2,IF(5=Element_Stiffness!$C$145,Element_Stiffness!P169,IF(5=Element_Stiffness!$E$145,Element_Stiffness!V169,0)),IF(Element_Stiffness!$E$145=2,IF(5=Element_Stiffness!$C$145,Element_Stiffness!P175,IF(5=Element_Stiffness!$E$145,Element_Stiffness!V175,0)),0)),0)+IF(Element_Stiffness!$C$181,IF(Element_Stiffness!$C$180=2,IF(5=Element_Stiffness!$C$180,Element_Stiffness!P204,IF(5=Element_Stiffness!$E$180,Element_Stiffness!V204,0)),IF(Element_Stiffness!$E$180=2,IF(5=Element_Stiffness!$C$180,Element_Stiffness!P210,IF(5=Element_Stiffness!$E$180,Element_Stiffness!V210,0)),0)),0)+IF(Element_Stiffness!$C$216,IF(Element_Stiffness!$C$215=2,IF(5=Element_Stiffness!$C$215,Element_Stiffness!P239,IF(5=Element_Stiffness!$E$215,Element_Stiffness!V239,0)),IF(Element_Stiffness!$E$215=2,IF(5=Element_Stiffness!$C$215,Element_Stiffness!P245,IF(5=Element_Stiffness!$E$215,Element_Stiffness!V245,0)),0)),0)</f>
        <v/>
      </c>
      <c r="AH20" s="21">
        <f>IF(Element_Stiffness!$C$6,IF(Element_Stiffness!$C$5=2,IF(5=Element_Stiffness!$C$5,Element_Stiffness!Q29,IF(5=Element_Stiffness!$E$5,Element_Stiffness!W29,0)),IF(Element_Stiffness!$E$5=2,IF(5=Element_Stiffness!$C$5,Element_Stiffness!Q35,IF(5=Element_Stiffness!$E$5,Element_Stiffness!W35,0)),0)),0)+IF(Element_Stiffness!$C$41,IF(Element_Stiffness!$C$40=2,IF(5=Element_Stiffness!$C$40,Element_Stiffness!Q64,IF(5=Element_Stiffness!$E$40,Element_Stiffness!W64,0)),IF(Element_Stiffness!$E$40=2,IF(5=Element_Stiffness!$C$40,Element_Stiffness!Q70,IF(5=Element_Stiffness!$E$40,Element_Stiffness!W70,0)),0)),0)+IF(Element_Stiffness!$C$76,IF(Element_Stiffness!$C$75=2,IF(5=Element_Stiffness!$C$75,Element_Stiffness!Q99,IF(5=Element_Stiffness!$E$75,Element_Stiffness!W99,0)),IF(Element_Stiffness!$E$75=2,IF(5=Element_Stiffness!$C$75,Element_Stiffness!Q105,IF(5=Element_Stiffness!$E$75,Element_Stiffness!W105,0)),0)),0)+IF(Element_Stiffness!$C$111,IF(Element_Stiffness!$C$110=2,IF(5=Element_Stiffness!$C$110,Element_Stiffness!Q134,IF(5=Element_Stiffness!$E$110,Element_Stiffness!W134,0)),IF(Element_Stiffness!$E$110=2,IF(5=Element_Stiffness!$C$110,Element_Stiffness!Q140,IF(5=Element_Stiffness!$E$110,Element_Stiffness!W140,0)),0)),0)+IF(Element_Stiffness!$C$146,IF(Element_Stiffness!$C$145=2,IF(5=Element_Stiffness!$C$145,Element_Stiffness!Q169,IF(5=Element_Stiffness!$E$145,Element_Stiffness!W169,0)),IF(Element_Stiffness!$E$145=2,IF(5=Element_Stiffness!$C$145,Element_Stiffness!Q175,IF(5=Element_Stiffness!$E$145,Element_Stiffness!W175,0)),0)),0)+IF(Element_Stiffness!$C$181,IF(Element_Stiffness!$C$180=2,IF(5=Element_Stiffness!$C$180,Element_Stiffness!Q204,IF(5=Element_Stiffness!$E$180,Element_Stiffness!W204,0)),IF(Element_Stiffness!$E$180=2,IF(5=Element_Stiffness!$C$180,Element_Stiffness!Q210,IF(5=Element_Stiffness!$E$180,Element_Stiffness!W210,0)),0)),0)+IF(Element_Stiffness!$C$216,IF(Element_Stiffness!$C$215=2,IF(5=Element_Stiffness!$C$215,Element_Stiffness!Q239,IF(5=Element_Stiffness!$E$215,Element_Stiffness!W239,0)),IF(Element_Stiffness!$E$215=2,IF(5=Element_Stiffness!$C$215,Element_Stiffness!Q245,IF(5=Element_Stiffness!$E$215,Element_Stiffness!W245,0)),0)),0)</f>
        <v/>
      </c>
      <c r="AI20" s="21">
        <f>IF(Element_Stiffness!$C$6,IF(Element_Stiffness!$C$5=2,IF(5=Element_Stiffness!$C$5,Element_Stiffness!R29,IF(5=Element_Stiffness!$E$5,Element_Stiffness!X29,0)),IF(Element_Stiffness!$E$5=2,IF(5=Element_Stiffness!$C$5,Element_Stiffness!R35,IF(5=Element_Stiffness!$E$5,Element_Stiffness!X35,0)),0)),0)+IF(Element_Stiffness!$C$41,IF(Element_Stiffness!$C$40=2,IF(5=Element_Stiffness!$C$40,Element_Stiffness!R64,IF(5=Element_Stiffness!$E$40,Element_Stiffness!X64,0)),IF(Element_Stiffness!$E$40=2,IF(5=Element_Stiffness!$C$40,Element_Stiffness!R70,IF(5=Element_Stiffness!$E$40,Element_Stiffness!X70,0)),0)),0)+IF(Element_Stiffness!$C$76,IF(Element_Stiffness!$C$75=2,IF(5=Element_Stiffness!$C$75,Element_Stiffness!R99,IF(5=Element_Stiffness!$E$75,Element_Stiffness!X99,0)),IF(Element_Stiffness!$E$75=2,IF(5=Element_Stiffness!$C$75,Element_Stiffness!R105,IF(5=Element_Stiffness!$E$75,Element_Stiffness!X105,0)),0)),0)+IF(Element_Stiffness!$C$111,IF(Element_Stiffness!$C$110=2,IF(5=Element_Stiffness!$C$110,Element_Stiffness!R134,IF(5=Element_Stiffness!$E$110,Element_Stiffness!X134,0)),IF(Element_Stiffness!$E$110=2,IF(5=Element_Stiffness!$C$110,Element_Stiffness!R140,IF(5=Element_Stiffness!$E$110,Element_Stiffness!X140,0)),0)),0)+IF(Element_Stiffness!$C$146,IF(Element_Stiffness!$C$145=2,IF(5=Element_Stiffness!$C$145,Element_Stiffness!R169,IF(5=Element_Stiffness!$E$145,Element_Stiffness!X169,0)),IF(Element_Stiffness!$E$145=2,IF(5=Element_Stiffness!$C$145,Element_Stiffness!R175,IF(5=Element_Stiffness!$E$145,Element_Stiffness!X175,0)),0)),0)+IF(Element_Stiffness!$C$181,IF(Element_Stiffness!$C$180=2,IF(5=Element_Stiffness!$C$180,Element_Stiffness!R204,IF(5=Element_Stiffness!$E$180,Element_Stiffness!X204,0)),IF(Element_Stiffness!$E$180=2,IF(5=Element_Stiffness!$C$180,Element_Stiffness!R210,IF(5=Element_Stiffness!$E$180,Element_Stiffness!X210,0)),0)),0)+IF(Element_Stiffness!$C$216,IF(Element_Stiffness!$C$215=2,IF(5=Element_Stiffness!$C$215,Element_Stiffness!R239,IF(5=Element_Stiffness!$E$215,Element_Stiffness!X239,0)),IF(Element_Stiffness!$E$215=2,IF(5=Element_Stiffness!$C$215,Element_Stiffness!R245,IF(5=Element_Stiffness!$E$215,Element_Stiffness!X245,0)),0)),0)</f>
        <v/>
      </c>
      <c r="AJ20" s="21">
        <f>IF(Element_Stiffness!$C$6,IF(Element_Stiffness!$C$5=2,IF(5=Element_Stiffness!$C$5,Element_Stiffness!S29,IF(5=Element_Stiffness!$E$5,Element_Stiffness!Y29,0)),IF(Element_Stiffness!$E$5=2,IF(5=Element_Stiffness!$C$5,Element_Stiffness!S35,IF(5=Element_Stiffness!$E$5,Element_Stiffness!Y35,0)),0)),0)+IF(Element_Stiffness!$C$41,IF(Element_Stiffness!$C$40=2,IF(5=Element_Stiffness!$C$40,Element_Stiffness!S64,IF(5=Element_Stiffness!$E$40,Element_Stiffness!Y64,0)),IF(Element_Stiffness!$E$40=2,IF(5=Element_Stiffness!$C$40,Element_Stiffness!S70,IF(5=Element_Stiffness!$E$40,Element_Stiffness!Y70,0)),0)),0)+IF(Element_Stiffness!$C$76,IF(Element_Stiffness!$C$75=2,IF(5=Element_Stiffness!$C$75,Element_Stiffness!S99,IF(5=Element_Stiffness!$E$75,Element_Stiffness!Y99,0)),IF(Element_Stiffness!$E$75=2,IF(5=Element_Stiffness!$C$75,Element_Stiffness!S105,IF(5=Element_Stiffness!$E$75,Element_Stiffness!Y105,0)),0)),0)+IF(Element_Stiffness!$C$111,IF(Element_Stiffness!$C$110=2,IF(5=Element_Stiffness!$C$110,Element_Stiffness!S134,IF(5=Element_Stiffness!$E$110,Element_Stiffness!Y134,0)),IF(Element_Stiffness!$E$110=2,IF(5=Element_Stiffness!$C$110,Element_Stiffness!S140,IF(5=Element_Stiffness!$E$110,Element_Stiffness!Y140,0)),0)),0)+IF(Element_Stiffness!$C$146,IF(Element_Stiffness!$C$145=2,IF(5=Element_Stiffness!$C$145,Element_Stiffness!S169,IF(5=Element_Stiffness!$E$145,Element_Stiffness!Y169,0)),IF(Element_Stiffness!$E$145=2,IF(5=Element_Stiffness!$C$145,Element_Stiffness!S175,IF(5=Element_Stiffness!$E$145,Element_Stiffness!Y175,0)),0)),0)+IF(Element_Stiffness!$C$181,IF(Element_Stiffness!$C$180=2,IF(5=Element_Stiffness!$C$180,Element_Stiffness!S204,IF(5=Element_Stiffness!$E$180,Element_Stiffness!Y204,0)),IF(Element_Stiffness!$E$180=2,IF(5=Element_Stiffness!$C$180,Element_Stiffness!S210,IF(5=Element_Stiffness!$E$180,Element_Stiffness!Y210,0)),0)),0)+IF(Element_Stiffness!$C$216,IF(Element_Stiffness!$C$215=2,IF(5=Element_Stiffness!$C$215,Element_Stiffness!S239,IF(5=Element_Stiffness!$E$215,Element_Stiffness!Y239,0)),IF(Element_Stiffness!$E$215=2,IF(5=Element_Stiffness!$C$215,Element_Stiffness!S245,IF(5=Element_Stiffness!$E$215,Element_Stiffness!Y245,0)),0)),0)</f>
        <v/>
      </c>
      <c r="AK20" s="21">
        <f>IF(Element_Stiffness!$C$6,IF(Element_Stiffness!$C$5=2,IF(5=Element_Stiffness!$C$5,Element_Stiffness!T29,IF(5=Element_Stiffness!$E$5,Element_Stiffness!Z29,0)),IF(Element_Stiffness!$E$5=2,IF(5=Element_Stiffness!$C$5,Element_Stiffness!T35,IF(5=Element_Stiffness!$E$5,Element_Stiffness!Z35,0)),0)),0)+IF(Element_Stiffness!$C$41,IF(Element_Stiffness!$C$40=2,IF(5=Element_Stiffness!$C$40,Element_Stiffness!T64,IF(5=Element_Stiffness!$E$40,Element_Stiffness!Z64,0)),IF(Element_Stiffness!$E$40=2,IF(5=Element_Stiffness!$C$40,Element_Stiffness!T70,IF(5=Element_Stiffness!$E$40,Element_Stiffness!Z70,0)),0)),0)+IF(Element_Stiffness!$C$76,IF(Element_Stiffness!$C$75=2,IF(5=Element_Stiffness!$C$75,Element_Stiffness!T99,IF(5=Element_Stiffness!$E$75,Element_Stiffness!Z99,0)),IF(Element_Stiffness!$E$75=2,IF(5=Element_Stiffness!$C$75,Element_Stiffness!T105,IF(5=Element_Stiffness!$E$75,Element_Stiffness!Z105,0)),0)),0)+IF(Element_Stiffness!$C$111,IF(Element_Stiffness!$C$110=2,IF(5=Element_Stiffness!$C$110,Element_Stiffness!T134,IF(5=Element_Stiffness!$E$110,Element_Stiffness!Z134,0)),IF(Element_Stiffness!$E$110=2,IF(5=Element_Stiffness!$C$110,Element_Stiffness!T140,IF(5=Element_Stiffness!$E$110,Element_Stiffness!Z140,0)),0)),0)+IF(Element_Stiffness!$C$146,IF(Element_Stiffness!$C$145=2,IF(5=Element_Stiffness!$C$145,Element_Stiffness!T169,IF(5=Element_Stiffness!$E$145,Element_Stiffness!Z169,0)),IF(Element_Stiffness!$E$145=2,IF(5=Element_Stiffness!$C$145,Element_Stiffness!T175,IF(5=Element_Stiffness!$E$145,Element_Stiffness!Z175,0)),0)),0)+IF(Element_Stiffness!$C$181,IF(Element_Stiffness!$C$180=2,IF(5=Element_Stiffness!$C$180,Element_Stiffness!T204,IF(5=Element_Stiffness!$E$180,Element_Stiffness!Z204,0)),IF(Element_Stiffness!$E$180=2,IF(5=Element_Stiffness!$C$180,Element_Stiffness!T210,IF(5=Element_Stiffness!$E$180,Element_Stiffness!Z210,0)),0)),0)+IF(Element_Stiffness!$C$216,IF(Element_Stiffness!$C$215=2,IF(5=Element_Stiffness!$C$215,Element_Stiffness!T239,IF(5=Element_Stiffness!$E$215,Element_Stiffness!Z239,0)),IF(Element_Stiffness!$E$215=2,IF(5=Element_Stiffness!$C$215,Element_Stiffness!T245,IF(5=Element_Stiffness!$E$215,Element_Stiffness!Z245,0)),0)),0)</f>
        <v/>
      </c>
      <c r="AL20" s="21">
        <f>IF(Element_Stiffness!$C$6,IF(Element_Stiffness!$C$5=2,IF(5=Element_Stiffness!$C$5,Element_Stiffness!U29,IF(5=Element_Stiffness!$E$5,Element_Stiffness!AA29,0)),IF(Element_Stiffness!$E$5=2,IF(5=Element_Stiffness!$C$5,Element_Stiffness!U35,IF(5=Element_Stiffness!$E$5,Element_Stiffness!AA35,0)),0)),0)+IF(Element_Stiffness!$C$41,IF(Element_Stiffness!$C$40=2,IF(5=Element_Stiffness!$C$40,Element_Stiffness!U64,IF(5=Element_Stiffness!$E$40,Element_Stiffness!AA64,0)),IF(Element_Stiffness!$E$40=2,IF(5=Element_Stiffness!$C$40,Element_Stiffness!U70,IF(5=Element_Stiffness!$E$40,Element_Stiffness!AA70,0)),0)),0)+IF(Element_Stiffness!$C$76,IF(Element_Stiffness!$C$75=2,IF(5=Element_Stiffness!$C$75,Element_Stiffness!U99,IF(5=Element_Stiffness!$E$75,Element_Stiffness!AA99,0)),IF(Element_Stiffness!$E$75=2,IF(5=Element_Stiffness!$C$75,Element_Stiffness!U105,IF(5=Element_Stiffness!$E$75,Element_Stiffness!AA105,0)),0)),0)+IF(Element_Stiffness!$C$111,IF(Element_Stiffness!$C$110=2,IF(5=Element_Stiffness!$C$110,Element_Stiffness!U134,IF(5=Element_Stiffness!$E$110,Element_Stiffness!AA134,0)),IF(Element_Stiffness!$E$110=2,IF(5=Element_Stiffness!$C$110,Element_Stiffness!U140,IF(5=Element_Stiffness!$E$110,Element_Stiffness!AA140,0)),0)),0)+IF(Element_Stiffness!$C$146,IF(Element_Stiffness!$C$145=2,IF(5=Element_Stiffness!$C$145,Element_Stiffness!U169,IF(5=Element_Stiffness!$E$145,Element_Stiffness!AA169,0)),IF(Element_Stiffness!$E$145=2,IF(5=Element_Stiffness!$C$145,Element_Stiffness!U175,IF(5=Element_Stiffness!$E$145,Element_Stiffness!AA175,0)),0)),0)+IF(Element_Stiffness!$C$181,IF(Element_Stiffness!$C$180=2,IF(5=Element_Stiffness!$C$180,Element_Stiffness!U204,IF(5=Element_Stiffness!$E$180,Element_Stiffness!AA204,0)),IF(Element_Stiffness!$E$180=2,IF(5=Element_Stiffness!$C$180,Element_Stiffness!U210,IF(5=Element_Stiffness!$E$180,Element_Stiffness!AA210,0)),0)),0)+IF(Element_Stiffness!$C$216,IF(Element_Stiffness!$C$215=2,IF(5=Element_Stiffness!$C$215,Element_Stiffness!U239,IF(5=Element_Stiffness!$E$215,Element_Stiffness!AA239,0)),IF(Element_Stiffness!$E$215=2,IF(5=Element_Stiffness!$C$215,Element_Stiffness!U245,IF(5=Element_Stiffness!$E$215,Element_Stiffness!AA245,0)),0)),0)</f>
        <v/>
      </c>
      <c r="AM20" s="21">
        <f>IF(Element_Stiffness!$C$6,IF(Element_Stiffness!$C$5=2,IF(6=Element_Stiffness!$C$5,Element_Stiffness!P29,IF(6=Element_Stiffness!$E$5,Element_Stiffness!V29,0)),IF(Element_Stiffness!$E$5=2,IF(6=Element_Stiffness!$C$5,Element_Stiffness!P35,IF(6=Element_Stiffness!$E$5,Element_Stiffness!V35,0)),0)),0)+IF(Element_Stiffness!$C$41,IF(Element_Stiffness!$C$40=2,IF(6=Element_Stiffness!$C$40,Element_Stiffness!P64,IF(6=Element_Stiffness!$E$40,Element_Stiffness!V64,0)),IF(Element_Stiffness!$E$40=2,IF(6=Element_Stiffness!$C$40,Element_Stiffness!P70,IF(6=Element_Stiffness!$E$40,Element_Stiffness!V70,0)),0)),0)+IF(Element_Stiffness!$C$76,IF(Element_Stiffness!$C$75=2,IF(6=Element_Stiffness!$C$75,Element_Stiffness!P99,IF(6=Element_Stiffness!$E$75,Element_Stiffness!V99,0)),IF(Element_Stiffness!$E$75=2,IF(6=Element_Stiffness!$C$75,Element_Stiffness!P105,IF(6=Element_Stiffness!$E$75,Element_Stiffness!V105,0)),0)),0)+IF(Element_Stiffness!$C$111,IF(Element_Stiffness!$C$110=2,IF(6=Element_Stiffness!$C$110,Element_Stiffness!P134,IF(6=Element_Stiffness!$E$110,Element_Stiffness!V134,0)),IF(Element_Stiffness!$E$110=2,IF(6=Element_Stiffness!$C$110,Element_Stiffness!P140,IF(6=Element_Stiffness!$E$110,Element_Stiffness!V140,0)),0)),0)+IF(Element_Stiffness!$C$146,IF(Element_Stiffness!$C$145=2,IF(6=Element_Stiffness!$C$145,Element_Stiffness!P169,IF(6=Element_Stiffness!$E$145,Element_Stiffness!V169,0)),IF(Element_Stiffness!$E$145=2,IF(6=Element_Stiffness!$C$145,Element_Stiffness!P175,IF(6=Element_Stiffness!$E$145,Element_Stiffness!V175,0)),0)),0)+IF(Element_Stiffness!$C$181,IF(Element_Stiffness!$C$180=2,IF(6=Element_Stiffness!$C$180,Element_Stiffness!P204,IF(6=Element_Stiffness!$E$180,Element_Stiffness!V204,0)),IF(Element_Stiffness!$E$180=2,IF(6=Element_Stiffness!$C$180,Element_Stiffness!P210,IF(6=Element_Stiffness!$E$180,Element_Stiffness!V210,0)),0)),0)+IF(Element_Stiffness!$C$216,IF(Element_Stiffness!$C$215=2,IF(6=Element_Stiffness!$C$215,Element_Stiffness!P239,IF(6=Element_Stiffness!$E$215,Element_Stiffness!V239,0)),IF(Element_Stiffness!$E$215=2,IF(6=Element_Stiffness!$C$215,Element_Stiffness!P245,IF(6=Element_Stiffness!$E$215,Element_Stiffness!V245,0)),0)),0)</f>
        <v/>
      </c>
      <c r="AN20" s="21">
        <f>IF(Element_Stiffness!$C$6,IF(Element_Stiffness!$C$5=2,IF(6=Element_Stiffness!$C$5,Element_Stiffness!Q29,IF(6=Element_Stiffness!$E$5,Element_Stiffness!W29,0)),IF(Element_Stiffness!$E$5=2,IF(6=Element_Stiffness!$C$5,Element_Stiffness!Q35,IF(6=Element_Stiffness!$E$5,Element_Stiffness!W35,0)),0)),0)+IF(Element_Stiffness!$C$41,IF(Element_Stiffness!$C$40=2,IF(6=Element_Stiffness!$C$40,Element_Stiffness!Q64,IF(6=Element_Stiffness!$E$40,Element_Stiffness!W64,0)),IF(Element_Stiffness!$E$40=2,IF(6=Element_Stiffness!$C$40,Element_Stiffness!Q70,IF(6=Element_Stiffness!$E$40,Element_Stiffness!W70,0)),0)),0)+IF(Element_Stiffness!$C$76,IF(Element_Stiffness!$C$75=2,IF(6=Element_Stiffness!$C$75,Element_Stiffness!Q99,IF(6=Element_Stiffness!$E$75,Element_Stiffness!W99,0)),IF(Element_Stiffness!$E$75=2,IF(6=Element_Stiffness!$C$75,Element_Stiffness!Q105,IF(6=Element_Stiffness!$E$75,Element_Stiffness!W105,0)),0)),0)+IF(Element_Stiffness!$C$111,IF(Element_Stiffness!$C$110=2,IF(6=Element_Stiffness!$C$110,Element_Stiffness!Q134,IF(6=Element_Stiffness!$E$110,Element_Stiffness!W134,0)),IF(Element_Stiffness!$E$110=2,IF(6=Element_Stiffness!$C$110,Element_Stiffness!Q140,IF(6=Element_Stiffness!$E$110,Element_Stiffness!W140,0)),0)),0)+IF(Element_Stiffness!$C$146,IF(Element_Stiffness!$C$145=2,IF(6=Element_Stiffness!$C$145,Element_Stiffness!Q169,IF(6=Element_Stiffness!$E$145,Element_Stiffness!W169,0)),IF(Element_Stiffness!$E$145=2,IF(6=Element_Stiffness!$C$145,Element_Stiffness!Q175,IF(6=Element_Stiffness!$E$145,Element_Stiffness!W175,0)),0)),0)+IF(Element_Stiffness!$C$181,IF(Element_Stiffness!$C$180=2,IF(6=Element_Stiffness!$C$180,Element_Stiffness!Q204,IF(6=Element_Stiffness!$E$180,Element_Stiffness!W204,0)),IF(Element_Stiffness!$E$180=2,IF(6=Element_Stiffness!$C$180,Element_Stiffness!Q210,IF(6=Element_Stiffness!$E$180,Element_Stiffness!W210,0)),0)),0)+IF(Element_Stiffness!$C$216,IF(Element_Stiffness!$C$215=2,IF(6=Element_Stiffness!$C$215,Element_Stiffness!Q239,IF(6=Element_Stiffness!$E$215,Element_Stiffness!W239,0)),IF(Element_Stiffness!$E$215=2,IF(6=Element_Stiffness!$C$215,Element_Stiffness!Q245,IF(6=Element_Stiffness!$E$215,Element_Stiffness!W245,0)),0)),0)</f>
        <v/>
      </c>
      <c r="AO20" s="21">
        <f>IF(Element_Stiffness!$C$6,IF(Element_Stiffness!$C$5=2,IF(6=Element_Stiffness!$C$5,Element_Stiffness!R29,IF(6=Element_Stiffness!$E$5,Element_Stiffness!X29,0)),IF(Element_Stiffness!$E$5=2,IF(6=Element_Stiffness!$C$5,Element_Stiffness!R35,IF(6=Element_Stiffness!$E$5,Element_Stiffness!X35,0)),0)),0)+IF(Element_Stiffness!$C$41,IF(Element_Stiffness!$C$40=2,IF(6=Element_Stiffness!$C$40,Element_Stiffness!R64,IF(6=Element_Stiffness!$E$40,Element_Stiffness!X64,0)),IF(Element_Stiffness!$E$40=2,IF(6=Element_Stiffness!$C$40,Element_Stiffness!R70,IF(6=Element_Stiffness!$E$40,Element_Stiffness!X70,0)),0)),0)+IF(Element_Stiffness!$C$76,IF(Element_Stiffness!$C$75=2,IF(6=Element_Stiffness!$C$75,Element_Stiffness!R99,IF(6=Element_Stiffness!$E$75,Element_Stiffness!X99,0)),IF(Element_Stiffness!$E$75=2,IF(6=Element_Stiffness!$C$75,Element_Stiffness!R105,IF(6=Element_Stiffness!$E$75,Element_Stiffness!X105,0)),0)),0)+IF(Element_Stiffness!$C$111,IF(Element_Stiffness!$C$110=2,IF(6=Element_Stiffness!$C$110,Element_Stiffness!R134,IF(6=Element_Stiffness!$E$110,Element_Stiffness!X134,0)),IF(Element_Stiffness!$E$110=2,IF(6=Element_Stiffness!$C$110,Element_Stiffness!R140,IF(6=Element_Stiffness!$E$110,Element_Stiffness!X140,0)),0)),0)+IF(Element_Stiffness!$C$146,IF(Element_Stiffness!$C$145=2,IF(6=Element_Stiffness!$C$145,Element_Stiffness!R169,IF(6=Element_Stiffness!$E$145,Element_Stiffness!X169,0)),IF(Element_Stiffness!$E$145=2,IF(6=Element_Stiffness!$C$145,Element_Stiffness!R175,IF(6=Element_Stiffness!$E$145,Element_Stiffness!X175,0)),0)),0)+IF(Element_Stiffness!$C$181,IF(Element_Stiffness!$C$180=2,IF(6=Element_Stiffness!$C$180,Element_Stiffness!R204,IF(6=Element_Stiffness!$E$180,Element_Stiffness!X204,0)),IF(Element_Stiffness!$E$180=2,IF(6=Element_Stiffness!$C$180,Element_Stiffness!R210,IF(6=Element_Stiffness!$E$180,Element_Stiffness!X210,0)),0)),0)+IF(Element_Stiffness!$C$216,IF(Element_Stiffness!$C$215=2,IF(6=Element_Stiffness!$C$215,Element_Stiffness!R239,IF(6=Element_Stiffness!$E$215,Element_Stiffness!X239,0)),IF(Element_Stiffness!$E$215=2,IF(6=Element_Stiffness!$C$215,Element_Stiffness!R245,IF(6=Element_Stiffness!$E$215,Element_Stiffness!X245,0)),0)),0)</f>
        <v/>
      </c>
      <c r="AP20" s="21">
        <f>IF(Element_Stiffness!$C$6,IF(Element_Stiffness!$C$5=2,IF(6=Element_Stiffness!$C$5,Element_Stiffness!S29,IF(6=Element_Stiffness!$E$5,Element_Stiffness!Y29,0)),IF(Element_Stiffness!$E$5=2,IF(6=Element_Stiffness!$C$5,Element_Stiffness!S35,IF(6=Element_Stiffness!$E$5,Element_Stiffness!Y35,0)),0)),0)+IF(Element_Stiffness!$C$41,IF(Element_Stiffness!$C$40=2,IF(6=Element_Stiffness!$C$40,Element_Stiffness!S64,IF(6=Element_Stiffness!$E$40,Element_Stiffness!Y64,0)),IF(Element_Stiffness!$E$40=2,IF(6=Element_Stiffness!$C$40,Element_Stiffness!S70,IF(6=Element_Stiffness!$E$40,Element_Stiffness!Y70,0)),0)),0)+IF(Element_Stiffness!$C$76,IF(Element_Stiffness!$C$75=2,IF(6=Element_Stiffness!$C$75,Element_Stiffness!S99,IF(6=Element_Stiffness!$E$75,Element_Stiffness!Y99,0)),IF(Element_Stiffness!$E$75=2,IF(6=Element_Stiffness!$C$75,Element_Stiffness!S105,IF(6=Element_Stiffness!$E$75,Element_Stiffness!Y105,0)),0)),0)+IF(Element_Stiffness!$C$111,IF(Element_Stiffness!$C$110=2,IF(6=Element_Stiffness!$C$110,Element_Stiffness!S134,IF(6=Element_Stiffness!$E$110,Element_Stiffness!Y134,0)),IF(Element_Stiffness!$E$110=2,IF(6=Element_Stiffness!$C$110,Element_Stiffness!S140,IF(6=Element_Stiffness!$E$110,Element_Stiffness!Y140,0)),0)),0)+IF(Element_Stiffness!$C$146,IF(Element_Stiffness!$C$145=2,IF(6=Element_Stiffness!$C$145,Element_Stiffness!S169,IF(6=Element_Stiffness!$E$145,Element_Stiffness!Y169,0)),IF(Element_Stiffness!$E$145=2,IF(6=Element_Stiffness!$C$145,Element_Stiffness!S175,IF(6=Element_Stiffness!$E$145,Element_Stiffness!Y175,0)),0)),0)+IF(Element_Stiffness!$C$181,IF(Element_Stiffness!$C$180=2,IF(6=Element_Stiffness!$C$180,Element_Stiffness!S204,IF(6=Element_Stiffness!$E$180,Element_Stiffness!Y204,0)),IF(Element_Stiffness!$E$180=2,IF(6=Element_Stiffness!$C$180,Element_Stiffness!S210,IF(6=Element_Stiffness!$E$180,Element_Stiffness!Y210,0)),0)),0)+IF(Element_Stiffness!$C$216,IF(Element_Stiffness!$C$215=2,IF(6=Element_Stiffness!$C$215,Element_Stiffness!S239,IF(6=Element_Stiffness!$E$215,Element_Stiffness!Y239,0)),IF(Element_Stiffness!$E$215=2,IF(6=Element_Stiffness!$C$215,Element_Stiffness!S245,IF(6=Element_Stiffness!$E$215,Element_Stiffness!Y245,0)),0)),0)</f>
        <v/>
      </c>
      <c r="AQ20" s="21">
        <f>IF(Element_Stiffness!$C$6,IF(Element_Stiffness!$C$5=2,IF(6=Element_Stiffness!$C$5,Element_Stiffness!T29,IF(6=Element_Stiffness!$E$5,Element_Stiffness!Z29,0)),IF(Element_Stiffness!$E$5=2,IF(6=Element_Stiffness!$C$5,Element_Stiffness!T35,IF(6=Element_Stiffness!$E$5,Element_Stiffness!Z35,0)),0)),0)+IF(Element_Stiffness!$C$41,IF(Element_Stiffness!$C$40=2,IF(6=Element_Stiffness!$C$40,Element_Stiffness!T64,IF(6=Element_Stiffness!$E$40,Element_Stiffness!Z64,0)),IF(Element_Stiffness!$E$40=2,IF(6=Element_Stiffness!$C$40,Element_Stiffness!T70,IF(6=Element_Stiffness!$E$40,Element_Stiffness!Z70,0)),0)),0)+IF(Element_Stiffness!$C$76,IF(Element_Stiffness!$C$75=2,IF(6=Element_Stiffness!$C$75,Element_Stiffness!T99,IF(6=Element_Stiffness!$E$75,Element_Stiffness!Z99,0)),IF(Element_Stiffness!$E$75=2,IF(6=Element_Stiffness!$C$75,Element_Stiffness!T105,IF(6=Element_Stiffness!$E$75,Element_Stiffness!Z105,0)),0)),0)+IF(Element_Stiffness!$C$111,IF(Element_Stiffness!$C$110=2,IF(6=Element_Stiffness!$C$110,Element_Stiffness!T134,IF(6=Element_Stiffness!$E$110,Element_Stiffness!Z134,0)),IF(Element_Stiffness!$E$110=2,IF(6=Element_Stiffness!$C$110,Element_Stiffness!T140,IF(6=Element_Stiffness!$E$110,Element_Stiffness!Z140,0)),0)),0)+IF(Element_Stiffness!$C$146,IF(Element_Stiffness!$C$145=2,IF(6=Element_Stiffness!$C$145,Element_Stiffness!T169,IF(6=Element_Stiffness!$E$145,Element_Stiffness!Z169,0)),IF(Element_Stiffness!$E$145=2,IF(6=Element_Stiffness!$C$145,Element_Stiffness!T175,IF(6=Element_Stiffness!$E$145,Element_Stiffness!Z175,0)),0)),0)+IF(Element_Stiffness!$C$181,IF(Element_Stiffness!$C$180=2,IF(6=Element_Stiffness!$C$180,Element_Stiffness!T204,IF(6=Element_Stiffness!$E$180,Element_Stiffness!Z204,0)),IF(Element_Stiffness!$E$180=2,IF(6=Element_Stiffness!$C$180,Element_Stiffness!T210,IF(6=Element_Stiffness!$E$180,Element_Stiffness!Z210,0)),0)),0)+IF(Element_Stiffness!$C$216,IF(Element_Stiffness!$C$215=2,IF(6=Element_Stiffness!$C$215,Element_Stiffness!T239,IF(6=Element_Stiffness!$E$215,Element_Stiffness!Z239,0)),IF(Element_Stiffness!$E$215=2,IF(6=Element_Stiffness!$C$215,Element_Stiffness!T245,IF(6=Element_Stiffness!$E$215,Element_Stiffness!Z245,0)),0)),0)</f>
        <v/>
      </c>
      <c r="AR20" s="21">
        <f>IF(Element_Stiffness!$C$6,IF(Element_Stiffness!$C$5=2,IF(6=Element_Stiffness!$C$5,Element_Stiffness!U29,IF(6=Element_Stiffness!$E$5,Element_Stiffness!AA29,0)),IF(Element_Stiffness!$E$5=2,IF(6=Element_Stiffness!$C$5,Element_Stiffness!U35,IF(6=Element_Stiffness!$E$5,Element_Stiffness!AA35,0)),0)),0)+IF(Element_Stiffness!$C$41,IF(Element_Stiffness!$C$40=2,IF(6=Element_Stiffness!$C$40,Element_Stiffness!U64,IF(6=Element_Stiffness!$E$40,Element_Stiffness!AA64,0)),IF(Element_Stiffness!$E$40=2,IF(6=Element_Stiffness!$C$40,Element_Stiffness!U70,IF(6=Element_Stiffness!$E$40,Element_Stiffness!AA70,0)),0)),0)+IF(Element_Stiffness!$C$76,IF(Element_Stiffness!$C$75=2,IF(6=Element_Stiffness!$C$75,Element_Stiffness!U99,IF(6=Element_Stiffness!$E$75,Element_Stiffness!AA99,0)),IF(Element_Stiffness!$E$75=2,IF(6=Element_Stiffness!$C$75,Element_Stiffness!U105,IF(6=Element_Stiffness!$E$75,Element_Stiffness!AA105,0)),0)),0)+IF(Element_Stiffness!$C$111,IF(Element_Stiffness!$C$110=2,IF(6=Element_Stiffness!$C$110,Element_Stiffness!U134,IF(6=Element_Stiffness!$E$110,Element_Stiffness!AA134,0)),IF(Element_Stiffness!$E$110=2,IF(6=Element_Stiffness!$C$110,Element_Stiffness!U140,IF(6=Element_Stiffness!$E$110,Element_Stiffness!AA140,0)),0)),0)+IF(Element_Stiffness!$C$146,IF(Element_Stiffness!$C$145=2,IF(6=Element_Stiffness!$C$145,Element_Stiffness!U169,IF(6=Element_Stiffness!$E$145,Element_Stiffness!AA169,0)),IF(Element_Stiffness!$E$145=2,IF(6=Element_Stiffness!$C$145,Element_Stiffness!U175,IF(6=Element_Stiffness!$E$145,Element_Stiffness!AA175,0)),0)),0)+IF(Element_Stiffness!$C$181,IF(Element_Stiffness!$C$180=2,IF(6=Element_Stiffness!$C$180,Element_Stiffness!U204,IF(6=Element_Stiffness!$E$180,Element_Stiffness!AA204,0)),IF(Element_Stiffness!$E$180=2,IF(6=Element_Stiffness!$C$180,Element_Stiffness!U210,IF(6=Element_Stiffness!$E$180,Element_Stiffness!AA210,0)),0)),0)+IF(Element_Stiffness!$C$216,IF(Element_Stiffness!$C$215=2,IF(6=Element_Stiffness!$C$215,Element_Stiffness!U239,IF(6=Element_Stiffness!$E$215,Element_Stiffness!AA239,0)),IF(Element_Stiffness!$E$215=2,IF(6=Element_Stiffness!$C$215,Element_Stiffness!U245,IF(6=Element_Stiffness!$E$215,Element_Stiffness!AA245,0)),0)),0)</f>
        <v/>
      </c>
      <c r="AS20" s="21">
        <f>IF(Element_Stiffness!$C$6,IF(Element_Stiffness!$C$5=2,IF(7=Element_Stiffness!$C$5,Element_Stiffness!P29,IF(7=Element_Stiffness!$E$5,Element_Stiffness!V29,0)),IF(Element_Stiffness!$E$5=2,IF(7=Element_Stiffness!$C$5,Element_Stiffness!P35,IF(7=Element_Stiffness!$E$5,Element_Stiffness!V35,0)),0)),0)+IF(Element_Stiffness!$C$41,IF(Element_Stiffness!$C$40=2,IF(7=Element_Stiffness!$C$40,Element_Stiffness!P64,IF(7=Element_Stiffness!$E$40,Element_Stiffness!V64,0)),IF(Element_Stiffness!$E$40=2,IF(7=Element_Stiffness!$C$40,Element_Stiffness!P70,IF(7=Element_Stiffness!$E$40,Element_Stiffness!V70,0)),0)),0)+IF(Element_Stiffness!$C$76,IF(Element_Stiffness!$C$75=2,IF(7=Element_Stiffness!$C$75,Element_Stiffness!P99,IF(7=Element_Stiffness!$E$75,Element_Stiffness!V99,0)),IF(Element_Stiffness!$E$75=2,IF(7=Element_Stiffness!$C$75,Element_Stiffness!P105,IF(7=Element_Stiffness!$E$75,Element_Stiffness!V105,0)),0)),0)+IF(Element_Stiffness!$C$111,IF(Element_Stiffness!$C$110=2,IF(7=Element_Stiffness!$C$110,Element_Stiffness!P134,IF(7=Element_Stiffness!$E$110,Element_Stiffness!V134,0)),IF(Element_Stiffness!$E$110=2,IF(7=Element_Stiffness!$C$110,Element_Stiffness!P140,IF(7=Element_Stiffness!$E$110,Element_Stiffness!V140,0)),0)),0)+IF(Element_Stiffness!$C$146,IF(Element_Stiffness!$C$145=2,IF(7=Element_Stiffness!$C$145,Element_Stiffness!P169,IF(7=Element_Stiffness!$E$145,Element_Stiffness!V169,0)),IF(Element_Stiffness!$E$145=2,IF(7=Element_Stiffness!$C$145,Element_Stiffness!P175,IF(7=Element_Stiffness!$E$145,Element_Stiffness!V175,0)),0)),0)+IF(Element_Stiffness!$C$181,IF(Element_Stiffness!$C$180=2,IF(7=Element_Stiffness!$C$180,Element_Stiffness!P204,IF(7=Element_Stiffness!$E$180,Element_Stiffness!V204,0)),IF(Element_Stiffness!$E$180=2,IF(7=Element_Stiffness!$C$180,Element_Stiffness!P210,IF(7=Element_Stiffness!$E$180,Element_Stiffness!V210,0)),0)),0)+IF(Element_Stiffness!$C$216,IF(Element_Stiffness!$C$215=2,IF(7=Element_Stiffness!$C$215,Element_Stiffness!P239,IF(7=Element_Stiffness!$E$215,Element_Stiffness!V239,0)),IF(Element_Stiffness!$E$215=2,IF(7=Element_Stiffness!$C$215,Element_Stiffness!P245,IF(7=Element_Stiffness!$E$215,Element_Stiffness!V245,0)),0)),0)</f>
        <v/>
      </c>
      <c r="AT20" s="21">
        <f>IF(Element_Stiffness!$C$6,IF(Element_Stiffness!$C$5=2,IF(7=Element_Stiffness!$C$5,Element_Stiffness!Q29,IF(7=Element_Stiffness!$E$5,Element_Stiffness!W29,0)),IF(Element_Stiffness!$E$5=2,IF(7=Element_Stiffness!$C$5,Element_Stiffness!Q35,IF(7=Element_Stiffness!$E$5,Element_Stiffness!W35,0)),0)),0)+IF(Element_Stiffness!$C$41,IF(Element_Stiffness!$C$40=2,IF(7=Element_Stiffness!$C$40,Element_Stiffness!Q64,IF(7=Element_Stiffness!$E$40,Element_Stiffness!W64,0)),IF(Element_Stiffness!$E$40=2,IF(7=Element_Stiffness!$C$40,Element_Stiffness!Q70,IF(7=Element_Stiffness!$E$40,Element_Stiffness!W70,0)),0)),0)+IF(Element_Stiffness!$C$76,IF(Element_Stiffness!$C$75=2,IF(7=Element_Stiffness!$C$75,Element_Stiffness!Q99,IF(7=Element_Stiffness!$E$75,Element_Stiffness!W99,0)),IF(Element_Stiffness!$E$75=2,IF(7=Element_Stiffness!$C$75,Element_Stiffness!Q105,IF(7=Element_Stiffness!$E$75,Element_Stiffness!W105,0)),0)),0)+IF(Element_Stiffness!$C$111,IF(Element_Stiffness!$C$110=2,IF(7=Element_Stiffness!$C$110,Element_Stiffness!Q134,IF(7=Element_Stiffness!$E$110,Element_Stiffness!W134,0)),IF(Element_Stiffness!$E$110=2,IF(7=Element_Stiffness!$C$110,Element_Stiffness!Q140,IF(7=Element_Stiffness!$E$110,Element_Stiffness!W140,0)),0)),0)+IF(Element_Stiffness!$C$146,IF(Element_Stiffness!$C$145=2,IF(7=Element_Stiffness!$C$145,Element_Stiffness!Q169,IF(7=Element_Stiffness!$E$145,Element_Stiffness!W169,0)),IF(Element_Stiffness!$E$145=2,IF(7=Element_Stiffness!$C$145,Element_Stiffness!Q175,IF(7=Element_Stiffness!$E$145,Element_Stiffness!W175,0)),0)),0)+IF(Element_Stiffness!$C$181,IF(Element_Stiffness!$C$180=2,IF(7=Element_Stiffness!$C$180,Element_Stiffness!Q204,IF(7=Element_Stiffness!$E$180,Element_Stiffness!W204,0)),IF(Element_Stiffness!$E$180=2,IF(7=Element_Stiffness!$C$180,Element_Stiffness!Q210,IF(7=Element_Stiffness!$E$180,Element_Stiffness!W210,0)),0)),0)+IF(Element_Stiffness!$C$216,IF(Element_Stiffness!$C$215=2,IF(7=Element_Stiffness!$C$215,Element_Stiffness!Q239,IF(7=Element_Stiffness!$E$215,Element_Stiffness!W239,0)),IF(Element_Stiffness!$E$215=2,IF(7=Element_Stiffness!$C$215,Element_Stiffness!Q245,IF(7=Element_Stiffness!$E$215,Element_Stiffness!W245,0)),0)),0)</f>
        <v/>
      </c>
      <c r="AU20" s="21">
        <f>IF(Element_Stiffness!$C$6,IF(Element_Stiffness!$C$5=2,IF(7=Element_Stiffness!$C$5,Element_Stiffness!R29,IF(7=Element_Stiffness!$E$5,Element_Stiffness!X29,0)),IF(Element_Stiffness!$E$5=2,IF(7=Element_Stiffness!$C$5,Element_Stiffness!R35,IF(7=Element_Stiffness!$E$5,Element_Stiffness!X35,0)),0)),0)+IF(Element_Stiffness!$C$41,IF(Element_Stiffness!$C$40=2,IF(7=Element_Stiffness!$C$40,Element_Stiffness!R64,IF(7=Element_Stiffness!$E$40,Element_Stiffness!X64,0)),IF(Element_Stiffness!$E$40=2,IF(7=Element_Stiffness!$C$40,Element_Stiffness!R70,IF(7=Element_Stiffness!$E$40,Element_Stiffness!X70,0)),0)),0)+IF(Element_Stiffness!$C$76,IF(Element_Stiffness!$C$75=2,IF(7=Element_Stiffness!$C$75,Element_Stiffness!R99,IF(7=Element_Stiffness!$E$75,Element_Stiffness!X99,0)),IF(Element_Stiffness!$E$75=2,IF(7=Element_Stiffness!$C$75,Element_Stiffness!R105,IF(7=Element_Stiffness!$E$75,Element_Stiffness!X105,0)),0)),0)+IF(Element_Stiffness!$C$111,IF(Element_Stiffness!$C$110=2,IF(7=Element_Stiffness!$C$110,Element_Stiffness!R134,IF(7=Element_Stiffness!$E$110,Element_Stiffness!X134,0)),IF(Element_Stiffness!$E$110=2,IF(7=Element_Stiffness!$C$110,Element_Stiffness!R140,IF(7=Element_Stiffness!$E$110,Element_Stiffness!X140,0)),0)),0)+IF(Element_Stiffness!$C$146,IF(Element_Stiffness!$C$145=2,IF(7=Element_Stiffness!$C$145,Element_Stiffness!R169,IF(7=Element_Stiffness!$E$145,Element_Stiffness!X169,0)),IF(Element_Stiffness!$E$145=2,IF(7=Element_Stiffness!$C$145,Element_Stiffness!R175,IF(7=Element_Stiffness!$E$145,Element_Stiffness!X175,0)),0)),0)+IF(Element_Stiffness!$C$181,IF(Element_Stiffness!$C$180=2,IF(7=Element_Stiffness!$C$180,Element_Stiffness!R204,IF(7=Element_Stiffness!$E$180,Element_Stiffness!X204,0)),IF(Element_Stiffness!$E$180=2,IF(7=Element_Stiffness!$C$180,Element_Stiffness!R210,IF(7=Element_Stiffness!$E$180,Element_Stiffness!X210,0)),0)),0)+IF(Element_Stiffness!$C$216,IF(Element_Stiffness!$C$215=2,IF(7=Element_Stiffness!$C$215,Element_Stiffness!R239,IF(7=Element_Stiffness!$E$215,Element_Stiffness!X239,0)),IF(Element_Stiffness!$E$215=2,IF(7=Element_Stiffness!$C$215,Element_Stiffness!R245,IF(7=Element_Stiffness!$E$215,Element_Stiffness!X245,0)),0)),0)</f>
        <v/>
      </c>
      <c r="AV20" s="21">
        <f>IF(Element_Stiffness!$C$6,IF(Element_Stiffness!$C$5=2,IF(7=Element_Stiffness!$C$5,Element_Stiffness!S29,IF(7=Element_Stiffness!$E$5,Element_Stiffness!Y29,0)),IF(Element_Stiffness!$E$5=2,IF(7=Element_Stiffness!$C$5,Element_Stiffness!S35,IF(7=Element_Stiffness!$E$5,Element_Stiffness!Y35,0)),0)),0)+IF(Element_Stiffness!$C$41,IF(Element_Stiffness!$C$40=2,IF(7=Element_Stiffness!$C$40,Element_Stiffness!S64,IF(7=Element_Stiffness!$E$40,Element_Stiffness!Y64,0)),IF(Element_Stiffness!$E$40=2,IF(7=Element_Stiffness!$C$40,Element_Stiffness!S70,IF(7=Element_Stiffness!$E$40,Element_Stiffness!Y70,0)),0)),0)+IF(Element_Stiffness!$C$76,IF(Element_Stiffness!$C$75=2,IF(7=Element_Stiffness!$C$75,Element_Stiffness!S99,IF(7=Element_Stiffness!$E$75,Element_Stiffness!Y99,0)),IF(Element_Stiffness!$E$75=2,IF(7=Element_Stiffness!$C$75,Element_Stiffness!S105,IF(7=Element_Stiffness!$E$75,Element_Stiffness!Y105,0)),0)),0)+IF(Element_Stiffness!$C$111,IF(Element_Stiffness!$C$110=2,IF(7=Element_Stiffness!$C$110,Element_Stiffness!S134,IF(7=Element_Stiffness!$E$110,Element_Stiffness!Y134,0)),IF(Element_Stiffness!$E$110=2,IF(7=Element_Stiffness!$C$110,Element_Stiffness!S140,IF(7=Element_Stiffness!$E$110,Element_Stiffness!Y140,0)),0)),0)+IF(Element_Stiffness!$C$146,IF(Element_Stiffness!$C$145=2,IF(7=Element_Stiffness!$C$145,Element_Stiffness!S169,IF(7=Element_Stiffness!$E$145,Element_Stiffness!Y169,0)),IF(Element_Stiffness!$E$145=2,IF(7=Element_Stiffness!$C$145,Element_Stiffness!S175,IF(7=Element_Stiffness!$E$145,Element_Stiffness!Y175,0)),0)),0)+IF(Element_Stiffness!$C$181,IF(Element_Stiffness!$C$180=2,IF(7=Element_Stiffness!$C$180,Element_Stiffness!S204,IF(7=Element_Stiffness!$E$180,Element_Stiffness!Y204,0)),IF(Element_Stiffness!$E$180=2,IF(7=Element_Stiffness!$C$180,Element_Stiffness!S210,IF(7=Element_Stiffness!$E$180,Element_Stiffness!Y210,0)),0)),0)+IF(Element_Stiffness!$C$216,IF(Element_Stiffness!$C$215=2,IF(7=Element_Stiffness!$C$215,Element_Stiffness!S239,IF(7=Element_Stiffness!$E$215,Element_Stiffness!Y239,0)),IF(Element_Stiffness!$E$215=2,IF(7=Element_Stiffness!$C$215,Element_Stiffness!S245,IF(7=Element_Stiffness!$E$215,Element_Stiffness!Y245,0)),0)),0)</f>
        <v/>
      </c>
      <c r="AW20" s="21">
        <f>IF(Element_Stiffness!$C$6,IF(Element_Stiffness!$C$5=2,IF(7=Element_Stiffness!$C$5,Element_Stiffness!T29,IF(7=Element_Stiffness!$E$5,Element_Stiffness!Z29,0)),IF(Element_Stiffness!$E$5=2,IF(7=Element_Stiffness!$C$5,Element_Stiffness!T35,IF(7=Element_Stiffness!$E$5,Element_Stiffness!Z35,0)),0)),0)+IF(Element_Stiffness!$C$41,IF(Element_Stiffness!$C$40=2,IF(7=Element_Stiffness!$C$40,Element_Stiffness!T64,IF(7=Element_Stiffness!$E$40,Element_Stiffness!Z64,0)),IF(Element_Stiffness!$E$40=2,IF(7=Element_Stiffness!$C$40,Element_Stiffness!T70,IF(7=Element_Stiffness!$E$40,Element_Stiffness!Z70,0)),0)),0)+IF(Element_Stiffness!$C$76,IF(Element_Stiffness!$C$75=2,IF(7=Element_Stiffness!$C$75,Element_Stiffness!T99,IF(7=Element_Stiffness!$E$75,Element_Stiffness!Z99,0)),IF(Element_Stiffness!$E$75=2,IF(7=Element_Stiffness!$C$75,Element_Stiffness!T105,IF(7=Element_Stiffness!$E$75,Element_Stiffness!Z105,0)),0)),0)+IF(Element_Stiffness!$C$111,IF(Element_Stiffness!$C$110=2,IF(7=Element_Stiffness!$C$110,Element_Stiffness!T134,IF(7=Element_Stiffness!$E$110,Element_Stiffness!Z134,0)),IF(Element_Stiffness!$E$110=2,IF(7=Element_Stiffness!$C$110,Element_Stiffness!T140,IF(7=Element_Stiffness!$E$110,Element_Stiffness!Z140,0)),0)),0)+IF(Element_Stiffness!$C$146,IF(Element_Stiffness!$C$145=2,IF(7=Element_Stiffness!$C$145,Element_Stiffness!T169,IF(7=Element_Stiffness!$E$145,Element_Stiffness!Z169,0)),IF(Element_Stiffness!$E$145=2,IF(7=Element_Stiffness!$C$145,Element_Stiffness!T175,IF(7=Element_Stiffness!$E$145,Element_Stiffness!Z175,0)),0)),0)+IF(Element_Stiffness!$C$181,IF(Element_Stiffness!$C$180=2,IF(7=Element_Stiffness!$C$180,Element_Stiffness!T204,IF(7=Element_Stiffness!$E$180,Element_Stiffness!Z204,0)),IF(Element_Stiffness!$E$180=2,IF(7=Element_Stiffness!$C$180,Element_Stiffness!T210,IF(7=Element_Stiffness!$E$180,Element_Stiffness!Z210,0)),0)),0)+IF(Element_Stiffness!$C$216,IF(Element_Stiffness!$C$215=2,IF(7=Element_Stiffness!$C$215,Element_Stiffness!T239,IF(7=Element_Stiffness!$E$215,Element_Stiffness!Z239,0)),IF(Element_Stiffness!$E$215=2,IF(7=Element_Stiffness!$C$215,Element_Stiffness!T245,IF(7=Element_Stiffness!$E$215,Element_Stiffness!Z245,0)),0)),0)</f>
        <v/>
      </c>
      <c r="AX20" s="21">
        <f>IF(Element_Stiffness!$C$6,IF(Element_Stiffness!$C$5=2,IF(7=Element_Stiffness!$C$5,Element_Stiffness!U29,IF(7=Element_Stiffness!$E$5,Element_Stiffness!AA29,0)),IF(Element_Stiffness!$E$5=2,IF(7=Element_Stiffness!$C$5,Element_Stiffness!U35,IF(7=Element_Stiffness!$E$5,Element_Stiffness!AA35,0)),0)),0)+IF(Element_Stiffness!$C$41,IF(Element_Stiffness!$C$40=2,IF(7=Element_Stiffness!$C$40,Element_Stiffness!U64,IF(7=Element_Stiffness!$E$40,Element_Stiffness!AA64,0)),IF(Element_Stiffness!$E$40=2,IF(7=Element_Stiffness!$C$40,Element_Stiffness!U70,IF(7=Element_Stiffness!$E$40,Element_Stiffness!AA70,0)),0)),0)+IF(Element_Stiffness!$C$76,IF(Element_Stiffness!$C$75=2,IF(7=Element_Stiffness!$C$75,Element_Stiffness!U99,IF(7=Element_Stiffness!$E$75,Element_Stiffness!AA99,0)),IF(Element_Stiffness!$E$75=2,IF(7=Element_Stiffness!$C$75,Element_Stiffness!U105,IF(7=Element_Stiffness!$E$75,Element_Stiffness!AA105,0)),0)),0)+IF(Element_Stiffness!$C$111,IF(Element_Stiffness!$C$110=2,IF(7=Element_Stiffness!$C$110,Element_Stiffness!U134,IF(7=Element_Stiffness!$E$110,Element_Stiffness!AA134,0)),IF(Element_Stiffness!$E$110=2,IF(7=Element_Stiffness!$C$110,Element_Stiffness!U140,IF(7=Element_Stiffness!$E$110,Element_Stiffness!AA140,0)),0)),0)+IF(Element_Stiffness!$C$146,IF(Element_Stiffness!$C$145=2,IF(7=Element_Stiffness!$C$145,Element_Stiffness!U169,IF(7=Element_Stiffness!$E$145,Element_Stiffness!AA169,0)),IF(Element_Stiffness!$E$145=2,IF(7=Element_Stiffness!$C$145,Element_Stiffness!U175,IF(7=Element_Stiffness!$E$145,Element_Stiffness!AA175,0)),0)),0)+IF(Element_Stiffness!$C$181,IF(Element_Stiffness!$C$180=2,IF(7=Element_Stiffness!$C$180,Element_Stiffness!U204,IF(7=Element_Stiffness!$E$180,Element_Stiffness!AA204,0)),IF(Element_Stiffness!$E$180=2,IF(7=Element_Stiffness!$C$180,Element_Stiffness!U210,IF(7=Element_Stiffness!$E$180,Element_Stiffness!AA210,0)),0)),0)+IF(Element_Stiffness!$C$216,IF(Element_Stiffness!$C$215=2,IF(7=Element_Stiffness!$C$215,Element_Stiffness!U239,IF(7=Element_Stiffness!$E$215,Element_Stiffness!AA239,0)),IF(Element_Stiffness!$E$215=2,IF(7=Element_Stiffness!$C$215,Element_Stiffness!U245,IF(7=Element_Stiffness!$E$215,Element_Stiffness!AA245,0)),0)),0)</f>
        <v/>
      </c>
      <c r="AY20" s="21" t="n">
        <v>0</v>
      </c>
      <c r="AZ20" s="21">
        <f>IF(Element_Stiffness!$C$6,IF(Element_Stiffness!$C$5=2,Element_Stiffness!C29,IF(Element_Stiffness!$E$5=2,Element_Stiffness!C35,0)),0)+IF(Element_Stiffness!$C$41,IF(Element_Stiffness!$C$40=2,Element_Stiffness!C64,IF(Element_Stiffness!$E$40=2,Element_Stiffness!C70,0)),0)+IF(Element_Stiffness!$C$76,IF(Element_Stiffness!$C$75=2,Element_Stiffness!C99,IF(Element_Stiffness!$E$75=2,Element_Stiffness!C105,0)),0)+IF(Element_Stiffness!$C$111,IF(Element_Stiffness!$C$110=2,Element_Stiffness!C134,IF(Element_Stiffness!$E$110=2,Element_Stiffness!C140,0)),0)+IF(Element_Stiffness!$C$146,IF(Element_Stiffness!$C$145=2,Element_Stiffness!C169,IF(Element_Stiffness!$E$145=2,Element_Stiffness!C175,0)),0)+IF(Element_Stiffness!$C$181,IF(Element_Stiffness!$C$180=2,Element_Stiffness!C204,IF(Element_Stiffness!$E$180=2,Element_Stiffness!C210,0)),0)+IF(Element_Stiffness!$C$216,IF(Element_Stiffness!$C$215=2,Element_Stiffness!C239,IF(Element_Stiffness!$E$215=2,Element_Stiffness!C245,0)),0)</f>
        <v/>
      </c>
      <c r="BB20" s="28">
        <f>INDEX(MMULT(MINVERSE(C5:AX52), AY5:AY52), 16, 1)</f>
        <v/>
      </c>
      <c r="BC20" s="28">
        <f>INDEX(MMULT(MINVERSE(C5:AX52), AZ5:AZ52), 16, 1)</f>
        <v/>
      </c>
    </row>
    <row r="21">
      <c r="B21" s="27" t="inlineStr">
        <is>
          <t>N2_ry</t>
        </is>
      </c>
      <c r="C21" s="21">
        <f>IF(Element_Stiffness!$C$6,IF(Element_Stiffness!$C$5=2,IF(0=Element_Stiffness!$C$5,Element_Stiffness!P30,IF(0=Element_Stiffness!$E$5,Element_Stiffness!V30,0)),IF(Element_Stiffness!$E$5=2,IF(0=Element_Stiffness!$C$5,Element_Stiffness!P36,IF(0=Element_Stiffness!$E$5,Element_Stiffness!V36,0)),0)),0)+IF(Element_Stiffness!$C$41,IF(Element_Stiffness!$C$40=2,IF(0=Element_Stiffness!$C$40,Element_Stiffness!P65,IF(0=Element_Stiffness!$E$40,Element_Stiffness!V65,0)),IF(Element_Stiffness!$E$40=2,IF(0=Element_Stiffness!$C$40,Element_Stiffness!P71,IF(0=Element_Stiffness!$E$40,Element_Stiffness!V71,0)),0)),0)+IF(Element_Stiffness!$C$76,IF(Element_Stiffness!$C$75=2,IF(0=Element_Stiffness!$C$75,Element_Stiffness!P100,IF(0=Element_Stiffness!$E$75,Element_Stiffness!V100,0)),IF(Element_Stiffness!$E$75=2,IF(0=Element_Stiffness!$C$75,Element_Stiffness!P106,IF(0=Element_Stiffness!$E$75,Element_Stiffness!V106,0)),0)),0)+IF(Element_Stiffness!$C$111,IF(Element_Stiffness!$C$110=2,IF(0=Element_Stiffness!$C$110,Element_Stiffness!P135,IF(0=Element_Stiffness!$E$110,Element_Stiffness!V135,0)),IF(Element_Stiffness!$E$110=2,IF(0=Element_Stiffness!$C$110,Element_Stiffness!P141,IF(0=Element_Stiffness!$E$110,Element_Stiffness!V141,0)),0)),0)+IF(Element_Stiffness!$C$146,IF(Element_Stiffness!$C$145=2,IF(0=Element_Stiffness!$C$145,Element_Stiffness!P170,IF(0=Element_Stiffness!$E$145,Element_Stiffness!V170,0)),IF(Element_Stiffness!$E$145=2,IF(0=Element_Stiffness!$C$145,Element_Stiffness!P176,IF(0=Element_Stiffness!$E$145,Element_Stiffness!V176,0)),0)),0)+IF(Element_Stiffness!$C$181,IF(Element_Stiffness!$C$180=2,IF(0=Element_Stiffness!$C$180,Element_Stiffness!P205,IF(0=Element_Stiffness!$E$180,Element_Stiffness!V205,0)),IF(Element_Stiffness!$E$180=2,IF(0=Element_Stiffness!$C$180,Element_Stiffness!P211,IF(0=Element_Stiffness!$E$180,Element_Stiffness!V211,0)),0)),0)+IF(Element_Stiffness!$C$216,IF(Element_Stiffness!$C$215=2,IF(0=Element_Stiffness!$C$215,Element_Stiffness!P240,IF(0=Element_Stiffness!$E$215,Element_Stiffness!V240,0)),IF(Element_Stiffness!$E$215=2,IF(0=Element_Stiffness!$C$215,Element_Stiffness!P246,IF(0=Element_Stiffness!$E$215,Element_Stiffness!V246,0)),0)),0)</f>
        <v/>
      </c>
      <c r="D21" s="21">
        <f>IF(Element_Stiffness!$C$6,IF(Element_Stiffness!$C$5=2,IF(0=Element_Stiffness!$C$5,Element_Stiffness!Q30,IF(0=Element_Stiffness!$E$5,Element_Stiffness!W30,0)),IF(Element_Stiffness!$E$5=2,IF(0=Element_Stiffness!$C$5,Element_Stiffness!Q36,IF(0=Element_Stiffness!$E$5,Element_Stiffness!W36,0)),0)),0)+IF(Element_Stiffness!$C$41,IF(Element_Stiffness!$C$40=2,IF(0=Element_Stiffness!$C$40,Element_Stiffness!Q65,IF(0=Element_Stiffness!$E$40,Element_Stiffness!W65,0)),IF(Element_Stiffness!$E$40=2,IF(0=Element_Stiffness!$C$40,Element_Stiffness!Q71,IF(0=Element_Stiffness!$E$40,Element_Stiffness!W71,0)),0)),0)+IF(Element_Stiffness!$C$76,IF(Element_Stiffness!$C$75=2,IF(0=Element_Stiffness!$C$75,Element_Stiffness!Q100,IF(0=Element_Stiffness!$E$75,Element_Stiffness!W100,0)),IF(Element_Stiffness!$E$75=2,IF(0=Element_Stiffness!$C$75,Element_Stiffness!Q106,IF(0=Element_Stiffness!$E$75,Element_Stiffness!W106,0)),0)),0)+IF(Element_Stiffness!$C$111,IF(Element_Stiffness!$C$110=2,IF(0=Element_Stiffness!$C$110,Element_Stiffness!Q135,IF(0=Element_Stiffness!$E$110,Element_Stiffness!W135,0)),IF(Element_Stiffness!$E$110=2,IF(0=Element_Stiffness!$C$110,Element_Stiffness!Q141,IF(0=Element_Stiffness!$E$110,Element_Stiffness!W141,0)),0)),0)+IF(Element_Stiffness!$C$146,IF(Element_Stiffness!$C$145=2,IF(0=Element_Stiffness!$C$145,Element_Stiffness!Q170,IF(0=Element_Stiffness!$E$145,Element_Stiffness!W170,0)),IF(Element_Stiffness!$E$145=2,IF(0=Element_Stiffness!$C$145,Element_Stiffness!Q176,IF(0=Element_Stiffness!$E$145,Element_Stiffness!W176,0)),0)),0)+IF(Element_Stiffness!$C$181,IF(Element_Stiffness!$C$180=2,IF(0=Element_Stiffness!$C$180,Element_Stiffness!Q205,IF(0=Element_Stiffness!$E$180,Element_Stiffness!W205,0)),IF(Element_Stiffness!$E$180=2,IF(0=Element_Stiffness!$C$180,Element_Stiffness!Q211,IF(0=Element_Stiffness!$E$180,Element_Stiffness!W211,0)),0)),0)+IF(Element_Stiffness!$C$216,IF(Element_Stiffness!$C$215=2,IF(0=Element_Stiffness!$C$215,Element_Stiffness!Q240,IF(0=Element_Stiffness!$E$215,Element_Stiffness!W240,0)),IF(Element_Stiffness!$E$215=2,IF(0=Element_Stiffness!$C$215,Element_Stiffness!Q246,IF(0=Element_Stiffness!$E$215,Element_Stiffness!W246,0)),0)),0)</f>
        <v/>
      </c>
      <c r="E21" s="21">
        <f>IF(Element_Stiffness!$C$6,IF(Element_Stiffness!$C$5=2,IF(0=Element_Stiffness!$C$5,Element_Stiffness!R30,IF(0=Element_Stiffness!$E$5,Element_Stiffness!X30,0)),IF(Element_Stiffness!$E$5=2,IF(0=Element_Stiffness!$C$5,Element_Stiffness!R36,IF(0=Element_Stiffness!$E$5,Element_Stiffness!X36,0)),0)),0)+IF(Element_Stiffness!$C$41,IF(Element_Stiffness!$C$40=2,IF(0=Element_Stiffness!$C$40,Element_Stiffness!R65,IF(0=Element_Stiffness!$E$40,Element_Stiffness!X65,0)),IF(Element_Stiffness!$E$40=2,IF(0=Element_Stiffness!$C$40,Element_Stiffness!R71,IF(0=Element_Stiffness!$E$40,Element_Stiffness!X71,0)),0)),0)+IF(Element_Stiffness!$C$76,IF(Element_Stiffness!$C$75=2,IF(0=Element_Stiffness!$C$75,Element_Stiffness!R100,IF(0=Element_Stiffness!$E$75,Element_Stiffness!X100,0)),IF(Element_Stiffness!$E$75=2,IF(0=Element_Stiffness!$C$75,Element_Stiffness!R106,IF(0=Element_Stiffness!$E$75,Element_Stiffness!X106,0)),0)),0)+IF(Element_Stiffness!$C$111,IF(Element_Stiffness!$C$110=2,IF(0=Element_Stiffness!$C$110,Element_Stiffness!R135,IF(0=Element_Stiffness!$E$110,Element_Stiffness!X135,0)),IF(Element_Stiffness!$E$110=2,IF(0=Element_Stiffness!$C$110,Element_Stiffness!R141,IF(0=Element_Stiffness!$E$110,Element_Stiffness!X141,0)),0)),0)+IF(Element_Stiffness!$C$146,IF(Element_Stiffness!$C$145=2,IF(0=Element_Stiffness!$C$145,Element_Stiffness!R170,IF(0=Element_Stiffness!$E$145,Element_Stiffness!X170,0)),IF(Element_Stiffness!$E$145=2,IF(0=Element_Stiffness!$C$145,Element_Stiffness!R176,IF(0=Element_Stiffness!$E$145,Element_Stiffness!X176,0)),0)),0)+IF(Element_Stiffness!$C$181,IF(Element_Stiffness!$C$180=2,IF(0=Element_Stiffness!$C$180,Element_Stiffness!R205,IF(0=Element_Stiffness!$E$180,Element_Stiffness!X205,0)),IF(Element_Stiffness!$E$180=2,IF(0=Element_Stiffness!$C$180,Element_Stiffness!R211,IF(0=Element_Stiffness!$E$180,Element_Stiffness!X211,0)),0)),0)+IF(Element_Stiffness!$C$216,IF(Element_Stiffness!$C$215=2,IF(0=Element_Stiffness!$C$215,Element_Stiffness!R240,IF(0=Element_Stiffness!$E$215,Element_Stiffness!X240,0)),IF(Element_Stiffness!$E$215=2,IF(0=Element_Stiffness!$C$215,Element_Stiffness!R246,IF(0=Element_Stiffness!$E$215,Element_Stiffness!X246,0)),0)),0)</f>
        <v/>
      </c>
      <c r="F21" s="21">
        <f>IF(Element_Stiffness!$C$6,IF(Element_Stiffness!$C$5=2,IF(0=Element_Stiffness!$C$5,Element_Stiffness!S30,IF(0=Element_Stiffness!$E$5,Element_Stiffness!Y30,0)),IF(Element_Stiffness!$E$5=2,IF(0=Element_Stiffness!$C$5,Element_Stiffness!S36,IF(0=Element_Stiffness!$E$5,Element_Stiffness!Y36,0)),0)),0)+IF(Element_Stiffness!$C$41,IF(Element_Stiffness!$C$40=2,IF(0=Element_Stiffness!$C$40,Element_Stiffness!S65,IF(0=Element_Stiffness!$E$40,Element_Stiffness!Y65,0)),IF(Element_Stiffness!$E$40=2,IF(0=Element_Stiffness!$C$40,Element_Stiffness!S71,IF(0=Element_Stiffness!$E$40,Element_Stiffness!Y71,0)),0)),0)+IF(Element_Stiffness!$C$76,IF(Element_Stiffness!$C$75=2,IF(0=Element_Stiffness!$C$75,Element_Stiffness!S100,IF(0=Element_Stiffness!$E$75,Element_Stiffness!Y100,0)),IF(Element_Stiffness!$E$75=2,IF(0=Element_Stiffness!$C$75,Element_Stiffness!S106,IF(0=Element_Stiffness!$E$75,Element_Stiffness!Y106,0)),0)),0)+IF(Element_Stiffness!$C$111,IF(Element_Stiffness!$C$110=2,IF(0=Element_Stiffness!$C$110,Element_Stiffness!S135,IF(0=Element_Stiffness!$E$110,Element_Stiffness!Y135,0)),IF(Element_Stiffness!$E$110=2,IF(0=Element_Stiffness!$C$110,Element_Stiffness!S141,IF(0=Element_Stiffness!$E$110,Element_Stiffness!Y141,0)),0)),0)+IF(Element_Stiffness!$C$146,IF(Element_Stiffness!$C$145=2,IF(0=Element_Stiffness!$C$145,Element_Stiffness!S170,IF(0=Element_Stiffness!$E$145,Element_Stiffness!Y170,0)),IF(Element_Stiffness!$E$145=2,IF(0=Element_Stiffness!$C$145,Element_Stiffness!S176,IF(0=Element_Stiffness!$E$145,Element_Stiffness!Y176,0)),0)),0)+IF(Element_Stiffness!$C$181,IF(Element_Stiffness!$C$180=2,IF(0=Element_Stiffness!$C$180,Element_Stiffness!S205,IF(0=Element_Stiffness!$E$180,Element_Stiffness!Y205,0)),IF(Element_Stiffness!$E$180=2,IF(0=Element_Stiffness!$C$180,Element_Stiffness!S211,IF(0=Element_Stiffness!$E$180,Element_Stiffness!Y211,0)),0)),0)+IF(Element_Stiffness!$C$216,IF(Element_Stiffness!$C$215=2,IF(0=Element_Stiffness!$C$215,Element_Stiffness!S240,IF(0=Element_Stiffness!$E$215,Element_Stiffness!Y240,0)),IF(Element_Stiffness!$E$215=2,IF(0=Element_Stiffness!$C$215,Element_Stiffness!S246,IF(0=Element_Stiffness!$E$215,Element_Stiffness!Y246,0)),0)),0)</f>
        <v/>
      </c>
      <c r="G21" s="21">
        <f>IF(Element_Stiffness!$C$6,IF(Element_Stiffness!$C$5=2,IF(0=Element_Stiffness!$C$5,Element_Stiffness!T30,IF(0=Element_Stiffness!$E$5,Element_Stiffness!Z30,0)),IF(Element_Stiffness!$E$5=2,IF(0=Element_Stiffness!$C$5,Element_Stiffness!T36,IF(0=Element_Stiffness!$E$5,Element_Stiffness!Z36,0)),0)),0)+IF(Element_Stiffness!$C$41,IF(Element_Stiffness!$C$40=2,IF(0=Element_Stiffness!$C$40,Element_Stiffness!T65,IF(0=Element_Stiffness!$E$40,Element_Stiffness!Z65,0)),IF(Element_Stiffness!$E$40=2,IF(0=Element_Stiffness!$C$40,Element_Stiffness!T71,IF(0=Element_Stiffness!$E$40,Element_Stiffness!Z71,0)),0)),0)+IF(Element_Stiffness!$C$76,IF(Element_Stiffness!$C$75=2,IF(0=Element_Stiffness!$C$75,Element_Stiffness!T100,IF(0=Element_Stiffness!$E$75,Element_Stiffness!Z100,0)),IF(Element_Stiffness!$E$75=2,IF(0=Element_Stiffness!$C$75,Element_Stiffness!T106,IF(0=Element_Stiffness!$E$75,Element_Stiffness!Z106,0)),0)),0)+IF(Element_Stiffness!$C$111,IF(Element_Stiffness!$C$110=2,IF(0=Element_Stiffness!$C$110,Element_Stiffness!T135,IF(0=Element_Stiffness!$E$110,Element_Stiffness!Z135,0)),IF(Element_Stiffness!$E$110=2,IF(0=Element_Stiffness!$C$110,Element_Stiffness!T141,IF(0=Element_Stiffness!$E$110,Element_Stiffness!Z141,0)),0)),0)+IF(Element_Stiffness!$C$146,IF(Element_Stiffness!$C$145=2,IF(0=Element_Stiffness!$C$145,Element_Stiffness!T170,IF(0=Element_Stiffness!$E$145,Element_Stiffness!Z170,0)),IF(Element_Stiffness!$E$145=2,IF(0=Element_Stiffness!$C$145,Element_Stiffness!T176,IF(0=Element_Stiffness!$E$145,Element_Stiffness!Z176,0)),0)),0)+IF(Element_Stiffness!$C$181,IF(Element_Stiffness!$C$180=2,IF(0=Element_Stiffness!$C$180,Element_Stiffness!T205,IF(0=Element_Stiffness!$E$180,Element_Stiffness!Z205,0)),IF(Element_Stiffness!$E$180=2,IF(0=Element_Stiffness!$C$180,Element_Stiffness!T211,IF(0=Element_Stiffness!$E$180,Element_Stiffness!Z211,0)),0)),0)+IF(Element_Stiffness!$C$216,IF(Element_Stiffness!$C$215=2,IF(0=Element_Stiffness!$C$215,Element_Stiffness!T240,IF(0=Element_Stiffness!$E$215,Element_Stiffness!Z240,0)),IF(Element_Stiffness!$E$215=2,IF(0=Element_Stiffness!$C$215,Element_Stiffness!T246,IF(0=Element_Stiffness!$E$215,Element_Stiffness!Z246,0)),0)),0)</f>
        <v/>
      </c>
      <c r="H21" s="21">
        <f>IF(Element_Stiffness!$C$6,IF(Element_Stiffness!$C$5=2,IF(0=Element_Stiffness!$C$5,Element_Stiffness!U30,IF(0=Element_Stiffness!$E$5,Element_Stiffness!AA30,0)),IF(Element_Stiffness!$E$5=2,IF(0=Element_Stiffness!$C$5,Element_Stiffness!U36,IF(0=Element_Stiffness!$E$5,Element_Stiffness!AA36,0)),0)),0)+IF(Element_Stiffness!$C$41,IF(Element_Stiffness!$C$40=2,IF(0=Element_Stiffness!$C$40,Element_Stiffness!U65,IF(0=Element_Stiffness!$E$40,Element_Stiffness!AA65,0)),IF(Element_Stiffness!$E$40=2,IF(0=Element_Stiffness!$C$40,Element_Stiffness!U71,IF(0=Element_Stiffness!$E$40,Element_Stiffness!AA71,0)),0)),0)+IF(Element_Stiffness!$C$76,IF(Element_Stiffness!$C$75=2,IF(0=Element_Stiffness!$C$75,Element_Stiffness!U100,IF(0=Element_Stiffness!$E$75,Element_Stiffness!AA100,0)),IF(Element_Stiffness!$E$75=2,IF(0=Element_Stiffness!$C$75,Element_Stiffness!U106,IF(0=Element_Stiffness!$E$75,Element_Stiffness!AA106,0)),0)),0)+IF(Element_Stiffness!$C$111,IF(Element_Stiffness!$C$110=2,IF(0=Element_Stiffness!$C$110,Element_Stiffness!U135,IF(0=Element_Stiffness!$E$110,Element_Stiffness!AA135,0)),IF(Element_Stiffness!$E$110=2,IF(0=Element_Stiffness!$C$110,Element_Stiffness!U141,IF(0=Element_Stiffness!$E$110,Element_Stiffness!AA141,0)),0)),0)+IF(Element_Stiffness!$C$146,IF(Element_Stiffness!$C$145=2,IF(0=Element_Stiffness!$C$145,Element_Stiffness!U170,IF(0=Element_Stiffness!$E$145,Element_Stiffness!AA170,0)),IF(Element_Stiffness!$E$145=2,IF(0=Element_Stiffness!$C$145,Element_Stiffness!U176,IF(0=Element_Stiffness!$E$145,Element_Stiffness!AA176,0)),0)),0)+IF(Element_Stiffness!$C$181,IF(Element_Stiffness!$C$180=2,IF(0=Element_Stiffness!$C$180,Element_Stiffness!U205,IF(0=Element_Stiffness!$E$180,Element_Stiffness!AA205,0)),IF(Element_Stiffness!$E$180=2,IF(0=Element_Stiffness!$C$180,Element_Stiffness!U211,IF(0=Element_Stiffness!$E$180,Element_Stiffness!AA211,0)),0)),0)+IF(Element_Stiffness!$C$216,IF(Element_Stiffness!$C$215=2,IF(0=Element_Stiffness!$C$215,Element_Stiffness!U240,IF(0=Element_Stiffness!$E$215,Element_Stiffness!AA240,0)),IF(Element_Stiffness!$E$215=2,IF(0=Element_Stiffness!$C$215,Element_Stiffness!U246,IF(0=Element_Stiffness!$E$215,Element_Stiffness!AA246,0)),0)),0)</f>
        <v/>
      </c>
      <c r="I21" s="21">
        <f>IF(Element_Stiffness!$C$6,IF(Element_Stiffness!$C$5=2,IF(1=Element_Stiffness!$C$5,Element_Stiffness!P30,IF(1=Element_Stiffness!$E$5,Element_Stiffness!V30,0)),IF(Element_Stiffness!$E$5=2,IF(1=Element_Stiffness!$C$5,Element_Stiffness!P36,IF(1=Element_Stiffness!$E$5,Element_Stiffness!V36,0)),0)),0)+IF(Element_Stiffness!$C$41,IF(Element_Stiffness!$C$40=2,IF(1=Element_Stiffness!$C$40,Element_Stiffness!P65,IF(1=Element_Stiffness!$E$40,Element_Stiffness!V65,0)),IF(Element_Stiffness!$E$40=2,IF(1=Element_Stiffness!$C$40,Element_Stiffness!P71,IF(1=Element_Stiffness!$E$40,Element_Stiffness!V71,0)),0)),0)+IF(Element_Stiffness!$C$76,IF(Element_Stiffness!$C$75=2,IF(1=Element_Stiffness!$C$75,Element_Stiffness!P100,IF(1=Element_Stiffness!$E$75,Element_Stiffness!V100,0)),IF(Element_Stiffness!$E$75=2,IF(1=Element_Stiffness!$C$75,Element_Stiffness!P106,IF(1=Element_Stiffness!$E$75,Element_Stiffness!V106,0)),0)),0)+IF(Element_Stiffness!$C$111,IF(Element_Stiffness!$C$110=2,IF(1=Element_Stiffness!$C$110,Element_Stiffness!P135,IF(1=Element_Stiffness!$E$110,Element_Stiffness!V135,0)),IF(Element_Stiffness!$E$110=2,IF(1=Element_Stiffness!$C$110,Element_Stiffness!P141,IF(1=Element_Stiffness!$E$110,Element_Stiffness!V141,0)),0)),0)+IF(Element_Stiffness!$C$146,IF(Element_Stiffness!$C$145=2,IF(1=Element_Stiffness!$C$145,Element_Stiffness!P170,IF(1=Element_Stiffness!$E$145,Element_Stiffness!V170,0)),IF(Element_Stiffness!$E$145=2,IF(1=Element_Stiffness!$C$145,Element_Stiffness!P176,IF(1=Element_Stiffness!$E$145,Element_Stiffness!V176,0)),0)),0)+IF(Element_Stiffness!$C$181,IF(Element_Stiffness!$C$180=2,IF(1=Element_Stiffness!$C$180,Element_Stiffness!P205,IF(1=Element_Stiffness!$E$180,Element_Stiffness!V205,0)),IF(Element_Stiffness!$E$180=2,IF(1=Element_Stiffness!$C$180,Element_Stiffness!P211,IF(1=Element_Stiffness!$E$180,Element_Stiffness!V211,0)),0)),0)+IF(Element_Stiffness!$C$216,IF(Element_Stiffness!$C$215=2,IF(1=Element_Stiffness!$C$215,Element_Stiffness!P240,IF(1=Element_Stiffness!$E$215,Element_Stiffness!V240,0)),IF(Element_Stiffness!$E$215=2,IF(1=Element_Stiffness!$C$215,Element_Stiffness!P246,IF(1=Element_Stiffness!$E$215,Element_Stiffness!V246,0)),0)),0)</f>
        <v/>
      </c>
      <c r="J21" s="21">
        <f>IF(Element_Stiffness!$C$6,IF(Element_Stiffness!$C$5=2,IF(1=Element_Stiffness!$C$5,Element_Stiffness!Q30,IF(1=Element_Stiffness!$E$5,Element_Stiffness!W30,0)),IF(Element_Stiffness!$E$5=2,IF(1=Element_Stiffness!$C$5,Element_Stiffness!Q36,IF(1=Element_Stiffness!$E$5,Element_Stiffness!W36,0)),0)),0)+IF(Element_Stiffness!$C$41,IF(Element_Stiffness!$C$40=2,IF(1=Element_Stiffness!$C$40,Element_Stiffness!Q65,IF(1=Element_Stiffness!$E$40,Element_Stiffness!W65,0)),IF(Element_Stiffness!$E$40=2,IF(1=Element_Stiffness!$C$40,Element_Stiffness!Q71,IF(1=Element_Stiffness!$E$40,Element_Stiffness!W71,0)),0)),0)+IF(Element_Stiffness!$C$76,IF(Element_Stiffness!$C$75=2,IF(1=Element_Stiffness!$C$75,Element_Stiffness!Q100,IF(1=Element_Stiffness!$E$75,Element_Stiffness!W100,0)),IF(Element_Stiffness!$E$75=2,IF(1=Element_Stiffness!$C$75,Element_Stiffness!Q106,IF(1=Element_Stiffness!$E$75,Element_Stiffness!W106,0)),0)),0)+IF(Element_Stiffness!$C$111,IF(Element_Stiffness!$C$110=2,IF(1=Element_Stiffness!$C$110,Element_Stiffness!Q135,IF(1=Element_Stiffness!$E$110,Element_Stiffness!W135,0)),IF(Element_Stiffness!$E$110=2,IF(1=Element_Stiffness!$C$110,Element_Stiffness!Q141,IF(1=Element_Stiffness!$E$110,Element_Stiffness!W141,0)),0)),0)+IF(Element_Stiffness!$C$146,IF(Element_Stiffness!$C$145=2,IF(1=Element_Stiffness!$C$145,Element_Stiffness!Q170,IF(1=Element_Stiffness!$E$145,Element_Stiffness!W170,0)),IF(Element_Stiffness!$E$145=2,IF(1=Element_Stiffness!$C$145,Element_Stiffness!Q176,IF(1=Element_Stiffness!$E$145,Element_Stiffness!W176,0)),0)),0)+IF(Element_Stiffness!$C$181,IF(Element_Stiffness!$C$180=2,IF(1=Element_Stiffness!$C$180,Element_Stiffness!Q205,IF(1=Element_Stiffness!$E$180,Element_Stiffness!W205,0)),IF(Element_Stiffness!$E$180=2,IF(1=Element_Stiffness!$C$180,Element_Stiffness!Q211,IF(1=Element_Stiffness!$E$180,Element_Stiffness!W211,0)),0)),0)+IF(Element_Stiffness!$C$216,IF(Element_Stiffness!$C$215=2,IF(1=Element_Stiffness!$C$215,Element_Stiffness!Q240,IF(1=Element_Stiffness!$E$215,Element_Stiffness!W240,0)),IF(Element_Stiffness!$E$215=2,IF(1=Element_Stiffness!$C$215,Element_Stiffness!Q246,IF(1=Element_Stiffness!$E$215,Element_Stiffness!W246,0)),0)),0)</f>
        <v/>
      </c>
      <c r="K21" s="21">
        <f>IF(Element_Stiffness!$C$6,IF(Element_Stiffness!$C$5=2,IF(1=Element_Stiffness!$C$5,Element_Stiffness!R30,IF(1=Element_Stiffness!$E$5,Element_Stiffness!X30,0)),IF(Element_Stiffness!$E$5=2,IF(1=Element_Stiffness!$C$5,Element_Stiffness!R36,IF(1=Element_Stiffness!$E$5,Element_Stiffness!X36,0)),0)),0)+IF(Element_Stiffness!$C$41,IF(Element_Stiffness!$C$40=2,IF(1=Element_Stiffness!$C$40,Element_Stiffness!R65,IF(1=Element_Stiffness!$E$40,Element_Stiffness!X65,0)),IF(Element_Stiffness!$E$40=2,IF(1=Element_Stiffness!$C$40,Element_Stiffness!R71,IF(1=Element_Stiffness!$E$40,Element_Stiffness!X71,0)),0)),0)+IF(Element_Stiffness!$C$76,IF(Element_Stiffness!$C$75=2,IF(1=Element_Stiffness!$C$75,Element_Stiffness!R100,IF(1=Element_Stiffness!$E$75,Element_Stiffness!X100,0)),IF(Element_Stiffness!$E$75=2,IF(1=Element_Stiffness!$C$75,Element_Stiffness!R106,IF(1=Element_Stiffness!$E$75,Element_Stiffness!X106,0)),0)),0)+IF(Element_Stiffness!$C$111,IF(Element_Stiffness!$C$110=2,IF(1=Element_Stiffness!$C$110,Element_Stiffness!R135,IF(1=Element_Stiffness!$E$110,Element_Stiffness!X135,0)),IF(Element_Stiffness!$E$110=2,IF(1=Element_Stiffness!$C$110,Element_Stiffness!R141,IF(1=Element_Stiffness!$E$110,Element_Stiffness!X141,0)),0)),0)+IF(Element_Stiffness!$C$146,IF(Element_Stiffness!$C$145=2,IF(1=Element_Stiffness!$C$145,Element_Stiffness!R170,IF(1=Element_Stiffness!$E$145,Element_Stiffness!X170,0)),IF(Element_Stiffness!$E$145=2,IF(1=Element_Stiffness!$C$145,Element_Stiffness!R176,IF(1=Element_Stiffness!$E$145,Element_Stiffness!X176,0)),0)),0)+IF(Element_Stiffness!$C$181,IF(Element_Stiffness!$C$180=2,IF(1=Element_Stiffness!$C$180,Element_Stiffness!R205,IF(1=Element_Stiffness!$E$180,Element_Stiffness!X205,0)),IF(Element_Stiffness!$E$180=2,IF(1=Element_Stiffness!$C$180,Element_Stiffness!R211,IF(1=Element_Stiffness!$E$180,Element_Stiffness!X211,0)),0)),0)+IF(Element_Stiffness!$C$216,IF(Element_Stiffness!$C$215=2,IF(1=Element_Stiffness!$C$215,Element_Stiffness!R240,IF(1=Element_Stiffness!$E$215,Element_Stiffness!X240,0)),IF(Element_Stiffness!$E$215=2,IF(1=Element_Stiffness!$C$215,Element_Stiffness!R246,IF(1=Element_Stiffness!$E$215,Element_Stiffness!X246,0)),0)),0)</f>
        <v/>
      </c>
      <c r="L21" s="21">
        <f>IF(Element_Stiffness!$C$6,IF(Element_Stiffness!$C$5=2,IF(1=Element_Stiffness!$C$5,Element_Stiffness!S30,IF(1=Element_Stiffness!$E$5,Element_Stiffness!Y30,0)),IF(Element_Stiffness!$E$5=2,IF(1=Element_Stiffness!$C$5,Element_Stiffness!S36,IF(1=Element_Stiffness!$E$5,Element_Stiffness!Y36,0)),0)),0)+IF(Element_Stiffness!$C$41,IF(Element_Stiffness!$C$40=2,IF(1=Element_Stiffness!$C$40,Element_Stiffness!S65,IF(1=Element_Stiffness!$E$40,Element_Stiffness!Y65,0)),IF(Element_Stiffness!$E$40=2,IF(1=Element_Stiffness!$C$40,Element_Stiffness!S71,IF(1=Element_Stiffness!$E$40,Element_Stiffness!Y71,0)),0)),0)+IF(Element_Stiffness!$C$76,IF(Element_Stiffness!$C$75=2,IF(1=Element_Stiffness!$C$75,Element_Stiffness!S100,IF(1=Element_Stiffness!$E$75,Element_Stiffness!Y100,0)),IF(Element_Stiffness!$E$75=2,IF(1=Element_Stiffness!$C$75,Element_Stiffness!S106,IF(1=Element_Stiffness!$E$75,Element_Stiffness!Y106,0)),0)),0)+IF(Element_Stiffness!$C$111,IF(Element_Stiffness!$C$110=2,IF(1=Element_Stiffness!$C$110,Element_Stiffness!S135,IF(1=Element_Stiffness!$E$110,Element_Stiffness!Y135,0)),IF(Element_Stiffness!$E$110=2,IF(1=Element_Stiffness!$C$110,Element_Stiffness!S141,IF(1=Element_Stiffness!$E$110,Element_Stiffness!Y141,0)),0)),0)+IF(Element_Stiffness!$C$146,IF(Element_Stiffness!$C$145=2,IF(1=Element_Stiffness!$C$145,Element_Stiffness!S170,IF(1=Element_Stiffness!$E$145,Element_Stiffness!Y170,0)),IF(Element_Stiffness!$E$145=2,IF(1=Element_Stiffness!$C$145,Element_Stiffness!S176,IF(1=Element_Stiffness!$E$145,Element_Stiffness!Y176,0)),0)),0)+IF(Element_Stiffness!$C$181,IF(Element_Stiffness!$C$180=2,IF(1=Element_Stiffness!$C$180,Element_Stiffness!S205,IF(1=Element_Stiffness!$E$180,Element_Stiffness!Y205,0)),IF(Element_Stiffness!$E$180=2,IF(1=Element_Stiffness!$C$180,Element_Stiffness!S211,IF(1=Element_Stiffness!$E$180,Element_Stiffness!Y211,0)),0)),0)+IF(Element_Stiffness!$C$216,IF(Element_Stiffness!$C$215=2,IF(1=Element_Stiffness!$C$215,Element_Stiffness!S240,IF(1=Element_Stiffness!$E$215,Element_Stiffness!Y240,0)),IF(Element_Stiffness!$E$215=2,IF(1=Element_Stiffness!$C$215,Element_Stiffness!S246,IF(1=Element_Stiffness!$E$215,Element_Stiffness!Y246,0)),0)),0)</f>
        <v/>
      </c>
      <c r="M21" s="21">
        <f>IF(Element_Stiffness!$C$6,IF(Element_Stiffness!$C$5=2,IF(1=Element_Stiffness!$C$5,Element_Stiffness!T30,IF(1=Element_Stiffness!$E$5,Element_Stiffness!Z30,0)),IF(Element_Stiffness!$E$5=2,IF(1=Element_Stiffness!$C$5,Element_Stiffness!T36,IF(1=Element_Stiffness!$E$5,Element_Stiffness!Z36,0)),0)),0)+IF(Element_Stiffness!$C$41,IF(Element_Stiffness!$C$40=2,IF(1=Element_Stiffness!$C$40,Element_Stiffness!T65,IF(1=Element_Stiffness!$E$40,Element_Stiffness!Z65,0)),IF(Element_Stiffness!$E$40=2,IF(1=Element_Stiffness!$C$40,Element_Stiffness!T71,IF(1=Element_Stiffness!$E$40,Element_Stiffness!Z71,0)),0)),0)+IF(Element_Stiffness!$C$76,IF(Element_Stiffness!$C$75=2,IF(1=Element_Stiffness!$C$75,Element_Stiffness!T100,IF(1=Element_Stiffness!$E$75,Element_Stiffness!Z100,0)),IF(Element_Stiffness!$E$75=2,IF(1=Element_Stiffness!$C$75,Element_Stiffness!T106,IF(1=Element_Stiffness!$E$75,Element_Stiffness!Z106,0)),0)),0)+IF(Element_Stiffness!$C$111,IF(Element_Stiffness!$C$110=2,IF(1=Element_Stiffness!$C$110,Element_Stiffness!T135,IF(1=Element_Stiffness!$E$110,Element_Stiffness!Z135,0)),IF(Element_Stiffness!$E$110=2,IF(1=Element_Stiffness!$C$110,Element_Stiffness!T141,IF(1=Element_Stiffness!$E$110,Element_Stiffness!Z141,0)),0)),0)+IF(Element_Stiffness!$C$146,IF(Element_Stiffness!$C$145=2,IF(1=Element_Stiffness!$C$145,Element_Stiffness!T170,IF(1=Element_Stiffness!$E$145,Element_Stiffness!Z170,0)),IF(Element_Stiffness!$E$145=2,IF(1=Element_Stiffness!$C$145,Element_Stiffness!T176,IF(1=Element_Stiffness!$E$145,Element_Stiffness!Z176,0)),0)),0)+IF(Element_Stiffness!$C$181,IF(Element_Stiffness!$C$180=2,IF(1=Element_Stiffness!$C$180,Element_Stiffness!T205,IF(1=Element_Stiffness!$E$180,Element_Stiffness!Z205,0)),IF(Element_Stiffness!$E$180=2,IF(1=Element_Stiffness!$C$180,Element_Stiffness!T211,IF(1=Element_Stiffness!$E$180,Element_Stiffness!Z211,0)),0)),0)+IF(Element_Stiffness!$C$216,IF(Element_Stiffness!$C$215=2,IF(1=Element_Stiffness!$C$215,Element_Stiffness!T240,IF(1=Element_Stiffness!$E$215,Element_Stiffness!Z240,0)),IF(Element_Stiffness!$E$215=2,IF(1=Element_Stiffness!$C$215,Element_Stiffness!T246,IF(1=Element_Stiffness!$E$215,Element_Stiffness!Z246,0)),0)),0)</f>
        <v/>
      </c>
      <c r="N21" s="21">
        <f>IF(Element_Stiffness!$C$6,IF(Element_Stiffness!$C$5=2,IF(1=Element_Stiffness!$C$5,Element_Stiffness!U30,IF(1=Element_Stiffness!$E$5,Element_Stiffness!AA30,0)),IF(Element_Stiffness!$E$5=2,IF(1=Element_Stiffness!$C$5,Element_Stiffness!U36,IF(1=Element_Stiffness!$E$5,Element_Stiffness!AA36,0)),0)),0)+IF(Element_Stiffness!$C$41,IF(Element_Stiffness!$C$40=2,IF(1=Element_Stiffness!$C$40,Element_Stiffness!U65,IF(1=Element_Stiffness!$E$40,Element_Stiffness!AA65,0)),IF(Element_Stiffness!$E$40=2,IF(1=Element_Stiffness!$C$40,Element_Stiffness!U71,IF(1=Element_Stiffness!$E$40,Element_Stiffness!AA71,0)),0)),0)+IF(Element_Stiffness!$C$76,IF(Element_Stiffness!$C$75=2,IF(1=Element_Stiffness!$C$75,Element_Stiffness!U100,IF(1=Element_Stiffness!$E$75,Element_Stiffness!AA100,0)),IF(Element_Stiffness!$E$75=2,IF(1=Element_Stiffness!$C$75,Element_Stiffness!U106,IF(1=Element_Stiffness!$E$75,Element_Stiffness!AA106,0)),0)),0)+IF(Element_Stiffness!$C$111,IF(Element_Stiffness!$C$110=2,IF(1=Element_Stiffness!$C$110,Element_Stiffness!U135,IF(1=Element_Stiffness!$E$110,Element_Stiffness!AA135,0)),IF(Element_Stiffness!$E$110=2,IF(1=Element_Stiffness!$C$110,Element_Stiffness!U141,IF(1=Element_Stiffness!$E$110,Element_Stiffness!AA141,0)),0)),0)+IF(Element_Stiffness!$C$146,IF(Element_Stiffness!$C$145=2,IF(1=Element_Stiffness!$C$145,Element_Stiffness!U170,IF(1=Element_Stiffness!$E$145,Element_Stiffness!AA170,0)),IF(Element_Stiffness!$E$145=2,IF(1=Element_Stiffness!$C$145,Element_Stiffness!U176,IF(1=Element_Stiffness!$E$145,Element_Stiffness!AA176,0)),0)),0)+IF(Element_Stiffness!$C$181,IF(Element_Stiffness!$C$180=2,IF(1=Element_Stiffness!$C$180,Element_Stiffness!U205,IF(1=Element_Stiffness!$E$180,Element_Stiffness!AA205,0)),IF(Element_Stiffness!$E$180=2,IF(1=Element_Stiffness!$C$180,Element_Stiffness!U211,IF(1=Element_Stiffness!$E$180,Element_Stiffness!AA211,0)),0)),0)+IF(Element_Stiffness!$C$216,IF(Element_Stiffness!$C$215=2,IF(1=Element_Stiffness!$C$215,Element_Stiffness!U240,IF(1=Element_Stiffness!$E$215,Element_Stiffness!AA240,0)),IF(Element_Stiffness!$E$215=2,IF(1=Element_Stiffness!$C$215,Element_Stiffness!U246,IF(1=Element_Stiffness!$E$215,Element_Stiffness!AA246,0)),0)),0)</f>
        <v/>
      </c>
      <c r="O21" s="21">
        <f>IF(Element_Stiffness!$C$6,IF(Element_Stiffness!$C$5=2,IF(2=Element_Stiffness!$C$5,Element_Stiffness!P30,IF(2=Element_Stiffness!$E$5,Element_Stiffness!V30,0)),IF(Element_Stiffness!$E$5=2,IF(2=Element_Stiffness!$C$5,Element_Stiffness!P36,IF(2=Element_Stiffness!$E$5,Element_Stiffness!V36,0)),0)),0)+IF(Element_Stiffness!$C$41,IF(Element_Stiffness!$C$40=2,IF(2=Element_Stiffness!$C$40,Element_Stiffness!P65,IF(2=Element_Stiffness!$E$40,Element_Stiffness!V65,0)),IF(Element_Stiffness!$E$40=2,IF(2=Element_Stiffness!$C$40,Element_Stiffness!P71,IF(2=Element_Stiffness!$E$40,Element_Stiffness!V71,0)),0)),0)+IF(Element_Stiffness!$C$76,IF(Element_Stiffness!$C$75=2,IF(2=Element_Stiffness!$C$75,Element_Stiffness!P100,IF(2=Element_Stiffness!$E$75,Element_Stiffness!V100,0)),IF(Element_Stiffness!$E$75=2,IF(2=Element_Stiffness!$C$75,Element_Stiffness!P106,IF(2=Element_Stiffness!$E$75,Element_Stiffness!V106,0)),0)),0)+IF(Element_Stiffness!$C$111,IF(Element_Stiffness!$C$110=2,IF(2=Element_Stiffness!$C$110,Element_Stiffness!P135,IF(2=Element_Stiffness!$E$110,Element_Stiffness!V135,0)),IF(Element_Stiffness!$E$110=2,IF(2=Element_Stiffness!$C$110,Element_Stiffness!P141,IF(2=Element_Stiffness!$E$110,Element_Stiffness!V141,0)),0)),0)+IF(Element_Stiffness!$C$146,IF(Element_Stiffness!$C$145=2,IF(2=Element_Stiffness!$C$145,Element_Stiffness!P170,IF(2=Element_Stiffness!$E$145,Element_Stiffness!V170,0)),IF(Element_Stiffness!$E$145=2,IF(2=Element_Stiffness!$C$145,Element_Stiffness!P176,IF(2=Element_Stiffness!$E$145,Element_Stiffness!V176,0)),0)),0)+IF(Element_Stiffness!$C$181,IF(Element_Stiffness!$C$180=2,IF(2=Element_Stiffness!$C$180,Element_Stiffness!P205,IF(2=Element_Stiffness!$E$180,Element_Stiffness!V205,0)),IF(Element_Stiffness!$E$180=2,IF(2=Element_Stiffness!$C$180,Element_Stiffness!P211,IF(2=Element_Stiffness!$E$180,Element_Stiffness!V211,0)),0)),0)+IF(Element_Stiffness!$C$216,IF(Element_Stiffness!$C$215=2,IF(2=Element_Stiffness!$C$215,Element_Stiffness!P240,IF(2=Element_Stiffness!$E$215,Element_Stiffness!V240,0)),IF(Element_Stiffness!$E$215=2,IF(2=Element_Stiffness!$C$215,Element_Stiffness!P246,IF(2=Element_Stiffness!$E$215,Element_Stiffness!V246,0)),0)),0)</f>
        <v/>
      </c>
      <c r="P21" s="21">
        <f>IF(Element_Stiffness!$C$6,IF(Element_Stiffness!$C$5=2,IF(2=Element_Stiffness!$C$5,Element_Stiffness!Q30,IF(2=Element_Stiffness!$E$5,Element_Stiffness!W30,0)),IF(Element_Stiffness!$E$5=2,IF(2=Element_Stiffness!$C$5,Element_Stiffness!Q36,IF(2=Element_Stiffness!$E$5,Element_Stiffness!W36,0)),0)),0)+IF(Element_Stiffness!$C$41,IF(Element_Stiffness!$C$40=2,IF(2=Element_Stiffness!$C$40,Element_Stiffness!Q65,IF(2=Element_Stiffness!$E$40,Element_Stiffness!W65,0)),IF(Element_Stiffness!$E$40=2,IF(2=Element_Stiffness!$C$40,Element_Stiffness!Q71,IF(2=Element_Stiffness!$E$40,Element_Stiffness!W71,0)),0)),0)+IF(Element_Stiffness!$C$76,IF(Element_Stiffness!$C$75=2,IF(2=Element_Stiffness!$C$75,Element_Stiffness!Q100,IF(2=Element_Stiffness!$E$75,Element_Stiffness!W100,0)),IF(Element_Stiffness!$E$75=2,IF(2=Element_Stiffness!$C$75,Element_Stiffness!Q106,IF(2=Element_Stiffness!$E$75,Element_Stiffness!W106,0)),0)),0)+IF(Element_Stiffness!$C$111,IF(Element_Stiffness!$C$110=2,IF(2=Element_Stiffness!$C$110,Element_Stiffness!Q135,IF(2=Element_Stiffness!$E$110,Element_Stiffness!W135,0)),IF(Element_Stiffness!$E$110=2,IF(2=Element_Stiffness!$C$110,Element_Stiffness!Q141,IF(2=Element_Stiffness!$E$110,Element_Stiffness!W141,0)),0)),0)+IF(Element_Stiffness!$C$146,IF(Element_Stiffness!$C$145=2,IF(2=Element_Stiffness!$C$145,Element_Stiffness!Q170,IF(2=Element_Stiffness!$E$145,Element_Stiffness!W170,0)),IF(Element_Stiffness!$E$145=2,IF(2=Element_Stiffness!$C$145,Element_Stiffness!Q176,IF(2=Element_Stiffness!$E$145,Element_Stiffness!W176,0)),0)),0)+IF(Element_Stiffness!$C$181,IF(Element_Stiffness!$C$180=2,IF(2=Element_Stiffness!$C$180,Element_Stiffness!Q205,IF(2=Element_Stiffness!$E$180,Element_Stiffness!W205,0)),IF(Element_Stiffness!$E$180=2,IF(2=Element_Stiffness!$C$180,Element_Stiffness!Q211,IF(2=Element_Stiffness!$E$180,Element_Stiffness!W211,0)),0)),0)+IF(Element_Stiffness!$C$216,IF(Element_Stiffness!$C$215=2,IF(2=Element_Stiffness!$C$215,Element_Stiffness!Q240,IF(2=Element_Stiffness!$E$215,Element_Stiffness!W240,0)),IF(Element_Stiffness!$E$215=2,IF(2=Element_Stiffness!$C$215,Element_Stiffness!Q246,IF(2=Element_Stiffness!$E$215,Element_Stiffness!W246,0)),0)),0)</f>
        <v/>
      </c>
      <c r="Q21" s="21">
        <f>IF(Element_Stiffness!$C$6,IF(Element_Stiffness!$C$5=2,IF(2=Element_Stiffness!$C$5,Element_Stiffness!R30,IF(2=Element_Stiffness!$E$5,Element_Stiffness!X30,0)),IF(Element_Stiffness!$E$5=2,IF(2=Element_Stiffness!$C$5,Element_Stiffness!R36,IF(2=Element_Stiffness!$E$5,Element_Stiffness!X36,0)),0)),0)+IF(Element_Stiffness!$C$41,IF(Element_Stiffness!$C$40=2,IF(2=Element_Stiffness!$C$40,Element_Stiffness!R65,IF(2=Element_Stiffness!$E$40,Element_Stiffness!X65,0)),IF(Element_Stiffness!$E$40=2,IF(2=Element_Stiffness!$C$40,Element_Stiffness!R71,IF(2=Element_Stiffness!$E$40,Element_Stiffness!X71,0)),0)),0)+IF(Element_Stiffness!$C$76,IF(Element_Stiffness!$C$75=2,IF(2=Element_Stiffness!$C$75,Element_Stiffness!R100,IF(2=Element_Stiffness!$E$75,Element_Stiffness!X100,0)),IF(Element_Stiffness!$E$75=2,IF(2=Element_Stiffness!$C$75,Element_Stiffness!R106,IF(2=Element_Stiffness!$E$75,Element_Stiffness!X106,0)),0)),0)+IF(Element_Stiffness!$C$111,IF(Element_Stiffness!$C$110=2,IF(2=Element_Stiffness!$C$110,Element_Stiffness!R135,IF(2=Element_Stiffness!$E$110,Element_Stiffness!X135,0)),IF(Element_Stiffness!$E$110=2,IF(2=Element_Stiffness!$C$110,Element_Stiffness!R141,IF(2=Element_Stiffness!$E$110,Element_Stiffness!X141,0)),0)),0)+IF(Element_Stiffness!$C$146,IF(Element_Stiffness!$C$145=2,IF(2=Element_Stiffness!$C$145,Element_Stiffness!R170,IF(2=Element_Stiffness!$E$145,Element_Stiffness!X170,0)),IF(Element_Stiffness!$E$145=2,IF(2=Element_Stiffness!$C$145,Element_Stiffness!R176,IF(2=Element_Stiffness!$E$145,Element_Stiffness!X176,0)),0)),0)+IF(Element_Stiffness!$C$181,IF(Element_Stiffness!$C$180=2,IF(2=Element_Stiffness!$C$180,Element_Stiffness!R205,IF(2=Element_Stiffness!$E$180,Element_Stiffness!X205,0)),IF(Element_Stiffness!$E$180=2,IF(2=Element_Stiffness!$C$180,Element_Stiffness!R211,IF(2=Element_Stiffness!$E$180,Element_Stiffness!X211,0)),0)),0)+IF(Element_Stiffness!$C$216,IF(Element_Stiffness!$C$215=2,IF(2=Element_Stiffness!$C$215,Element_Stiffness!R240,IF(2=Element_Stiffness!$E$215,Element_Stiffness!X240,0)),IF(Element_Stiffness!$E$215=2,IF(2=Element_Stiffness!$C$215,Element_Stiffness!R246,IF(2=Element_Stiffness!$E$215,Element_Stiffness!X246,0)),0)),0)</f>
        <v/>
      </c>
      <c r="R21" s="21">
        <f>IF(Element_Stiffness!$C$6,IF(Element_Stiffness!$C$5=2,IF(2=Element_Stiffness!$C$5,Element_Stiffness!S30,IF(2=Element_Stiffness!$E$5,Element_Stiffness!Y30,0)),IF(Element_Stiffness!$E$5=2,IF(2=Element_Stiffness!$C$5,Element_Stiffness!S36,IF(2=Element_Stiffness!$E$5,Element_Stiffness!Y36,0)),0)),0)+IF(Element_Stiffness!$C$41,IF(Element_Stiffness!$C$40=2,IF(2=Element_Stiffness!$C$40,Element_Stiffness!S65,IF(2=Element_Stiffness!$E$40,Element_Stiffness!Y65,0)),IF(Element_Stiffness!$E$40=2,IF(2=Element_Stiffness!$C$40,Element_Stiffness!S71,IF(2=Element_Stiffness!$E$40,Element_Stiffness!Y71,0)),0)),0)+IF(Element_Stiffness!$C$76,IF(Element_Stiffness!$C$75=2,IF(2=Element_Stiffness!$C$75,Element_Stiffness!S100,IF(2=Element_Stiffness!$E$75,Element_Stiffness!Y100,0)),IF(Element_Stiffness!$E$75=2,IF(2=Element_Stiffness!$C$75,Element_Stiffness!S106,IF(2=Element_Stiffness!$E$75,Element_Stiffness!Y106,0)),0)),0)+IF(Element_Stiffness!$C$111,IF(Element_Stiffness!$C$110=2,IF(2=Element_Stiffness!$C$110,Element_Stiffness!S135,IF(2=Element_Stiffness!$E$110,Element_Stiffness!Y135,0)),IF(Element_Stiffness!$E$110=2,IF(2=Element_Stiffness!$C$110,Element_Stiffness!S141,IF(2=Element_Stiffness!$E$110,Element_Stiffness!Y141,0)),0)),0)+IF(Element_Stiffness!$C$146,IF(Element_Stiffness!$C$145=2,IF(2=Element_Stiffness!$C$145,Element_Stiffness!S170,IF(2=Element_Stiffness!$E$145,Element_Stiffness!Y170,0)),IF(Element_Stiffness!$E$145=2,IF(2=Element_Stiffness!$C$145,Element_Stiffness!S176,IF(2=Element_Stiffness!$E$145,Element_Stiffness!Y176,0)),0)),0)+IF(Element_Stiffness!$C$181,IF(Element_Stiffness!$C$180=2,IF(2=Element_Stiffness!$C$180,Element_Stiffness!S205,IF(2=Element_Stiffness!$E$180,Element_Stiffness!Y205,0)),IF(Element_Stiffness!$E$180=2,IF(2=Element_Stiffness!$C$180,Element_Stiffness!S211,IF(2=Element_Stiffness!$E$180,Element_Stiffness!Y211,0)),0)),0)+IF(Element_Stiffness!$C$216,IF(Element_Stiffness!$C$215=2,IF(2=Element_Stiffness!$C$215,Element_Stiffness!S240,IF(2=Element_Stiffness!$E$215,Element_Stiffness!Y240,0)),IF(Element_Stiffness!$E$215=2,IF(2=Element_Stiffness!$C$215,Element_Stiffness!S246,IF(2=Element_Stiffness!$E$215,Element_Stiffness!Y246,0)),0)),0)</f>
        <v/>
      </c>
      <c r="S21" s="21">
        <f>IF(Element_Stiffness!$C$6,IF(Element_Stiffness!$C$5=2,IF(2=Element_Stiffness!$C$5,Element_Stiffness!T30,IF(2=Element_Stiffness!$E$5,Element_Stiffness!Z30,0)),IF(Element_Stiffness!$E$5=2,IF(2=Element_Stiffness!$C$5,Element_Stiffness!T36,IF(2=Element_Stiffness!$E$5,Element_Stiffness!Z36,0)),0)),0)+IF(Element_Stiffness!$C$41,IF(Element_Stiffness!$C$40=2,IF(2=Element_Stiffness!$C$40,Element_Stiffness!T65,IF(2=Element_Stiffness!$E$40,Element_Stiffness!Z65,0)),IF(Element_Stiffness!$E$40=2,IF(2=Element_Stiffness!$C$40,Element_Stiffness!T71,IF(2=Element_Stiffness!$E$40,Element_Stiffness!Z71,0)),0)),0)+IF(Element_Stiffness!$C$76,IF(Element_Stiffness!$C$75=2,IF(2=Element_Stiffness!$C$75,Element_Stiffness!T100,IF(2=Element_Stiffness!$E$75,Element_Stiffness!Z100,0)),IF(Element_Stiffness!$E$75=2,IF(2=Element_Stiffness!$C$75,Element_Stiffness!T106,IF(2=Element_Stiffness!$E$75,Element_Stiffness!Z106,0)),0)),0)+IF(Element_Stiffness!$C$111,IF(Element_Stiffness!$C$110=2,IF(2=Element_Stiffness!$C$110,Element_Stiffness!T135,IF(2=Element_Stiffness!$E$110,Element_Stiffness!Z135,0)),IF(Element_Stiffness!$E$110=2,IF(2=Element_Stiffness!$C$110,Element_Stiffness!T141,IF(2=Element_Stiffness!$E$110,Element_Stiffness!Z141,0)),0)),0)+IF(Element_Stiffness!$C$146,IF(Element_Stiffness!$C$145=2,IF(2=Element_Stiffness!$C$145,Element_Stiffness!T170,IF(2=Element_Stiffness!$E$145,Element_Stiffness!Z170,0)),IF(Element_Stiffness!$E$145=2,IF(2=Element_Stiffness!$C$145,Element_Stiffness!T176,IF(2=Element_Stiffness!$E$145,Element_Stiffness!Z176,0)),0)),0)+IF(Element_Stiffness!$C$181,IF(Element_Stiffness!$C$180=2,IF(2=Element_Stiffness!$C$180,Element_Stiffness!T205,IF(2=Element_Stiffness!$E$180,Element_Stiffness!Z205,0)),IF(Element_Stiffness!$E$180=2,IF(2=Element_Stiffness!$C$180,Element_Stiffness!T211,IF(2=Element_Stiffness!$E$180,Element_Stiffness!Z211,0)),0)),0)+IF(Element_Stiffness!$C$216,IF(Element_Stiffness!$C$215=2,IF(2=Element_Stiffness!$C$215,Element_Stiffness!T240,IF(2=Element_Stiffness!$E$215,Element_Stiffness!Z240,0)),IF(Element_Stiffness!$E$215=2,IF(2=Element_Stiffness!$C$215,Element_Stiffness!T246,IF(2=Element_Stiffness!$E$215,Element_Stiffness!Z246,0)),0)),0)+IF(Inputs!G42=TRUE,1E15,IF(ISNUMBER(Inputs!G42),Inputs!G42,0))</f>
        <v/>
      </c>
      <c r="T21" s="21">
        <f>IF(Element_Stiffness!$C$6,IF(Element_Stiffness!$C$5=2,IF(2=Element_Stiffness!$C$5,Element_Stiffness!U30,IF(2=Element_Stiffness!$E$5,Element_Stiffness!AA30,0)),IF(Element_Stiffness!$E$5=2,IF(2=Element_Stiffness!$C$5,Element_Stiffness!U36,IF(2=Element_Stiffness!$E$5,Element_Stiffness!AA36,0)),0)),0)+IF(Element_Stiffness!$C$41,IF(Element_Stiffness!$C$40=2,IF(2=Element_Stiffness!$C$40,Element_Stiffness!U65,IF(2=Element_Stiffness!$E$40,Element_Stiffness!AA65,0)),IF(Element_Stiffness!$E$40=2,IF(2=Element_Stiffness!$C$40,Element_Stiffness!U71,IF(2=Element_Stiffness!$E$40,Element_Stiffness!AA71,0)),0)),0)+IF(Element_Stiffness!$C$76,IF(Element_Stiffness!$C$75=2,IF(2=Element_Stiffness!$C$75,Element_Stiffness!U100,IF(2=Element_Stiffness!$E$75,Element_Stiffness!AA100,0)),IF(Element_Stiffness!$E$75=2,IF(2=Element_Stiffness!$C$75,Element_Stiffness!U106,IF(2=Element_Stiffness!$E$75,Element_Stiffness!AA106,0)),0)),0)+IF(Element_Stiffness!$C$111,IF(Element_Stiffness!$C$110=2,IF(2=Element_Stiffness!$C$110,Element_Stiffness!U135,IF(2=Element_Stiffness!$E$110,Element_Stiffness!AA135,0)),IF(Element_Stiffness!$E$110=2,IF(2=Element_Stiffness!$C$110,Element_Stiffness!U141,IF(2=Element_Stiffness!$E$110,Element_Stiffness!AA141,0)),0)),0)+IF(Element_Stiffness!$C$146,IF(Element_Stiffness!$C$145=2,IF(2=Element_Stiffness!$C$145,Element_Stiffness!U170,IF(2=Element_Stiffness!$E$145,Element_Stiffness!AA170,0)),IF(Element_Stiffness!$E$145=2,IF(2=Element_Stiffness!$C$145,Element_Stiffness!U176,IF(2=Element_Stiffness!$E$145,Element_Stiffness!AA176,0)),0)),0)+IF(Element_Stiffness!$C$181,IF(Element_Stiffness!$C$180=2,IF(2=Element_Stiffness!$C$180,Element_Stiffness!U205,IF(2=Element_Stiffness!$E$180,Element_Stiffness!AA205,0)),IF(Element_Stiffness!$E$180=2,IF(2=Element_Stiffness!$C$180,Element_Stiffness!U211,IF(2=Element_Stiffness!$E$180,Element_Stiffness!AA211,0)),0)),0)+IF(Element_Stiffness!$C$216,IF(Element_Stiffness!$C$215=2,IF(2=Element_Stiffness!$C$215,Element_Stiffness!U240,IF(2=Element_Stiffness!$E$215,Element_Stiffness!AA240,0)),IF(Element_Stiffness!$E$215=2,IF(2=Element_Stiffness!$C$215,Element_Stiffness!U246,IF(2=Element_Stiffness!$E$215,Element_Stiffness!AA246,0)),0)),0)</f>
        <v/>
      </c>
      <c r="U21" s="21">
        <f>IF(Element_Stiffness!$C$6,IF(Element_Stiffness!$C$5=2,IF(3=Element_Stiffness!$C$5,Element_Stiffness!P30,IF(3=Element_Stiffness!$E$5,Element_Stiffness!V30,0)),IF(Element_Stiffness!$E$5=2,IF(3=Element_Stiffness!$C$5,Element_Stiffness!P36,IF(3=Element_Stiffness!$E$5,Element_Stiffness!V36,0)),0)),0)+IF(Element_Stiffness!$C$41,IF(Element_Stiffness!$C$40=2,IF(3=Element_Stiffness!$C$40,Element_Stiffness!P65,IF(3=Element_Stiffness!$E$40,Element_Stiffness!V65,0)),IF(Element_Stiffness!$E$40=2,IF(3=Element_Stiffness!$C$40,Element_Stiffness!P71,IF(3=Element_Stiffness!$E$40,Element_Stiffness!V71,0)),0)),0)+IF(Element_Stiffness!$C$76,IF(Element_Stiffness!$C$75=2,IF(3=Element_Stiffness!$C$75,Element_Stiffness!P100,IF(3=Element_Stiffness!$E$75,Element_Stiffness!V100,0)),IF(Element_Stiffness!$E$75=2,IF(3=Element_Stiffness!$C$75,Element_Stiffness!P106,IF(3=Element_Stiffness!$E$75,Element_Stiffness!V106,0)),0)),0)+IF(Element_Stiffness!$C$111,IF(Element_Stiffness!$C$110=2,IF(3=Element_Stiffness!$C$110,Element_Stiffness!P135,IF(3=Element_Stiffness!$E$110,Element_Stiffness!V135,0)),IF(Element_Stiffness!$E$110=2,IF(3=Element_Stiffness!$C$110,Element_Stiffness!P141,IF(3=Element_Stiffness!$E$110,Element_Stiffness!V141,0)),0)),0)+IF(Element_Stiffness!$C$146,IF(Element_Stiffness!$C$145=2,IF(3=Element_Stiffness!$C$145,Element_Stiffness!P170,IF(3=Element_Stiffness!$E$145,Element_Stiffness!V170,0)),IF(Element_Stiffness!$E$145=2,IF(3=Element_Stiffness!$C$145,Element_Stiffness!P176,IF(3=Element_Stiffness!$E$145,Element_Stiffness!V176,0)),0)),0)+IF(Element_Stiffness!$C$181,IF(Element_Stiffness!$C$180=2,IF(3=Element_Stiffness!$C$180,Element_Stiffness!P205,IF(3=Element_Stiffness!$E$180,Element_Stiffness!V205,0)),IF(Element_Stiffness!$E$180=2,IF(3=Element_Stiffness!$C$180,Element_Stiffness!P211,IF(3=Element_Stiffness!$E$180,Element_Stiffness!V211,0)),0)),0)+IF(Element_Stiffness!$C$216,IF(Element_Stiffness!$C$215=2,IF(3=Element_Stiffness!$C$215,Element_Stiffness!P240,IF(3=Element_Stiffness!$E$215,Element_Stiffness!V240,0)),IF(Element_Stiffness!$E$215=2,IF(3=Element_Stiffness!$C$215,Element_Stiffness!P246,IF(3=Element_Stiffness!$E$215,Element_Stiffness!V246,0)),0)),0)</f>
        <v/>
      </c>
      <c r="V21" s="21">
        <f>IF(Element_Stiffness!$C$6,IF(Element_Stiffness!$C$5=2,IF(3=Element_Stiffness!$C$5,Element_Stiffness!Q30,IF(3=Element_Stiffness!$E$5,Element_Stiffness!W30,0)),IF(Element_Stiffness!$E$5=2,IF(3=Element_Stiffness!$C$5,Element_Stiffness!Q36,IF(3=Element_Stiffness!$E$5,Element_Stiffness!W36,0)),0)),0)+IF(Element_Stiffness!$C$41,IF(Element_Stiffness!$C$40=2,IF(3=Element_Stiffness!$C$40,Element_Stiffness!Q65,IF(3=Element_Stiffness!$E$40,Element_Stiffness!W65,0)),IF(Element_Stiffness!$E$40=2,IF(3=Element_Stiffness!$C$40,Element_Stiffness!Q71,IF(3=Element_Stiffness!$E$40,Element_Stiffness!W71,0)),0)),0)+IF(Element_Stiffness!$C$76,IF(Element_Stiffness!$C$75=2,IF(3=Element_Stiffness!$C$75,Element_Stiffness!Q100,IF(3=Element_Stiffness!$E$75,Element_Stiffness!W100,0)),IF(Element_Stiffness!$E$75=2,IF(3=Element_Stiffness!$C$75,Element_Stiffness!Q106,IF(3=Element_Stiffness!$E$75,Element_Stiffness!W106,0)),0)),0)+IF(Element_Stiffness!$C$111,IF(Element_Stiffness!$C$110=2,IF(3=Element_Stiffness!$C$110,Element_Stiffness!Q135,IF(3=Element_Stiffness!$E$110,Element_Stiffness!W135,0)),IF(Element_Stiffness!$E$110=2,IF(3=Element_Stiffness!$C$110,Element_Stiffness!Q141,IF(3=Element_Stiffness!$E$110,Element_Stiffness!W141,0)),0)),0)+IF(Element_Stiffness!$C$146,IF(Element_Stiffness!$C$145=2,IF(3=Element_Stiffness!$C$145,Element_Stiffness!Q170,IF(3=Element_Stiffness!$E$145,Element_Stiffness!W170,0)),IF(Element_Stiffness!$E$145=2,IF(3=Element_Stiffness!$C$145,Element_Stiffness!Q176,IF(3=Element_Stiffness!$E$145,Element_Stiffness!W176,0)),0)),0)+IF(Element_Stiffness!$C$181,IF(Element_Stiffness!$C$180=2,IF(3=Element_Stiffness!$C$180,Element_Stiffness!Q205,IF(3=Element_Stiffness!$E$180,Element_Stiffness!W205,0)),IF(Element_Stiffness!$E$180=2,IF(3=Element_Stiffness!$C$180,Element_Stiffness!Q211,IF(3=Element_Stiffness!$E$180,Element_Stiffness!W211,0)),0)),0)+IF(Element_Stiffness!$C$216,IF(Element_Stiffness!$C$215=2,IF(3=Element_Stiffness!$C$215,Element_Stiffness!Q240,IF(3=Element_Stiffness!$E$215,Element_Stiffness!W240,0)),IF(Element_Stiffness!$E$215=2,IF(3=Element_Stiffness!$C$215,Element_Stiffness!Q246,IF(3=Element_Stiffness!$E$215,Element_Stiffness!W246,0)),0)),0)</f>
        <v/>
      </c>
      <c r="W21" s="21">
        <f>IF(Element_Stiffness!$C$6,IF(Element_Stiffness!$C$5=2,IF(3=Element_Stiffness!$C$5,Element_Stiffness!R30,IF(3=Element_Stiffness!$E$5,Element_Stiffness!X30,0)),IF(Element_Stiffness!$E$5=2,IF(3=Element_Stiffness!$C$5,Element_Stiffness!R36,IF(3=Element_Stiffness!$E$5,Element_Stiffness!X36,0)),0)),0)+IF(Element_Stiffness!$C$41,IF(Element_Stiffness!$C$40=2,IF(3=Element_Stiffness!$C$40,Element_Stiffness!R65,IF(3=Element_Stiffness!$E$40,Element_Stiffness!X65,0)),IF(Element_Stiffness!$E$40=2,IF(3=Element_Stiffness!$C$40,Element_Stiffness!R71,IF(3=Element_Stiffness!$E$40,Element_Stiffness!X71,0)),0)),0)+IF(Element_Stiffness!$C$76,IF(Element_Stiffness!$C$75=2,IF(3=Element_Stiffness!$C$75,Element_Stiffness!R100,IF(3=Element_Stiffness!$E$75,Element_Stiffness!X100,0)),IF(Element_Stiffness!$E$75=2,IF(3=Element_Stiffness!$C$75,Element_Stiffness!R106,IF(3=Element_Stiffness!$E$75,Element_Stiffness!X106,0)),0)),0)+IF(Element_Stiffness!$C$111,IF(Element_Stiffness!$C$110=2,IF(3=Element_Stiffness!$C$110,Element_Stiffness!R135,IF(3=Element_Stiffness!$E$110,Element_Stiffness!X135,0)),IF(Element_Stiffness!$E$110=2,IF(3=Element_Stiffness!$C$110,Element_Stiffness!R141,IF(3=Element_Stiffness!$E$110,Element_Stiffness!X141,0)),0)),0)+IF(Element_Stiffness!$C$146,IF(Element_Stiffness!$C$145=2,IF(3=Element_Stiffness!$C$145,Element_Stiffness!R170,IF(3=Element_Stiffness!$E$145,Element_Stiffness!X170,0)),IF(Element_Stiffness!$E$145=2,IF(3=Element_Stiffness!$C$145,Element_Stiffness!R176,IF(3=Element_Stiffness!$E$145,Element_Stiffness!X176,0)),0)),0)+IF(Element_Stiffness!$C$181,IF(Element_Stiffness!$C$180=2,IF(3=Element_Stiffness!$C$180,Element_Stiffness!R205,IF(3=Element_Stiffness!$E$180,Element_Stiffness!X205,0)),IF(Element_Stiffness!$E$180=2,IF(3=Element_Stiffness!$C$180,Element_Stiffness!R211,IF(3=Element_Stiffness!$E$180,Element_Stiffness!X211,0)),0)),0)+IF(Element_Stiffness!$C$216,IF(Element_Stiffness!$C$215=2,IF(3=Element_Stiffness!$C$215,Element_Stiffness!R240,IF(3=Element_Stiffness!$E$215,Element_Stiffness!X240,0)),IF(Element_Stiffness!$E$215=2,IF(3=Element_Stiffness!$C$215,Element_Stiffness!R246,IF(3=Element_Stiffness!$E$215,Element_Stiffness!X246,0)),0)),0)</f>
        <v/>
      </c>
      <c r="X21" s="21">
        <f>IF(Element_Stiffness!$C$6,IF(Element_Stiffness!$C$5=2,IF(3=Element_Stiffness!$C$5,Element_Stiffness!S30,IF(3=Element_Stiffness!$E$5,Element_Stiffness!Y30,0)),IF(Element_Stiffness!$E$5=2,IF(3=Element_Stiffness!$C$5,Element_Stiffness!S36,IF(3=Element_Stiffness!$E$5,Element_Stiffness!Y36,0)),0)),0)+IF(Element_Stiffness!$C$41,IF(Element_Stiffness!$C$40=2,IF(3=Element_Stiffness!$C$40,Element_Stiffness!S65,IF(3=Element_Stiffness!$E$40,Element_Stiffness!Y65,0)),IF(Element_Stiffness!$E$40=2,IF(3=Element_Stiffness!$C$40,Element_Stiffness!S71,IF(3=Element_Stiffness!$E$40,Element_Stiffness!Y71,0)),0)),0)+IF(Element_Stiffness!$C$76,IF(Element_Stiffness!$C$75=2,IF(3=Element_Stiffness!$C$75,Element_Stiffness!S100,IF(3=Element_Stiffness!$E$75,Element_Stiffness!Y100,0)),IF(Element_Stiffness!$E$75=2,IF(3=Element_Stiffness!$C$75,Element_Stiffness!S106,IF(3=Element_Stiffness!$E$75,Element_Stiffness!Y106,0)),0)),0)+IF(Element_Stiffness!$C$111,IF(Element_Stiffness!$C$110=2,IF(3=Element_Stiffness!$C$110,Element_Stiffness!S135,IF(3=Element_Stiffness!$E$110,Element_Stiffness!Y135,0)),IF(Element_Stiffness!$E$110=2,IF(3=Element_Stiffness!$C$110,Element_Stiffness!S141,IF(3=Element_Stiffness!$E$110,Element_Stiffness!Y141,0)),0)),0)+IF(Element_Stiffness!$C$146,IF(Element_Stiffness!$C$145=2,IF(3=Element_Stiffness!$C$145,Element_Stiffness!S170,IF(3=Element_Stiffness!$E$145,Element_Stiffness!Y170,0)),IF(Element_Stiffness!$E$145=2,IF(3=Element_Stiffness!$C$145,Element_Stiffness!S176,IF(3=Element_Stiffness!$E$145,Element_Stiffness!Y176,0)),0)),0)+IF(Element_Stiffness!$C$181,IF(Element_Stiffness!$C$180=2,IF(3=Element_Stiffness!$C$180,Element_Stiffness!S205,IF(3=Element_Stiffness!$E$180,Element_Stiffness!Y205,0)),IF(Element_Stiffness!$E$180=2,IF(3=Element_Stiffness!$C$180,Element_Stiffness!S211,IF(3=Element_Stiffness!$E$180,Element_Stiffness!Y211,0)),0)),0)+IF(Element_Stiffness!$C$216,IF(Element_Stiffness!$C$215=2,IF(3=Element_Stiffness!$C$215,Element_Stiffness!S240,IF(3=Element_Stiffness!$E$215,Element_Stiffness!Y240,0)),IF(Element_Stiffness!$E$215=2,IF(3=Element_Stiffness!$C$215,Element_Stiffness!S246,IF(3=Element_Stiffness!$E$215,Element_Stiffness!Y246,0)),0)),0)</f>
        <v/>
      </c>
      <c r="Y21" s="21">
        <f>IF(Element_Stiffness!$C$6,IF(Element_Stiffness!$C$5=2,IF(3=Element_Stiffness!$C$5,Element_Stiffness!T30,IF(3=Element_Stiffness!$E$5,Element_Stiffness!Z30,0)),IF(Element_Stiffness!$E$5=2,IF(3=Element_Stiffness!$C$5,Element_Stiffness!T36,IF(3=Element_Stiffness!$E$5,Element_Stiffness!Z36,0)),0)),0)+IF(Element_Stiffness!$C$41,IF(Element_Stiffness!$C$40=2,IF(3=Element_Stiffness!$C$40,Element_Stiffness!T65,IF(3=Element_Stiffness!$E$40,Element_Stiffness!Z65,0)),IF(Element_Stiffness!$E$40=2,IF(3=Element_Stiffness!$C$40,Element_Stiffness!T71,IF(3=Element_Stiffness!$E$40,Element_Stiffness!Z71,0)),0)),0)+IF(Element_Stiffness!$C$76,IF(Element_Stiffness!$C$75=2,IF(3=Element_Stiffness!$C$75,Element_Stiffness!T100,IF(3=Element_Stiffness!$E$75,Element_Stiffness!Z100,0)),IF(Element_Stiffness!$E$75=2,IF(3=Element_Stiffness!$C$75,Element_Stiffness!T106,IF(3=Element_Stiffness!$E$75,Element_Stiffness!Z106,0)),0)),0)+IF(Element_Stiffness!$C$111,IF(Element_Stiffness!$C$110=2,IF(3=Element_Stiffness!$C$110,Element_Stiffness!T135,IF(3=Element_Stiffness!$E$110,Element_Stiffness!Z135,0)),IF(Element_Stiffness!$E$110=2,IF(3=Element_Stiffness!$C$110,Element_Stiffness!T141,IF(3=Element_Stiffness!$E$110,Element_Stiffness!Z141,0)),0)),0)+IF(Element_Stiffness!$C$146,IF(Element_Stiffness!$C$145=2,IF(3=Element_Stiffness!$C$145,Element_Stiffness!T170,IF(3=Element_Stiffness!$E$145,Element_Stiffness!Z170,0)),IF(Element_Stiffness!$E$145=2,IF(3=Element_Stiffness!$C$145,Element_Stiffness!T176,IF(3=Element_Stiffness!$E$145,Element_Stiffness!Z176,0)),0)),0)+IF(Element_Stiffness!$C$181,IF(Element_Stiffness!$C$180=2,IF(3=Element_Stiffness!$C$180,Element_Stiffness!T205,IF(3=Element_Stiffness!$E$180,Element_Stiffness!Z205,0)),IF(Element_Stiffness!$E$180=2,IF(3=Element_Stiffness!$C$180,Element_Stiffness!T211,IF(3=Element_Stiffness!$E$180,Element_Stiffness!Z211,0)),0)),0)+IF(Element_Stiffness!$C$216,IF(Element_Stiffness!$C$215=2,IF(3=Element_Stiffness!$C$215,Element_Stiffness!T240,IF(3=Element_Stiffness!$E$215,Element_Stiffness!Z240,0)),IF(Element_Stiffness!$E$215=2,IF(3=Element_Stiffness!$C$215,Element_Stiffness!T246,IF(3=Element_Stiffness!$E$215,Element_Stiffness!Z246,0)),0)),0)</f>
        <v/>
      </c>
      <c r="Z21" s="21">
        <f>IF(Element_Stiffness!$C$6,IF(Element_Stiffness!$C$5=2,IF(3=Element_Stiffness!$C$5,Element_Stiffness!U30,IF(3=Element_Stiffness!$E$5,Element_Stiffness!AA30,0)),IF(Element_Stiffness!$E$5=2,IF(3=Element_Stiffness!$C$5,Element_Stiffness!U36,IF(3=Element_Stiffness!$E$5,Element_Stiffness!AA36,0)),0)),0)+IF(Element_Stiffness!$C$41,IF(Element_Stiffness!$C$40=2,IF(3=Element_Stiffness!$C$40,Element_Stiffness!U65,IF(3=Element_Stiffness!$E$40,Element_Stiffness!AA65,0)),IF(Element_Stiffness!$E$40=2,IF(3=Element_Stiffness!$C$40,Element_Stiffness!U71,IF(3=Element_Stiffness!$E$40,Element_Stiffness!AA71,0)),0)),0)+IF(Element_Stiffness!$C$76,IF(Element_Stiffness!$C$75=2,IF(3=Element_Stiffness!$C$75,Element_Stiffness!U100,IF(3=Element_Stiffness!$E$75,Element_Stiffness!AA100,0)),IF(Element_Stiffness!$E$75=2,IF(3=Element_Stiffness!$C$75,Element_Stiffness!U106,IF(3=Element_Stiffness!$E$75,Element_Stiffness!AA106,0)),0)),0)+IF(Element_Stiffness!$C$111,IF(Element_Stiffness!$C$110=2,IF(3=Element_Stiffness!$C$110,Element_Stiffness!U135,IF(3=Element_Stiffness!$E$110,Element_Stiffness!AA135,0)),IF(Element_Stiffness!$E$110=2,IF(3=Element_Stiffness!$C$110,Element_Stiffness!U141,IF(3=Element_Stiffness!$E$110,Element_Stiffness!AA141,0)),0)),0)+IF(Element_Stiffness!$C$146,IF(Element_Stiffness!$C$145=2,IF(3=Element_Stiffness!$C$145,Element_Stiffness!U170,IF(3=Element_Stiffness!$E$145,Element_Stiffness!AA170,0)),IF(Element_Stiffness!$E$145=2,IF(3=Element_Stiffness!$C$145,Element_Stiffness!U176,IF(3=Element_Stiffness!$E$145,Element_Stiffness!AA176,0)),0)),0)+IF(Element_Stiffness!$C$181,IF(Element_Stiffness!$C$180=2,IF(3=Element_Stiffness!$C$180,Element_Stiffness!U205,IF(3=Element_Stiffness!$E$180,Element_Stiffness!AA205,0)),IF(Element_Stiffness!$E$180=2,IF(3=Element_Stiffness!$C$180,Element_Stiffness!U211,IF(3=Element_Stiffness!$E$180,Element_Stiffness!AA211,0)),0)),0)+IF(Element_Stiffness!$C$216,IF(Element_Stiffness!$C$215=2,IF(3=Element_Stiffness!$C$215,Element_Stiffness!U240,IF(3=Element_Stiffness!$E$215,Element_Stiffness!AA240,0)),IF(Element_Stiffness!$E$215=2,IF(3=Element_Stiffness!$C$215,Element_Stiffness!U246,IF(3=Element_Stiffness!$E$215,Element_Stiffness!AA246,0)),0)),0)</f>
        <v/>
      </c>
      <c r="AA21" s="21">
        <f>IF(Element_Stiffness!$C$6,IF(Element_Stiffness!$C$5=2,IF(4=Element_Stiffness!$C$5,Element_Stiffness!P30,IF(4=Element_Stiffness!$E$5,Element_Stiffness!V30,0)),IF(Element_Stiffness!$E$5=2,IF(4=Element_Stiffness!$C$5,Element_Stiffness!P36,IF(4=Element_Stiffness!$E$5,Element_Stiffness!V36,0)),0)),0)+IF(Element_Stiffness!$C$41,IF(Element_Stiffness!$C$40=2,IF(4=Element_Stiffness!$C$40,Element_Stiffness!P65,IF(4=Element_Stiffness!$E$40,Element_Stiffness!V65,0)),IF(Element_Stiffness!$E$40=2,IF(4=Element_Stiffness!$C$40,Element_Stiffness!P71,IF(4=Element_Stiffness!$E$40,Element_Stiffness!V71,0)),0)),0)+IF(Element_Stiffness!$C$76,IF(Element_Stiffness!$C$75=2,IF(4=Element_Stiffness!$C$75,Element_Stiffness!P100,IF(4=Element_Stiffness!$E$75,Element_Stiffness!V100,0)),IF(Element_Stiffness!$E$75=2,IF(4=Element_Stiffness!$C$75,Element_Stiffness!P106,IF(4=Element_Stiffness!$E$75,Element_Stiffness!V106,0)),0)),0)+IF(Element_Stiffness!$C$111,IF(Element_Stiffness!$C$110=2,IF(4=Element_Stiffness!$C$110,Element_Stiffness!P135,IF(4=Element_Stiffness!$E$110,Element_Stiffness!V135,0)),IF(Element_Stiffness!$E$110=2,IF(4=Element_Stiffness!$C$110,Element_Stiffness!P141,IF(4=Element_Stiffness!$E$110,Element_Stiffness!V141,0)),0)),0)+IF(Element_Stiffness!$C$146,IF(Element_Stiffness!$C$145=2,IF(4=Element_Stiffness!$C$145,Element_Stiffness!P170,IF(4=Element_Stiffness!$E$145,Element_Stiffness!V170,0)),IF(Element_Stiffness!$E$145=2,IF(4=Element_Stiffness!$C$145,Element_Stiffness!P176,IF(4=Element_Stiffness!$E$145,Element_Stiffness!V176,0)),0)),0)+IF(Element_Stiffness!$C$181,IF(Element_Stiffness!$C$180=2,IF(4=Element_Stiffness!$C$180,Element_Stiffness!P205,IF(4=Element_Stiffness!$E$180,Element_Stiffness!V205,0)),IF(Element_Stiffness!$E$180=2,IF(4=Element_Stiffness!$C$180,Element_Stiffness!P211,IF(4=Element_Stiffness!$E$180,Element_Stiffness!V211,0)),0)),0)+IF(Element_Stiffness!$C$216,IF(Element_Stiffness!$C$215=2,IF(4=Element_Stiffness!$C$215,Element_Stiffness!P240,IF(4=Element_Stiffness!$E$215,Element_Stiffness!V240,0)),IF(Element_Stiffness!$E$215=2,IF(4=Element_Stiffness!$C$215,Element_Stiffness!P246,IF(4=Element_Stiffness!$E$215,Element_Stiffness!V246,0)),0)),0)</f>
        <v/>
      </c>
      <c r="AB21" s="21">
        <f>IF(Element_Stiffness!$C$6,IF(Element_Stiffness!$C$5=2,IF(4=Element_Stiffness!$C$5,Element_Stiffness!Q30,IF(4=Element_Stiffness!$E$5,Element_Stiffness!W30,0)),IF(Element_Stiffness!$E$5=2,IF(4=Element_Stiffness!$C$5,Element_Stiffness!Q36,IF(4=Element_Stiffness!$E$5,Element_Stiffness!W36,0)),0)),0)+IF(Element_Stiffness!$C$41,IF(Element_Stiffness!$C$40=2,IF(4=Element_Stiffness!$C$40,Element_Stiffness!Q65,IF(4=Element_Stiffness!$E$40,Element_Stiffness!W65,0)),IF(Element_Stiffness!$E$40=2,IF(4=Element_Stiffness!$C$40,Element_Stiffness!Q71,IF(4=Element_Stiffness!$E$40,Element_Stiffness!W71,0)),0)),0)+IF(Element_Stiffness!$C$76,IF(Element_Stiffness!$C$75=2,IF(4=Element_Stiffness!$C$75,Element_Stiffness!Q100,IF(4=Element_Stiffness!$E$75,Element_Stiffness!W100,0)),IF(Element_Stiffness!$E$75=2,IF(4=Element_Stiffness!$C$75,Element_Stiffness!Q106,IF(4=Element_Stiffness!$E$75,Element_Stiffness!W106,0)),0)),0)+IF(Element_Stiffness!$C$111,IF(Element_Stiffness!$C$110=2,IF(4=Element_Stiffness!$C$110,Element_Stiffness!Q135,IF(4=Element_Stiffness!$E$110,Element_Stiffness!W135,0)),IF(Element_Stiffness!$E$110=2,IF(4=Element_Stiffness!$C$110,Element_Stiffness!Q141,IF(4=Element_Stiffness!$E$110,Element_Stiffness!W141,0)),0)),0)+IF(Element_Stiffness!$C$146,IF(Element_Stiffness!$C$145=2,IF(4=Element_Stiffness!$C$145,Element_Stiffness!Q170,IF(4=Element_Stiffness!$E$145,Element_Stiffness!W170,0)),IF(Element_Stiffness!$E$145=2,IF(4=Element_Stiffness!$C$145,Element_Stiffness!Q176,IF(4=Element_Stiffness!$E$145,Element_Stiffness!W176,0)),0)),0)+IF(Element_Stiffness!$C$181,IF(Element_Stiffness!$C$180=2,IF(4=Element_Stiffness!$C$180,Element_Stiffness!Q205,IF(4=Element_Stiffness!$E$180,Element_Stiffness!W205,0)),IF(Element_Stiffness!$E$180=2,IF(4=Element_Stiffness!$C$180,Element_Stiffness!Q211,IF(4=Element_Stiffness!$E$180,Element_Stiffness!W211,0)),0)),0)+IF(Element_Stiffness!$C$216,IF(Element_Stiffness!$C$215=2,IF(4=Element_Stiffness!$C$215,Element_Stiffness!Q240,IF(4=Element_Stiffness!$E$215,Element_Stiffness!W240,0)),IF(Element_Stiffness!$E$215=2,IF(4=Element_Stiffness!$C$215,Element_Stiffness!Q246,IF(4=Element_Stiffness!$E$215,Element_Stiffness!W246,0)),0)),0)</f>
        <v/>
      </c>
      <c r="AC21" s="21">
        <f>IF(Element_Stiffness!$C$6,IF(Element_Stiffness!$C$5=2,IF(4=Element_Stiffness!$C$5,Element_Stiffness!R30,IF(4=Element_Stiffness!$E$5,Element_Stiffness!X30,0)),IF(Element_Stiffness!$E$5=2,IF(4=Element_Stiffness!$C$5,Element_Stiffness!R36,IF(4=Element_Stiffness!$E$5,Element_Stiffness!X36,0)),0)),0)+IF(Element_Stiffness!$C$41,IF(Element_Stiffness!$C$40=2,IF(4=Element_Stiffness!$C$40,Element_Stiffness!R65,IF(4=Element_Stiffness!$E$40,Element_Stiffness!X65,0)),IF(Element_Stiffness!$E$40=2,IF(4=Element_Stiffness!$C$40,Element_Stiffness!R71,IF(4=Element_Stiffness!$E$40,Element_Stiffness!X71,0)),0)),0)+IF(Element_Stiffness!$C$76,IF(Element_Stiffness!$C$75=2,IF(4=Element_Stiffness!$C$75,Element_Stiffness!R100,IF(4=Element_Stiffness!$E$75,Element_Stiffness!X100,0)),IF(Element_Stiffness!$E$75=2,IF(4=Element_Stiffness!$C$75,Element_Stiffness!R106,IF(4=Element_Stiffness!$E$75,Element_Stiffness!X106,0)),0)),0)+IF(Element_Stiffness!$C$111,IF(Element_Stiffness!$C$110=2,IF(4=Element_Stiffness!$C$110,Element_Stiffness!R135,IF(4=Element_Stiffness!$E$110,Element_Stiffness!X135,0)),IF(Element_Stiffness!$E$110=2,IF(4=Element_Stiffness!$C$110,Element_Stiffness!R141,IF(4=Element_Stiffness!$E$110,Element_Stiffness!X141,0)),0)),0)+IF(Element_Stiffness!$C$146,IF(Element_Stiffness!$C$145=2,IF(4=Element_Stiffness!$C$145,Element_Stiffness!R170,IF(4=Element_Stiffness!$E$145,Element_Stiffness!X170,0)),IF(Element_Stiffness!$E$145=2,IF(4=Element_Stiffness!$C$145,Element_Stiffness!R176,IF(4=Element_Stiffness!$E$145,Element_Stiffness!X176,0)),0)),0)+IF(Element_Stiffness!$C$181,IF(Element_Stiffness!$C$180=2,IF(4=Element_Stiffness!$C$180,Element_Stiffness!R205,IF(4=Element_Stiffness!$E$180,Element_Stiffness!X205,0)),IF(Element_Stiffness!$E$180=2,IF(4=Element_Stiffness!$C$180,Element_Stiffness!R211,IF(4=Element_Stiffness!$E$180,Element_Stiffness!X211,0)),0)),0)+IF(Element_Stiffness!$C$216,IF(Element_Stiffness!$C$215=2,IF(4=Element_Stiffness!$C$215,Element_Stiffness!R240,IF(4=Element_Stiffness!$E$215,Element_Stiffness!X240,0)),IF(Element_Stiffness!$E$215=2,IF(4=Element_Stiffness!$C$215,Element_Stiffness!R246,IF(4=Element_Stiffness!$E$215,Element_Stiffness!X246,0)),0)),0)</f>
        <v/>
      </c>
      <c r="AD21" s="21">
        <f>IF(Element_Stiffness!$C$6,IF(Element_Stiffness!$C$5=2,IF(4=Element_Stiffness!$C$5,Element_Stiffness!S30,IF(4=Element_Stiffness!$E$5,Element_Stiffness!Y30,0)),IF(Element_Stiffness!$E$5=2,IF(4=Element_Stiffness!$C$5,Element_Stiffness!S36,IF(4=Element_Stiffness!$E$5,Element_Stiffness!Y36,0)),0)),0)+IF(Element_Stiffness!$C$41,IF(Element_Stiffness!$C$40=2,IF(4=Element_Stiffness!$C$40,Element_Stiffness!S65,IF(4=Element_Stiffness!$E$40,Element_Stiffness!Y65,0)),IF(Element_Stiffness!$E$40=2,IF(4=Element_Stiffness!$C$40,Element_Stiffness!S71,IF(4=Element_Stiffness!$E$40,Element_Stiffness!Y71,0)),0)),0)+IF(Element_Stiffness!$C$76,IF(Element_Stiffness!$C$75=2,IF(4=Element_Stiffness!$C$75,Element_Stiffness!S100,IF(4=Element_Stiffness!$E$75,Element_Stiffness!Y100,0)),IF(Element_Stiffness!$E$75=2,IF(4=Element_Stiffness!$C$75,Element_Stiffness!S106,IF(4=Element_Stiffness!$E$75,Element_Stiffness!Y106,0)),0)),0)+IF(Element_Stiffness!$C$111,IF(Element_Stiffness!$C$110=2,IF(4=Element_Stiffness!$C$110,Element_Stiffness!S135,IF(4=Element_Stiffness!$E$110,Element_Stiffness!Y135,0)),IF(Element_Stiffness!$E$110=2,IF(4=Element_Stiffness!$C$110,Element_Stiffness!S141,IF(4=Element_Stiffness!$E$110,Element_Stiffness!Y141,0)),0)),0)+IF(Element_Stiffness!$C$146,IF(Element_Stiffness!$C$145=2,IF(4=Element_Stiffness!$C$145,Element_Stiffness!S170,IF(4=Element_Stiffness!$E$145,Element_Stiffness!Y170,0)),IF(Element_Stiffness!$E$145=2,IF(4=Element_Stiffness!$C$145,Element_Stiffness!S176,IF(4=Element_Stiffness!$E$145,Element_Stiffness!Y176,0)),0)),0)+IF(Element_Stiffness!$C$181,IF(Element_Stiffness!$C$180=2,IF(4=Element_Stiffness!$C$180,Element_Stiffness!S205,IF(4=Element_Stiffness!$E$180,Element_Stiffness!Y205,0)),IF(Element_Stiffness!$E$180=2,IF(4=Element_Stiffness!$C$180,Element_Stiffness!S211,IF(4=Element_Stiffness!$E$180,Element_Stiffness!Y211,0)),0)),0)+IF(Element_Stiffness!$C$216,IF(Element_Stiffness!$C$215=2,IF(4=Element_Stiffness!$C$215,Element_Stiffness!S240,IF(4=Element_Stiffness!$E$215,Element_Stiffness!Y240,0)),IF(Element_Stiffness!$E$215=2,IF(4=Element_Stiffness!$C$215,Element_Stiffness!S246,IF(4=Element_Stiffness!$E$215,Element_Stiffness!Y246,0)),0)),0)</f>
        <v/>
      </c>
      <c r="AE21" s="21">
        <f>IF(Element_Stiffness!$C$6,IF(Element_Stiffness!$C$5=2,IF(4=Element_Stiffness!$C$5,Element_Stiffness!T30,IF(4=Element_Stiffness!$E$5,Element_Stiffness!Z30,0)),IF(Element_Stiffness!$E$5=2,IF(4=Element_Stiffness!$C$5,Element_Stiffness!T36,IF(4=Element_Stiffness!$E$5,Element_Stiffness!Z36,0)),0)),0)+IF(Element_Stiffness!$C$41,IF(Element_Stiffness!$C$40=2,IF(4=Element_Stiffness!$C$40,Element_Stiffness!T65,IF(4=Element_Stiffness!$E$40,Element_Stiffness!Z65,0)),IF(Element_Stiffness!$E$40=2,IF(4=Element_Stiffness!$C$40,Element_Stiffness!T71,IF(4=Element_Stiffness!$E$40,Element_Stiffness!Z71,0)),0)),0)+IF(Element_Stiffness!$C$76,IF(Element_Stiffness!$C$75=2,IF(4=Element_Stiffness!$C$75,Element_Stiffness!T100,IF(4=Element_Stiffness!$E$75,Element_Stiffness!Z100,0)),IF(Element_Stiffness!$E$75=2,IF(4=Element_Stiffness!$C$75,Element_Stiffness!T106,IF(4=Element_Stiffness!$E$75,Element_Stiffness!Z106,0)),0)),0)+IF(Element_Stiffness!$C$111,IF(Element_Stiffness!$C$110=2,IF(4=Element_Stiffness!$C$110,Element_Stiffness!T135,IF(4=Element_Stiffness!$E$110,Element_Stiffness!Z135,0)),IF(Element_Stiffness!$E$110=2,IF(4=Element_Stiffness!$C$110,Element_Stiffness!T141,IF(4=Element_Stiffness!$E$110,Element_Stiffness!Z141,0)),0)),0)+IF(Element_Stiffness!$C$146,IF(Element_Stiffness!$C$145=2,IF(4=Element_Stiffness!$C$145,Element_Stiffness!T170,IF(4=Element_Stiffness!$E$145,Element_Stiffness!Z170,0)),IF(Element_Stiffness!$E$145=2,IF(4=Element_Stiffness!$C$145,Element_Stiffness!T176,IF(4=Element_Stiffness!$E$145,Element_Stiffness!Z176,0)),0)),0)+IF(Element_Stiffness!$C$181,IF(Element_Stiffness!$C$180=2,IF(4=Element_Stiffness!$C$180,Element_Stiffness!T205,IF(4=Element_Stiffness!$E$180,Element_Stiffness!Z205,0)),IF(Element_Stiffness!$E$180=2,IF(4=Element_Stiffness!$C$180,Element_Stiffness!T211,IF(4=Element_Stiffness!$E$180,Element_Stiffness!Z211,0)),0)),0)+IF(Element_Stiffness!$C$216,IF(Element_Stiffness!$C$215=2,IF(4=Element_Stiffness!$C$215,Element_Stiffness!T240,IF(4=Element_Stiffness!$E$215,Element_Stiffness!Z240,0)),IF(Element_Stiffness!$E$215=2,IF(4=Element_Stiffness!$C$215,Element_Stiffness!T246,IF(4=Element_Stiffness!$E$215,Element_Stiffness!Z246,0)),0)),0)</f>
        <v/>
      </c>
      <c r="AF21" s="21">
        <f>IF(Element_Stiffness!$C$6,IF(Element_Stiffness!$C$5=2,IF(4=Element_Stiffness!$C$5,Element_Stiffness!U30,IF(4=Element_Stiffness!$E$5,Element_Stiffness!AA30,0)),IF(Element_Stiffness!$E$5=2,IF(4=Element_Stiffness!$C$5,Element_Stiffness!U36,IF(4=Element_Stiffness!$E$5,Element_Stiffness!AA36,0)),0)),0)+IF(Element_Stiffness!$C$41,IF(Element_Stiffness!$C$40=2,IF(4=Element_Stiffness!$C$40,Element_Stiffness!U65,IF(4=Element_Stiffness!$E$40,Element_Stiffness!AA65,0)),IF(Element_Stiffness!$E$40=2,IF(4=Element_Stiffness!$C$40,Element_Stiffness!U71,IF(4=Element_Stiffness!$E$40,Element_Stiffness!AA71,0)),0)),0)+IF(Element_Stiffness!$C$76,IF(Element_Stiffness!$C$75=2,IF(4=Element_Stiffness!$C$75,Element_Stiffness!U100,IF(4=Element_Stiffness!$E$75,Element_Stiffness!AA100,0)),IF(Element_Stiffness!$E$75=2,IF(4=Element_Stiffness!$C$75,Element_Stiffness!U106,IF(4=Element_Stiffness!$E$75,Element_Stiffness!AA106,0)),0)),0)+IF(Element_Stiffness!$C$111,IF(Element_Stiffness!$C$110=2,IF(4=Element_Stiffness!$C$110,Element_Stiffness!U135,IF(4=Element_Stiffness!$E$110,Element_Stiffness!AA135,0)),IF(Element_Stiffness!$E$110=2,IF(4=Element_Stiffness!$C$110,Element_Stiffness!U141,IF(4=Element_Stiffness!$E$110,Element_Stiffness!AA141,0)),0)),0)+IF(Element_Stiffness!$C$146,IF(Element_Stiffness!$C$145=2,IF(4=Element_Stiffness!$C$145,Element_Stiffness!U170,IF(4=Element_Stiffness!$E$145,Element_Stiffness!AA170,0)),IF(Element_Stiffness!$E$145=2,IF(4=Element_Stiffness!$C$145,Element_Stiffness!U176,IF(4=Element_Stiffness!$E$145,Element_Stiffness!AA176,0)),0)),0)+IF(Element_Stiffness!$C$181,IF(Element_Stiffness!$C$180=2,IF(4=Element_Stiffness!$C$180,Element_Stiffness!U205,IF(4=Element_Stiffness!$E$180,Element_Stiffness!AA205,0)),IF(Element_Stiffness!$E$180=2,IF(4=Element_Stiffness!$C$180,Element_Stiffness!U211,IF(4=Element_Stiffness!$E$180,Element_Stiffness!AA211,0)),0)),0)+IF(Element_Stiffness!$C$216,IF(Element_Stiffness!$C$215=2,IF(4=Element_Stiffness!$C$215,Element_Stiffness!U240,IF(4=Element_Stiffness!$E$215,Element_Stiffness!AA240,0)),IF(Element_Stiffness!$E$215=2,IF(4=Element_Stiffness!$C$215,Element_Stiffness!U246,IF(4=Element_Stiffness!$E$215,Element_Stiffness!AA246,0)),0)),0)</f>
        <v/>
      </c>
      <c r="AG21" s="21">
        <f>IF(Element_Stiffness!$C$6,IF(Element_Stiffness!$C$5=2,IF(5=Element_Stiffness!$C$5,Element_Stiffness!P30,IF(5=Element_Stiffness!$E$5,Element_Stiffness!V30,0)),IF(Element_Stiffness!$E$5=2,IF(5=Element_Stiffness!$C$5,Element_Stiffness!P36,IF(5=Element_Stiffness!$E$5,Element_Stiffness!V36,0)),0)),0)+IF(Element_Stiffness!$C$41,IF(Element_Stiffness!$C$40=2,IF(5=Element_Stiffness!$C$40,Element_Stiffness!P65,IF(5=Element_Stiffness!$E$40,Element_Stiffness!V65,0)),IF(Element_Stiffness!$E$40=2,IF(5=Element_Stiffness!$C$40,Element_Stiffness!P71,IF(5=Element_Stiffness!$E$40,Element_Stiffness!V71,0)),0)),0)+IF(Element_Stiffness!$C$76,IF(Element_Stiffness!$C$75=2,IF(5=Element_Stiffness!$C$75,Element_Stiffness!P100,IF(5=Element_Stiffness!$E$75,Element_Stiffness!V100,0)),IF(Element_Stiffness!$E$75=2,IF(5=Element_Stiffness!$C$75,Element_Stiffness!P106,IF(5=Element_Stiffness!$E$75,Element_Stiffness!V106,0)),0)),0)+IF(Element_Stiffness!$C$111,IF(Element_Stiffness!$C$110=2,IF(5=Element_Stiffness!$C$110,Element_Stiffness!P135,IF(5=Element_Stiffness!$E$110,Element_Stiffness!V135,0)),IF(Element_Stiffness!$E$110=2,IF(5=Element_Stiffness!$C$110,Element_Stiffness!P141,IF(5=Element_Stiffness!$E$110,Element_Stiffness!V141,0)),0)),0)+IF(Element_Stiffness!$C$146,IF(Element_Stiffness!$C$145=2,IF(5=Element_Stiffness!$C$145,Element_Stiffness!P170,IF(5=Element_Stiffness!$E$145,Element_Stiffness!V170,0)),IF(Element_Stiffness!$E$145=2,IF(5=Element_Stiffness!$C$145,Element_Stiffness!P176,IF(5=Element_Stiffness!$E$145,Element_Stiffness!V176,0)),0)),0)+IF(Element_Stiffness!$C$181,IF(Element_Stiffness!$C$180=2,IF(5=Element_Stiffness!$C$180,Element_Stiffness!P205,IF(5=Element_Stiffness!$E$180,Element_Stiffness!V205,0)),IF(Element_Stiffness!$E$180=2,IF(5=Element_Stiffness!$C$180,Element_Stiffness!P211,IF(5=Element_Stiffness!$E$180,Element_Stiffness!V211,0)),0)),0)+IF(Element_Stiffness!$C$216,IF(Element_Stiffness!$C$215=2,IF(5=Element_Stiffness!$C$215,Element_Stiffness!P240,IF(5=Element_Stiffness!$E$215,Element_Stiffness!V240,0)),IF(Element_Stiffness!$E$215=2,IF(5=Element_Stiffness!$C$215,Element_Stiffness!P246,IF(5=Element_Stiffness!$E$215,Element_Stiffness!V246,0)),0)),0)</f>
        <v/>
      </c>
      <c r="AH21" s="21">
        <f>IF(Element_Stiffness!$C$6,IF(Element_Stiffness!$C$5=2,IF(5=Element_Stiffness!$C$5,Element_Stiffness!Q30,IF(5=Element_Stiffness!$E$5,Element_Stiffness!W30,0)),IF(Element_Stiffness!$E$5=2,IF(5=Element_Stiffness!$C$5,Element_Stiffness!Q36,IF(5=Element_Stiffness!$E$5,Element_Stiffness!W36,0)),0)),0)+IF(Element_Stiffness!$C$41,IF(Element_Stiffness!$C$40=2,IF(5=Element_Stiffness!$C$40,Element_Stiffness!Q65,IF(5=Element_Stiffness!$E$40,Element_Stiffness!W65,0)),IF(Element_Stiffness!$E$40=2,IF(5=Element_Stiffness!$C$40,Element_Stiffness!Q71,IF(5=Element_Stiffness!$E$40,Element_Stiffness!W71,0)),0)),0)+IF(Element_Stiffness!$C$76,IF(Element_Stiffness!$C$75=2,IF(5=Element_Stiffness!$C$75,Element_Stiffness!Q100,IF(5=Element_Stiffness!$E$75,Element_Stiffness!W100,0)),IF(Element_Stiffness!$E$75=2,IF(5=Element_Stiffness!$C$75,Element_Stiffness!Q106,IF(5=Element_Stiffness!$E$75,Element_Stiffness!W106,0)),0)),0)+IF(Element_Stiffness!$C$111,IF(Element_Stiffness!$C$110=2,IF(5=Element_Stiffness!$C$110,Element_Stiffness!Q135,IF(5=Element_Stiffness!$E$110,Element_Stiffness!W135,0)),IF(Element_Stiffness!$E$110=2,IF(5=Element_Stiffness!$C$110,Element_Stiffness!Q141,IF(5=Element_Stiffness!$E$110,Element_Stiffness!W141,0)),0)),0)+IF(Element_Stiffness!$C$146,IF(Element_Stiffness!$C$145=2,IF(5=Element_Stiffness!$C$145,Element_Stiffness!Q170,IF(5=Element_Stiffness!$E$145,Element_Stiffness!W170,0)),IF(Element_Stiffness!$E$145=2,IF(5=Element_Stiffness!$C$145,Element_Stiffness!Q176,IF(5=Element_Stiffness!$E$145,Element_Stiffness!W176,0)),0)),0)+IF(Element_Stiffness!$C$181,IF(Element_Stiffness!$C$180=2,IF(5=Element_Stiffness!$C$180,Element_Stiffness!Q205,IF(5=Element_Stiffness!$E$180,Element_Stiffness!W205,0)),IF(Element_Stiffness!$E$180=2,IF(5=Element_Stiffness!$C$180,Element_Stiffness!Q211,IF(5=Element_Stiffness!$E$180,Element_Stiffness!W211,0)),0)),0)+IF(Element_Stiffness!$C$216,IF(Element_Stiffness!$C$215=2,IF(5=Element_Stiffness!$C$215,Element_Stiffness!Q240,IF(5=Element_Stiffness!$E$215,Element_Stiffness!W240,0)),IF(Element_Stiffness!$E$215=2,IF(5=Element_Stiffness!$C$215,Element_Stiffness!Q246,IF(5=Element_Stiffness!$E$215,Element_Stiffness!W246,0)),0)),0)</f>
        <v/>
      </c>
      <c r="AI21" s="21">
        <f>IF(Element_Stiffness!$C$6,IF(Element_Stiffness!$C$5=2,IF(5=Element_Stiffness!$C$5,Element_Stiffness!R30,IF(5=Element_Stiffness!$E$5,Element_Stiffness!X30,0)),IF(Element_Stiffness!$E$5=2,IF(5=Element_Stiffness!$C$5,Element_Stiffness!R36,IF(5=Element_Stiffness!$E$5,Element_Stiffness!X36,0)),0)),0)+IF(Element_Stiffness!$C$41,IF(Element_Stiffness!$C$40=2,IF(5=Element_Stiffness!$C$40,Element_Stiffness!R65,IF(5=Element_Stiffness!$E$40,Element_Stiffness!X65,0)),IF(Element_Stiffness!$E$40=2,IF(5=Element_Stiffness!$C$40,Element_Stiffness!R71,IF(5=Element_Stiffness!$E$40,Element_Stiffness!X71,0)),0)),0)+IF(Element_Stiffness!$C$76,IF(Element_Stiffness!$C$75=2,IF(5=Element_Stiffness!$C$75,Element_Stiffness!R100,IF(5=Element_Stiffness!$E$75,Element_Stiffness!X100,0)),IF(Element_Stiffness!$E$75=2,IF(5=Element_Stiffness!$C$75,Element_Stiffness!R106,IF(5=Element_Stiffness!$E$75,Element_Stiffness!X106,0)),0)),0)+IF(Element_Stiffness!$C$111,IF(Element_Stiffness!$C$110=2,IF(5=Element_Stiffness!$C$110,Element_Stiffness!R135,IF(5=Element_Stiffness!$E$110,Element_Stiffness!X135,0)),IF(Element_Stiffness!$E$110=2,IF(5=Element_Stiffness!$C$110,Element_Stiffness!R141,IF(5=Element_Stiffness!$E$110,Element_Stiffness!X141,0)),0)),0)+IF(Element_Stiffness!$C$146,IF(Element_Stiffness!$C$145=2,IF(5=Element_Stiffness!$C$145,Element_Stiffness!R170,IF(5=Element_Stiffness!$E$145,Element_Stiffness!X170,0)),IF(Element_Stiffness!$E$145=2,IF(5=Element_Stiffness!$C$145,Element_Stiffness!R176,IF(5=Element_Stiffness!$E$145,Element_Stiffness!X176,0)),0)),0)+IF(Element_Stiffness!$C$181,IF(Element_Stiffness!$C$180=2,IF(5=Element_Stiffness!$C$180,Element_Stiffness!R205,IF(5=Element_Stiffness!$E$180,Element_Stiffness!X205,0)),IF(Element_Stiffness!$E$180=2,IF(5=Element_Stiffness!$C$180,Element_Stiffness!R211,IF(5=Element_Stiffness!$E$180,Element_Stiffness!X211,0)),0)),0)+IF(Element_Stiffness!$C$216,IF(Element_Stiffness!$C$215=2,IF(5=Element_Stiffness!$C$215,Element_Stiffness!R240,IF(5=Element_Stiffness!$E$215,Element_Stiffness!X240,0)),IF(Element_Stiffness!$E$215=2,IF(5=Element_Stiffness!$C$215,Element_Stiffness!R246,IF(5=Element_Stiffness!$E$215,Element_Stiffness!X246,0)),0)),0)</f>
        <v/>
      </c>
      <c r="AJ21" s="21">
        <f>IF(Element_Stiffness!$C$6,IF(Element_Stiffness!$C$5=2,IF(5=Element_Stiffness!$C$5,Element_Stiffness!S30,IF(5=Element_Stiffness!$E$5,Element_Stiffness!Y30,0)),IF(Element_Stiffness!$E$5=2,IF(5=Element_Stiffness!$C$5,Element_Stiffness!S36,IF(5=Element_Stiffness!$E$5,Element_Stiffness!Y36,0)),0)),0)+IF(Element_Stiffness!$C$41,IF(Element_Stiffness!$C$40=2,IF(5=Element_Stiffness!$C$40,Element_Stiffness!S65,IF(5=Element_Stiffness!$E$40,Element_Stiffness!Y65,0)),IF(Element_Stiffness!$E$40=2,IF(5=Element_Stiffness!$C$40,Element_Stiffness!S71,IF(5=Element_Stiffness!$E$40,Element_Stiffness!Y71,0)),0)),0)+IF(Element_Stiffness!$C$76,IF(Element_Stiffness!$C$75=2,IF(5=Element_Stiffness!$C$75,Element_Stiffness!S100,IF(5=Element_Stiffness!$E$75,Element_Stiffness!Y100,0)),IF(Element_Stiffness!$E$75=2,IF(5=Element_Stiffness!$C$75,Element_Stiffness!S106,IF(5=Element_Stiffness!$E$75,Element_Stiffness!Y106,0)),0)),0)+IF(Element_Stiffness!$C$111,IF(Element_Stiffness!$C$110=2,IF(5=Element_Stiffness!$C$110,Element_Stiffness!S135,IF(5=Element_Stiffness!$E$110,Element_Stiffness!Y135,0)),IF(Element_Stiffness!$E$110=2,IF(5=Element_Stiffness!$C$110,Element_Stiffness!S141,IF(5=Element_Stiffness!$E$110,Element_Stiffness!Y141,0)),0)),0)+IF(Element_Stiffness!$C$146,IF(Element_Stiffness!$C$145=2,IF(5=Element_Stiffness!$C$145,Element_Stiffness!S170,IF(5=Element_Stiffness!$E$145,Element_Stiffness!Y170,0)),IF(Element_Stiffness!$E$145=2,IF(5=Element_Stiffness!$C$145,Element_Stiffness!S176,IF(5=Element_Stiffness!$E$145,Element_Stiffness!Y176,0)),0)),0)+IF(Element_Stiffness!$C$181,IF(Element_Stiffness!$C$180=2,IF(5=Element_Stiffness!$C$180,Element_Stiffness!S205,IF(5=Element_Stiffness!$E$180,Element_Stiffness!Y205,0)),IF(Element_Stiffness!$E$180=2,IF(5=Element_Stiffness!$C$180,Element_Stiffness!S211,IF(5=Element_Stiffness!$E$180,Element_Stiffness!Y211,0)),0)),0)+IF(Element_Stiffness!$C$216,IF(Element_Stiffness!$C$215=2,IF(5=Element_Stiffness!$C$215,Element_Stiffness!S240,IF(5=Element_Stiffness!$E$215,Element_Stiffness!Y240,0)),IF(Element_Stiffness!$E$215=2,IF(5=Element_Stiffness!$C$215,Element_Stiffness!S246,IF(5=Element_Stiffness!$E$215,Element_Stiffness!Y246,0)),0)),0)</f>
        <v/>
      </c>
      <c r="AK21" s="21">
        <f>IF(Element_Stiffness!$C$6,IF(Element_Stiffness!$C$5=2,IF(5=Element_Stiffness!$C$5,Element_Stiffness!T30,IF(5=Element_Stiffness!$E$5,Element_Stiffness!Z30,0)),IF(Element_Stiffness!$E$5=2,IF(5=Element_Stiffness!$C$5,Element_Stiffness!T36,IF(5=Element_Stiffness!$E$5,Element_Stiffness!Z36,0)),0)),0)+IF(Element_Stiffness!$C$41,IF(Element_Stiffness!$C$40=2,IF(5=Element_Stiffness!$C$40,Element_Stiffness!T65,IF(5=Element_Stiffness!$E$40,Element_Stiffness!Z65,0)),IF(Element_Stiffness!$E$40=2,IF(5=Element_Stiffness!$C$40,Element_Stiffness!T71,IF(5=Element_Stiffness!$E$40,Element_Stiffness!Z71,0)),0)),0)+IF(Element_Stiffness!$C$76,IF(Element_Stiffness!$C$75=2,IF(5=Element_Stiffness!$C$75,Element_Stiffness!T100,IF(5=Element_Stiffness!$E$75,Element_Stiffness!Z100,0)),IF(Element_Stiffness!$E$75=2,IF(5=Element_Stiffness!$C$75,Element_Stiffness!T106,IF(5=Element_Stiffness!$E$75,Element_Stiffness!Z106,0)),0)),0)+IF(Element_Stiffness!$C$111,IF(Element_Stiffness!$C$110=2,IF(5=Element_Stiffness!$C$110,Element_Stiffness!T135,IF(5=Element_Stiffness!$E$110,Element_Stiffness!Z135,0)),IF(Element_Stiffness!$E$110=2,IF(5=Element_Stiffness!$C$110,Element_Stiffness!T141,IF(5=Element_Stiffness!$E$110,Element_Stiffness!Z141,0)),0)),0)+IF(Element_Stiffness!$C$146,IF(Element_Stiffness!$C$145=2,IF(5=Element_Stiffness!$C$145,Element_Stiffness!T170,IF(5=Element_Stiffness!$E$145,Element_Stiffness!Z170,0)),IF(Element_Stiffness!$E$145=2,IF(5=Element_Stiffness!$C$145,Element_Stiffness!T176,IF(5=Element_Stiffness!$E$145,Element_Stiffness!Z176,0)),0)),0)+IF(Element_Stiffness!$C$181,IF(Element_Stiffness!$C$180=2,IF(5=Element_Stiffness!$C$180,Element_Stiffness!T205,IF(5=Element_Stiffness!$E$180,Element_Stiffness!Z205,0)),IF(Element_Stiffness!$E$180=2,IF(5=Element_Stiffness!$C$180,Element_Stiffness!T211,IF(5=Element_Stiffness!$E$180,Element_Stiffness!Z211,0)),0)),0)+IF(Element_Stiffness!$C$216,IF(Element_Stiffness!$C$215=2,IF(5=Element_Stiffness!$C$215,Element_Stiffness!T240,IF(5=Element_Stiffness!$E$215,Element_Stiffness!Z240,0)),IF(Element_Stiffness!$E$215=2,IF(5=Element_Stiffness!$C$215,Element_Stiffness!T246,IF(5=Element_Stiffness!$E$215,Element_Stiffness!Z246,0)),0)),0)</f>
        <v/>
      </c>
      <c r="AL21" s="21">
        <f>IF(Element_Stiffness!$C$6,IF(Element_Stiffness!$C$5=2,IF(5=Element_Stiffness!$C$5,Element_Stiffness!U30,IF(5=Element_Stiffness!$E$5,Element_Stiffness!AA30,0)),IF(Element_Stiffness!$E$5=2,IF(5=Element_Stiffness!$C$5,Element_Stiffness!U36,IF(5=Element_Stiffness!$E$5,Element_Stiffness!AA36,0)),0)),0)+IF(Element_Stiffness!$C$41,IF(Element_Stiffness!$C$40=2,IF(5=Element_Stiffness!$C$40,Element_Stiffness!U65,IF(5=Element_Stiffness!$E$40,Element_Stiffness!AA65,0)),IF(Element_Stiffness!$E$40=2,IF(5=Element_Stiffness!$C$40,Element_Stiffness!U71,IF(5=Element_Stiffness!$E$40,Element_Stiffness!AA71,0)),0)),0)+IF(Element_Stiffness!$C$76,IF(Element_Stiffness!$C$75=2,IF(5=Element_Stiffness!$C$75,Element_Stiffness!U100,IF(5=Element_Stiffness!$E$75,Element_Stiffness!AA100,0)),IF(Element_Stiffness!$E$75=2,IF(5=Element_Stiffness!$C$75,Element_Stiffness!U106,IF(5=Element_Stiffness!$E$75,Element_Stiffness!AA106,0)),0)),0)+IF(Element_Stiffness!$C$111,IF(Element_Stiffness!$C$110=2,IF(5=Element_Stiffness!$C$110,Element_Stiffness!U135,IF(5=Element_Stiffness!$E$110,Element_Stiffness!AA135,0)),IF(Element_Stiffness!$E$110=2,IF(5=Element_Stiffness!$C$110,Element_Stiffness!U141,IF(5=Element_Stiffness!$E$110,Element_Stiffness!AA141,0)),0)),0)+IF(Element_Stiffness!$C$146,IF(Element_Stiffness!$C$145=2,IF(5=Element_Stiffness!$C$145,Element_Stiffness!U170,IF(5=Element_Stiffness!$E$145,Element_Stiffness!AA170,0)),IF(Element_Stiffness!$E$145=2,IF(5=Element_Stiffness!$C$145,Element_Stiffness!U176,IF(5=Element_Stiffness!$E$145,Element_Stiffness!AA176,0)),0)),0)+IF(Element_Stiffness!$C$181,IF(Element_Stiffness!$C$180=2,IF(5=Element_Stiffness!$C$180,Element_Stiffness!U205,IF(5=Element_Stiffness!$E$180,Element_Stiffness!AA205,0)),IF(Element_Stiffness!$E$180=2,IF(5=Element_Stiffness!$C$180,Element_Stiffness!U211,IF(5=Element_Stiffness!$E$180,Element_Stiffness!AA211,0)),0)),0)+IF(Element_Stiffness!$C$216,IF(Element_Stiffness!$C$215=2,IF(5=Element_Stiffness!$C$215,Element_Stiffness!U240,IF(5=Element_Stiffness!$E$215,Element_Stiffness!AA240,0)),IF(Element_Stiffness!$E$215=2,IF(5=Element_Stiffness!$C$215,Element_Stiffness!U246,IF(5=Element_Stiffness!$E$215,Element_Stiffness!AA246,0)),0)),0)</f>
        <v/>
      </c>
      <c r="AM21" s="21">
        <f>IF(Element_Stiffness!$C$6,IF(Element_Stiffness!$C$5=2,IF(6=Element_Stiffness!$C$5,Element_Stiffness!P30,IF(6=Element_Stiffness!$E$5,Element_Stiffness!V30,0)),IF(Element_Stiffness!$E$5=2,IF(6=Element_Stiffness!$C$5,Element_Stiffness!P36,IF(6=Element_Stiffness!$E$5,Element_Stiffness!V36,0)),0)),0)+IF(Element_Stiffness!$C$41,IF(Element_Stiffness!$C$40=2,IF(6=Element_Stiffness!$C$40,Element_Stiffness!P65,IF(6=Element_Stiffness!$E$40,Element_Stiffness!V65,0)),IF(Element_Stiffness!$E$40=2,IF(6=Element_Stiffness!$C$40,Element_Stiffness!P71,IF(6=Element_Stiffness!$E$40,Element_Stiffness!V71,0)),0)),0)+IF(Element_Stiffness!$C$76,IF(Element_Stiffness!$C$75=2,IF(6=Element_Stiffness!$C$75,Element_Stiffness!P100,IF(6=Element_Stiffness!$E$75,Element_Stiffness!V100,0)),IF(Element_Stiffness!$E$75=2,IF(6=Element_Stiffness!$C$75,Element_Stiffness!P106,IF(6=Element_Stiffness!$E$75,Element_Stiffness!V106,0)),0)),0)+IF(Element_Stiffness!$C$111,IF(Element_Stiffness!$C$110=2,IF(6=Element_Stiffness!$C$110,Element_Stiffness!P135,IF(6=Element_Stiffness!$E$110,Element_Stiffness!V135,0)),IF(Element_Stiffness!$E$110=2,IF(6=Element_Stiffness!$C$110,Element_Stiffness!P141,IF(6=Element_Stiffness!$E$110,Element_Stiffness!V141,0)),0)),0)+IF(Element_Stiffness!$C$146,IF(Element_Stiffness!$C$145=2,IF(6=Element_Stiffness!$C$145,Element_Stiffness!P170,IF(6=Element_Stiffness!$E$145,Element_Stiffness!V170,0)),IF(Element_Stiffness!$E$145=2,IF(6=Element_Stiffness!$C$145,Element_Stiffness!P176,IF(6=Element_Stiffness!$E$145,Element_Stiffness!V176,0)),0)),0)+IF(Element_Stiffness!$C$181,IF(Element_Stiffness!$C$180=2,IF(6=Element_Stiffness!$C$180,Element_Stiffness!P205,IF(6=Element_Stiffness!$E$180,Element_Stiffness!V205,0)),IF(Element_Stiffness!$E$180=2,IF(6=Element_Stiffness!$C$180,Element_Stiffness!P211,IF(6=Element_Stiffness!$E$180,Element_Stiffness!V211,0)),0)),0)+IF(Element_Stiffness!$C$216,IF(Element_Stiffness!$C$215=2,IF(6=Element_Stiffness!$C$215,Element_Stiffness!P240,IF(6=Element_Stiffness!$E$215,Element_Stiffness!V240,0)),IF(Element_Stiffness!$E$215=2,IF(6=Element_Stiffness!$C$215,Element_Stiffness!P246,IF(6=Element_Stiffness!$E$215,Element_Stiffness!V246,0)),0)),0)</f>
        <v/>
      </c>
      <c r="AN21" s="21">
        <f>IF(Element_Stiffness!$C$6,IF(Element_Stiffness!$C$5=2,IF(6=Element_Stiffness!$C$5,Element_Stiffness!Q30,IF(6=Element_Stiffness!$E$5,Element_Stiffness!W30,0)),IF(Element_Stiffness!$E$5=2,IF(6=Element_Stiffness!$C$5,Element_Stiffness!Q36,IF(6=Element_Stiffness!$E$5,Element_Stiffness!W36,0)),0)),0)+IF(Element_Stiffness!$C$41,IF(Element_Stiffness!$C$40=2,IF(6=Element_Stiffness!$C$40,Element_Stiffness!Q65,IF(6=Element_Stiffness!$E$40,Element_Stiffness!W65,0)),IF(Element_Stiffness!$E$40=2,IF(6=Element_Stiffness!$C$40,Element_Stiffness!Q71,IF(6=Element_Stiffness!$E$40,Element_Stiffness!W71,0)),0)),0)+IF(Element_Stiffness!$C$76,IF(Element_Stiffness!$C$75=2,IF(6=Element_Stiffness!$C$75,Element_Stiffness!Q100,IF(6=Element_Stiffness!$E$75,Element_Stiffness!W100,0)),IF(Element_Stiffness!$E$75=2,IF(6=Element_Stiffness!$C$75,Element_Stiffness!Q106,IF(6=Element_Stiffness!$E$75,Element_Stiffness!W106,0)),0)),0)+IF(Element_Stiffness!$C$111,IF(Element_Stiffness!$C$110=2,IF(6=Element_Stiffness!$C$110,Element_Stiffness!Q135,IF(6=Element_Stiffness!$E$110,Element_Stiffness!W135,0)),IF(Element_Stiffness!$E$110=2,IF(6=Element_Stiffness!$C$110,Element_Stiffness!Q141,IF(6=Element_Stiffness!$E$110,Element_Stiffness!W141,0)),0)),0)+IF(Element_Stiffness!$C$146,IF(Element_Stiffness!$C$145=2,IF(6=Element_Stiffness!$C$145,Element_Stiffness!Q170,IF(6=Element_Stiffness!$E$145,Element_Stiffness!W170,0)),IF(Element_Stiffness!$E$145=2,IF(6=Element_Stiffness!$C$145,Element_Stiffness!Q176,IF(6=Element_Stiffness!$E$145,Element_Stiffness!W176,0)),0)),0)+IF(Element_Stiffness!$C$181,IF(Element_Stiffness!$C$180=2,IF(6=Element_Stiffness!$C$180,Element_Stiffness!Q205,IF(6=Element_Stiffness!$E$180,Element_Stiffness!W205,0)),IF(Element_Stiffness!$E$180=2,IF(6=Element_Stiffness!$C$180,Element_Stiffness!Q211,IF(6=Element_Stiffness!$E$180,Element_Stiffness!W211,0)),0)),0)+IF(Element_Stiffness!$C$216,IF(Element_Stiffness!$C$215=2,IF(6=Element_Stiffness!$C$215,Element_Stiffness!Q240,IF(6=Element_Stiffness!$E$215,Element_Stiffness!W240,0)),IF(Element_Stiffness!$E$215=2,IF(6=Element_Stiffness!$C$215,Element_Stiffness!Q246,IF(6=Element_Stiffness!$E$215,Element_Stiffness!W246,0)),0)),0)</f>
        <v/>
      </c>
      <c r="AO21" s="21">
        <f>IF(Element_Stiffness!$C$6,IF(Element_Stiffness!$C$5=2,IF(6=Element_Stiffness!$C$5,Element_Stiffness!R30,IF(6=Element_Stiffness!$E$5,Element_Stiffness!X30,0)),IF(Element_Stiffness!$E$5=2,IF(6=Element_Stiffness!$C$5,Element_Stiffness!R36,IF(6=Element_Stiffness!$E$5,Element_Stiffness!X36,0)),0)),0)+IF(Element_Stiffness!$C$41,IF(Element_Stiffness!$C$40=2,IF(6=Element_Stiffness!$C$40,Element_Stiffness!R65,IF(6=Element_Stiffness!$E$40,Element_Stiffness!X65,0)),IF(Element_Stiffness!$E$40=2,IF(6=Element_Stiffness!$C$40,Element_Stiffness!R71,IF(6=Element_Stiffness!$E$40,Element_Stiffness!X71,0)),0)),0)+IF(Element_Stiffness!$C$76,IF(Element_Stiffness!$C$75=2,IF(6=Element_Stiffness!$C$75,Element_Stiffness!R100,IF(6=Element_Stiffness!$E$75,Element_Stiffness!X100,0)),IF(Element_Stiffness!$E$75=2,IF(6=Element_Stiffness!$C$75,Element_Stiffness!R106,IF(6=Element_Stiffness!$E$75,Element_Stiffness!X106,0)),0)),0)+IF(Element_Stiffness!$C$111,IF(Element_Stiffness!$C$110=2,IF(6=Element_Stiffness!$C$110,Element_Stiffness!R135,IF(6=Element_Stiffness!$E$110,Element_Stiffness!X135,0)),IF(Element_Stiffness!$E$110=2,IF(6=Element_Stiffness!$C$110,Element_Stiffness!R141,IF(6=Element_Stiffness!$E$110,Element_Stiffness!X141,0)),0)),0)+IF(Element_Stiffness!$C$146,IF(Element_Stiffness!$C$145=2,IF(6=Element_Stiffness!$C$145,Element_Stiffness!R170,IF(6=Element_Stiffness!$E$145,Element_Stiffness!X170,0)),IF(Element_Stiffness!$E$145=2,IF(6=Element_Stiffness!$C$145,Element_Stiffness!R176,IF(6=Element_Stiffness!$E$145,Element_Stiffness!X176,0)),0)),0)+IF(Element_Stiffness!$C$181,IF(Element_Stiffness!$C$180=2,IF(6=Element_Stiffness!$C$180,Element_Stiffness!R205,IF(6=Element_Stiffness!$E$180,Element_Stiffness!X205,0)),IF(Element_Stiffness!$E$180=2,IF(6=Element_Stiffness!$C$180,Element_Stiffness!R211,IF(6=Element_Stiffness!$E$180,Element_Stiffness!X211,0)),0)),0)+IF(Element_Stiffness!$C$216,IF(Element_Stiffness!$C$215=2,IF(6=Element_Stiffness!$C$215,Element_Stiffness!R240,IF(6=Element_Stiffness!$E$215,Element_Stiffness!X240,0)),IF(Element_Stiffness!$E$215=2,IF(6=Element_Stiffness!$C$215,Element_Stiffness!R246,IF(6=Element_Stiffness!$E$215,Element_Stiffness!X246,0)),0)),0)</f>
        <v/>
      </c>
      <c r="AP21" s="21">
        <f>IF(Element_Stiffness!$C$6,IF(Element_Stiffness!$C$5=2,IF(6=Element_Stiffness!$C$5,Element_Stiffness!S30,IF(6=Element_Stiffness!$E$5,Element_Stiffness!Y30,0)),IF(Element_Stiffness!$E$5=2,IF(6=Element_Stiffness!$C$5,Element_Stiffness!S36,IF(6=Element_Stiffness!$E$5,Element_Stiffness!Y36,0)),0)),0)+IF(Element_Stiffness!$C$41,IF(Element_Stiffness!$C$40=2,IF(6=Element_Stiffness!$C$40,Element_Stiffness!S65,IF(6=Element_Stiffness!$E$40,Element_Stiffness!Y65,0)),IF(Element_Stiffness!$E$40=2,IF(6=Element_Stiffness!$C$40,Element_Stiffness!S71,IF(6=Element_Stiffness!$E$40,Element_Stiffness!Y71,0)),0)),0)+IF(Element_Stiffness!$C$76,IF(Element_Stiffness!$C$75=2,IF(6=Element_Stiffness!$C$75,Element_Stiffness!S100,IF(6=Element_Stiffness!$E$75,Element_Stiffness!Y100,0)),IF(Element_Stiffness!$E$75=2,IF(6=Element_Stiffness!$C$75,Element_Stiffness!S106,IF(6=Element_Stiffness!$E$75,Element_Stiffness!Y106,0)),0)),0)+IF(Element_Stiffness!$C$111,IF(Element_Stiffness!$C$110=2,IF(6=Element_Stiffness!$C$110,Element_Stiffness!S135,IF(6=Element_Stiffness!$E$110,Element_Stiffness!Y135,0)),IF(Element_Stiffness!$E$110=2,IF(6=Element_Stiffness!$C$110,Element_Stiffness!S141,IF(6=Element_Stiffness!$E$110,Element_Stiffness!Y141,0)),0)),0)+IF(Element_Stiffness!$C$146,IF(Element_Stiffness!$C$145=2,IF(6=Element_Stiffness!$C$145,Element_Stiffness!S170,IF(6=Element_Stiffness!$E$145,Element_Stiffness!Y170,0)),IF(Element_Stiffness!$E$145=2,IF(6=Element_Stiffness!$C$145,Element_Stiffness!S176,IF(6=Element_Stiffness!$E$145,Element_Stiffness!Y176,0)),0)),0)+IF(Element_Stiffness!$C$181,IF(Element_Stiffness!$C$180=2,IF(6=Element_Stiffness!$C$180,Element_Stiffness!S205,IF(6=Element_Stiffness!$E$180,Element_Stiffness!Y205,0)),IF(Element_Stiffness!$E$180=2,IF(6=Element_Stiffness!$C$180,Element_Stiffness!S211,IF(6=Element_Stiffness!$E$180,Element_Stiffness!Y211,0)),0)),0)+IF(Element_Stiffness!$C$216,IF(Element_Stiffness!$C$215=2,IF(6=Element_Stiffness!$C$215,Element_Stiffness!S240,IF(6=Element_Stiffness!$E$215,Element_Stiffness!Y240,0)),IF(Element_Stiffness!$E$215=2,IF(6=Element_Stiffness!$C$215,Element_Stiffness!S246,IF(6=Element_Stiffness!$E$215,Element_Stiffness!Y246,0)),0)),0)</f>
        <v/>
      </c>
      <c r="AQ21" s="21">
        <f>IF(Element_Stiffness!$C$6,IF(Element_Stiffness!$C$5=2,IF(6=Element_Stiffness!$C$5,Element_Stiffness!T30,IF(6=Element_Stiffness!$E$5,Element_Stiffness!Z30,0)),IF(Element_Stiffness!$E$5=2,IF(6=Element_Stiffness!$C$5,Element_Stiffness!T36,IF(6=Element_Stiffness!$E$5,Element_Stiffness!Z36,0)),0)),0)+IF(Element_Stiffness!$C$41,IF(Element_Stiffness!$C$40=2,IF(6=Element_Stiffness!$C$40,Element_Stiffness!T65,IF(6=Element_Stiffness!$E$40,Element_Stiffness!Z65,0)),IF(Element_Stiffness!$E$40=2,IF(6=Element_Stiffness!$C$40,Element_Stiffness!T71,IF(6=Element_Stiffness!$E$40,Element_Stiffness!Z71,0)),0)),0)+IF(Element_Stiffness!$C$76,IF(Element_Stiffness!$C$75=2,IF(6=Element_Stiffness!$C$75,Element_Stiffness!T100,IF(6=Element_Stiffness!$E$75,Element_Stiffness!Z100,0)),IF(Element_Stiffness!$E$75=2,IF(6=Element_Stiffness!$C$75,Element_Stiffness!T106,IF(6=Element_Stiffness!$E$75,Element_Stiffness!Z106,0)),0)),0)+IF(Element_Stiffness!$C$111,IF(Element_Stiffness!$C$110=2,IF(6=Element_Stiffness!$C$110,Element_Stiffness!T135,IF(6=Element_Stiffness!$E$110,Element_Stiffness!Z135,0)),IF(Element_Stiffness!$E$110=2,IF(6=Element_Stiffness!$C$110,Element_Stiffness!T141,IF(6=Element_Stiffness!$E$110,Element_Stiffness!Z141,0)),0)),0)+IF(Element_Stiffness!$C$146,IF(Element_Stiffness!$C$145=2,IF(6=Element_Stiffness!$C$145,Element_Stiffness!T170,IF(6=Element_Stiffness!$E$145,Element_Stiffness!Z170,0)),IF(Element_Stiffness!$E$145=2,IF(6=Element_Stiffness!$C$145,Element_Stiffness!T176,IF(6=Element_Stiffness!$E$145,Element_Stiffness!Z176,0)),0)),0)+IF(Element_Stiffness!$C$181,IF(Element_Stiffness!$C$180=2,IF(6=Element_Stiffness!$C$180,Element_Stiffness!T205,IF(6=Element_Stiffness!$E$180,Element_Stiffness!Z205,0)),IF(Element_Stiffness!$E$180=2,IF(6=Element_Stiffness!$C$180,Element_Stiffness!T211,IF(6=Element_Stiffness!$E$180,Element_Stiffness!Z211,0)),0)),0)+IF(Element_Stiffness!$C$216,IF(Element_Stiffness!$C$215=2,IF(6=Element_Stiffness!$C$215,Element_Stiffness!T240,IF(6=Element_Stiffness!$E$215,Element_Stiffness!Z240,0)),IF(Element_Stiffness!$E$215=2,IF(6=Element_Stiffness!$C$215,Element_Stiffness!T246,IF(6=Element_Stiffness!$E$215,Element_Stiffness!Z246,0)),0)),0)</f>
        <v/>
      </c>
      <c r="AR21" s="21">
        <f>IF(Element_Stiffness!$C$6,IF(Element_Stiffness!$C$5=2,IF(6=Element_Stiffness!$C$5,Element_Stiffness!U30,IF(6=Element_Stiffness!$E$5,Element_Stiffness!AA30,0)),IF(Element_Stiffness!$E$5=2,IF(6=Element_Stiffness!$C$5,Element_Stiffness!U36,IF(6=Element_Stiffness!$E$5,Element_Stiffness!AA36,0)),0)),0)+IF(Element_Stiffness!$C$41,IF(Element_Stiffness!$C$40=2,IF(6=Element_Stiffness!$C$40,Element_Stiffness!U65,IF(6=Element_Stiffness!$E$40,Element_Stiffness!AA65,0)),IF(Element_Stiffness!$E$40=2,IF(6=Element_Stiffness!$C$40,Element_Stiffness!U71,IF(6=Element_Stiffness!$E$40,Element_Stiffness!AA71,0)),0)),0)+IF(Element_Stiffness!$C$76,IF(Element_Stiffness!$C$75=2,IF(6=Element_Stiffness!$C$75,Element_Stiffness!U100,IF(6=Element_Stiffness!$E$75,Element_Stiffness!AA100,0)),IF(Element_Stiffness!$E$75=2,IF(6=Element_Stiffness!$C$75,Element_Stiffness!U106,IF(6=Element_Stiffness!$E$75,Element_Stiffness!AA106,0)),0)),0)+IF(Element_Stiffness!$C$111,IF(Element_Stiffness!$C$110=2,IF(6=Element_Stiffness!$C$110,Element_Stiffness!U135,IF(6=Element_Stiffness!$E$110,Element_Stiffness!AA135,0)),IF(Element_Stiffness!$E$110=2,IF(6=Element_Stiffness!$C$110,Element_Stiffness!U141,IF(6=Element_Stiffness!$E$110,Element_Stiffness!AA141,0)),0)),0)+IF(Element_Stiffness!$C$146,IF(Element_Stiffness!$C$145=2,IF(6=Element_Stiffness!$C$145,Element_Stiffness!U170,IF(6=Element_Stiffness!$E$145,Element_Stiffness!AA170,0)),IF(Element_Stiffness!$E$145=2,IF(6=Element_Stiffness!$C$145,Element_Stiffness!U176,IF(6=Element_Stiffness!$E$145,Element_Stiffness!AA176,0)),0)),0)+IF(Element_Stiffness!$C$181,IF(Element_Stiffness!$C$180=2,IF(6=Element_Stiffness!$C$180,Element_Stiffness!U205,IF(6=Element_Stiffness!$E$180,Element_Stiffness!AA205,0)),IF(Element_Stiffness!$E$180=2,IF(6=Element_Stiffness!$C$180,Element_Stiffness!U211,IF(6=Element_Stiffness!$E$180,Element_Stiffness!AA211,0)),0)),0)+IF(Element_Stiffness!$C$216,IF(Element_Stiffness!$C$215=2,IF(6=Element_Stiffness!$C$215,Element_Stiffness!U240,IF(6=Element_Stiffness!$E$215,Element_Stiffness!AA240,0)),IF(Element_Stiffness!$E$215=2,IF(6=Element_Stiffness!$C$215,Element_Stiffness!U246,IF(6=Element_Stiffness!$E$215,Element_Stiffness!AA246,0)),0)),0)</f>
        <v/>
      </c>
      <c r="AS21" s="21">
        <f>IF(Element_Stiffness!$C$6,IF(Element_Stiffness!$C$5=2,IF(7=Element_Stiffness!$C$5,Element_Stiffness!P30,IF(7=Element_Stiffness!$E$5,Element_Stiffness!V30,0)),IF(Element_Stiffness!$E$5=2,IF(7=Element_Stiffness!$C$5,Element_Stiffness!P36,IF(7=Element_Stiffness!$E$5,Element_Stiffness!V36,0)),0)),0)+IF(Element_Stiffness!$C$41,IF(Element_Stiffness!$C$40=2,IF(7=Element_Stiffness!$C$40,Element_Stiffness!P65,IF(7=Element_Stiffness!$E$40,Element_Stiffness!V65,0)),IF(Element_Stiffness!$E$40=2,IF(7=Element_Stiffness!$C$40,Element_Stiffness!P71,IF(7=Element_Stiffness!$E$40,Element_Stiffness!V71,0)),0)),0)+IF(Element_Stiffness!$C$76,IF(Element_Stiffness!$C$75=2,IF(7=Element_Stiffness!$C$75,Element_Stiffness!P100,IF(7=Element_Stiffness!$E$75,Element_Stiffness!V100,0)),IF(Element_Stiffness!$E$75=2,IF(7=Element_Stiffness!$C$75,Element_Stiffness!P106,IF(7=Element_Stiffness!$E$75,Element_Stiffness!V106,0)),0)),0)+IF(Element_Stiffness!$C$111,IF(Element_Stiffness!$C$110=2,IF(7=Element_Stiffness!$C$110,Element_Stiffness!P135,IF(7=Element_Stiffness!$E$110,Element_Stiffness!V135,0)),IF(Element_Stiffness!$E$110=2,IF(7=Element_Stiffness!$C$110,Element_Stiffness!P141,IF(7=Element_Stiffness!$E$110,Element_Stiffness!V141,0)),0)),0)+IF(Element_Stiffness!$C$146,IF(Element_Stiffness!$C$145=2,IF(7=Element_Stiffness!$C$145,Element_Stiffness!P170,IF(7=Element_Stiffness!$E$145,Element_Stiffness!V170,0)),IF(Element_Stiffness!$E$145=2,IF(7=Element_Stiffness!$C$145,Element_Stiffness!P176,IF(7=Element_Stiffness!$E$145,Element_Stiffness!V176,0)),0)),0)+IF(Element_Stiffness!$C$181,IF(Element_Stiffness!$C$180=2,IF(7=Element_Stiffness!$C$180,Element_Stiffness!P205,IF(7=Element_Stiffness!$E$180,Element_Stiffness!V205,0)),IF(Element_Stiffness!$E$180=2,IF(7=Element_Stiffness!$C$180,Element_Stiffness!P211,IF(7=Element_Stiffness!$E$180,Element_Stiffness!V211,0)),0)),0)+IF(Element_Stiffness!$C$216,IF(Element_Stiffness!$C$215=2,IF(7=Element_Stiffness!$C$215,Element_Stiffness!P240,IF(7=Element_Stiffness!$E$215,Element_Stiffness!V240,0)),IF(Element_Stiffness!$E$215=2,IF(7=Element_Stiffness!$C$215,Element_Stiffness!P246,IF(7=Element_Stiffness!$E$215,Element_Stiffness!V246,0)),0)),0)</f>
        <v/>
      </c>
      <c r="AT21" s="21">
        <f>IF(Element_Stiffness!$C$6,IF(Element_Stiffness!$C$5=2,IF(7=Element_Stiffness!$C$5,Element_Stiffness!Q30,IF(7=Element_Stiffness!$E$5,Element_Stiffness!W30,0)),IF(Element_Stiffness!$E$5=2,IF(7=Element_Stiffness!$C$5,Element_Stiffness!Q36,IF(7=Element_Stiffness!$E$5,Element_Stiffness!W36,0)),0)),0)+IF(Element_Stiffness!$C$41,IF(Element_Stiffness!$C$40=2,IF(7=Element_Stiffness!$C$40,Element_Stiffness!Q65,IF(7=Element_Stiffness!$E$40,Element_Stiffness!W65,0)),IF(Element_Stiffness!$E$40=2,IF(7=Element_Stiffness!$C$40,Element_Stiffness!Q71,IF(7=Element_Stiffness!$E$40,Element_Stiffness!W71,0)),0)),0)+IF(Element_Stiffness!$C$76,IF(Element_Stiffness!$C$75=2,IF(7=Element_Stiffness!$C$75,Element_Stiffness!Q100,IF(7=Element_Stiffness!$E$75,Element_Stiffness!W100,0)),IF(Element_Stiffness!$E$75=2,IF(7=Element_Stiffness!$C$75,Element_Stiffness!Q106,IF(7=Element_Stiffness!$E$75,Element_Stiffness!W106,0)),0)),0)+IF(Element_Stiffness!$C$111,IF(Element_Stiffness!$C$110=2,IF(7=Element_Stiffness!$C$110,Element_Stiffness!Q135,IF(7=Element_Stiffness!$E$110,Element_Stiffness!W135,0)),IF(Element_Stiffness!$E$110=2,IF(7=Element_Stiffness!$C$110,Element_Stiffness!Q141,IF(7=Element_Stiffness!$E$110,Element_Stiffness!W141,0)),0)),0)+IF(Element_Stiffness!$C$146,IF(Element_Stiffness!$C$145=2,IF(7=Element_Stiffness!$C$145,Element_Stiffness!Q170,IF(7=Element_Stiffness!$E$145,Element_Stiffness!W170,0)),IF(Element_Stiffness!$E$145=2,IF(7=Element_Stiffness!$C$145,Element_Stiffness!Q176,IF(7=Element_Stiffness!$E$145,Element_Stiffness!W176,0)),0)),0)+IF(Element_Stiffness!$C$181,IF(Element_Stiffness!$C$180=2,IF(7=Element_Stiffness!$C$180,Element_Stiffness!Q205,IF(7=Element_Stiffness!$E$180,Element_Stiffness!W205,0)),IF(Element_Stiffness!$E$180=2,IF(7=Element_Stiffness!$C$180,Element_Stiffness!Q211,IF(7=Element_Stiffness!$E$180,Element_Stiffness!W211,0)),0)),0)+IF(Element_Stiffness!$C$216,IF(Element_Stiffness!$C$215=2,IF(7=Element_Stiffness!$C$215,Element_Stiffness!Q240,IF(7=Element_Stiffness!$E$215,Element_Stiffness!W240,0)),IF(Element_Stiffness!$E$215=2,IF(7=Element_Stiffness!$C$215,Element_Stiffness!Q246,IF(7=Element_Stiffness!$E$215,Element_Stiffness!W246,0)),0)),0)</f>
        <v/>
      </c>
      <c r="AU21" s="21">
        <f>IF(Element_Stiffness!$C$6,IF(Element_Stiffness!$C$5=2,IF(7=Element_Stiffness!$C$5,Element_Stiffness!R30,IF(7=Element_Stiffness!$E$5,Element_Stiffness!X30,0)),IF(Element_Stiffness!$E$5=2,IF(7=Element_Stiffness!$C$5,Element_Stiffness!R36,IF(7=Element_Stiffness!$E$5,Element_Stiffness!X36,0)),0)),0)+IF(Element_Stiffness!$C$41,IF(Element_Stiffness!$C$40=2,IF(7=Element_Stiffness!$C$40,Element_Stiffness!R65,IF(7=Element_Stiffness!$E$40,Element_Stiffness!X65,0)),IF(Element_Stiffness!$E$40=2,IF(7=Element_Stiffness!$C$40,Element_Stiffness!R71,IF(7=Element_Stiffness!$E$40,Element_Stiffness!X71,0)),0)),0)+IF(Element_Stiffness!$C$76,IF(Element_Stiffness!$C$75=2,IF(7=Element_Stiffness!$C$75,Element_Stiffness!R100,IF(7=Element_Stiffness!$E$75,Element_Stiffness!X100,0)),IF(Element_Stiffness!$E$75=2,IF(7=Element_Stiffness!$C$75,Element_Stiffness!R106,IF(7=Element_Stiffness!$E$75,Element_Stiffness!X106,0)),0)),0)+IF(Element_Stiffness!$C$111,IF(Element_Stiffness!$C$110=2,IF(7=Element_Stiffness!$C$110,Element_Stiffness!R135,IF(7=Element_Stiffness!$E$110,Element_Stiffness!X135,0)),IF(Element_Stiffness!$E$110=2,IF(7=Element_Stiffness!$C$110,Element_Stiffness!R141,IF(7=Element_Stiffness!$E$110,Element_Stiffness!X141,0)),0)),0)+IF(Element_Stiffness!$C$146,IF(Element_Stiffness!$C$145=2,IF(7=Element_Stiffness!$C$145,Element_Stiffness!R170,IF(7=Element_Stiffness!$E$145,Element_Stiffness!X170,0)),IF(Element_Stiffness!$E$145=2,IF(7=Element_Stiffness!$C$145,Element_Stiffness!R176,IF(7=Element_Stiffness!$E$145,Element_Stiffness!X176,0)),0)),0)+IF(Element_Stiffness!$C$181,IF(Element_Stiffness!$C$180=2,IF(7=Element_Stiffness!$C$180,Element_Stiffness!R205,IF(7=Element_Stiffness!$E$180,Element_Stiffness!X205,0)),IF(Element_Stiffness!$E$180=2,IF(7=Element_Stiffness!$C$180,Element_Stiffness!R211,IF(7=Element_Stiffness!$E$180,Element_Stiffness!X211,0)),0)),0)+IF(Element_Stiffness!$C$216,IF(Element_Stiffness!$C$215=2,IF(7=Element_Stiffness!$C$215,Element_Stiffness!R240,IF(7=Element_Stiffness!$E$215,Element_Stiffness!X240,0)),IF(Element_Stiffness!$E$215=2,IF(7=Element_Stiffness!$C$215,Element_Stiffness!R246,IF(7=Element_Stiffness!$E$215,Element_Stiffness!X246,0)),0)),0)</f>
        <v/>
      </c>
      <c r="AV21" s="21">
        <f>IF(Element_Stiffness!$C$6,IF(Element_Stiffness!$C$5=2,IF(7=Element_Stiffness!$C$5,Element_Stiffness!S30,IF(7=Element_Stiffness!$E$5,Element_Stiffness!Y30,0)),IF(Element_Stiffness!$E$5=2,IF(7=Element_Stiffness!$C$5,Element_Stiffness!S36,IF(7=Element_Stiffness!$E$5,Element_Stiffness!Y36,0)),0)),0)+IF(Element_Stiffness!$C$41,IF(Element_Stiffness!$C$40=2,IF(7=Element_Stiffness!$C$40,Element_Stiffness!S65,IF(7=Element_Stiffness!$E$40,Element_Stiffness!Y65,0)),IF(Element_Stiffness!$E$40=2,IF(7=Element_Stiffness!$C$40,Element_Stiffness!S71,IF(7=Element_Stiffness!$E$40,Element_Stiffness!Y71,0)),0)),0)+IF(Element_Stiffness!$C$76,IF(Element_Stiffness!$C$75=2,IF(7=Element_Stiffness!$C$75,Element_Stiffness!S100,IF(7=Element_Stiffness!$E$75,Element_Stiffness!Y100,0)),IF(Element_Stiffness!$E$75=2,IF(7=Element_Stiffness!$C$75,Element_Stiffness!S106,IF(7=Element_Stiffness!$E$75,Element_Stiffness!Y106,0)),0)),0)+IF(Element_Stiffness!$C$111,IF(Element_Stiffness!$C$110=2,IF(7=Element_Stiffness!$C$110,Element_Stiffness!S135,IF(7=Element_Stiffness!$E$110,Element_Stiffness!Y135,0)),IF(Element_Stiffness!$E$110=2,IF(7=Element_Stiffness!$C$110,Element_Stiffness!S141,IF(7=Element_Stiffness!$E$110,Element_Stiffness!Y141,0)),0)),0)+IF(Element_Stiffness!$C$146,IF(Element_Stiffness!$C$145=2,IF(7=Element_Stiffness!$C$145,Element_Stiffness!S170,IF(7=Element_Stiffness!$E$145,Element_Stiffness!Y170,0)),IF(Element_Stiffness!$E$145=2,IF(7=Element_Stiffness!$C$145,Element_Stiffness!S176,IF(7=Element_Stiffness!$E$145,Element_Stiffness!Y176,0)),0)),0)+IF(Element_Stiffness!$C$181,IF(Element_Stiffness!$C$180=2,IF(7=Element_Stiffness!$C$180,Element_Stiffness!S205,IF(7=Element_Stiffness!$E$180,Element_Stiffness!Y205,0)),IF(Element_Stiffness!$E$180=2,IF(7=Element_Stiffness!$C$180,Element_Stiffness!S211,IF(7=Element_Stiffness!$E$180,Element_Stiffness!Y211,0)),0)),0)+IF(Element_Stiffness!$C$216,IF(Element_Stiffness!$C$215=2,IF(7=Element_Stiffness!$C$215,Element_Stiffness!S240,IF(7=Element_Stiffness!$E$215,Element_Stiffness!Y240,0)),IF(Element_Stiffness!$E$215=2,IF(7=Element_Stiffness!$C$215,Element_Stiffness!S246,IF(7=Element_Stiffness!$E$215,Element_Stiffness!Y246,0)),0)),0)</f>
        <v/>
      </c>
      <c r="AW21" s="21">
        <f>IF(Element_Stiffness!$C$6,IF(Element_Stiffness!$C$5=2,IF(7=Element_Stiffness!$C$5,Element_Stiffness!T30,IF(7=Element_Stiffness!$E$5,Element_Stiffness!Z30,0)),IF(Element_Stiffness!$E$5=2,IF(7=Element_Stiffness!$C$5,Element_Stiffness!T36,IF(7=Element_Stiffness!$E$5,Element_Stiffness!Z36,0)),0)),0)+IF(Element_Stiffness!$C$41,IF(Element_Stiffness!$C$40=2,IF(7=Element_Stiffness!$C$40,Element_Stiffness!T65,IF(7=Element_Stiffness!$E$40,Element_Stiffness!Z65,0)),IF(Element_Stiffness!$E$40=2,IF(7=Element_Stiffness!$C$40,Element_Stiffness!T71,IF(7=Element_Stiffness!$E$40,Element_Stiffness!Z71,0)),0)),0)+IF(Element_Stiffness!$C$76,IF(Element_Stiffness!$C$75=2,IF(7=Element_Stiffness!$C$75,Element_Stiffness!T100,IF(7=Element_Stiffness!$E$75,Element_Stiffness!Z100,0)),IF(Element_Stiffness!$E$75=2,IF(7=Element_Stiffness!$C$75,Element_Stiffness!T106,IF(7=Element_Stiffness!$E$75,Element_Stiffness!Z106,0)),0)),0)+IF(Element_Stiffness!$C$111,IF(Element_Stiffness!$C$110=2,IF(7=Element_Stiffness!$C$110,Element_Stiffness!T135,IF(7=Element_Stiffness!$E$110,Element_Stiffness!Z135,0)),IF(Element_Stiffness!$E$110=2,IF(7=Element_Stiffness!$C$110,Element_Stiffness!T141,IF(7=Element_Stiffness!$E$110,Element_Stiffness!Z141,0)),0)),0)+IF(Element_Stiffness!$C$146,IF(Element_Stiffness!$C$145=2,IF(7=Element_Stiffness!$C$145,Element_Stiffness!T170,IF(7=Element_Stiffness!$E$145,Element_Stiffness!Z170,0)),IF(Element_Stiffness!$E$145=2,IF(7=Element_Stiffness!$C$145,Element_Stiffness!T176,IF(7=Element_Stiffness!$E$145,Element_Stiffness!Z176,0)),0)),0)+IF(Element_Stiffness!$C$181,IF(Element_Stiffness!$C$180=2,IF(7=Element_Stiffness!$C$180,Element_Stiffness!T205,IF(7=Element_Stiffness!$E$180,Element_Stiffness!Z205,0)),IF(Element_Stiffness!$E$180=2,IF(7=Element_Stiffness!$C$180,Element_Stiffness!T211,IF(7=Element_Stiffness!$E$180,Element_Stiffness!Z211,0)),0)),0)+IF(Element_Stiffness!$C$216,IF(Element_Stiffness!$C$215=2,IF(7=Element_Stiffness!$C$215,Element_Stiffness!T240,IF(7=Element_Stiffness!$E$215,Element_Stiffness!Z240,0)),IF(Element_Stiffness!$E$215=2,IF(7=Element_Stiffness!$C$215,Element_Stiffness!T246,IF(7=Element_Stiffness!$E$215,Element_Stiffness!Z246,0)),0)),0)</f>
        <v/>
      </c>
      <c r="AX21" s="21">
        <f>IF(Element_Stiffness!$C$6,IF(Element_Stiffness!$C$5=2,IF(7=Element_Stiffness!$C$5,Element_Stiffness!U30,IF(7=Element_Stiffness!$E$5,Element_Stiffness!AA30,0)),IF(Element_Stiffness!$E$5=2,IF(7=Element_Stiffness!$C$5,Element_Stiffness!U36,IF(7=Element_Stiffness!$E$5,Element_Stiffness!AA36,0)),0)),0)+IF(Element_Stiffness!$C$41,IF(Element_Stiffness!$C$40=2,IF(7=Element_Stiffness!$C$40,Element_Stiffness!U65,IF(7=Element_Stiffness!$E$40,Element_Stiffness!AA65,0)),IF(Element_Stiffness!$E$40=2,IF(7=Element_Stiffness!$C$40,Element_Stiffness!U71,IF(7=Element_Stiffness!$E$40,Element_Stiffness!AA71,0)),0)),0)+IF(Element_Stiffness!$C$76,IF(Element_Stiffness!$C$75=2,IF(7=Element_Stiffness!$C$75,Element_Stiffness!U100,IF(7=Element_Stiffness!$E$75,Element_Stiffness!AA100,0)),IF(Element_Stiffness!$E$75=2,IF(7=Element_Stiffness!$C$75,Element_Stiffness!U106,IF(7=Element_Stiffness!$E$75,Element_Stiffness!AA106,0)),0)),0)+IF(Element_Stiffness!$C$111,IF(Element_Stiffness!$C$110=2,IF(7=Element_Stiffness!$C$110,Element_Stiffness!U135,IF(7=Element_Stiffness!$E$110,Element_Stiffness!AA135,0)),IF(Element_Stiffness!$E$110=2,IF(7=Element_Stiffness!$C$110,Element_Stiffness!U141,IF(7=Element_Stiffness!$E$110,Element_Stiffness!AA141,0)),0)),0)+IF(Element_Stiffness!$C$146,IF(Element_Stiffness!$C$145=2,IF(7=Element_Stiffness!$C$145,Element_Stiffness!U170,IF(7=Element_Stiffness!$E$145,Element_Stiffness!AA170,0)),IF(Element_Stiffness!$E$145=2,IF(7=Element_Stiffness!$C$145,Element_Stiffness!U176,IF(7=Element_Stiffness!$E$145,Element_Stiffness!AA176,0)),0)),0)+IF(Element_Stiffness!$C$181,IF(Element_Stiffness!$C$180=2,IF(7=Element_Stiffness!$C$180,Element_Stiffness!U205,IF(7=Element_Stiffness!$E$180,Element_Stiffness!AA205,0)),IF(Element_Stiffness!$E$180=2,IF(7=Element_Stiffness!$C$180,Element_Stiffness!U211,IF(7=Element_Stiffness!$E$180,Element_Stiffness!AA211,0)),0)),0)+IF(Element_Stiffness!$C$216,IF(Element_Stiffness!$C$215=2,IF(7=Element_Stiffness!$C$215,Element_Stiffness!U240,IF(7=Element_Stiffness!$E$215,Element_Stiffness!AA240,0)),IF(Element_Stiffness!$E$215=2,IF(7=Element_Stiffness!$C$215,Element_Stiffness!U246,IF(7=Element_Stiffness!$E$215,Element_Stiffness!AA246,0)),0)),0)</f>
        <v/>
      </c>
      <c r="AY21" s="21" t="n">
        <v>0</v>
      </c>
      <c r="AZ21" s="21">
        <f>IF(Element_Stiffness!$C$6,IF(Element_Stiffness!$C$5=2,Element_Stiffness!C30,IF(Element_Stiffness!$E$5=2,Element_Stiffness!C36,0)),0)+IF(Element_Stiffness!$C$41,IF(Element_Stiffness!$C$40=2,Element_Stiffness!C65,IF(Element_Stiffness!$E$40=2,Element_Stiffness!C71,0)),0)+IF(Element_Stiffness!$C$76,IF(Element_Stiffness!$C$75=2,Element_Stiffness!C100,IF(Element_Stiffness!$E$75=2,Element_Stiffness!C106,0)),0)+IF(Element_Stiffness!$C$111,IF(Element_Stiffness!$C$110=2,Element_Stiffness!C135,IF(Element_Stiffness!$E$110=2,Element_Stiffness!C141,0)),0)+IF(Element_Stiffness!$C$146,IF(Element_Stiffness!$C$145=2,Element_Stiffness!C170,IF(Element_Stiffness!$E$145=2,Element_Stiffness!C176,0)),0)+IF(Element_Stiffness!$C$181,IF(Element_Stiffness!$C$180=2,Element_Stiffness!C205,IF(Element_Stiffness!$E$180=2,Element_Stiffness!C211,0)),0)+IF(Element_Stiffness!$C$216,IF(Element_Stiffness!$C$215=2,Element_Stiffness!C240,IF(Element_Stiffness!$E$215=2,Element_Stiffness!C246,0)),0)</f>
        <v/>
      </c>
      <c r="BB21" s="28">
        <f>INDEX(MMULT(MINVERSE(C5:AX52), AY5:AY52), 17, 1)</f>
        <v/>
      </c>
      <c r="BC21" s="28">
        <f>INDEX(MMULT(MINVERSE(C5:AX52), AZ5:AZ52), 17, 1)</f>
        <v/>
      </c>
    </row>
    <row r="22">
      <c r="B22" s="27" t="inlineStr">
        <is>
          <t>N2_rz</t>
        </is>
      </c>
      <c r="C22" s="21">
        <f>IF(Element_Stiffness!$C$6,IF(Element_Stiffness!$C$5=2,IF(0=Element_Stiffness!$C$5,Element_Stiffness!P31,IF(0=Element_Stiffness!$E$5,Element_Stiffness!V31,0)),IF(Element_Stiffness!$E$5=2,IF(0=Element_Stiffness!$C$5,Element_Stiffness!P37,IF(0=Element_Stiffness!$E$5,Element_Stiffness!V37,0)),0)),0)+IF(Element_Stiffness!$C$41,IF(Element_Stiffness!$C$40=2,IF(0=Element_Stiffness!$C$40,Element_Stiffness!P66,IF(0=Element_Stiffness!$E$40,Element_Stiffness!V66,0)),IF(Element_Stiffness!$E$40=2,IF(0=Element_Stiffness!$C$40,Element_Stiffness!P72,IF(0=Element_Stiffness!$E$40,Element_Stiffness!V72,0)),0)),0)+IF(Element_Stiffness!$C$76,IF(Element_Stiffness!$C$75=2,IF(0=Element_Stiffness!$C$75,Element_Stiffness!P101,IF(0=Element_Stiffness!$E$75,Element_Stiffness!V101,0)),IF(Element_Stiffness!$E$75=2,IF(0=Element_Stiffness!$C$75,Element_Stiffness!P107,IF(0=Element_Stiffness!$E$75,Element_Stiffness!V107,0)),0)),0)+IF(Element_Stiffness!$C$111,IF(Element_Stiffness!$C$110=2,IF(0=Element_Stiffness!$C$110,Element_Stiffness!P136,IF(0=Element_Stiffness!$E$110,Element_Stiffness!V136,0)),IF(Element_Stiffness!$E$110=2,IF(0=Element_Stiffness!$C$110,Element_Stiffness!P142,IF(0=Element_Stiffness!$E$110,Element_Stiffness!V142,0)),0)),0)+IF(Element_Stiffness!$C$146,IF(Element_Stiffness!$C$145=2,IF(0=Element_Stiffness!$C$145,Element_Stiffness!P171,IF(0=Element_Stiffness!$E$145,Element_Stiffness!V171,0)),IF(Element_Stiffness!$E$145=2,IF(0=Element_Stiffness!$C$145,Element_Stiffness!P177,IF(0=Element_Stiffness!$E$145,Element_Stiffness!V177,0)),0)),0)+IF(Element_Stiffness!$C$181,IF(Element_Stiffness!$C$180=2,IF(0=Element_Stiffness!$C$180,Element_Stiffness!P206,IF(0=Element_Stiffness!$E$180,Element_Stiffness!V206,0)),IF(Element_Stiffness!$E$180=2,IF(0=Element_Stiffness!$C$180,Element_Stiffness!P212,IF(0=Element_Stiffness!$E$180,Element_Stiffness!V212,0)),0)),0)+IF(Element_Stiffness!$C$216,IF(Element_Stiffness!$C$215=2,IF(0=Element_Stiffness!$C$215,Element_Stiffness!P241,IF(0=Element_Stiffness!$E$215,Element_Stiffness!V241,0)),IF(Element_Stiffness!$E$215=2,IF(0=Element_Stiffness!$C$215,Element_Stiffness!P247,IF(0=Element_Stiffness!$E$215,Element_Stiffness!V247,0)),0)),0)</f>
        <v/>
      </c>
      <c r="D22" s="21">
        <f>IF(Element_Stiffness!$C$6,IF(Element_Stiffness!$C$5=2,IF(0=Element_Stiffness!$C$5,Element_Stiffness!Q31,IF(0=Element_Stiffness!$E$5,Element_Stiffness!W31,0)),IF(Element_Stiffness!$E$5=2,IF(0=Element_Stiffness!$C$5,Element_Stiffness!Q37,IF(0=Element_Stiffness!$E$5,Element_Stiffness!W37,0)),0)),0)+IF(Element_Stiffness!$C$41,IF(Element_Stiffness!$C$40=2,IF(0=Element_Stiffness!$C$40,Element_Stiffness!Q66,IF(0=Element_Stiffness!$E$40,Element_Stiffness!W66,0)),IF(Element_Stiffness!$E$40=2,IF(0=Element_Stiffness!$C$40,Element_Stiffness!Q72,IF(0=Element_Stiffness!$E$40,Element_Stiffness!W72,0)),0)),0)+IF(Element_Stiffness!$C$76,IF(Element_Stiffness!$C$75=2,IF(0=Element_Stiffness!$C$75,Element_Stiffness!Q101,IF(0=Element_Stiffness!$E$75,Element_Stiffness!W101,0)),IF(Element_Stiffness!$E$75=2,IF(0=Element_Stiffness!$C$75,Element_Stiffness!Q107,IF(0=Element_Stiffness!$E$75,Element_Stiffness!W107,0)),0)),0)+IF(Element_Stiffness!$C$111,IF(Element_Stiffness!$C$110=2,IF(0=Element_Stiffness!$C$110,Element_Stiffness!Q136,IF(0=Element_Stiffness!$E$110,Element_Stiffness!W136,0)),IF(Element_Stiffness!$E$110=2,IF(0=Element_Stiffness!$C$110,Element_Stiffness!Q142,IF(0=Element_Stiffness!$E$110,Element_Stiffness!W142,0)),0)),0)+IF(Element_Stiffness!$C$146,IF(Element_Stiffness!$C$145=2,IF(0=Element_Stiffness!$C$145,Element_Stiffness!Q171,IF(0=Element_Stiffness!$E$145,Element_Stiffness!W171,0)),IF(Element_Stiffness!$E$145=2,IF(0=Element_Stiffness!$C$145,Element_Stiffness!Q177,IF(0=Element_Stiffness!$E$145,Element_Stiffness!W177,0)),0)),0)+IF(Element_Stiffness!$C$181,IF(Element_Stiffness!$C$180=2,IF(0=Element_Stiffness!$C$180,Element_Stiffness!Q206,IF(0=Element_Stiffness!$E$180,Element_Stiffness!W206,0)),IF(Element_Stiffness!$E$180=2,IF(0=Element_Stiffness!$C$180,Element_Stiffness!Q212,IF(0=Element_Stiffness!$E$180,Element_Stiffness!W212,0)),0)),0)+IF(Element_Stiffness!$C$216,IF(Element_Stiffness!$C$215=2,IF(0=Element_Stiffness!$C$215,Element_Stiffness!Q241,IF(0=Element_Stiffness!$E$215,Element_Stiffness!W241,0)),IF(Element_Stiffness!$E$215=2,IF(0=Element_Stiffness!$C$215,Element_Stiffness!Q247,IF(0=Element_Stiffness!$E$215,Element_Stiffness!W247,0)),0)),0)</f>
        <v/>
      </c>
      <c r="E22" s="21">
        <f>IF(Element_Stiffness!$C$6,IF(Element_Stiffness!$C$5=2,IF(0=Element_Stiffness!$C$5,Element_Stiffness!R31,IF(0=Element_Stiffness!$E$5,Element_Stiffness!X31,0)),IF(Element_Stiffness!$E$5=2,IF(0=Element_Stiffness!$C$5,Element_Stiffness!R37,IF(0=Element_Stiffness!$E$5,Element_Stiffness!X37,0)),0)),0)+IF(Element_Stiffness!$C$41,IF(Element_Stiffness!$C$40=2,IF(0=Element_Stiffness!$C$40,Element_Stiffness!R66,IF(0=Element_Stiffness!$E$40,Element_Stiffness!X66,0)),IF(Element_Stiffness!$E$40=2,IF(0=Element_Stiffness!$C$40,Element_Stiffness!R72,IF(0=Element_Stiffness!$E$40,Element_Stiffness!X72,0)),0)),0)+IF(Element_Stiffness!$C$76,IF(Element_Stiffness!$C$75=2,IF(0=Element_Stiffness!$C$75,Element_Stiffness!R101,IF(0=Element_Stiffness!$E$75,Element_Stiffness!X101,0)),IF(Element_Stiffness!$E$75=2,IF(0=Element_Stiffness!$C$75,Element_Stiffness!R107,IF(0=Element_Stiffness!$E$75,Element_Stiffness!X107,0)),0)),0)+IF(Element_Stiffness!$C$111,IF(Element_Stiffness!$C$110=2,IF(0=Element_Stiffness!$C$110,Element_Stiffness!R136,IF(0=Element_Stiffness!$E$110,Element_Stiffness!X136,0)),IF(Element_Stiffness!$E$110=2,IF(0=Element_Stiffness!$C$110,Element_Stiffness!R142,IF(0=Element_Stiffness!$E$110,Element_Stiffness!X142,0)),0)),0)+IF(Element_Stiffness!$C$146,IF(Element_Stiffness!$C$145=2,IF(0=Element_Stiffness!$C$145,Element_Stiffness!R171,IF(0=Element_Stiffness!$E$145,Element_Stiffness!X171,0)),IF(Element_Stiffness!$E$145=2,IF(0=Element_Stiffness!$C$145,Element_Stiffness!R177,IF(0=Element_Stiffness!$E$145,Element_Stiffness!X177,0)),0)),0)+IF(Element_Stiffness!$C$181,IF(Element_Stiffness!$C$180=2,IF(0=Element_Stiffness!$C$180,Element_Stiffness!R206,IF(0=Element_Stiffness!$E$180,Element_Stiffness!X206,0)),IF(Element_Stiffness!$E$180=2,IF(0=Element_Stiffness!$C$180,Element_Stiffness!R212,IF(0=Element_Stiffness!$E$180,Element_Stiffness!X212,0)),0)),0)+IF(Element_Stiffness!$C$216,IF(Element_Stiffness!$C$215=2,IF(0=Element_Stiffness!$C$215,Element_Stiffness!R241,IF(0=Element_Stiffness!$E$215,Element_Stiffness!X241,0)),IF(Element_Stiffness!$E$215=2,IF(0=Element_Stiffness!$C$215,Element_Stiffness!R247,IF(0=Element_Stiffness!$E$215,Element_Stiffness!X247,0)),0)),0)</f>
        <v/>
      </c>
      <c r="F22" s="21">
        <f>IF(Element_Stiffness!$C$6,IF(Element_Stiffness!$C$5=2,IF(0=Element_Stiffness!$C$5,Element_Stiffness!S31,IF(0=Element_Stiffness!$E$5,Element_Stiffness!Y31,0)),IF(Element_Stiffness!$E$5=2,IF(0=Element_Stiffness!$C$5,Element_Stiffness!S37,IF(0=Element_Stiffness!$E$5,Element_Stiffness!Y37,0)),0)),0)+IF(Element_Stiffness!$C$41,IF(Element_Stiffness!$C$40=2,IF(0=Element_Stiffness!$C$40,Element_Stiffness!S66,IF(0=Element_Stiffness!$E$40,Element_Stiffness!Y66,0)),IF(Element_Stiffness!$E$40=2,IF(0=Element_Stiffness!$C$40,Element_Stiffness!S72,IF(0=Element_Stiffness!$E$40,Element_Stiffness!Y72,0)),0)),0)+IF(Element_Stiffness!$C$76,IF(Element_Stiffness!$C$75=2,IF(0=Element_Stiffness!$C$75,Element_Stiffness!S101,IF(0=Element_Stiffness!$E$75,Element_Stiffness!Y101,0)),IF(Element_Stiffness!$E$75=2,IF(0=Element_Stiffness!$C$75,Element_Stiffness!S107,IF(0=Element_Stiffness!$E$75,Element_Stiffness!Y107,0)),0)),0)+IF(Element_Stiffness!$C$111,IF(Element_Stiffness!$C$110=2,IF(0=Element_Stiffness!$C$110,Element_Stiffness!S136,IF(0=Element_Stiffness!$E$110,Element_Stiffness!Y136,0)),IF(Element_Stiffness!$E$110=2,IF(0=Element_Stiffness!$C$110,Element_Stiffness!S142,IF(0=Element_Stiffness!$E$110,Element_Stiffness!Y142,0)),0)),0)+IF(Element_Stiffness!$C$146,IF(Element_Stiffness!$C$145=2,IF(0=Element_Stiffness!$C$145,Element_Stiffness!S171,IF(0=Element_Stiffness!$E$145,Element_Stiffness!Y171,0)),IF(Element_Stiffness!$E$145=2,IF(0=Element_Stiffness!$C$145,Element_Stiffness!S177,IF(0=Element_Stiffness!$E$145,Element_Stiffness!Y177,0)),0)),0)+IF(Element_Stiffness!$C$181,IF(Element_Stiffness!$C$180=2,IF(0=Element_Stiffness!$C$180,Element_Stiffness!S206,IF(0=Element_Stiffness!$E$180,Element_Stiffness!Y206,0)),IF(Element_Stiffness!$E$180=2,IF(0=Element_Stiffness!$C$180,Element_Stiffness!S212,IF(0=Element_Stiffness!$E$180,Element_Stiffness!Y212,0)),0)),0)+IF(Element_Stiffness!$C$216,IF(Element_Stiffness!$C$215=2,IF(0=Element_Stiffness!$C$215,Element_Stiffness!S241,IF(0=Element_Stiffness!$E$215,Element_Stiffness!Y241,0)),IF(Element_Stiffness!$E$215=2,IF(0=Element_Stiffness!$C$215,Element_Stiffness!S247,IF(0=Element_Stiffness!$E$215,Element_Stiffness!Y247,0)),0)),0)</f>
        <v/>
      </c>
      <c r="G22" s="21">
        <f>IF(Element_Stiffness!$C$6,IF(Element_Stiffness!$C$5=2,IF(0=Element_Stiffness!$C$5,Element_Stiffness!T31,IF(0=Element_Stiffness!$E$5,Element_Stiffness!Z31,0)),IF(Element_Stiffness!$E$5=2,IF(0=Element_Stiffness!$C$5,Element_Stiffness!T37,IF(0=Element_Stiffness!$E$5,Element_Stiffness!Z37,0)),0)),0)+IF(Element_Stiffness!$C$41,IF(Element_Stiffness!$C$40=2,IF(0=Element_Stiffness!$C$40,Element_Stiffness!T66,IF(0=Element_Stiffness!$E$40,Element_Stiffness!Z66,0)),IF(Element_Stiffness!$E$40=2,IF(0=Element_Stiffness!$C$40,Element_Stiffness!T72,IF(0=Element_Stiffness!$E$40,Element_Stiffness!Z72,0)),0)),0)+IF(Element_Stiffness!$C$76,IF(Element_Stiffness!$C$75=2,IF(0=Element_Stiffness!$C$75,Element_Stiffness!T101,IF(0=Element_Stiffness!$E$75,Element_Stiffness!Z101,0)),IF(Element_Stiffness!$E$75=2,IF(0=Element_Stiffness!$C$75,Element_Stiffness!T107,IF(0=Element_Stiffness!$E$75,Element_Stiffness!Z107,0)),0)),0)+IF(Element_Stiffness!$C$111,IF(Element_Stiffness!$C$110=2,IF(0=Element_Stiffness!$C$110,Element_Stiffness!T136,IF(0=Element_Stiffness!$E$110,Element_Stiffness!Z136,0)),IF(Element_Stiffness!$E$110=2,IF(0=Element_Stiffness!$C$110,Element_Stiffness!T142,IF(0=Element_Stiffness!$E$110,Element_Stiffness!Z142,0)),0)),0)+IF(Element_Stiffness!$C$146,IF(Element_Stiffness!$C$145=2,IF(0=Element_Stiffness!$C$145,Element_Stiffness!T171,IF(0=Element_Stiffness!$E$145,Element_Stiffness!Z171,0)),IF(Element_Stiffness!$E$145=2,IF(0=Element_Stiffness!$C$145,Element_Stiffness!T177,IF(0=Element_Stiffness!$E$145,Element_Stiffness!Z177,0)),0)),0)+IF(Element_Stiffness!$C$181,IF(Element_Stiffness!$C$180=2,IF(0=Element_Stiffness!$C$180,Element_Stiffness!T206,IF(0=Element_Stiffness!$E$180,Element_Stiffness!Z206,0)),IF(Element_Stiffness!$E$180=2,IF(0=Element_Stiffness!$C$180,Element_Stiffness!T212,IF(0=Element_Stiffness!$E$180,Element_Stiffness!Z212,0)),0)),0)+IF(Element_Stiffness!$C$216,IF(Element_Stiffness!$C$215=2,IF(0=Element_Stiffness!$C$215,Element_Stiffness!T241,IF(0=Element_Stiffness!$E$215,Element_Stiffness!Z241,0)),IF(Element_Stiffness!$E$215=2,IF(0=Element_Stiffness!$C$215,Element_Stiffness!T247,IF(0=Element_Stiffness!$E$215,Element_Stiffness!Z247,0)),0)),0)</f>
        <v/>
      </c>
      <c r="H22" s="21">
        <f>IF(Element_Stiffness!$C$6,IF(Element_Stiffness!$C$5=2,IF(0=Element_Stiffness!$C$5,Element_Stiffness!U31,IF(0=Element_Stiffness!$E$5,Element_Stiffness!AA31,0)),IF(Element_Stiffness!$E$5=2,IF(0=Element_Stiffness!$C$5,Element_Stiffness!U37,IF(0=Element_Stiffness!$E$5,Element_Stiffness!AA37,0)),0)),0)+IF(Element_Stiffness!$C$41,IF(Element_Stiffness!$C$40=2,IF(0=Element_Stiffness!$C$40,Element_Stiffness!U66,IF(0=Element_Stiffness!$E$40,Element_Stiffness!AA66,0)),IF(Element_Stiffness!$E$40=2,IF(0=Element_Stiffness!$C$40,Element_Stiffness!U72,IF(0=Element_Stiffness!$E$40,Element_Stiffness!AA72,0)),0)),0)+IF(Element_Stiffness!$C$76,IF(Element_Stiffness!$C$75=2,IF(0=Element_Stiffness!$C$75,Element_Stiffness!U101,IF(0=Element_Stiffness!$E$75,Element_Stiffness!AA101,0)),IF(Element_Stiffness!$E$75=2,IF(0=Element_Stiffness!$C$75,Element_Stiffness!U107,IF(0=Element_Stiffness!$E$75,Element_Stiffness!AA107,0)),0)),0)+IF(Element_Stiffness!$C$111,IF(Element_Stiffness!$C$110=2,IF(0=Element_Stiffness!$C$110,Element_Stiffness!U136,IF(0=Element_Stiffness!$E$110,Element_Stiffness!AA136,0)),IF(Element_Stiffness!$E$110=2,IF(0=Element_Stiffness!$C$110,Element_Stiffness!U142,IF(0=Element_Stiffness!$E$110,Element_Stiffness!AA142,0)),0)),0)+IF(Element_Stiffness!$C$146,IF(Element_Stiffness!$C$145=2,IF(0=Element_Stiffness!$C$145,Element_Stiffness!U171,IF(0=Element_Stiffness!$E$145,Element_Stiffness!AA171,0)),IF(Element_Stiffness!$E$145=2,IF(0=Element_Stiffness!$C$145,Element_Stiffness!U177,IF(0=Element_Stiffness!$E$145,Element_Stiffness!AA177,0)),0)),0)+IF(Element_Stiffness!$C$181,IF(Element_Stiffness!$C$180=2,IF(0=Element_Stiffness!$C$180,Element_Stiffness!U206,IF(0=Element_Stiffness!$E$180,Element_Stiffness!AA206,0)),IF(Element_Stiffness!$E$180=2,IF(0=Element_Stiffness!$C$180,Element_Stiffness!U212,IF(0=Element_Stiffness!$E$180,Element_Stiffness!AA212,0)),0)),0)+IF(Element_Stiffness!$C$216,IF(Element_Stiffness!$C$215=2,IF(0=Element_Stiffness!$C$215,Element_Stiffness!U241,IF(0=Element_Stiffness!$E$215,Element_Stiffness!AA241,0)),IF(Element_Stiffness!$E$215=2,IF(0=Element_Stiffness!$C$215,Element_Stiffness!U247,IF(0=Element_Stiffness!$E$215,Element_Stiffness!AA247,0)),0)),0)</f>
        <v/>
      </c>
      <c r="I22" s="21">
        <f>IF(Element_Stiffness!$C$6,IF(Element_Stiffness!$C$5=2,IF(1=Element_Stiffness!$C$5,Element_Stiffness!P31,IF(1=Element_Stiffness!$E$5,Element_Stiffness!V31,0)),IF(Element_Stiffness!$E$5=2,IF(1=Element_Stiffness!$C$5,Element_Stiffness!P37,IF(1=Element_Stiffness!$E$5,Element_Stiffness!V37,0)),0)),0)+IF(Element_Stiffness!$C$41,IF(Element_Stiffness!$C$40=2,IF(1=Element_Stiffness!$C$40,Element_Stiffness!P66,IF(1=Element_Stiffness!$E$40,Element_Stiffness!V66,0)),IF(Element_Stiffness!$E$40=2,IF(1=Element_Stiffness!$C$40,Element_Stiffness!P72,IF(1=Element_Stiffness!$E$40,Element_Stiffness!V72,0)),0)),0)+IF(Element_Stiffness!$C$76,IF(Element_Stiffness!$C$75=2,IF(1=Element_Stiffness!$C$75,Element_Stiffness!P101,IF(1=Element_Stiffness!$E$75,Element_Stiffness!V101,0)),IF(Element_Stiffness!$E$75=2,IF(1=Element_Stiffness!$C$75,Element_Stiffness!P107,IF(1=Element_Stiffness!$E$75,Element_Stiffness!V107,0)),0)),0)+IF(Element_Stiffness!$C$111,IF(Element_Stiffness!$C$110=2,IF(1=Element_Stiffness!$C$110,Element_Stiffness!P136,IF(1=Element_Stiffness!$E$110,Element_Stiffness!V136,0)),IF(Element_Stiffness!$E$110=2,IF(1=Element_Stiffness!$C$110,Element_Stiffness!P142,IF(1=Element_Stiffness!$E$110,Element_Stiffness!V142,0)),0)),0)+IF(Element_Stiffness!$C$146,IF(Element_Stiffness!$C$145=2,IF(1=Element_Stiffness!$C$145,Element_Stiffness!P171,IF(1=Element_Stiffness!$E$145,Element_Stiffness!V171,0)),IF(Element_Stiffness!$E$145=2,IF(1=Element_Stiffness!$C$145,Element_Stiffness!P177,IF(1=Element_Stiffness!$E$145,Element_Stiffness!V177,0)),0)),0)+IF(Element_Stiffness!$C$181,IF(Element_Stiffness!$C$180=2,IF(1=Element_Stiffness!$C$180,Element_Stiffness!P206,IF(1=Element_Stiffness!$E$180,Element_Stiffness!V206,0)),IF(Element_Stiffness!$E$180=2,IF(1=Element_Stiffness!$C$180,Element_Stiffness!P212,IF(1=Element_Stiffness!$E$180,Element_Stiffness!V212,0)),0)),0)+IF(Element_Stiffness!$C$216,IF(Element_Stiffness!$C$215=2,IF(1=Element_Stiffness!$C$215,Element_Stiffness!P241,IF(1=Element_Stiffness!$E$215,Element_Stiffness!V241,0)),IF(Element_Stiffness!$E$215=2,IF(1=Element_Stiffness!$C$215,Element_Stiffness!P247,IF(1=Element_Stiffness!$E$215,Element_Stiffness!V247,0)),0)),0)</f>
        <v/>
      </c>
      <c r="J22" s="21">
        <f>IF(Element_Stiffness!$C$6,IF(Element_Stiffness!$C$5=2,IF(1=Element_Stiffness!$C$5,Element_Stiffness!Q31,IF(1=Element_Stiffness!$E$5,Element_Stiffness!W31,0)),IF(Element_Stiffness!$E$5=2,IF(1=Element_Stiffness!$C$5,Element_Stiffness!Q37,IF(1=Element_Stiffness!$E$5,Element_Stiffness!W37,0)),0)),0)+IF(Element_Stiffness!$C$41,IF(Element_Stiffness!$C$40=2,IF(1=Element_Stiffness!$C$40,Element_Stiffness!Q66,IF(1=Element_Stiffness!$E$40,Element_Stiffness!W66,0)),IF(Element_Stiffness!$E$40=2,IF(1=Element_Stiffness!$C$40,Element_Stiffness!Q72,IF(1=Element_Stiffness!$E$40,Element_Stiffness!W72,0)),0)),0)+IF(Element_Stiffness!$C$76,IF(Element_Stiffness!$C$75=2,IF(1=Element_Stiffness!$C$75,Element_Stiffness!Q101,IF(1=Element_Stiffness!$E$75,Element_Stiffness!W101,0)),IF(Element_Stiffness!$E$75=2,IF(1=Element_Stiffness!$C$75,Element_Stiffness!Q107,IF(1=Element_Stiffness!$E$75,Element_Stiffness!W107,0)),0)),0)+IF(Element_Stiffness!$C$111,IF(Element_Stiffness!$C$110=2,IF(1=Element_Stiffness!$C$110,Element_Stiffness!Q136,IF(1=Element_Stiffness!$E$110,Element_Stiffness!W136,0)),IF(Element_Stiffness!$E$110=2,IF(1=Element_Stiffness!$C$110,Element_Stiffness!Q142,IF(1=Element_Stiffness!$E$110,Element_Stiffness!W142,0)),0)),0)+IF(Element_Stiffness!$C$146,IF(Element_Stiffness!$C$145=2,IF(1=Element_Stiffness!$C$145,Element_Stiffness!Q171,IF(1=Element_Stiffness!$E$145,Element_Stiffness!W171,0)),IF(Element_Stiffness!$E$145=2,IF(1=Element_Stiffness!$C$145,Element_Stiffness!Q177,IF(1=Element_Stiffness!$E$145,Element_Stiffness!W177,0)),0)),0)+IF(Element_Stiffness!$C$181,IF(Element_Stiffness!$C$180=2,IF(1=Element_Stiffness!$C$180,Element_Stiffness!Q206,IF(1=Element_Stiffness!$E$180,Element_Stiffness!W206,0)),IF(Element_Stiffness!$E$180=2,IF(1=Element_Stiffness!$C$180,Element_Stiffness!Q212,IF(1=Element_Stiffness!$E$180,Element_Stiffness!W212,0)),0)),0)+IF(Element_Stiffness!$C$216,IF(Element_Stiffness!$C$215=2,IF(1=Element_Stiffness!$C$215,Element_Stiffness!Q241,IF(1=Element_Stiffness!$E$215,Element_Stiffness!W241,0)),IF(Element_Stiffness!$E$215=2,IF(1=Element_Stiffness!$C$215,Element_Stiffness!Q247,IF(1=Element_Stiffness!$E$215,Element_Stiffness!W247,0)),0)),0)</f>
        <v/>
      </c>
      <c r="K22" s="21">
        <f>IF(Element_Stiffness!$C$6,IF(Element_Stiffness!$C$5=2,IF(1=Element_Stiffness!$C$5,Element_Stiffness!R31,IF(1=Element_Stiffness!$E$5,Element_Stiffness!X31,0)),IF(Element_Stiffness!$E$5=2,IF(1=Element_Stiffness!$C$5,Element_Stiffness!R37,IF(1=Element_Stiffness!$E$5,Element_Stiffness!X37,0)),0)),0)+IF(Element_Stiffness!$C$41,IF(Element_Stiffness!$C$40=2,IF(1=Element_Stiffness!$C$40,Element_Stiffness!R66,IF(1=Element_Stiffness!$E$40,Element_Stiffness!X66,0)),IF(Element_Stiffness!$E$40=2,IF(1=Element_Stiffness!$C$40,Element_Stiffness!R72,IF(1=Element_Stiffness!$E$40,Element_Stiffness!X72,0)),0)),0)+IF(Element_Stiffness!$C$76,IF(Element_Stiffness!$C$75=2,IF(1=Element_Stiffness!$C$75,Element_Stiffness!R101,IF(1=Element_Stiffness!$E$75,Element_Stiffness!X101,0)),IF(Element_Stiffness!$E$75=2,IF(1=Element_Stiffness!$C$75,Element_Stiffness!R107,IF(1=Element_Stiffness!$E$75,Element_Stiffness!X107,0)),0)),0)+IF(Element_Stiffness!$C$111,IF(Element_Stiffness!$C$110=2,IF(1=Element_Stiffness!$C$110,Element_Stiffness!R136,IF(1=Element_Stiffness!$E$110,Element_Stiffness!X136,0)),IF(Element_Stiffness!$E$110=2,IF(1=Element_Stiffness!$C$110,Element_Stiffness!R142,IF(1=Element_Stiffness!$E$110,Element_Stiffness!X142,0)),0)),0)+IF(Element_Stiffness!$C$146,IF(Element_Stiffness!$C$145=2,IF(1=Element_Stiffness!$C$145,Element_Stiffness!R171,IF(1=Element_Stiffness!$E$145,Element_Stiffness!X171,0)),IF(Element_Stiffness!$E$145=2,IF(1=Element_Stiffness!$C$145,Element_Stiffness!R177,IF(1=Element_Stiffness!$E$145,Element_Stiffness!X177,0)),0)),0)+IF(Element_Stiffness!$C$181,IF(Element_Stiffness!$C$180=2,IF(1=Element_Stiffness!$C$180,Element_Stiffness!R206,IF(1=Element_Stiffness!$E$180,Element_Stiffness!X206,0)),IF(Element_Stiffness!$E$180=2,IF(1=Element_Stiffness!$C$180,Element_Stiffness!R212,IF(1=Element_Stiffness!$E$180,Element_Stiffness!X212,0)),0)),0)+IF(Element_Stiffness!$C$216,IF(Element_Stiffness!$C$215=2,IF(1=Element_Stiffness!$C$215,Element_Stiffness!R241,IF(1=Element_Stiffness!$E$215,Element_Stiffness!X241,0)),IF(Element_Stiffness!$E$215=2,IF(1=Element_Stiffness!$C$215,Element_Stiffness!R247,IF(1=Element_Stiffness!$E$215,Element_Stiffness!X247,0)),0)),0)</f>
        <v/>
      </c>
      <c r="L22" s="21">
        <f>IF(Element_Stiffness!$C$6,IF(Element_Stiffness!$C$5=2,IF(1=Element_Stiffness!$C$5,Element_Stiffness!S31,IF(1=Element_Stiffness!$E$5,Element_Stiffness!Y31,0)),IF(Element_Stiffness!$E$5=2,IF(1=Element_Stiffness!$C$5,Element_Stiffness!S37,IF(1=Element_Stiffness!$E$5,Element_Stiffness!Y37,0)),0)),0)+IF(Element_Stiffness!$C$41,IF(Element_Stiffness!$C$40=2,IF(1=Element_Stiffness!$C$40,Element_Stiffness!S66,IF(1=Element_Stiffness!$E$40,Element_Stiffness!Y66,0)),IF(Element_Stiffness!$E$40=2,IF(1=Element_Stiffness!$C$40,Element_Stiffness!S72,IF(1=Element_Stiffness!$E$40,Element_Stiffness!Y72,0)),0)),0)+IF(Element_Stiffness!$C$76,IF(Element_Stiffness!$C$75=2,IF(1=Element_Stiffness!$C$75,Element_Stiffness!S101,IF(1=Element_Stiffness!$E$75,Element_Stiffness!Y101,0)),IF(Element_Stiffness!$E$75=2,IF(1=Element_Stiffness!$C$75,Element_Stiffness!S107,IF(1=Element_Stiffness!$E$75,Element_Stiffness!Y107,0)),0)),0)+IF(Element_Stiffness!$C$111,IF(Element_Stiffness!$C$110=2,IF(1=Element_Stiffness!$C$110,Element_Stiffness!S136,IF(1=Element_Stiffness!$E$110,Element_Stiffness!Y136,0)),IF(Element_Stiffness!$E$110=2,IF(1=Element_Stiffness!$C$110,Element_Stiffness!S142,IF(1=Element_Stiffness!$E$110,Element_Stiffness!Y142,0)),0)),0)+IF(Element_Stiffness!$C$146,IF(Element_Stiffness!$C$145=2,IF(1=Element_Stiffness!$C$145,Element_Stiffness!S171,IF(1=Element_Stiffness!$E$145,Element_Stiffness!Y171,0)),IF(Element_Stiffness!$E$145=2,IF(1=Element_Stiffness!$C$145,Element_Stiffness!S177,IF(1=Element_Stiffness!$E$145,Element_Stiffness!Y177,0)),0)),0)+IF(Element_Stiffness!$C$181,IF(Element_Stiffness!$C$180=2,IF(1=Element_Stiffness!$C$180,Element_Stiffness!S206,IF(1=Element_Stiffness!$E$180,Element_Stiffness!Y206,0)),IF(Element_Stiffness!$E$180=2,IF(1=Element_Stiffness!$C$180,Element_Stiffness!S212,IF(1=Element_Stiffness!$E$180,Element_Stiffness!Y212,0)),0)),0)+IF(Element_Stiffness!$C$216,IF(Element_Stiffness!$C$215=2,IF(1=Element_Stiffness!$C$215,Element_Stiffness!S241,IF(1=Element_Stiffness!$E$215,Element_Stiffness!Y241,0)),IF(Element_Stiffness!$E$215=2,IF(1=Element_Stiffness!$C$215,Element_Stiffness!S247,IF(1=Element_Stiffness!$E$215,Element_Stiffness!Y247,0)),0)),0)</f>
        <v/>
      </c>
      <c r="M22" s="21">
        <f>IF(Element_Stiffness!$C$6,IF(Element_Stiffness!$C$5=2,IF(1=Element_Stiffness!$C$5,Element_Stiffness!T31,IF(1=Element_Stiffness!$E$5,Element_Stiffness!Z31,0)),IF(Element_Stiffness!$E$5=2,IF(1=Element_Stiffness!$C$5,Element_Stiffness!T37,IF(1=Element_Stiffness!$E$5,Element_Stiffness!Z37,0)),0)),0)+IF(Element_Stiffness!$C$41,IF(Element_Stiffness!$C$40=2,IF(1=Element_Stiffness!$C$40,Element_Stiffness!T66,IF(1=Element_Stiffness!$E$40,Element_Stiffness!Z66,0)),IF(Element_Stiffness!$E$40=2,IF(1=Element_Stiffness!$C$40,Element_Stiffness!T72,IF(1=Element_Stiffness!$E$40,Element_Stiffness!Z72,0)),0)),0)+IF(Element_Stiffness!$C$76,IF(Element_Stiffness!$C$75=2,IF(1=Element_Stiffness!$C$75,Element_Stiffness!T101,IF(1=Element_Stiffness!$E$75,Element_Stiffness!Z101,0)),IF(Element_Stiffness!$E$75=2,IF(1=Element_Stiffness!$C$75,Element_Stiffness!T107,IF(1=Element_Stiffness!$E$75,Element_Stiffness!Z107,0)),0)),0)+IF(Element_Stiffness!$C$111,IF(Element_Stiffness!$C$110=2,IF(1=Element_Stiffness!$C$110,Element_Stiffness!T136,IF(1=Element_Stiffness!$E$110,Element_Stiffness!Z136,0)),IF(Element_Stiffness!$E$110=2,IF(1=Element_Stiffness!$C$110,Element_Stiffness!T142,IF(1=Element_Stiffness!$E$110,Element_Stiffness!Z142,0)),0)),0)+IF(Element_Stiffness!$C$146,IF(Element_Stiffness!$C$145=2,IF(1=Element_Stiffness!$C$145,Element_Stiffness!T171,IF(1=Element_Stiffness!$E$145,Element_Stiffness!Z171,0)),IF(Element_Stiffness!$E$145=2,IF(1=Element_Stiffness!$C$145,Element_Stiffness!T177,IF(1=Element_Stiffness!$E$145,Element_Stiffness!Z177,0)),0)),0)+IF(Element_Stiffness!$C$181,IF(Element_Stiffness!$C$180=2,IF(1=Element_Stiffness!$C$180,Element_Stiffness!T206,IF(1=Element_Stiffness!$E$180,Element_Stiffness!Z206,0)),IF(Element_Stiffness!$E$180=2,IF(1=Element_Stiffness!$C$180,Element_Stiffness!T212,IF(1=Element_Stiffness!$E$180,Element_Stiffness!Z212,0)),0)),0)+IF(Element_Stiffness!$C$216,IF(Element_Stiffness!$C$215=2,IF(1=Element_Stiffness!$C$215,Element_Stiffness!T241,IF(1=Element_Stiffness!$E$215,Element_Stiffness!Z241,0)),IF(Element_Stiffness!$E$215=2,IF(1=Element_Stiffness!$C$215,Element_Stiffness!T247,IF(1=Element_Stiffness!$E$215,Element_Stiffness!Z247,0)),0)),0)</f>
        <v/>
      </c>
      <c r="N22" s="21">
        <f>IF(Element_Stiffness!$C$6,IF(Element_Stiffness!$C$5=2,IF(1=Element_Stiffness!$C$5,Element_Stiffness!U31,IF(1=Element_Stiffness!$E$5,Element_Stiffness!AA31,0)),IF(Element_Stiffness!$E$5=2,IF(1=Element_Stiffness!$C$5,Element_Stiffness!U37,IF(1=Element_Stiffness!$E$5,Element_Stiffness!AA37,0)),0)),0)+IF(Element_Stiffness!$C$41,IF(Element_Stiffness!$C$40=2,IF(1=Element_Stiffness!$C$40,Element_Stiffness!U66,IF(1=Element_Stiffness!$E$40,Element_Stiffness!AA66,0)),IF(Element_Stiffness!$E$40=2,IF(1=Element_Stiffness!$C$40,Element_Stiffness!U72,IF(1=Element_Stiffness!$E$40,Element_Stiffness!AA72,0)),0)),0)+IF(Element_Stiffness!$C$76,IF(Element_Stiffness!$C$75=2,IF(1=Element_Stiffness!$C$75,Element_Stiffness!U101,IF(1=Element_Stiffness!$E$75,Element_Stiffness!AA101,0)),IF(Element_Stiffness!$E$75=2,IF(1=Element_Stiffness!$C$75,Element_Stiffness!U107,IF(1=Element_Stiffness!$E$75,Element_Stiffness!AA107,0)),0)),0)+IF(Element_Stiffness!$C$111,IF(Element_Stiffness!$C$110=2,IF(1=Element_Stiffness!$C$110,Element_Stiffness!U136,IF(1=Element_Stiffness!$E$110,Element_Stiffness!AA136,0)),IF(Element_Stiffness!$E$110=2,IF(1=Element_Stiffness!$C$110,Element_Stiffness!U142,IF(1=Element_Stiffness!$E$110,Element_Stiffness!AA142,0)),0)),0)+IF(Element_Stiffness!$C$146,IF(Element_Stiffness!$C$145=2,IF(1=Element_Stiffness!$C$145,Element_Stiffness!U171,IF(1=Element_Stiffness!$E$145,Element_Stiffness!AA171,0)),IF(Element_Stiffness!$E$145=2,IF(1=Element_Stiffness!$C$145,Element_Stiffness!U177,IF(1=Element_Stiffness!$E$145,Element_Stiffness!AA177,0)),0)),0)+IF(Element_Stiffness!$C$181,IF(Element_Stiffness!$C$180=2,IF(1=Element_Stiffness!$C$180,Element_Stiffness!U206,IF(1=Element_Stiffness!$E$180,Element_Stiffness!AA206,0)),IF(Element_Stiffness!$E$180=2,IF(1=Element_Stiffness!$C$180,Element_Stiffness!U212,IF(1=Element_Stiffness!$E$180,Element_Stiffness!AA212,0)),0)),0)+IF(Element_Stiffness!$C$216,IF(Element_Stiffness!$C$215=2,IF(1=Element_Stiffness!$C$215,Element_Stiffness!U241,IF(1=Element_Stiffness!$E$215,Element_Stiffness!AA241,0)),IF(Element_Stiffness!$E$215=2,IF(1=Element_Stiffness!$C$215,Element_Stiffness!U247,IF(1=Element_Stiffness!$E$215,Element_Stiffness!AA247,0)),0)),0)</f>
        <v/>
      </c>
      <c r="O22" s="21">
        <f>IF(Element_Stiffness!$C$6,IF(Element_Stiffness!$C$5=2,IF(2=Element_Stiffness!$C$5,Element_Stiffness!P31,IF(2=Element_Stiffness!$E$5,Element_Stiffness!V31,0)),IF(Element_Stiffness!$E$5=2,IF(2=Element_Stiffness!$C$5,Element_Stiffness!P37,IF(2=Element_Stiffness!$E$5,Element_Stiffness!V37,0)),0)),0)+IF(Element_Stiffness!$C$41,IF(Element_Stiffness!$C$40=2,IF(2=Element_Stiffness!$C$40,Element_Stiffness!P66,IF(2=Element_Stiffness!$E$40,Element_Stiffness!V66,0)),IF(Element_Stiffness!$E$40=2,IF(2=Element_Stiffness!$C$40,Element_Stiffness!P72,IF(2=Element_Stiffness!$E$40,Element_Stiffness!V72,0)),0)),0)+IF(Element_Stiffness!$C$76,IF(Element_Stiffness!$C$75=2,IF(2=Element_Stiffness!$C$75,Element_Stiffness!P101,IF(2=Element_Stiffness!$E$75,Element_Stiffness!V101,0)),IF(Element_Stiffness!$E$75=2,IF(2=Element_Stiffness!$C$75,Element_Stiffness!P107,IF(2=Element_Stiffness!$E$75,Element_Stiffness!V107,0)),0)),0)+IF(Element_Stiffness!$C$111,IF(Element_Stiffness!$C$110=2,IF(2=Element_Stiffness!$C$110,Element_Stiffness!P136,IF(2=Element_Stiffness!$E$110,Element_Stiffness!V136,0)),IF(Element_Stiffness!$E$110=2,IF(2=Element_Stiffness!$C$110,Element_Stiffness!P142,IF(2=Element_Stiffness!$E$110,Element_Stiffness!V142,0)),0)),0)+IF(Element_Stiffness!$C$146,IF(Element_Stiffness!$C$145=2,IF(2=Element_Stiffness!$C$145,Element_Stiffness!P171,IF(2=Element_Stiffness!$E$145,Element_Stiffness!V171,0)),IF(Element_Stiffness!$E$145=2,IF(2=Element_Stiffness!$C$145,Element_Stiffness!P177,IF(2=Element_Stiffness!$E$145,Element_Stiffness!V177,0)),0)),0)+IF(Element_Stiffness!$C$181,IF(Element_Stiffness!$C$180=2,IF(2=Element_Stiffness!$C$180,Element_Stiffness!P206,IF(2=Element_Stiffness!$E$180,Element_Stiffness!V206,0)),IF(Element_Stiffness!$E$180=2,IF(2=Element_Stiffness!$C$180,Element_Stiffness!P212,IF(2=Element_Stiffness!$E$180,Element_Stiffness!V212,0)),0)),0)+IF(Element_Stiffness!$C$216,IF(Element_Stiffness!$C$215=2,IF(2=Element_Stiffness!$C$215,Element_Stiffness!P241,IF(2=Element_Stiffness!$E$215,Element_Stiffness!V241,0)),IF(Element_Stiffness!$E$215=2,IF(2=Element_Stiffness!$C$215,Element_Stiffness!P247,IF(2=Element_Stiffness!$E$215,Element_Stiffness!V247,0)),0)),0)</f>
        <v/>
      </c>
      <c r="P22" s="21">
        <f>IF(Element_Stiffness!$C$6,IF(Element_Stiffness!$C$5=2,IF(2=Element_Stiffness!$C$5,Element_Stiffness!Q31,IF(2=Element_Stiffness!$E$5,Element_Stiffness!W31,0)),IF(Element_Stiffness!$E$5=2,IF(2=Element_Stiffness!$C$5,Element_Stiffness!Q37,IF(2=Element_Stiffness!$E$5,Element_Stiffness!W37,0)),0)),0)+IF(Element_Stiffness!$C$41,IF(Element_Stiffness!$C$40=2,IF(2=Element_Stiffness!$C$40,Element_Stiffness!Q66,IF(2=Element_Stiffness!$E$40,Element_Stiffness!W66,0)),IF(Element_Stiffness!$E$40=2,IF(2=Element_Stiffness!$C$40,Element_Stiffness!Q72,IF(2=Element_Stiffness!$E$40,Element_Stiffness!W72,0)),0)),0)+IF(Element_Stiffness!$C$76,IF(Element_Stiffness!$C$75=2,IF(2=Element_Stiffness!$C$75,Element_Stiffness!Q101,IF(2=Element_Stiffness!$E$75,Element_Stiffness!W101,0)),IF(Element_Stiffness!$E$75=2,IF(2=Element_Stiffness!$C$75,Element_Stiffness!Q107,IF(2=Element_Stiffness!$E$75,Element_Stiffness!W107,0)),0)),0)+IF(Element_Stiffness!$C$111,IF(Element_Stiffness!$C$110=2,IF(2=Element_Stiffness!$C$110,Element_Stiffness!Q136,IF(2=Element_Stiffness!$E$110,Element_Stiffness!W136,0)),IF(Element_Stiffness!$E$110=2,IF(2=Element_Stiffness!$C$110,Element_Stiffness!Q142,IF(2=Element_Stiffness!$E$110,Element_Stiffness!W142,0)),0)),0)+IF(Element_Stiffness!$C$146,IF(Element_Stiffness!$C$145=2,IF(2=Element_Stiffness!$C$145,Element_Stiffness!Q171,IF(2=Element_Stiffness!$E$145,Element_Stiffness!W171,0)),IF(Element_Stiffness!$E$145=2,IF(2=Element_Stiffness!$C$145,Element_Stiffness!Q177,IF(2=Element_Stiffness!$E$145,Element_Stiffness!W177,0)),0)),0)+IF(Element_Stiffness!$C$181,IF(Element_Stiffness!$C$180=2,IF(2=Element_Stiffness!$C$180,Element_Stiffness!Q206,IF(2=Element_Stiffness!$E$180,Element_Stiffness!W206,0)),IF(Element_Stiffness!$E$180=2,IF(2=Element_Stiffness!$C$180,Element_Stiffness!Q212,IF(2=Element_Stiffness!$E$180,Element_Stiffness!W212,0)),0)),0)+IF(Element_Stiffness!$C$216,IF(Element_Stiffness!$C$215=2,IF(2=Element_Stiffness!$C$215,Element_Stiffness!Q241,IF(2=Element_Stiffness!$E$215,Element_Stiffness!W241,0)),IF(Element_Stiffness!$E$215=2,IF(2=Element_Stiffness!$C$215,Element_Stiffness!Q247,IF(2=Element_Stiffness!$E$215,Element_Stiffness!W247,0)),0)),0)</f>
        <v/>
      </c>
      <c r="Q22" s="21">
        <f>IF(Element_Stiffness!$C$6,IF(Element_Stiffness!$C$5=2,IF(2=Element_Stiffness!$C$5,Element_Stiffness!R31,IF(2=Element_Stiffness!$E$5,Element_Stiffness!X31,0)),IF(Element_Stiffness!$E$5=2,IF(2=Element_Stiffness!$C$5,Element_Stiffness!R37,IF(2=Element_Stiffness!$E$5,Element_Stiffness!X37,0)),0)),0)+IF(Element_Stiffness!$C$41,IF(Element_Stiffness!$C$40=2,IF(2=Element_Stiffness!$C$40,Element_Stiffness!R66,IF(2=Element_Stiffness!$E$40,Element_Stiffness!X66,0)),IF(Element_Stiffness!$E$40=2,IF(2=Element_Stiffness!$C$40,Element_Stiffness!R72,IF(2=Element_Stiffness!$E$40,Element_Stiffness!X72,0)),0)),0)+IF(Element_Stiffness!$C$76,IF(Element_Stiffness!$C$75=2,IF(2=Element_Stiffness!$C$75,Element_Stiffness!R101,IF(2=Element_Stiffness!$E$75,Element_Stiffness!X101,0)),IF(Element_Stiffness!$E$75=2,IF(2=Element_Stiffness!$C$75,Element_Stiffness!R107,IF(2=Element_Stiffness!$E$75,Element_Stiffness!X107,0)),0)),0)+IF(Element_Stiffness!$C$111,IF(Element_Stiffness!$C$110=2,IF(2=Element_Stiffness!$C$110,Element_Stiffness!R136,IF(2=Element_Stiffness!$E$110,Element_Stiffness!X136,0)),IF(Element_Stiffness!$E$110=2,IF(2=Element_Stiffness!$C$110,Element_Stiffness!R142,IF(2=Element_Stiffness!$E$110,Element_Stiffness!X142,0)),0)),0)+IF(Element_Stiffness!$C$146,IF(Element_Stiffness!$C$145=2,IF(2=Element_Stiffness!$C$145,Element_Stiffness!R171,IF(2=Element_Stiffness!$E$145,Element_Stiffness!X171,0)),IF(Element_Stiffness!$E$145=2,IF(2=Element_Stiffness!$C$145,Element_Stiffness!R177,IF(2=Element_Stiffness!$E$145,Element_Stiffness!X177,0)),0)),0)+IF(Element_Stiffness!$C$181,IF(Element_Stiffness!$C$180=2,IF(2=Element_Stiffness!$C$180,Element_Stiffness!R206,IF(2=Element_Stiffness!$E$180,Element_Stiffness!X206,0)),IF(Element_Stiffness!$E$180=2,IF(2=Element_Stiffness!$C$180,Element_Stiffness!R212,IF(2=Element_Stiffness!$E$180,Element_Stiffness!X212,0)),0)),0)+IF(Element_Stiffness!$C$216,IF(Element_Stiffness!$C$215=2,IF(2=Element_Stiffness!$C$215,Element_Stiffness!R241,IF(2=Element_Stiffness!$E$215,Element_Stiffness!X241,0)),IF(Element_Stiffness!$E$215=2,IF(2=Element_Stiffness!$C$215,Element_Stiffness!R247,IF(2=Element_Stiffness!$E$215,Element_Stiffness!X247,0)),0)),0)</f>
        <v/>
      </c>
      <c r="R22" s="21">
        <f>IF(Element_Stiffness!$C$6,IF(Element_Stiffness!$C$5=2,IF(2=Element_Stiffness!$C$5,Element_Stiffness!S31,IF(2=Element_Stiffness!$E$5,Element_Stiffness!Y31,0)),IF(Element_Stiffness!$E$5=2,IF(2=Element_Stiffness!$C$5,Element_Stiffness!S37,IF(2=Element_Stiffness!$E$5,Element_Stiffness!Y37,0)),0)),0)+IF(Element_Stiffness!$C$41,IF(Element_Stiffness!$C$40=2,IF(2=Element_Stiffness!$C$40,Element_Stiffness!S66,IF(2=Element_Stiffness!$E$40,Element_Stiffness!Y66,0)),IF(Element_Stiffness!$E$40=2,IF(2=Element_Stiffness!$C$40,Element_Stiffness!S72,IF(2=Element_Stiffness!$E$40,Element_Stiffness!Y72,0)),0)),0)+IF(Element_Stiffness!$C$76,IF(Element_Stiffness!$C$75=2,IF(2=Element_Stiffness!$C$75,Element_Stiffness!S101,IF(2=Element_Stiffness!$E$75,Element_Stiffness!Y101,0)),IF(Element_Stiffness!$E$75=2,IF(2=Element_Stiffness!$C$75,Element_Stiffness!S107,IF(2=Element_Stiffness!$E$75,Element_Stiffness!Y107,0)),0)),0)+IF(Element_Stiffness!$C$111,IF(Element_Stiffness!$C$110=2,IF(2=Element_Stiffness!$C$110,Element_Stiffness!S136,IF(2=Element_Stiffness!$E$110,Element_Stiffness!Y136,0)),IF(Element_Stiffness!$E$110=2,IF(2=Element_Stiffness!$C$110,Element_Stiffness!S142,IF(2=Element_Stiffness!$E$110,Element_Stiffness!Y142,0)),0)),0)+IF(Element_Stiffness!$C$146,IF(Element_Stiffness!$C$145=2,IF(2=Element_Stiffness!$C$145,Element_Stiffness!S171,IF(2=Element_Stiffness!$E$145,Element_Stiffness!Y171,0)),IF(Element_Stiffness!$E$145=2,IF(2=Element_Stiffness!$C$145,Element_Stiffness!S177,IF(2=Element_Stiffness!$E$145,Element_Stiffness!Y177,0)),0)),0)+IF(Element_Stiffness!$C$181,IF(Element_Stiffness!$C$180=2,IF(2=Element_Stiffness!$C$180,Element_Stiffness!S206,IF(2=Element_Stiffness!$E$180,Element_Stiffness!Y206,0)),IF(Element_Stiffness!$E$180=2,IF(2=Element_Stiffness!$C$180,Element_Stiffness!S212,IF(2=Element_Stiffness!$E$180,Element_Stiffness!Y212,0)),0)),0)+IF(Element_Stiffness!$C$216,IF(Element_Stiffness!$C$215=2,IF(2=Element_Stiffness!$C$215,Element_Stiffness!S241,IF(2=Element_Stiffness!$E$215,Element_Stiffness!Y241,0)),IF(Element_Stiffness!$E$215=2,IF(2=Element_Stiffness!$C$215,Element_Stiffness!S247,IF(2=Element_Stiffness!$E$215,Element_Stiffness!Y247,0)),0)),0)</f>
        <v/>
      </c>
      <c r="S22" s="21">
        <f>IF(Element_Stiffness!$C$6,IF(Element_Stiffness!$C$5=2,IF(2=Element_Stiffness!$C$5,Element_Stiffness!T31,IF(2=Element_Stiffness!$E$5,Element_Stiffness!Z31,0)),IF(Element_Stiffness!$E$5=2,IF(2=Element_Stiffness!$C$5,Element_Stiffness!T37,IF(2=Element_Stiffness!$E$5,Element_Stiffness!Z37,0)),0)),0)+IF(Element_Stiffness!$C$41,IF(Element_Stiffness!$C$40=2,IF(2=Element_Stiffness!$C$40,Element_Stiffness!T66,IF(2=Element_Stiffness!$E$40,Element_Stiffness!Z66,0)),IF(Element_Stiffness!$E$40=2,IF(2=Element_Stiffness!$C$40,Element_Stiffness!T72,IF(2=Element_Stiffness!$E$40,Element_Stiffness!Z72,0)),0)),0)+IF(Element_Stiffness!$C$76,IF(Element_Stiffness!$C$75=2,IF(2=Element_Stiffness!$C$75,Element_Stiffness!T101,IF(2=Element_Stiffness!$E$75,Element_Stiffness!Z101,0)),IF(Element_Stiffness!$E$75=2,IF(2=Element_Stiffness!$C$75,Element_Stiffness!T107,IF(2=Element_Stiffness!$E$75,Element_Stiffness!Z107,0)),0)),0)+IF(Element_Stiffness!$C$111,IF(Element_Stiffness!$C$110=2,IF(2=Element_Stiffness!$C$110,Element_Stiffness!T136,IF(2=Element_Stiffness!$E$110,Element_Stiffness!Z136,0)),IF(Element_Stiffness!$E$110=2,IF(2=Element_Stiffness!$C$110,Element_Stiffness!T142,IF(2=Element_Stiffness!$E$110,Element_Stiffness!Z142,0)),0)),0)+IF(Element_Stiffness!$C$146,IF(Element_Stiffness!$C$145=2,IF(2=Element_Stiffness!$C$145,Element_Stiffness!T171,IF(2=Element_Stiffness!$E$145,Element_Stiffness!Z171,0)),IF(Element_Stiffness!$E$145=2,IF(2=Element_Stiffness!$C$145,Element_Stiffness!T177,IF(2=Element_Stiffness!$E$145,Element_Stiffness!Z177,0)),0)),0)+IF(Element_Stiffness!$C$181,IF(Element_Stiffness!$C$180=2,IF(2=Element_Stiffness!$C$180,Element_Stiffness!T206,IF(2=Element_Stiffness!$E$180,Element_Stiffness!Z206,0)),IF(Element_Stiffness!$E$180=2,IF(2=Element_Stiffness!$C$180,Element_Stiffness!T212,IF(2=Element_Stiffness!$E$180,Element_Stiffness!Z212,0)),0)),0)+IF(Element_Stiffness!$C$216,IF(Element_Stiffness!$C$215=2,IF(2=Element_Stiffness!$C$215,Element_Stiffness!T241,IF(2=Element_Stiffness!$E$215,Element_Stiffness!Z241,0)),IF(Element_Stiffness!$E$215=2,IF(2=Element_Stiffness!$C$215,Element_Stiffness!T247,IF(2=Element_Stiffness!$E$215,Element_Stiffness!Z247,0)),0)),0)</f>
        <v/>
      </c>
      <c r="T22" s="21">
        <f>IF(Element_Stiffness!$C$6,IF(Element_Stiffness!$C$5=2,IF(2=Element_Stiffness!$C$5,Element_Stiffness!U31,IF(2=Element_Stiffness!$E$5,Element_Stiffness!AA31,0)),IF(Element_Stiffness!$E$5=2,IF(2=Element_Stiffness!$C$5,Element_Stiffness!U37,IF(2=Element_Stiffness!$E$5,Element_Stiffness!AA37,0)),0)),0)+IF(Element_Stiffness!$C$41,IF(Element_Stiffness!$C$40=2,IF(2=Element_Stiffness!$C$40,Element_Stiffness!U66,IF(2=Element_Stiffness!$E$40,Element_Stiffness!AA66,0)),IF(Element_Stiffness!$E$40=2,IF(2=Element_Stiffness!$C$40,Element_Stiffness!U72,IF(2=Element_Stiffness!$E$40,Element_Stiffness!AA72,0)),0)),0)+IF(Element_Stiffness!$C$76,IF(Element_Stiffness!$C$75=2,IF(2=Element_Stiffness!$C$75,Element_Stiffness!U101,IF(2=Element_Stiffness!$E$75,Element_Stiffness!AA101,0)),IF(Element_Stiffness!$E$75=2,IF(2=Element_Stiffness!$C$75,Element_Stiffness!U107,IF(2=Element_Stiffness!$E$75,Element_Stiffness!AA107,0)),0)),0)+IF(Element_Stiffness!$C$111,IF(Element_Stiffness!$C$110=2,IF(2=Element_Stiffness!$C$110,Element_Stiffness!U136,IF(2=Element_Stiffness!$E$110,Element_Stiffness!AA136,0)),IF(Element_Stiffness!$E$110=2,IF(2=Element_Stiffness!$C$110,Element_Stiffness!U142,IF(2=Element_Stiffness!$E$110,Element_Stiffness!AA142,0)),0)),0)+IF(Element_Stiffness!$C$146,IF(Element_Stiffness!$C$145=2,IF(2=Element_Stiffness!$C$145,Element_Stiffness!U171,IF(2=Element_Stiffness!$E$145,Element_Stiffness!AA171,0)),IF(Element_Stiffness!$E$145=2,IF(2=Element_Stiffness!$C$145,Element_Stiffness!U177,IF(2=Element_Stiffness!$E$145,Element_Stiffness!AA177,0)),0)),0)+IF(Element_Stiffness!$C$181,IF(Element_Stiffness!$C$180=2,IF(2=Element_Stiffness!$C$180,Element_Stiffness!U206,IF(2=Element_Stiffness!$E$180,Element_Stiffness!AA206,0)),IF(Element_Stiffness!$E$180=2,IF(2=Element_Stiffness!$C$180,Element_Stiffness!U212,IF(2=Element_Stiffness!$E$180,Element_Stiffness!AA212,0)),0)),0)+IF(Element_Stiffness!$C$216,IF(Element_Stiffness!$C$215=2,IF(2=Element_Stiffness!$C$215,Element_Stiffness!U241,IF(2=Element_Stiffness!$E$215,Element_Stiffness!AA241,0)),IF(Element_Stiffness!$E$215=2,IF(2=Element_Stiffness!$C$215,Element_Stiffness!U247,IF(2=Element_Stiffness!$E$215,Element_Stiffness!AA247,0)),0)),0)+IF(Inputs!H42=TRUE,1E15,IF(ISNUMBER(Inputs!H42),Inputs!H42,0))</f>
        <v/>
      </c>
      <c r="U22" s="21">
        <f>IF(Element_Stiffness!$C$6,IF(Element_Stiffness!$C$5=2,IF(3=Element_Stiffness!$C$5,Element_Stiffness!P31,IF(3=Element_Stiffness!$E$5,Element_Stiffness!V31,0)),IF(Element_Stiffness!$E$5=2,IF(3=Element_Stiffness!$C$5,Element_Stiffness!P37,IF(3=Element_Stiffness!$E$5,Element_Stiffness!V37,0)),0)),0)+IF(Element_Stiffness!$C$41,IF(Element_Stiffness!$C$40=2,IF(3=Element_Stiffness!$C$40,Element_Stiffness!P66,IF(3=Element_Stiffness!$E$40,Element_Stiffness!V66,0)),IF(Element_Stiffness!$E$40=2,IF(3=Element_Stiffness!$C$40,Element_Stiffness!P72,IF(3=Element_Stiffness!$E$40,Element_Stiffness!V72,0)),0)),0)+IF(Element_Stiffness!$C$76,IF(Element_Stiffness!$C$75=2,IF(3=Element_Stiffness!$C$75,Element_Stiffness!P101,IF(3=Element_Stiffness!$E$75,Element_Stiffness!V101,0)),IF(Element_Stiffness!$E$75=2,IF(3=Element_Stiffness!$C$75,Element_Stiffness!P107,IF(3=Element_Stiffness!$E$75,Element_Stiffness!V107,0)),0)),0)+IF(Element_Stiffness!$C$111,IF(Element_Stiffness!$C$110=2,IF(3=Element_Stiffness!$C$110,Element_Stiffness!P136,IF(3=Element_Stiffness!$E$110,Element_Stiffness!V136,0)),IF(Element_Stiffness!$E$110=2,IF(3=Element_Stiffness!$C$110,Element_Stiffness!P142,IF(3=Element_Stiffness!$E$110,Element_Stiffness!V142,0)),0)),0)+IF(Element_Stiffness!$C$146,IF(Element_Stiffness!$C$145=2,IF(3=Element_Stiffness!$C$145,Element_Stiffness!P171,IF(3=Element_Stiffness!$E$145,Element_Stiffness!V171,0)),IF(Element_Stiffness!$E$145=2,IF(3=Element_Stiffness!$C$145,Element_Stiffness!P177,IF(3=Element_Stiffness!$E$145,Element_Stiffness!V177,0)),0)),0)+IF(Element_Stiffness!$C$181,IF(Element_Stiffness!$C$180=2,IF(3=Element_Stiffness!$C$180,Element_Stiffness!P206,IF(3=Element_Stiffness!$E$180,Element_Stiffness!V206,0)),IF(Element_Stiffness!$E$180=2,IF(3=Element_Stiffness!$C$180,Element_Stiffness!P212,IF(3=Element_Stiffness!$E$180,Element_Stiffness!V212,0)),0)),0)+IF(Element_Stiffness!$C$216,IF(Element_Stiffness!$C$215=2,IF(3=Element_Stiffness!$C$215,Element_Stiffness!P241,IF(3=Element_Stiffness!$E$215,Element_Stiffness!V241,0)),IF(Element_Stiffness!$E$215=2,IF(3=Element_Stiffness!$C$215,Element_Stiffness!P247,IF(3=Element_Stiffness!$E$215,Element_Stiffness!V247,0)),0)),0)</f>
        <v/>
      </c>
      <c r="V22" s="21">
        <f>IF(Element_Stiffness!$C$6,IF(Element_Stiffness!$C$5=2,IF(3=Element_Stiffness!$C$5,Element_Stiffness!Q31,IF(3=Element_Stiffness!$E$5,Element_Stiffness!W31,0)),IF(Element_Stiffness!$E$5=2,IF(3=Element_Stiffness!$C$5,Element_Stiffness!Q37,IF(3=Element_Stiffness!$E$5,Element_Stiffness!W37,0)),0)),0)+IF(Element_Stiffness!$C$41,IF(Element_Stiffness!$C$40=2,IF(3=Element_Stiffness!$C$40,Element_Stiffness!Q66,IF(3=Element_Stiffness!$E$40,Element_Stiffness!W66,0)),IF(Element_Stiffness!$E$40=2,IF(3=Element_Stiffness!$C$40,Element_Stiffness!Q72,IF(3=Element_Stiffness!$E$40,Element_Stiffness!W72,0)),0)),0)+IF(Element_Stiffness!$C$76,IF(Element_Stiffness!$C$75=2,IF(3=Element_Stiffness!$C$75,Element_Stiffness!Q101,IF(3=Element_Stiffness!$E$75,Element_Stiffness!W101,0)),IF(Element_Stiffness!$E$75=2,IF(3=Element_Stiffness!$C$75,Element_Stiffness!Q107,IF(3=Element_Stiffness!$E$75,Element_Stiffness!W107,0)),0)),0)+IF(Element_Stiffness!$C$111,IF(Element_Stiffness!$C$110=2,IF(3=Element_Stiffness!$C$110,Element_Stiffness!Q136,IF(3=Element_Stiffness!$E$110,Element_Stiffness!W136,0)),IF(Element_Stiffness!$E$110=2,IF(3=Element_Stiffness!$C$110,Element_Stiffness!Q142,IF(3=Element_Stiffness!$E$110,Element_Stiffness!W142,0)),0)),0)+IF(Element_Stiffness!$C$146,IF(Element_Stiffness!$C$145=2,IF(3=Element_Stiffness!$C$145,Element_Stiffness!Q171,IF(3=Element_Stiffness!$E$145,Element_Stiffness!W171,0)),IF(Element_Stiffness!$E$145=2,IF(3=Element_Stiffness!$C$145,Element_Stiffness!Q177,IF(3=Element_Stiffness!$E$145,Element_Stiffness!W177,0)),0)),0)+IF(Element_Stiffness!$C$181,IF(Element_Stiffness!$C$180=2,IF(3=Element_Stiffness!$C$180,Element_Stiffness!Q206,IF(3=Element_Stiffness!$E$180,Element_Stiffness!W206,0)),IF(Element_Stiffness!$E$180=2,IF(3=Element_Stiffness!$C$180,Element_Stiffness!Q212,IF(3=Element_Stiffness!$E$180,Element_Stiffness!W212,0)),0)),0)+IF(Element_Stiffness!$C$216,IF(Element_Stiffness!$C$215=2,IF(3=Element_Stiffness!$C$215,Element_Stiffness!Q241,IF(3=Element_Stiffness!$E$215,Element_Stiffness!W241,0)),IF(Element_Stiffness!$E$215=2,IF(3=Element_Stiffness!$C$215,Element_Stiffness!Q247,IF(3=Element_Stiffness!$E$215,Element_Stiffness!W247,0)),0)),0)</f>
        <v/>
      </c>
      <c r="W22" s="21">
        <f>IF(Element_Stiffness!$C$6,IF(Element_Stiffness!$C$5=2,IF(3=Element_Stiffness!$C$5,Element_Stiffness!R31,IF(3=Element_Stiffness!$E$5,Element_Stiffness!X31,0)),IF(Element_Stiffness!$E$5=2,IF(3=Element_Stiffness!$C$5,Element_Stiffness!R37,IF(3=Element_Stiffness!$E$5,Element_Stiffness!X37,0)),0)),0)+IF(Element_Stiffness!$C$41,IF(Element_Stiffness!$C$40=2,IF(3=Element_Stiffness!$C$40,Element_Stiffness!R66,IF(3=Element_Stiffness!$E$40,Element_Stiffness!X66,0)),IF(Element_Stiffness!$E$40=2,IF(3=Element_Stiffness!$C$40,Element_Stiffness!R72,IF(3=Element_Stiffness!$E$40,Element_Stiffness!X72,0)),0)),0)+IF(Element_Stiffness!$C$76,IF(Element_Stiffness!$C$75=2,IF(3=Element_Stiffness!$C$75,Element_Stiffness!R101,IF(3=Element_Stiffness!$E$75,Element_Stiffness!X101,0)),IF(Element_Stiffness!$E$75=2,IF(3=Element_Stiffness!$C$75,Element_Stiffness!R107,IF(3=Element_Stiffness!$E$75,Element_Stiffness!X107,0)),0)),0)+IF(Element_Stiffness!$C$111,IF(Element_Stiffness!$C$110=2,IF(3=Element_Stiffness!$C$110,Element_Stiffness!R136,IF(3=Element_Stiffness!$E$110,Element_Stiffness!X136,0)),IF(Element_Stiffness!$E$110=2,IF(3=Element_Stiffness!$C$110,Element_Stiffness!R142,IF(3=Element_Stiffness!$E$110,Element_Stiffness!X142,0)),0)),0)+IF(Element_Stiffness!$C$146,IF(Element_Stiffness!$C$145=2,IF(3=Element_Stiffness!$C$145,Element_Stiffness!R171,IF(3=Element_Stiffness!$E$145,Element_Stiffness!X171,0)),IF(Element_Stiffness!$E$145=2,IF(3=Element_Stiffness!$C$145,Element_Stiffness!R177,IF(3=Element_Stiffness!$E$145,Element_Stiffness!X177,0)),0)),0)+IF(Element_Stiffness!$C$181,IF(Element_Stiffness!$C$180=2,IF(3=Element_Stiffness!$C$180,Element_Stiffness!R206,IF(3=Element_Stiffness!$E$180,Element_Stiffness!X206,0)),IF(Element_Stiffness!$E$180=2,IF(3=Element_Stiffness!$C$180,Element_Stiffness!R212,IF(3=Element_Stiffness!$E$180,Element_Stiffness!X212,0)),0)),0)+IF(Element_Stiffness!$C$216,IF(Element_Stiffness!$C$215=2,IF(3=Element_Stiffness!$C$215,Element_Stiffness!R241,IF(3=Element_Stiffness!$E$215,Element_Stiffness!X241,0)),IF(Element_Stiffness!$E$215=2,IF(3=Element_Stiffness!$C$215,Element_Stiffness!R247,IF(3=Element_Stiffness!$E$215,Element_Stiffness!X247,0)),0)),0)</f>
        <v/>
      </c>
      <c r="X22" s="21">
        <f>IF(Element_Stiffness!$C$6,IF(Element_Stiffness!$C$5=2,IF(3=Element_Stiffness!$C$5,Element_Stiffness!S31,IF(3=Element_Stiffness!$E$5,Element_Stiffness!Y31,0)),IF(Element_Stiffness!$E$5=2,IF(3=Element_Stiffness!$C$5,Element_Stiffness!S37,IF(3=Element_Stiffness!$E$5,Element_Stiffness!Y37,0)),0)),0)+IF(Element_Stiffness!$C$41,IF(Element_Stiffness!$C$40=2,IF(3=Element_Stiffness!$C$40,Element_Stiffness!S66,IF(3=Element_Stiffness!$E$40,Element_Stiffness!Y66,0)),IF(Element_Stiffness!$E$40=2,IF(3=Element_Stiffness!$C$40,Element_Stiffness!S72,IF(3=Element_Stiffness!$E$40,Element_Stiffness!Y72,0)),0)),0)+IF(Element_Stiffness!$C$76,IF(Element_Stiffness!$C$75=2,IF(3=Element_Stiffness!$C$75,Element_Stiffness!S101,IF(3=Element_Stiffness!$E$75,Element_Stiffness!Y101,0)),IF(Element_Stiffness!$E$75=2,IF(3=Element_Stiffness!$C$75,Element_Stiffness!S107,IF(3=Element_Stiffness!$E$75,Element_Stiffness!Y107,0)),0)),0)+IF(Element_Stiffness!$C$111,IF(Element_Stiffness!$C$110=2,IF(3=Element_Stiffness!$C$110,Element_Stiffness!S136,IF(3=Element_Stiffness!$E$110,Element_Stiffness!Y136,0)),IF(Element_Stiffness!$E$110=2,IF(3=Element_Stiffness!$C$110,Element_Stiffness!S142,IF(3=Element_Stiffness!$E$110,Element_Stiffness!Y142,0)),0)),0)+IF(Element_Stiffness!$C$146,IF(Element_Stiffness!$C$145=2,IF(3=Element_Stiffness!$C$145,Element_Stiffness!S171,IF(3=Element_Stiffness!$E$145,Element_Stiffness!Y171,0)),IF(Element_Stiffness!$E$145=2,IF(3=Element_Stiffness!$C$145,Element_Stiffness!S177,IF(3=Element_Stiffness!$E$145,Element_Stiffness!Y177,0)),0)),0)+IF(Element_Stiffness!$C$181,IF(Element_Stiffness!$C$180=2,IF(3=Element_Stiffness!$C$180,Element_Stiffness!S206,IF(3=Element_Stiffness!$E$180,Element_Stiffness!Y206,0)),IF(Element_Stiffness!$E$180=2,IF(3=Element_Stiffness!$C$180,Element_Stiffness!S212,IF(3=Element_Stiffness!$E$180,Element_Stiffness!Y212,0)),0)),0)+IF(Element_Stiffness!$C$216,IF(Element_Stiffness!$C$215=2,IF(3=Element_Stiffness!$C$215,Element_Stiffness!S241,IF(3=Element_Stiffness!$E$215,Element_Stiffness!Y241,0)),IF(Element_Stiffness!$E$215=2,IF(3=Element_Stiffness!$C$215,Element_Stiffness!S247,IF(3=Element_Stiffness!$E$215,Element_Stiffness!Y247,0)),0)),0)</f>
        <v/>
      </c>
      <c r="Y22" s="21">
        <f>IF(Element_Stiffness!$C$6,IF(Element_Stiffness!$C$5=2,IF(3=Element_Stiffness!$C$5,Element_Stiffness!T31,IF(3=Element_Stiffness!$E$5,Element_Stiffness!Z31,0)),IF(Element_Stiffness!$E$5=2,IF(3=Element_Stiffness!$C$5,Element_Stiffness!T37,IF(3=Element_Stiffness!$E$5,Element_Stiffness!Z37,0)),0)),0)+IF(Element_Stiffness!$C$41,IF(Element_Stiffness!$C$40=2,IF(3=Element_Stiffness!$C$40,Element_Stiffness!T66,IF(3=Element_Stiffness!$E$40,Element_Stiffness!Z66,0)),IF(Element_Stiffness!$E$40=2,IF(3=Element_Stiffness!$C$40,Element_Stiffness!T72,IF(3=Element_Stiffness!$E$40,Element_Stiffness!Z72,0)),0)),0)+IF(Element_Stiffness!$C$76,IF(Element_Stiffness!$C$75=2,IF(3=Element_Stiffness!$C$75,Element_Stiffness!T101,IF(3=Element_Stiffness!$E$75,Element_Stiffness!Z101,0)),IF(Element_Stiffness!$E$75=2,IF(3=Element_Stiffness!$C$75,Element_Stiffness!T107,IF(3=Element_Stiffness!$E$75,Element_Stiffness!Z107,0)),0)),0)+IF(Element_Stiffness!$C$111,IF(Element_Stiffness!$C$110=2,IF(3=Element_Stiffness!$C$110,Element_Stiffness!T136,IF(3=Element_Stiffness!$E$110,Element_Stiffness!Z136,0)),IF(Element_Stiffness!$E$110=2,IF(3=Element_Stiffness!$C$110,Element_Stiffness!T142,IF(3=Element_Stiffness!$E$110,Element_Stiffness!Z142,0)),0)),0)+IF(Element_Stiffness!$C$146,IF(Element_Stiffness!$C$145=2,IF(3=Element_Stiffness!$C$145,Element_Stiffness!T171,IF(3=Element_Stiffness!$E$145,Element_Stiffness!Z171,0)),IF(Element_Stiffness!$E$145=2,IF(3=Element_Stiffness!$C$145,Element_Stiffness!T177,IF(3=Element_Stiffness!$E$145,Element_Stiffness!Z177,0)),0)),0)+IF(Element_Stiffness!$C$181,IF(Element_Stiffness!$C$180=2,IF(3=Element_Stiffness!$C$180,Element_Stiffness!T206,IF(3=Element_Stiffness!$E$180,Element_Stiffness!Z206,0)),IF(Element_Stiffness!$E$180=2,IF(3=Element_Stiffness!$C$180,Element_Stiffness!T212,IF(3=Element_Stiffness!$E$180,Element_Stiffness!Z212,0)),0)),0)+IF(Element_Stiffness!$C$216,IF(Element_Stiffness!$C$215=2,IF(3=Element_Stiffness!$C$215,Element_Stiffness!T241,IF(3=Element_Stiffness!$E$215,Element_Stiffness!Z241,0)),IF(Element_Stiffness!$E$215=2,IF(3=Element_Stiffness!$C$215,Element_Stiffness!T247,IF(3=Element_Stiffness!$E$215,Element_Stiffness!Z247,0)),0)),0)</f>
        <v/>
      </c>
      <c r="Z22" s="21">
        <f>IF(Element_Stiffness!$C$6,IF(Element_Stiffness!$C$5=2,IF(3=Element_Stiffness!$C$5,Element_Stiffness!U31,IF(3=Element_Stiffness!$E$5,Element_Stiffness!AA31,0)),IF(Element_Stiffness!$E$5=2,IF(3=Element_Stiffness!$C$5,Element_Stiffness!U37,IF(3=Element_Stiffness!$E$5,Element_Stiffness!AA37,0)),0)),0)+IF(Element_Stiffness!$C$41,IF(Element_Stiffness!$C$40=2,IF(3=Element_Stiffness!$C$40,Element_Stiffness!U66,IF(3=Element_Stiffness!$E$40,Element_Stiffness!AA66,0)),IF(Element_Stiffness!$E$40=2,IF(3=Element_Stiffness!$C$40,Element_Stiffness!U72,IF(3=Element_Stiffness!$E$40,Element_Stiffness!AA72,0)),0)),0)+IF(Element_Stiffness!$C$76,IF(Element_Stiffness!$C$75=2,IF(3=Element_Stiffness!$C$75,Element_Stiffness!U101,IF(3=Element_Stiffness!$E$75,Element_Stiffness!AA101,0)),IF(Element_Stiffness!$E$75=2,IF(3=Element_Stiffness!$C$75,Element_Stiffness!U107,IF(3=Element_Stiffness!$E$75,Element_Stiffness!AA107,0)),0)),0)+IF(Element_Stiffness!$C$111,IF(Element_Stiffness!$C$110=2,IF(3=Element_Stiffness!$C$110,Element_Stiffness!U136,IF(3=Element_Stiffness!$E$110,Element_Stiffness!AA136,0)),IF(Element_Stiffness!$E$110=2,IF(3=Element_Stiffness!$C$110,Element_Stiffness!U142,IF(3=Element_Stiffness!$E$110,Element_Stiffness!AA142,0)),0)),0)+IF(Element_Stiffness!$C$146,IF(Element_Stiffness!$C$145=2,IF(3=Element_Stiffness!$C$145,Element_Stiffness!U171,IF(3=Element_Stiffness!$E$145,Element_Stiffness!AA171,0)),IF(Element_Stiffness!$E$145=2,IF(3=Element_Stiffness!$C$145,Element_Stiffness!U177,IF(3=Element_Stiffness!$E$145,Element_Stiffness!AA177,0)),0)),0)+IF(Element_Stiffness!$C$181,IF(Element_Stiffness!$C$180=2,IF(3=Element_Stiffness!$C$180,Element_Stiffness!U206,IF(3=Element_Stiffness!$E$180,Element_Stiffness!AA206,0)),IF(Element_Stiffness!$E$180=2,IF(3=Element_Stiffness!$C$180,Element_Stiffness!U212,IF(3=Element_Stiffness!$E$180,Element_Stiffness!AA212,0)),0)),0)+IF(Element_Stiffness!$C$216,IF(Element_Stiffness!$C$215=2,IF(3=Element_Stiffness!$C$215,Element_Stiffness!U241,IF(3=Element_Stiffness!$E$215,Element_Stiffness!AA241,0)),IF(Element_Stiffness!$E$215=2,IF(3=Element_Stiffness!$C$215,Element_Stiffness!U247,IF(3=Element_Stiffness!$E$215,Element_Stiffness!AA247,0)),0)),0)</f>
        <v/>
      </c>
      <c r="AA22" s="21">
        <f>IF(Element_Stiffness!$C$6,IF(Element_Stiffness!$C$5=2,IF(4=Element_Stiffness!$C$5,Element_Stiffness!P31,IF(4=Element_Stiffness!$E$5,Element_Stiffness!V31,0)),IF(Element_Stiffness!$E$5=2,IF(4=Element_Stiffness!$C$5,Element_Stiffness!P37,IF(4=Element_Stiffness!$E$5,Element_Stiffness!V37,0)),0)),0)+IF(Element_Stiffness!$C$41,IF(Element_Stiffness!$C$40=2,IF(4=Element_Stiffness!$C$40,Element_Stiffness!P66,IF(4=Element_Stiffness!$E$40,Element_Stiffness!V66,0)),IF(Element_Stiffness!$E$40=2,IF(4=Element_Stiffness!$C$40,Element_Stiffness!P72,IF(4=Element_Stiffness!$E$40,Element_Stiffness!V72,0)),0)),0)+IF(Element_Stiffness!$C$76,IF(Element_Stiffness!$C$75=2,IF(4=Element_Stiffness!$C$75,Element_Stiffness!P101,IF(4=Element_Stiffness!$E$75,Element_Stiffness!V101,0)),IF(Element_Stiffness!$E$75=2,IF(4=Element_Stiffness!$C$75,Element_Stiffness!P107,IF(4=Element_Stiffness!$E$75,Element_Stiffness!V107,0)),0)),0)+IF(Element_Stiffness!$C$111,IF(Element_Stiffness!$C$110=2,IF(4=Element_Stiffness!$C$110,Element_Stiffness!P136,IF(4=Element_Stiffness!$E$110,Element_Stiffness!V136,0)),IF(Element_Stiffness!$E$110=2,IF(4=Element_Stiffness!$C$110,Element_Stiffness!P142,IF(4=Element_Stiffness!$E$110,Element_Stiffness!V142,0)),0)),0)+IF(Element_Stiffness!$C$146,IF(Element_Stiffness!$C$145=2,IF(4=Element_Stiffness!$C$145,Element_Stiffness!P171,IF(4=Element_Stiffness!$E$145,Element_Stiffness!V171,0)),IF(Element_Stiffness!$E$145=2,IF(4=Element_Stiffness!$C$145,Element_Stiffness!P177,IF(4=Element_Stiffness!$E$145,Element_Stiffness!V177,0)),0)),0)+IF(Element_Stiffness!$C$181,IF(Element_Stiffness!$C$180=2,IF(4=Element_Stiffness!$C$180,Element_Stiffness!P206,IF(4=Element_Stiffness!$E$180,Element_Stiffness!V206,0)),IF(Element_Stiffness!$E$180=2,IF(4=Element_Stiffness!$C$180,Element_Stiffness!P212,IF(4=Element_Stiffness!$E$180,Element_Stiffness!V212,0)),0)),0)+IF(Element_Stiffness!$C$216,IF(Element_Stiffness!$C$215=2,IF(4=Element_Stiffness!$C$215,Element_Stiffness!P241,IF(4=Element_Stiffness!$E$215,Element_Stiffness!V241,0)),IF(Element_Stiffness!$E$215=2,IF(4=Element_Stiffness!$C$215,Element_Stiffness!P247,IF(4=Element_Stiffness!$E$215,Element_Stiffness!V247,0)),0)),0)</f>
        <v/>
      </c>
      <c r="AB22" s="21">
        <f>IF(Element_Stiffness!$C$6,IF(Element_Stiffness!$C$5=2,IF(4=Element_Stiffness!$C$5,Element_Stiffness!Q31,IF(4=Element_Stiffness!$E$5,Element_Stiffness!W31,0)),IF(Element_Stiffness!$E$5=2,IF(4=Element_Stiffness!$C$5,Element_Stiffness!Q37,IF(4=Element_Stiffness!$E$5,Element_Stiffness!W37,0)),0)),0)+IF(Element_Stiffness!$C$41,IF(Element_Stiffness!$C$40=2,IF(4=Element_Stiffness!$C$40,Element_Stiffness!Q66,IF(4=Element_Stiffness!$E$40,Element_Stiffness!W66,0)),IF(Element_Stiffness!$E$40=2,IF(4=Element_Stiffness!$C$40,Element_Stiffness!Q72,IF(4=Element_Stiffness!$E$40,Element_Stiffness!W72,0)),0)),0)+IF(Element_Stiffness!$C$76,IF(Element_Stiffness!$C$75=2,IF(4=Element_Stiffness!$C$75,Element_Stiffness!Q101,IF(4=Element_Stiffness!$E$75,Element_Stiffness!W101,0)),IF(Element_Stiffness!$E$75=2,IF(4=Element_Stiffness!$C$75,Element_Stiffness!Q107,IF(4=Element_Stiffness!$E$75,Element_Stiffness!W107,0)),0)),0)+IF(Element_Stiffness!$C$111,IF(Element_Stiffness!$C$110=2,IF(4=Element_Stiffness!$C$110,Element_Stiffness!Q136,IF(4=Element_Stiffness!$E$110,Element_Stiffness!W136,0)),IF(Element_Stiffness!$E$110=2,IF(4=Element_Stiffness!$C$110,Element_Stiffness!Q142,IF(4=Element_Stiffness!$E$110,Element_Stiffness!W142,0)),0)),0)+IF(Element_Stiffness!$C$146,IF(Element_Stiffness!$C$145=2,IF(4=Element_Stiffness!$C$145,Element_Stiffness!Q171,IF(4=Element_Stiffness!$E$145,Element_Stiffness!W171,0)),IF(Element_Stiffness!$E$145=2,IF(4=Element_Stiffness!$C$145,Element_Stiffness!Q177,IF(4=Element_Stiffness!$E$145,Element_Stiffness!W177,0)),0)),0)+IF(Element_Stiffness!$C$181,IF(Element_Stiffness!$C$180=2,IF(4=Element_Stiffness!$C$180,Element_Stiffness!Q206,IF(4=Element_Stiffness!$E$180,Element_Stiffness!W206,0)),IF(Element_Stiffness!$E$180=2,IF(4=Element_Stiffness!$C$180,Element_Stiffness!Q212,IF(4=Element_Stiffness!$E$180,Element_Stiffness!W212,0)),0)),0)+IF(Element_Stiffness!$C$216,IF(Element_Stiffness!$C$215=2,IF(4=Element_Stiffness!$C$215,Element_Stiffness!Q241,IF(4=Element_Stiffness!$E$215,Element_Stiffness!W241,0)),IF(Element_Stiffness!$E$215=2,IF(4=Element_Stiffness!$C$215,Element_Stiffness!Q247,IF(4=Element_Stiffness!$E$215,Element_Stiffness!W247,0)),0)),0)</f>
        <v/>
      </c>
      <c r="AC22" s="21">
        <f>IF(Element_Stiffness!$C$6,IF(Element_Stiffness!$C$5=2,IF(4=Element_Stiffness!$C$5,Element_Stiffness!R31,IF(4=Element_Stiffness!$E$5,Element_Stiffness!X31,0)),IF(Element_Stiffness!$E$5=2,IF(4=Element_Stiffness!$C$5,Element_Stiffness!R37,IF(4=Element_Stiffness!$E$5,Element_Stiffness!X37,0)),0)),0)+IF(Element_Stiffness!$C$41,IF(Element_Stiffness!$C$40=2,IF(4=Element_Stiffness!$C$40,Element_Stiffness!R66,IF(4=Element_Stiffness!$E$40,Element_Stiffness!X66,0)),IF(Element_Stiffness!$E$40=2,IF(4=Element_Stiffness!$C$40,Element_Stiffness!R72,IF(4=Element_Stiffness!$E$40,Element_Stiffness!X72,0)),0)),0)+IF(Element_Stiffness!$C$76,IF(Element_Stiffness!$C$75=2,IF(4=Element_Stiffness!$C$75,Element_Stiffness!R101,IF(4=Element_Stiffness!$E$75,Element_Stiffness!X101,0)),IF(Element_Stiffness!$E$75=2,IF(4=Element_Stiffness!$C$75,Element_Stiffness!R107,IF(4=Element_Stiffness!$E$75,Element_Stiffness!X107,0)),0)),0)+IF(Element_Stiffness!$C$111,IF(Element_Stiffness!$C$110=2,IF(4=Element_Stiffness!$C$110,Element_Stiffness!R136,IF(4=Element_Stiffness!$E$110,Element_Stiffness!X136,0)),IF(Element_Stiffness!$E$110=2,IF(4=Element_Stiffness!$C$110,Element_Stiffness!R142,IF(4=Element_Stiffness!$E$110,Element_Stiffness!X142,0)),0)),0)+IF(Element_Stiffness!$C$146,IF(Element_Stiffness!$C$145=2,IF(4=Element_Stiffness!$C$145,Element_Stiffness!R171,IF(4=Element_Stiffness!$E$145,Element_Stiffness!X171,0)),IF(Element_Stiffness!$E$145=2,IF(4=Element_Stiffness!$C$145,Element_Stiffness!R177,IF(4=Element_Stiffness!$E$145,Element_Stiffness!X177,0)),0)),0)+IF(Element_Stiffness!$C$181,IF(Element_Stiffness!$C$180=2,IF(4=Element_Stiffness!$C$180,Element_Stiffness!R206,IF(4=Element_Stiffness!$E$180,Element_Stiffness!X206,0)),IF(Element_Stiffness!$E$180=2,IF(4=Element_Stiffness!$C$180,Element_Stiffness!R212,IF(4=Element_Stiffness!$E$180,Element_Stiffness!X212,0)),0)),0)+IF(Element_Stiffness!$C$216,IF(Element_Stiffness!$C$215=2,IF(4=Element_Stiffness!$C$215,Element_Stiffness!R241,IF(4=Element_Stiffness!$E$215,Element_Stiffness!X241,0)),IF(Element_Stiffness!$E$215=2,IF(4=Element_Stiffness!$C$215,Element_Stiffness!R247,IF(4=Element_Stiffness!$E$215,Element_Stiffness!X247,0)),0)),0)</f>
        <v/>
      </c>
      <c r="AD22" s="21">
        <f>IF(Element_Stiffness!$C$6,IF(Element_Stiffness!$C$5=2,IF(4=Element_Stiffness!$C$5,Element_Stiffness!S31,IF(4=Element_Stiffness!$E$5,Element_Stiffness!Y31,0)),IF(Element_Stiffness!$E$5=2,IF(4=Element_Stiffness!$C$5,Element_Stiffness!S37,IF(4=Element_Stiffness!$E$5,Element_Stiffness!Y37,0)),0)),0)+IF(Element_Stiffness!$C$41,IF(Element_Stiffness!$C$40=2,IF(4=Element_Stiffness!$C$40,Element_Stiffness!S66,IF(4=Element_Stiffness!$E$40,Element_Stiffness!Y66,0)),IF(Element_Stiffness!$E$40=2,IF(4=Element_Stiffness!$C$40,Element_Stiffness!S72,IF(4=Element_Stiffness!$E$40,Element_Stiffness!Y72,0)),0)),0)+IF(Element_Stiffness!$C$76,IF(Element_Stiffness!$C$75=2,IF(4=Element_Stiffness!$C$75,Element_Stiffness!S101,IF(4=Element_Stiffness!$E$75,Element_Stiffness!Y101,0)),IF(Element_Stiffness!$E$75=2,IF(4=Element_Stiffness!$C$75,Element_Stiffness!S107,IF(4=Element_Stiffness!$E$75,Element_Stiffness!Y107,0)),0)),0)+IF(Element_Stiffness!$C$111,IF(Element_Stiffness!$C$110=2,IF(4=Element_Stiffness!$C$110,Element_Stiffness!S136,IF(4=Element_Stiffness!$E$110,Element_Stiffness!Y136,0)),IF(Element_Stiffness!$E$110=2,IF(4=Element_Stiffness!$C$110,Element_Stiffness!S142,IF(4=Element_Stiffness!$E$110,Element_Stiffness!Y142,0)),0)),0)+IF(Element_Stiffness!$C$146,IF(Element_Stiffness!$C$145=2,IF(4=Element_Stiffness!$C$145,Element_Stiffness!S171,IF(4=Element_Stiffness!$E$145,Element_Stiffness!Y171,0)),IF(Element_Stiffness!$E$145=2,IF(4=Element_Stiffness!$C$145,Element_Stiffness!S177,IF(4=Element_Stiffness!$E$145,Element_Stiffness!Y177,0)),0)),0)+IF(Element_Stiffness!$C$181,IF(Element_Stiffness!$C$180=2,IF(4=Element_Stiffness!$C$180,Element_Stiffness!S206,IF(4=Element_Stiffness!$E$180,Element_Stiffness!Y206,0)),IF(Element_Stiffness!$E$180=2,IF(4=Element_Stiffness!$C$180,Element_Stiffness!S212,IF(4=Element_Stiffness!$E$180,Element_Stiffness!Y212,0)),0)),0)+IF(Element_Stiffness!$C$216,IF(Element_Stiffness!$C$215=2,IF(4=Element_Stiffness!$C$215,Element_Stiffness!S241,IF(4=Element_Stiffness!$E$215,Element_Stiffness!Y241,0)),IF(Element_Stiffness!$E$215=2,IF(4=Element_Stiffness!$C$215,Element_Stiffness!S247,IF(4=Element_Stiffness!$E$215,Element_Stiffness!Y247,0)),0)),0)</f>
        <v/>
      </c>
      <c r="AE22" s="21">
        <f>IF(Element_Stiffness!$C$6,IF(Element_Stiffness!$C$5=2,IF(4=Element_Stiffness!$C$5,Element_Stiffness!T31,IF(4=Element_Stiffness!$E$5,Element_Stiffness!Z31,0)),IF(Element_Stiffness!$E$5=2,IF(4=Element_Stiffness!$C$5,Element_Stiffness!T37,IF(4=Element_Stiffness!$E$5,Element_Stiffness!Z37,0)),0)),0)+IF(Element_Stiffness!$C$41,IF(Element_Stiffness!$C$40=2,IF(4=Element_Stiffness!$C$40,Element_Stiffness!T66,IF(4=Element_Stiffness!$E$40,Element_Stiffness!Z66,0)),IF(Element_Stiffness!$E$40=2,IF(4=Element_Stiffness!$C$40,Element_Stiffness!T72,IF(4=Element_Stiffness!$E$40,Element_Stiffness!Z72,0)),0)),0)+IF(Element_Stiffness!$C$76,IF(Element_Stiffness!$C$75=2,IF(4=Element_Stiffness!$C$75,Element_Stiffness!T101,IF(4=Element_Stiffness!$E$75,Element_Stiffness!Z101,0)),IF(Element_Stiffness!$E$75=2,IF(4=Element_Stiffness!$C$75,Element_Stiffness!T107,IF(4=Element_Stiffness!$E$75,Element_Stiffness!Z107,0)),0)),0)+IF(Element_Stiffness!$C$111,IF(Element_Stiffness!$C$110=2,IF(4=Element_Stiffness!$C$110,Element_Stiffness!T136,IF(4=Element_Stiffness!$E$110,Element_Stiffness!Z136,0)),IF(Element_Stiffness!$E$110=2,IF(4=Element_Stiffness!$C$110,Element_Stiffness!T142,IF(4=Element_Stiffness!$E$110,Element_Stiffness!Z142,0)),0)),0)+IF(Element_Stiffness!$C$146,IF(Element_Stiffness!$C$145=2,IF(4=Element_Stiffness!$C$145,Element_Stiffness!T171,IF(4=Element_Stiffness!$E$145,Element_Stiffness!Z171,0)),IF(Element_Stiffness!$E$145=2,IF(4=Element_Stiffness!$C$145,Element_Stiffness!T177,IF(4=Element_Stiffness!$E$145,Element_Stiffness!Z177,0)),0)),0)+IF(Element_Stiffness!$C$181,IF(Element_Stiffness!$C$180=2,IF(4=Element_Stiffness!$C$180,Element_Stiffness!T206,IF(4=Element_Stiffness!$E$180,Element_Stiffness!Z206,0)),IF(Element_Stiffness!$E$180=2,IF(4=Element_Stiffness!$C$180,Element_Stiffness!T212,IF(4=Element_Stiffness!$E$180,Element_Stiffness!Z212,0)),0)),0)+IF(Element_Stiffness!$C$216,IF(Element_Stiffness!$C$215=2,IF(4=Element_Stiffness!$C$215,Element_Stiffness!T241,IF(4=Element_Stiffness!$E$215,Element_Stiffness!Z241,0)),IF(Element_Stiffness!$E$215=2,IF(4=Element_Stiffness!$C$215,Element_Stiffness!T247,IF(4=Element_Stiffness!$E$215,Element_Stiffness!Z247,0)),0)),0)</f>
        <v/>
      </c>
      <c r="AF22" s="21">
        <f>IF(Element_Stiffness!$C$6,IF(Element_Stiffness!$C$5=2,IF(4=Element_Stiffness!$C$5,Element_Stiffness!U31,IF(4=Element_Stiffness!$E$5,Element_Stiffness!AA31,0)),IF(Element_Stiffness!$E$5=2,IF(4=Element_Stiffness!$C$5,Element_Stiffness!U37,IF(4=Element_Stiffness!$E$5,Element_Stiffness!AA37,0)),0)),0)+IF(Element_Stiffness!$C$41,IF(Element_Stiffness!$C$40=2,IF(4=Element_Stiffness!$C$40,Element_Stiffness!U66,IF(4=Element_Stiffness!$E$40,Element_Stiffness!AA66,0)),IF(Element_Stiffness!$E$40=2,IF(4=Element_Stiffness!$C$40,Element_Stiffness!U72,IF(4=Element_Stiffness!$E$40,Element_Stiffness!AA72,0)),0)),0)+IF(Element_Stiffness!$C$76,IF(Element_Stiffness!$C$75=2,IF(4=Element_Stiffness!$C$75,Element_Stiffness!U101,IF(4=Element_Stiffness!$E$75,Element_Stiffness!AA101,0)),IF(Element_Stiffness!$E$75=2,IF(4=Element_Stiffness!$C$75,Element_Stiffness!U107,IF(4=Element_Stiffness!$E$75,Element_Stiffness!AA107,0)),0)),0)+IF(Element_Stiffness!$C$111,IF(Element_Stiffness!$C$110=2,IF(4=Element_Stiffness!$C$110,Element_Stiffness!U136,IF(4=Element_Stiffness!$E$110,Element_Stiffness!AA136,0)),IF(Element_Stiffness!$E$110=2,IF(4=Element_Stiffness!$C$110,Element_Stiffness!U142,IF(4=Element_Stiffness!$E$110,Element_Stiffness!AA142,0)),0)),0)+IF(Element_Stiffness!$C$146,IF(Element_Stiffness!$C$145=2,IF(4=Element_Stiffness!$C$145,Element_Stiffness!U171,IF(4=Element_Stiffness!$E$145,Element_Stiffness!AA171,0)),IF(Element_Stiffness!$E$145=2,IF(4=Element_Stiffness!$C$145,Element_Stiffness!U177,IF(4=Element_Stiffness!$E$145,Element_Stiffness!AA177,0)),0)),0)+IF(Element_Stiffness!$C$181,IF(Element_Stiffness!$C$180=2,IF(4=Element_Stiffness!$C$180,Element_Stiffness!U206,IF(4=Element_Stiffness!$E$180,Element_Stiffness!AA206,0)),IF(Element_Stiffness!$E$180=2,IF(4=Element_Stiffness!$C$180,Element_Stiffness!U212,IF(4=Element_Stiffness!$E$180,Element_Stiffness!AA212,0)),0)),0)+IF(Element_Stiffness!$C$216,IF(Element_Stiffness!$C$215=2,IF(4=Element_Stiffness!$C$215,Element_Stiffness!U241,IF(4=Element_Stiffness!$E$215,Element_Stiffness!AA241,0)),IF(Element_Stiffness!$E$215=2,IF(4=Element_Stiffness!$C$215,Element_Stiffness!U247,IF(4=Element_Stiffness!$E$215,Element_Stiffness!AA247,0)),0)),0)</f>
        <v/>
      </c>
      <c r="AG22" s="21">
        <f>IF(Element_Stiffness!$C$6,IF(Element_Stiffness!$C$5=2,IF(5=Element_Stiffness!$C$5,Element_Stiffness!P31,IF(5=Element_Stiffness!$E$5,Element_Stiffness!V31,0)),IF(Element_Stiffness!$E$5=2,IF(5=Element_Stiffness!$C$5,Element_Stiffness!P37,IF(5=Element_Stiffness!$E$5,Element_Stiffness!V37,0)),0)),0)+IF(Element_Stiffness!$C$41,IF(Element_Stiffness!$C$40=2,IF(5=Element_Stiffness!$C$40,Element_Stiffness!P66,IF(5=Element_Stiffness!$E$40,Element_Stiffness!V66,0)),IF(Element_Stiffness!$E$40=2,IF(5=Element_Stiffness!$C$40,Element_Stiffness!P72,IF(5=Element_Stiffness!$E$40,Element_Stiffness!V72,0)),0)),0)+IF(Element_Stiffness!$C$76,IF(Element_Stiffness!$C$75=2,IF(5=Element_Stiffness!$C$75,Element_Stiffness!P101,IF(5=Element_Stiffness!$E$75,Element_Stiffness!V101,0)),IF(Element_Stiffness!$E$75=2,IF(5=Element_Stiffness!$C$75,Element_Stiffness!P107,IF(5=Element_Stiffness!$E$75,Element_Stiffness!V107,0)),0)),0)+IF(Element_Stiffness!$C$111,IF(Element_Stiffness!$C$110=2,IF(5=Element_Stiffness!$C$110,Element_Stiffness!P136,IF(5=Element_Stiffness!$E$110,Element_Stiffness!V136,0)),IF(Element_Stiffness!$E$110=2,IF(5=Element_Stiffness!$C$110,Element_Stiffness!P142,IF(5=Element_Stiffness!$E$110,Element_Stiffness!V142,0)),0)),0)+IF(Element_Stiffness!$C$146,IF(Element_Stiffness!$C$145=2,IF(5=Element_Stiffness!$C$145,Element_Stiffness!P171,IF(5=Element_Stiffness!$E$145,Element_Stiffness!V171,0)),IF(Element_Stiffness!$E$145=2,IF(5=Element_Stiffness!$C$145,Element_Stiffness!P177,IF(5=Element_Stiffness!$E$145,Element_Stiffness!V177,0)),0)),0)+IF(Element_Stiffness!$C$181,IF(Element_Stiffness!$C$180=2,IF(5=Element_Stiffness!$C$180,Element_Stiffness!P206,IF(5=Element_Stiffness!$E$180,Element_Stiffness!V206,0)),IF(Element_Stiffness!$E$180=2,IF(5=Element_Stiffness!$C$180,Element_Stiffness!P212,IF(5=Element_Stiffness!$E$180,Element_Stiffness!V212,0)),0)),0)+IF(Element_Stiffness!$C$216,IF(Element_Stiffness!$C$215=2,IF(5=Element_Stiffness!$C$215,Element_Stiffness!P241,IF(5=Element_Stiffness!$E$215,Element_Stiffness!V241,0)),IF(Element_Stiffness!$E$215=2,IF(5=Element_Stiffness!$C$215,Element_Stiffness!P247,IF(5=Element_Stiffness!$E$215,Element_Stiffness!V247,0)),0)),0)</f>
        <v/>
      </c>
      <c r="AH22" s="21">
        <f>IF(Element_Stiffness!$C$6,IF(Element_Stiffness!$C$5=2,IF(5=Element_Stiffness!$C$5,Element_Stiffness!Q31,IF(5=Element_Stiffness!$E$5,Element_Stiffness!W31,0)),IF(Element_Stiffness!$E$5=2,IF(5=Element_Stiffness!$C$5,Element_Stiffness!Q37,IF(5=Element_Stiffness!$E$5,Element_Stiffness!W37,0)),0)),0)+IF(Element_Stiffness!$C$41,IF(Element_Stiffness!$C$40=2,IF(5=Element_Stiffness!$C$40,Element_Stiffness!Q66,IF(5=Element_Stiffness!$E$40,Element_Stiffness!W66,0)),IF(Element_Stiffness!$E$40=2,IF(5=Element_Stiffness!$C$40,Element_Stiffness!Q72,IF(5=Element_Stiffness!$E$40,Element_Stiffness!W72,0)),0)),0)+IF(Element_Stiffness!$C$76,IF(Element_Stiffness!$C$75=2,IF(5=Element_Stiffness!$C$75,Element_Stiffness!Q101,IF(5=Element_Stiffness!$E$75,Element_Stiffness!W101,0)),IF(Element_Stiffness!$E$75=2,IF(5=Element_Stiffness!$C$75,Element_Stiffness!Q107,IF(5=Element_Stiffness!$E$75,Element_Stiffness!W107,0)),0)),0)+IF(Element_Stiffness!$C$111,IF(Element_Stiffness!$C$110=2,IF(5=Element_Stiffness!$C$110,Element_Stiffness!Q136,IF(5=Element_Stiffness!$E$110,Element_Stiffness!W136,0)),IF(Element_Stiffness!$E$110=2,IF(5=Element_Stiffness!$C$110,Element_Stiffness!Q142,IF(5=Element_Stiffness!$E$110,Element_Stiffness!W142,0)),0)),0)+IF(Element_Stiffness!$C$146,IF(Element_Stiffness!$C$145=2,IF(5=Element_Stiffness!$C$145,Element_Stiffness!Q171,IF(5=Element_Stiffness!$E$145,Element_Stiffness!W171,0)),IF(Element_Stiffness!$E$145=2,IF(5=Element_Stiffness!$C$145,Element_Stiffness!Q177,IF(5=Element_Stiffness!$E$145,Element_Stiffness!W177,0)),0)),0)+IF(Element_Stiffness!$C$181,IF(Element_Stiffness!$C$180=2,IF(5=Element_Stiffness!$C$180,Element_Stiffness!Q206,IF(5=Element_Stiffness!$E$180,Element_Stiffness!W206,0)),IF(Element_Stiffness!$E$180=2,IF(5=Element_Stiffness!$C$180,Element_Stiffness!Q212,IF(5=Element_Stiffness!$E$180,Element_Stiffness!W212,0)),0)),0)+IF(Element_Stiffness!$C$216,IF(Element_Stiffness!$C$215=2,IF(5=Element_Stiffness!$C$215,Element_Stiffness!Q241,IF(5=Element_Stiffness!$E$215,Element_Stiffness!W241,0)),IF(Element_Stiffness!$E$215=2,IF(5=Element_Stiffness!$C$215,Element_Stiffness!Q247,IF(5=Element_Stiffness!$E$215,Element_Stiffness!W247,0)),0)),0)</f>
        <v/>
      </c>
      <c r="AI22" s="21">
        <f>IF(Element_Stiffness!$C$6,IF(Element_Stiffness!$C$5=2,IF(5=Element_Stiffness!$C$5,Element_Stiffness!R31,IF(5=Element_Stiffness!$E$5,Element_Stiffness!X31,0)),IF(Element_Stiffness!$E$5=2,IF(5=Element_Stiffness!$C$5,Element_Stiffness!R37,IF(5=Element_Stiffness!$E$5,Element_Stiffness!X37,0)),0)),0)+IF(Element_Stiffness!$C$41,IF(Element_Stiffness!$C$40=2,IF(5=Element_Stiffness!$C$40,Element_Stiffness!R66,IF(5=Element_Stiffness!$E$40,Element_Stiffness!X66,0)),IF(Element_Stiffness!$E$40=2,IF(5=Element_Stiffness!$C$40,Element_Stiffness!R72,IF(5=Element_Stiffness!$E$40,Element_Stiffness!X72,0)),0)),0)+IF(Element_Stiffness!$C$76,IF(Element_Stiffness!$C$75=2,IF(5=Element_Stiffness!$C$75,Element_Stiffness!R101,IF(5=Element_Stiffness!$E$75,Element_Stiffness!X101,0)),IF(Element_Stiffness!$E$75=2,IF(5=Element_Stiffness!$C$75,Element_Stiffness!R107,IF(5=Element_Stiffness!$E$75,Element_Stiffness!X107,0)),0)),0)+IF(Element_Stiffness!$C$111,IF(Element_Stiffness!$C$110=2,IF(5=Element_Stiffness!$C$110,Element_Stiffness!R136,IF(5=Element_Stiffness!$E$110,Element_Stiffness!X136,0)),IF(Element_Stiffness!$E$110=2,IF(5=Element_Stiffness!$C$110,Element_Stiffness!R142,IF(5=Element_Stiffness!$E$110,Element_Stiffness!X142,0)),0)),0)+IF(Element_Stiffness!$C$146,IF(Element_Stiffness!$C$145=2,IF(5=Element_Stiffness!$C$145,Element_Stiffness!R171,IF(5=Element_Stiffness!$E$145,Element_Stiffness!X171,0)),IF(Element_Stiffness!$E$145=2,IF(5=Element_Stiffness!$C$145,Element_Stiffness!R177,IF(5=Element_Stiffness!$E$145,Element_Stiffness!X177,0)),0)),0)+IF(Element_Stiffness!$C$181,IF(Element_Stiffness!$C$180=2,IF(5=Element_Stiffness!$C$180,Element_Stiffness!R206,IF(5=Element_Stiffness!$E$180,Element_Stiffness!X206,0)),IF(Element_Stiffness!$E$180=2,IF(5=Element_Stiffness!$C$180,Element_Stiffness!R212,IF(5=Element_Stiffness!$E$180,Element_Stiffness!X212,0)),0)),0)+IF(Element_Stiffness!$C$216,IF(Element_Stiffness!$C$215=2,IF(5=Element_Stiffness!$C$215,Element_Stiffness!R241,IF(5=Element_Stiffness!$E$215,Element_Stiffness!X241,0)),IF(Element_Stiffness!$E$215=2,IF(5=Element_Stiffness!$C$215,Element_Stiffness!R247,IF(5=Element_Stiffness!$E$215,Element_Stiffness!X247,0)),0)),0)</f>
        <v/>
      </c>
      <c r="AJ22" s="21">
        <f>IF(Element_Stiffness!$C$6,IF(Element_Stiffness!$C$5=2,IF(5=Element_Stiffness!$C$5,Element_Stiffness!S31,IF(5=Element_Stiffness!$E$5,Element_Stiffness!Y31,0)),IF(Element_Stiffness!$E$5=2,IF(5=Element_Stiffness!$C$5,Element_Stiffness!S37,IF(5=Element_Stiffness!$E$5,Element_Stiffness!Y37,0)),0)),0)+IF(Element_Stiffness!$C$41,IF(Element_Stiffness!$C$40=2,IF(5=Element_Stiffness!$C$40,Element_Stiffness!S66,IF(5=Element_Stiffness!$E$40,Element_Stiffness!Y66,0)),IF(Element_Stiffness!$E$40=2,IF(5=Element_Stiffness!$C$40,Element_Stiffness!S72,IF(5=Element_Stiffness!$E$40,Element_Stiffness!Y72,0)),0)),0)+IF(Element_Stiffness!$C$76,IF(Element_Stiffness!$C$75=2,IF(5=Element_Stiffness!$C$75,Element_Stiffness!S101,IF(5=Element_Stiffness!$E$75,Element_Stiffness!Y101,0)),IF(Element_Stiffness!$E$75=2,IF(5=Element_Stiffness!$C$75,Element_Stiffness!S107,IF(5=Element_Stiffness!$E$75,Element_Stiffness!Y107,0)),0)),0)+IF(Element_Stiffness!$C$111,IF(Element_Stiffness!$C$110=2,IF(5=Element_Stiffness!$C$110,Element_Stiffness!S136,IF(5=Element_Stiffness!$E$110,Element_Stiffness!Y136,0)),IF(Element_Stiffness!$E$110=2,IF(5=Element_Stiffness!$C$110,Element_Stiffness!S142,IF(5=Element_Stiffness!$E$110,Element_Stiffness!Y142,0)),0)),0)+IF(Element_Stiffness!$C$146,IF(Element_Stiffness!$C$145=2,IF(5=Element_Stiffness!$C$145,Element_Stiffness!S171,IF(5=Element_Stiffness!$E$145,Element_Stiffness!Y171,0)),IF(Element_Stiffness!$E$145=2,IF(5=Element_Stiffness!$C$145,Element_Stiffness!S177,IF(5=Element_Stiffness!$E$145,Element_Stiffness!Y177,0)),0)),0)+IF(Element_Stiffness!$C$181,IF(Element_Stiffness!$C$180=2,IF(5=Element_Stiffness!$C$180,Element_Stiffness!S206,IF(5=Element_Stiffness!$E$180,Element_Stiffness!Y206,0)),IF(Element_Stiffness!$E$180=2,IF(5=Element_Stiffness!$C$180,Element_Stiffness!S212,IF(5=Element_Stiffness!$E$180,Element_Stiffness!Y212,0)),0)),0)+IF(Element_Stiffness!$C$216,IF(Element_Stiffness!$C$215=2,IF(5=Element_Stiffness!$C$215,Element_Stiffness!S241,IF(5=Element_Stiffness!$E$215,Element_Stiffness!Y241,0)),IF(Element_Stiffness!$E$215=2,IF(5=Element_Stiffness!$C$215,Element_Stiffness!S247,IF(5=Element_Stiffness!$E$215,Element_Stiffness!Y247,0)),0)),0)</f>
        <v/>
      </c>
      <c r="AK22" s="21">
        <f>IF(Element_Stiffness!$C$6,IF(Element_Stiffness!$C$5=2,IF(5=Element_Stiffness!$C$5,Element_Stiffness!T31,IF(5=Element_Stiffness!$E$5,Element_Stiffness!Z31,0)),IF(Element_Stiffness!$E$5=2,IF(5=Element_Stiffness!$C$5,Element_Stiffness!T37,IF(5=Element_Stiffness!$E$5,Element_Stiffness!Z37,0)),0)),0)+IF(Element_Stiffness!$C$41,IF(Element_Stiffness!$C$40=2,IF(5=Element_Stiffness!$C$40,Element_Stiffness!T66,IF(5=Element_Stiffness!$E$40,Element_Stiffness!Z66,0)),IF(Element_Stiffness!$E$40=2,IF(5=Element_Stiffness!$C$40,Element_Stiffness!T72,IF(5=Element_Stiffness!$E$40,Element_Stiffness!Z72,0)),0)),0)+IF(Element_Stiffness!$C$76,IF(Element_Stiffness!$C$75=2,IF(5=Element_Stiffness!$C$75,Element_Stiffness!T101,IF(5=Element_Stiffness!$E$75,Element_Stiffness!Z101,0)),IF(Element_Stiffness!$E$75=2,IF(5=Element_Stiffness!$C$75,Element_Stiffness!T107,IF(5=Element_Stiffness!$E$75,Element_Stiffness!Z107,0)),0)),0)+IF(Element_Stiffness!$C$111,IF(Element_Stiffness!$C$110=2,IF(5=Element_Stiffness!$C$110,Element_Stiffness!T136,IF(5=Element_Stiffness!$E$110,Element_Stiffness!Z136,0)),IF(Element_Stiffness!$E$110=2,IF(5=Element_Stiffness!$C$110,Element_Stiffness!T142,IF(5=Element_Stiffness!$E$110,Element_Stiffness!Z142,0)),0)),0)+IF(Element_Stiffness!$C$146,IF(Element_Stiffness!$C$145=2,IF(5=Element_Stiffness!$C$145,Element_Stiffness!T171,IF(5=Element_Stiffness!$E$145,Element_Stiffness!Z171,0)),IF(Element_Stiffness!$E$145=2,IF(5=Element_Stiffness!$C$145,Element_Stiffness!T177,IF(5=Element_Stiffness!$E$145,Element_Stiffness!Z177,0)),0)),0)+IF(Element_Stiffness!$C$181,IF(Element_Stiffness!$C$180=2,IF(5=Element_Stiffness!$C$180,Element_Stiffness!T206,IF(5=Element_Stiffness!$E$180,Element_Stiffness!Z206,0)),IF(Element_Stiffness!$E$180=2,IF(5=Element_Stiffness!$C$180,Element_Stiffness!T212,IF(5=Element_Stiffness!$E$180,Element_Stiffness!Z212,0)),0)),0)+IF(Element_Stiffness!$C$216,IF(Element_Stiffness!$C$215=2,IF(5=Element_Stiffness!$C$215,Element_Stiffness!T241,IF(5=Element_Stiffness!$E$215,Element_Stiffness!Z241,0)),IF(Element_Stiffness!$E$215=2,IF(5=Element_Stiffness!$C$215,Element_Stiffness!T247,IF(5=Element_Stiffness!$E$215,Element_Stiffness!Z247,0)),0)),0)</f>
        <v/>
      </c>
      <c r="AL22" s="21">
        <f>IF(Element_Stiffness!$C$6,IF(Element_Stiffness!$C$5=2,IF(5=Element_Stiffness!$C$5,Element_Stiffness!U31,IF(5=Element_Stiffness!$E$5,Element_Stiffness!AA31,0)),IF(Element_Stiffness!$E$5=2,IF(5=Element_Stiffness!$C$5,Element_Stiffness!U37,IF(5=Element_Stiffness!$E$5,Element_Stiffness!AA37,0)),0)),0)+IF(Element_Stiffness!$C$41,IF(Element_Stiffness!$C$40=2,IF(5=Element_Stiffness!$C$40,Element_Stiffness!U66,IF(5=Element_Stiffness!$E$40,Element_Stiffness!AA66,0)),IF(Element_Stiffness!$E$40=2,IF(5=Element_Stiffness!$C$40,Element_Stiffness!U72,IF(5=Element_Stiffness!$E$40,Element_Stiffness!AA72,0)),0)),0)+IF(Element_Stiffness!$C$76,IF(Element_Stiffness!$C$75=2,IF(5=Element_Stiffness!$C$75,Element_Stiffness!U101,IF(5=Element_Stiffness!$E$75,Element_Stiffness!AA101,0)),IF(Element_Stiffness!$E$75=2,IF(5=Element_Stiffness!$C$75,Element_Stiffness!U107,IF(5=Element_Stiffness!$E$75,Element_Stiffness!AA107,0)),0)),0)+IF(Element_Stiffness!$C$111,IF(Element_Stiffness!$C$110=2,IF(5=Element_Stiffness!$C$110,Element_Stiffness!U136,IF(5=Element_Stiffness!$E$110,Element_Stiffness!AA136,0)),IF(Element_Stiffness!$E$110=2,IF(5=Element_Stiffness!$C$110,Element_Stiffness!U142,IF(5=Element_Stiffness!$E$110,Element_Stiffness!AA142,0)),0)),0)+IF(Element_Stiffness!$C$146,IF(Element_Stiffness!$C$145=2,IF(5=Element_Stiffness!$C$145,Element_Stiffness!U171,IF(5=Element_Stiffness!$E$145,Element_Stiffness!AA171,0)),IF(Element_Stiffness!$E$145=2,IF(5=Element_Stiffness!$C$145,Element_Stiffness!U177,IF(5=Element_Stiffness!$E$145,Element_Stiffness!AA177,0)),0)),0)+IF(Element_Stiffness!$C$181,IF(Element_Stiffness!$C$180=2,IF(5=Element_Stiffness!$C$180,Element_Stiffness!U206,IF(5=Element_Stiffness!$E$180,Element_Stiffness!AA206,0)),IF(Element_Stiffness!$E$180=2,IF(5=Element_Stiffness!$C$180,Element_Stiffness!U212,IF(5=Element_Stiffness!$E$180,Element_Stiffness!AA212,0)),0)),0)+IF(Element_Stiffness!$C$216,IF(Element_Stiffness!$C$215=2,IF(5=Element_Stiffness!$C$215,Element_Stiffness!U241,IF(5=Element_Stiffness!$E$215,Element_Stiffness!AA241,0)),IF(Element_Stiffness!$E$215=2,IF(5=Element_Stiffness!$C$215,Element_Stiffness!U247,IF(5=Element_Stiffness!$E$215,Element_Stiffness!AA247,0)),0)),0)</f>
        <v/>
      </c>
      <c r="AM22" s="21">
        <f>IF(Element_Stiffness!$C$6,IF(Element_Stiffness!$C$5=2,IF(6=Element_Stiffness!$C$5,Element_Stiffness!P31,IF(6=Element_Stiffness!$E$5,Element_Stiffness!V31,0)),IF(Element_Stiffness!$E$5=2,IF(6=Element_Stiffness!$C$5,Element_Stiffness!P37,IF(6=Element_Stiffness!$E$5,Element_Stiffness!V37,0)),0)),0)+IF(Element_Stiffness!$C$41,IF(Element_Stiffness!$C$40=2,IF(6=Element_Stiffness!$C$40,Element_Stiffness!P66,IF(6=Element_Stiffness!$E$40,Element_Stiffness!V66,0)),IF(Element_Stiffness!$E$40=2,IF(6=Element_Stiffness!$C$40,Element_Stiffness!P72,IF(6=Element_Stiffness!$E$40,Element_Stiffness!V72,0)),0)),0)+IF(Element_Stiffness!$C$76,IF(Element_Stiffness!$C$75=2,IF(6=Element_Stiffness!$C$75,Element_Stiffness!P101,IF(6=Element_Stiffness!$E$75,Element_Stiffness!V101,0)),IF(Element_Stiffness!$E$75=2,IF(6=Element_Stiffness!$C$75,Element_Stiffness!P107,IF(6=Element_Stiffness!$E$75,Element_Stiffness!V107,0)),0)),0)+IF(Element_Stiffness!$C$111,IF(Element_Stiffness!$C$110=2,IF(6=Element_Stiffness!$C$110,Element_Stiffness!P136,IF(6=Element_Stiffness!$E$110,Element_Stiffness!V136,0)),IF(Element_Stiffness!$E$110=2,IF(6=Element_Stiffness!$C$110,Element_Stiffness!P142,IF(6=Element_Stiffness!$E$110,Element_Stiffness!V142,0)),0)),0)+IF(Element_Stiffness!$C$146,IF(Element_Stiffness!$C$145=2,IF(6=Element_Stiffness!$C$145,Element_Stiffness!P171,IF(6=Element_Stiffness!$E$145,Element_Stiffness!V171,0)),IF(Element_Stiffness!$E$145=2,IF(6=Element_Stiffness!$C$145,Element_Stiffness!P177,IF(6=Element_Stiffness!$E$145,Element_Stiffness!V177,0)),0)),0)+IF(Element_Stiffness!$C$181,IF(Element_Stiffness!$C$180=2,IF(6=Element_Stiffness!$C$180,Element_Stiffness!P206,IF(6=Element_Stiffness!$E$180,Element_Stiffness!V206,0)),IF(Element_Stiffness!$E$180=2,IF(6=Element_Stiffness!$C$180,Element_Stiffness!P212,IF(6=Element_Stiffness!$E$180,Element_Stiffness!V212,0)),0)),0)+IF(Element_Stiffness!$C$216,IF(Element_Stiffness!$C$215=2,IF(6=Element_Stiffness!$C$215,Element_Stiffness!P241,IF(6=Element_Stiffness!$E$215,Element_Stiffness!V241,0)),IF(Element_Stiffness!$E$215=2,IF(6=Element_Stiffness!$C$215,Element_Stiffness!P247,IF(6=Element_Stiffness!$E$215,Element_Stiffness!V247,0)),0)),0)</f>
        <v/>
      </c>
      <c r="AN22" s="21">
        <f>IF(Element_Stiffness!$C$6,IF(Element_Stiffness!$C$5=2,IF(6=Element_Stiffness!$C$5,Element_Stiffness!Q31,IF(6=Element_Stiffness!$E$5,Element_Stiffness!W31,0)),IF(Element_Stiffness!$E$5=2,IF(6=Element_Stiffness!$C$5,Element_Stiffness!Q37,IF(6=Element_Stiffness!$E$5,Element_Stiffness!W37,0)),0)),0)+IF(Element_Stiffness!$C$41,IF(Element_Stiffness!$C$40=2,IF(6=Element_Stiffness!$C$40,Element_Stiffness!Q66,IF(6=Element_Stiffness!$E$40,Element_Stiffness!W66,0)),IF(Element_Stiffness!$E$40=2,IF(6=Element_Stiffness!$C$40,Element_Stiffness!Q72,IF(6=Element_Stiffness!$E$40,Element_Stiffness!W72,0)),0)),0)+IF(Element_Stiffness!$C$76,IF(Element_Stiffness!$C$75=2,IF(6=Element_Stiffness!$C$75,Element_Stiffness!Q101,IF(6=Element_Stiffness!$E$75,Element_Stiffness!W101,0)),IF(Element_Stiffness!$E$75=2,IF(6=Element_Stiffness!$C$75,Element_Stiffness!Q107,IF(6=Element_Stiffness!$E$75,Element_Stiffness!W107,0)),0)),0)+IF(Element_Stiffness!$C$111,IF(Element_Stiffness!$C$110=2,IF(6=Element_Stiffness!$C$110,Element_Stiffness!Q136,IF(6=Element_Stiffness!$E$110,Element_Stiffness!W136,0)),IF(Element_Stiffness!$E$110=2,IF(6=Element_Stiffness!$C$110,Element_Stiffness!Q142,IF(6=Element_Stiffness!$E$110,Element_Stiffness!W142,0)),0)),0)+IF(Element_Stiffness!$C$146,IF(Element_Stiffness!$C$145=2,IF(6=Element_Stiffness!$C$145,Element_Stiffness!Q171,IF(6=Element_Stiffness!$E$145,Element_Stiffness!W171,0)),IF(Element_Stiffness!$E$145=2,IF(6=Element_Stiffness!$C$145,Element_Stiffness!Q177,IF(6=Element_Stiffness!$E$145,Element_Stiffness!W177,0)),0)),0)+IF(Element_Stiffness!$C$181,IF(Element_Stiffness!$C$180=2,IF(6=Element_Stiffness!$C$180,Element_Stiffness!Q206,IF(6=Element_Stiffness!$E$180,Element_Stiffness!W206,0)),IF(Element_Stiffness!$E$180=2,IF(6=Element_Stiffness!$C$180,Element_Stiffness!Q212,IF(6=Element_Stiffness!$E$180,Element_Stiffness!W212,0)),0)),0)+IF(Element_Stiffness!$C$216,IF(Element_Stiffness!$C$215=2,IF(6=Element_Stiffness!$C$215,Element_Stiffness!Q241,IF(6=Element_Stiffness!$E$215,Element_Stiffness!W241,0)),IF(Element_Stiffness!$E$215=2,IF(6=Element_Stiffness!$C$215,Element_Stiffness!Q247,IF(6=Element_Stiffness!$E$215,Element_Stiffness!W247,0)),0)),0)</f>
        <v/>
      </c>
      <c r="AO22" s="21">
        <f>IF(Element_Stiffness!$C$6,IF(Element_Stiffness!$C$5=2,IF(6=Element_Stiffness!$C$5,Element_Stiffness!R31,IF(6=Element_Stiffness!$E$5,Element_Stiffness!X31,0)),IF(Element_Stiffness!$E$5=2,IF(6=Element_Stiffness!$C$5,Element_Stiffness!R37,IF(6=Element_Stiffness!$E$5,Element_Stiffness!X37,0)),0)),0)+IF(Element_Stiffness!$C$41,IF(Element_Stiffness!$C$40=2,IF(6=Element_Stiffness!$C$40,Element_Stiffness!R66,IF(6=Element_Stiffness!$E$40,Element_Stiffness!X66,0)),IF(Element_Stiffness!$E$40=2,IF(6=Element_Stiffness!$C$40,Element_Stiffness!R72,IF(6=Element_Stiffness!$E$40,Element_Stiffness!X72,0)),0)),0)+IF(Element_Stiffness!$C$76,IF(Element_Stiffness!$C$75=2,IF(6=Element_Stiffness!$C$75,Element_Stiffness!R101,IF(6=Element_Stiffness!$E$75,Element_Stiffness!X101,0)),IF(Element_Stiffness!$E$75=2,IF(6=Element_Stiffness!$C$75,Element_Stiffness!R107,IF(6=Element_Stiffness!$E$75,Element_Stiffness!X107,0)),0)),0)+IF(Element_Stiffness!$C$111,IF(Element_Stiffness!$C$110=2,IF(6=Element_Stiffness!$C$110,Element_Stiffness!R136,IF(6=Element_Stiffness!$E$110,Element_Stiffness!X136,0)),IF(Element_Stiffness!$E$110=2,IF(6=Element_Stiffness!$C$110,Element_Stiffness!R142,IF(6=Element_Stiffness!$E$110,Element_Stiffness!X142,0)),0)),0)+IF(Element_Stiffness!$C$146,IF(Element_Stiffness!$C$145=2,IF(6=Element_Stiffness!$C$145,Element_Stiffness!R171,IF(6=Element_Stiffness!$E$145,Element_Stiffness!X171,0)),IF(Element_Stiffness!$E$145=2,IF(6=Element_Stiffness!$C$145,Element_Stiffness!R177,IF(6=Element_Stiffness!$E$145,Element_Stiffness!X177,0)),0)),0)+IF(Element_Stiffness!$C$181,IF(Element_Stiffness!$C$180=2,IF(6=Element_Stiffness!$C$180,Element_Stiffness!R206,IF(6=Element_Stiffness!$E$180,Element_Stiffness!X206,0)),IF(Element_Stiffness!$E$180=2,IF(6=Element_Stiffness!$C$180,Element_Stiffness!R212,IF(6=Element_Stiffness!$E$180,Element_Stiffness!X212,0)),0)),0)+IF(Element_Stiffness!$C$216,IF(Element_Stiffness!$C$215=2,IF(6=Element_Stiffness!$C$215,Element_Stiffness!R241,IF(6=Element_Stiffness!$E$215,Element_Stiffness!X241,0)),IF(Element_Stiffness!$E$215=2,IF(6=Element_Stiffness!$C$215,Element_Stiffness!R247,IF(6=Element_Stiffness!$E$215,Element_Stiffness!X247,0)),0)),0)</f>
        <v/>
      </c>
      <c r="AP22" s="21">
        <f>IF(Element_Stiffness!$C$6,IF(Element_Stiffness!$C$5=2,IF(6=Element_Stiffness!$C$5,Element_Stiffness!S31,IF(6=Element_Stiffness!$E$5,Element_Stiffness!Y31,0)),IF(Element_Stiffness!$E$5=2,IF(6=Element_Stiffness!$C$5,Element_Stiffness!S37,IF(6=Element_Stiffness!$E$5,Element_Stiffness!Y37,0)),0)),0)+IF(Element_Stiffness!$C$41,IF(Element_Stiffness!$C$40=2,IF(6=Element_Stiffness!$C$40,Element_Stiffness!S66,IF(6=Element_Stiffness!$E$40,Element_Stiffness!Y66,0)),IF(Element_Stiffness!$E$40=2,IF(6=Element_Stiffness!$C$40,Element_Stiffness!S72,IF(6=Element_Stiffness!$E$40,Element_Stiffness!Y72,0)),0)),0)+IF(Element_Stiffness!$C$76,IF(Element_Stiffness!$C$75=2,IF(6=Element_Stiffness!$C$75,Element_Stiffness!S101,IF(6=Element_Stiffness!$E$75,Element_Stiffness!Y101,0)),IF(Element_Stiffness!$E$75=2,IF(6=Element_Stiffness!$C$75,Element_Stiffness!S107,IF(6=Element_Stiffness!$E$75,Element_Stiffness!Y107,0)),0)),0)+IF(Element_Stiffness!$C$111,IF(Element_Stiffness!$C$110=2,IF(6=Element_Stiffness!$C$110,Element_Stiffness!S136,IF(6=Element_Stiffness!$E$110,Element_Stiffness!Y136,0)),IF(Element_Stiffness!$E$110=2,IF(6=Element_Stiffness!$C$110,Element_Stiffness!S142,IF(6=Element_Stiffness!$E$110,Element_Stiffness!Y142,0)),0)),0)+IF(Element_Stiffness!$C$146,IF(Element_Stiffness!$C$145=2,IF(6=Element_Stiffness!$C$145,Element_Stiffness!S171,IF(6=Element_Stiffness!$E$145,Element_Stiffness!Y171,0)),IF(Element_Stiffness!$E$145=2,IF(6=Element_Stiffness!$C$145,Element_Stiffness!S177,IF(6=Element_Stiffness!$E$145,Element_Stiffness!Y177,0)),0)),0)+IF(Element_Stiffness!$C$181,IF(Element_Stiffness!$C$180=2,IF(6=Element_Stiffness!$C$180,Element_Stiffness!S206,IF(6=Element_Stiffness!$E$180,Element_Stiffness!Y206,0)),IF(Element_Stiffness!$E$180=2,IF(6=Element_Stiffness!$C$180,Element_Stiffness!S212,IF(6=Element_Stiffness!$E$180,Element_Stiffness!Y212,0)),0)),0)+IF(Element_Stiffness!$C$216,IF(Element_Stiffness!$C$215=2,IF(6=Element_Stiffness!$C$215,Element_Stiffness!S241,IF(6=Element_Stiffness!$E$215,Element_Stiffness!Y241,0)),IF(Element_Stiffness!$E$215=2,IF(6=Element_Stiffness!$C$215,Element_Stiffness!S247,IF(6=Element_Stiffness!$E$215,Element_Stiffness!Y247,0)),0)),0)</f>
        <v/>
      </c>
      <c r="AQ22" s="21">
        <f>IF(Element_Stiffness!$C$6,IF(Element_Stiffness!$C$5=2,IF(6=Element_Stiffness!$C$5,Element_Stiffness!T31,IF(6=Element_Stiffness!$E$5,Element_Stiffness!Z31,0)),IF(Element_Stiffness!$E$5=2,IF(6=Element_Stiffness!$C$5,Element_Stiffness!T37,IF(6=Element_Stiffness!$E$5,Element_Stiffness!Z37,0)),0)),0)+IF(Element_Stiffness!$C$41,IF(Element_Stiffness!$C$40=2,IF(6=Element_Stiffness!$C$40,Element_Stiffness!T66,IF(6=Element_Stiffness!$E$40,Element_Stiffness!Z66,0)),IF(Element_Stiffness!$E$40=2,IF(6=Element_Stiffness!$C$40,Element_Stiffness!T72,IF(6=Element_Stiffness!$E$40,Element_Stiffness!Z72,0)),0)),0)+IF(Element_Stiffness!$C$76,IF(Element_Stiffness!$C$75=2,IF(6=Element_Stiffness!$C$75,Element_Stiffness!T101,IF(6=Element_Stiffness!$E$75,Element_Stiffness!Z101,0)),IF(Element_Stiffness!$E$75=2,IF(6=Element_Stiffness!$C$75,Element_Stiffness!T107,IF(6=Element_Stiffness!$E$75,Element_Stiffness!Z107,0)),0)),0)+IF(Element_Stiffness!$C$111,IF(Element_Stiffness!$C$110=2,IF(6=Element_Stiffness!$C$110,Element_Stiffness!T136,IF(6=Element_Stiffness!$E$110,Element_Stiffness!Z136,0)),IF(Element_Stiffness!$E$110=2,IF(6=Element_Stiffness!$C$110,Element_Stiffness!T142,IF(6=Element_Stiffness!$E$110,Element_Stiffness!Z142,0)),0)),0)+IF(Element_Stiffness!$C$146,IF(Element_Stiffness!$C$145=2,IF(6=Element_Stiffness!$C$145,Element_Stiffness!T171,IF(6=Element_Stiffness!$E$145,Element_Stiffness!Z171,0)),IF(Element_Stiffness!$E$145=2,IF(6=Element_Stiffness!$C$145,Element_Stiffness!T177,IF(6=Element_Stiffness!$E$145,Element_Stiffness!Z177,0)),0)),0)+IF(Element_Stiffness!$C$181,IF(Element_Stiffness!$C$180=2,IF(6=Element_Stiffness!$C$180,Element_Stiffness!T206,IF(6=Element_Stiffness!$E$180,Element_Stiffness!Z206,0)),IF(Element_Stiffness!$E$180=2,IF(6=Element_Stiffness!$C$180,Element_Stiffness!T212,IF(6=Element_Stiffness!$E$180,Element_Stiffness!Z212,0)),0)),0)+IF(Element_Stiffness!$C$216,IF(Element_Stiffness!$C$215=2,IF(6=Element_Stiffness!$C$215,Element_Stiffness!T241,IF(6=Element_Stiffness!$E$215,Element_Stiffness!Z241,0)),IF(Element_Stiffness!$E$215=2,IF(6=Element_Stiffness!$C$215,Element_Stiffness!T247,IF(6=Element_Stiffness!$E$215,Element_Stiffness!Z247,0)),0)),0)</f>
        <v/>
      </c>
      <c r="AR22" s="21">
        <f>IF(Element_Stiffness!$C$6,IF(Element_Stiffness!$C$5=2,IF(6=Element_Stiffness!$C$5,Element_Stiffness!U31,IF(6=Element_Stiffness!$E$5,Element_Stiffness!AA31,0)),IF(Element_Stiffness!$E$5=2,IF(6=Element_Stiffness!$C$5,Element_Stiffness!U37,IF(6=Element_Stiffness!$E$5,Element_Stiffness!AA37,0)),0)),0)+IF(Element_Stiffness!$C$41,IF(Element_Stiffness!$C$40=2,IF(6=Element_Stiffness!$C$40,Element_Stiffness!U66,IF(6=Element_Stiffness!$E$40,Element_Stiffness!AA66,0)),IF(Element_Stiffness!$E$40=2,IF(6=Element_Stiffness!$C$40,Element_Stiffness!U72,IF(6=Element_Stiffness!$E$40,Element_Stiffness!AA72,0)),0)),0)+IF(Element_Stiffness!$C$76,IF(Element_Stiffness!$C$75=2,IF(6=Element_Stiffness!$C$75,Element_Stiffness!U101,IF(6=Element_Stiffness!$E$75,Element_Stiffness!AA101,0)),IF(Element_Stiffness!$E$75=2,IF(6=Element_Stiffness!$C$75,Element_Stiffness!U107,IF(6=Element_Stiffness!$E$75,Element_Stiffness!AA107,0)),0)),0)+IF(Element_Stiffness!$C$111,IF(Element_Stiffness!$C$110=2,IF(6=Element_Stiffness!$C$110,Element_Stiffness!U136,IF(6=Element_Stiffness!$E$110,Element_Stiffness!AA136,0)),IF(Element_Stiffness!$E$110=2,IF(6=Element_Stiffness!$C$110,Element_Stiffness!U142,IF(6=Element_Stiffness!$E$110,Element_Stiffness!AA142,0)),0)),0)+IF(Element_Stiffness!$C$146,IF(Element_Stiffness!$C$145=2,IF(6=Element_Stiffness!$C$145,Element_Stiffness!U171,IF(6=Element_Stiffness!$E$145,Element_Stiffness!AA171,0)),IF(Element_Stiffness!$E$145=2,IF(6=Element_Stiffness!$C$145,Element_Stiffness!U177,IF(6=Element_Stiffness!$E$145,Element_Stiffness!AA177,0)),0)),0)+IF(Element_Stiffness!$C$181,IF(Element_Stiffness!$C$180=2,IF(6=Element_Stiffness!$C$180,Element_Stiffness!U206,IF(6=Element_Stiffness!$E$180,Element_Stiffness!AA206,0)),IF(Element_Stiffness!$E$180=2,IF(6=Element_Stiffness!$C$180,Element_Stiffness!U212,IF(6=Element_Stiffness!$E$180,Element_Stiffness!AA212,0)),0)),0)+IF(Element_Stiffness!$C$216,IF(Element_Stiffness!$C$215=2,IF(6=Element_Stiffness!$C$215,Element_Stiffness!U241,IF(6=Element_Stiffness!$E$215,Element_Stiffness!AA241,0)),IF(Element_Stiffness!$E$215=2,IF(6=Element_Stiffness!$C$215,Element_Stiffness!U247,IF(6=Element_Stiffness!$E$215,Element_Stiffness!AA247,0)),0)),0)</f>
        <v/>
      </c>
      <c r="AS22" s="21">
        <f>IF(Element_Stiffness!$C$6,IF(Element_Stiffness!$C$5=2,IF(7=Element_Stiffness!$C$5,Element_Stiffness!P31,IF(7=Element_Stiffness!$E$5,Element_Stiffness!V31,0)),IF(Element_Stiffness!$E$5=2,IF(7=Element_Stiffness!$C$5,Element_Stiffness!P37,IF(7=Element_Stiffness!$E$5,Element_Stiffness!V37,0)),0)),0)+IF(Element_Stiffness!$C$41,IF(Element_Stiffness!$C$40=2,IF(7=Element_Stiffness!$C$40,Element_Stiffness!P66,IF(7=Element_Stiffness!$E$40,Element_Stiffness!V66,0)),IF(Element_Stiffness!$E$40=2,IF(7=Element_Stiffness!$C$40,Element_Stiffness!P72,IF(7=Element_Stiffness!$E$40,Element_Stiffness!V72,0)),0)),0)+IF(Element_Stiffness!$C$76,IF(Element_Stiffness!$C$75=2,IF(7=Element_Stiffness!$C$75,Element_Stiffness!P101,IF(7=Element_Stiffness!$E$75,Element_Stiffness!V101,0)),IF(Element_Stiffness!$E$75=2,IF(7=Element_Stiffness!$C$75,Element_Stiffness!P107,IF(7=Element_Stiffness!$E$75,Element_Stiffness!V107,0)),0)),0)+IF(Element_Stiffness!$C$111,IF(Element_Stiffness!$C$110=2,IF(7=Element_Stiffness!$C$110,Element_Stiffness!P136,IF(7=Element_Stiffness!$E$110,Element_Stiffness!V136,0)),IF(Element_Stiffness!$E$110=2,IF(7=Element_Stiffness!$C$110,Element_Stiffness!P142,IF(7=Element_Stiffness!$E$110,Element_Stiffness!V142,0)),0)),0)+IF(Element_Stiffness!$C$146,IF(Element_Stiffness!$C$145=2,IF(7=Element_Stiffness!$C$145,Element_Stiffness!P171,IF(7=Element_Stiffness!$E$145,Element_Stiffness!V171,0)),IF(Element_Stiffness!$E$145=2,IF(7=Element_Stiffness!$C$145,Element_Stiffness!P177,IF(7=Element_Stiffness!$E$145,Element_Stiffness!V177,0)),0)),0)+IF(Element_Stiffness!$C$181,IF(Element_Stiffness!$C$180=2,IF(7=Element_Stiffness!$C$180,Element_Stiffness!P206,IF(7=Element_Stiffness!$E$180,Element_Stiffness!V206,0)),IF(Element_Stiffness!$E$180=2,IF(7=Element_Stiffness!$C$180,Element_Stiffness!P212,IF(7=Element_Stiffness!$E$180,Element_Stiffness!V212,0)),0)),0)+IF(Element_Stiffness!$C$216,IF(Element_Stiffness!$C$215=2,IF(7=Element_Stiffness!$C$215,Element_Stiffness!P241,IF(7=Element_Stiffness!$E$215,Element_Stiffness!V241,0)),IF(Element_Stiffness!$E$215=2,IF(7=Element_Stiffness!$C$215,Element_Stiffness!P247,IF(7=Element_Stiffness!$E$215,Element_Stiffness!V247,0)),0)),0)</f>
        <v/>
      </c>
      <c r="AT22" s="21">
        <f>IF(Element_Stiffness!$C$6,IF(Element_Stiffness!$C$5=2,IF(7=Element_Stiffness!$C$5,Element_Stiffness!Q31,IF(7=Element_Stiffness!$E$5,Element_Stiffness!W31,0)),IF(Element_Stiffness!$E$5=2,IF(7=Element_Stiffness!$C$5,Element_Stiffness!Q37,IF(7=Element_Stiffness!$E$5,Element_Stiffness!W37,0)),0)),0)+IF(Element_Stiffness!$C$41,IF(Element_Stiffness!$C$40=2,IF(7=Element_Stiffness!$C$40,Element_Stiffness!Q66,IF(7=Element_Stiffness!$E$40,Element_Stiffness!W66,0)),IF(Element_Stiffness!$E$40=2,IF(7=Element_Stiffness!$C$40,Element_Stiffness!Q72,IF(7=Element_Stiffness!$E$40,Element_Stiffness!W72,0)),0)),0)+IF(Element_Stiffness!$C$76,IF(Element_Stiffness!$C$75=2,IF(7=Element_Stiffness!$C$75,Element_Stiffness!Q101,IF(7=Element_Stiffness!$E$75,Element_Stiffness!W101,0)),IF(Element_Stiffness!$E$75=2,IF(7=Element_Stiffness!$C$75,Element_Stiffness!Q107,IF(7=Element_Stiffness!$E$75,Element_Stiffness!W107,0)),0)),0)+IF(Element_Stiffness!$C$111,IF(Element_Stiffness!$C$110=2,IF(7=Element_Stiffness!$C$110,Element_Stiffness!Q136,IF(7=Element_Stiffness!$E$110,Element_Stiffness!W136,0)),IF(Element_Stiffness!$E$110=2,IF(7=Element_Stiffness!$C$110,Element_Stiffness!Q142,IF(7=Element_Stiffness!$E$110,Element_Stiffness!W142,0)),0)),0)+IF(Element_Stiffness!$C$146,IF(Element_Stiffness!$C$145=2,IF(7=Element_Stiffness!$C$145,Element_Stiffness!Q171,IF(7=Element_Stiffness!$E$145,Element_Stiffness!W171,0)),IF(Element_Stiffness!$E$145=2,IF(7=Element_Stiffness!$C$145,Element_Stiffness!Q177,IF(7=Element_Stiffness!$E$145,Element_Stiffness!W177,0)),0)),0)+IF(Element_Stiffness!$C$181,IF(Element_Stiffness!$C$180=2,IF(7=Element_Stiffness!$C$180,Element_Stiffness!Q206,IF(7=Element_Stiffness!$E$180,Element_Stiffness!W206,0)),IF(Element_Stiffness!$E$180=2,IF(7=Element_Stiffness!$C$180,Element_Stiffness!Q212,IF(7=Element_Stiffness!$E$180,Element_Stiffness!W212,0)),0)),0)+IF(Element_Stiffness!$C$216,IF(Element_Stiffness!$C$215=2,IF(7=Element_Stiffness!$C$215,Element_Stiffness!Q241,IF(7=Element_Stiffness!$E$215,Element_Stiffness!W241,0)),IF(Element_Stiffness!$E$215=2,IF(7=Element_Stiffness!$C$215,Element_Stiffness!Q247,IF(7=Element_Stiffness!$E$215,Element_Stiffness!W247,0)),0)),0)</f>
        <v/>
      </c>
      <c r="AU22" s="21">
        <f>IF(Element_Stiffness!$C$6,IF(Element_Stiffness!$C$5=2,IF(7=Element_Stiffness!$C$5,Element_Stiffness!R31,IF(7=Element_Stiffness!$E$5,Element_Stiffness!X31,0)),IF(Element_Stiffness!$E$5=2,IF(7=Element_Stiffness!$C$5,Element_Stiffness!R37,IF(7=Element_Stiffness!$E$5,Element_Stiffness!X37,0)),0)),0)+IF(Element_Stiffness!$C$41,IF(Element_Stiffness!$C$40=2,IF(7=Element_Stiffness!$C$40,Element_Stiffness!R66,IF(7=Element_Stiffness!$E$40,Element_Stiffness!X66,0)),IF(Element_Stiffness!$E$40=2,IF(7=Element_Stiffness!$C$40,Element_Stiffness!R72,IF(7=Element_Stiffness!$E$40,Element_Stiffness!X72,0)),0)),0)+IF(Element_Stiffness!$C$76,IF(Element_Stiffness!$C$75=2,IF(7=Element_Stiffness!$C$75,Element_Stiffness!R101,IF(7=Element_Stiffness!$E$75,Element_Stiffness!X101,0)),IF(Element_Stiffness!$E$75=2,IF(7=Element_Stiffness!$C$75,Element_Stiffness!R107,IF(7=Element_Stiffness!$E$75,Element_Stiffness!X107,0)),0)),0)+IF(Element_Stiffness!$C$111,IF(Element_Stiffness!$C$110=2,IF(7=Element_Stiffness!$C$110,Element_Stiffness!R136,IF(7=Element_Stiffness!$E$110,Element_Stiffness!X136,0)),IF(Element_Stiffness!$E$110=2,IF(7=Element_Stiffness!$C$110,Element_Stiffness!R142,IF(7=Element_Stiffness!$E$110,Element_Stiffness!X142,0)),0)),0)+IF(Element_Stiffness!$C$146,IF(Element_Stiffness!$C$145=2,IF(7=Element_Stiffness!$C$145,Element_Stiffness!R171,IF(7=Element_Stiffness!$E$145,Element_Stiffness!X171,0)),IF(Element_Stiffness!$E$145=2,IF(7=Element_Stiffness!$C$145,Element_Stiffness!R177,IF(7=Element_Stiffness!$E$145,Element_Stiffness!X177,0)),0)),0)+IF(Element_Stiffness!$C$181,IF(Element_Stiffness!$C$180=2,IF(7=Element_Stiffness!$C$180,Element_Stiffness!R206,IF(7=Element_Stiffness!$E$180,Element_Stiffness!X206,0)),IF(Element_Stiffness!$E$180=2,IF(7=Element_Stiffness!$C$180,Element_Stiffness!R212,IF(7=Element_Stiffness!$E$180,Element_Stiffness!X212,0)),0)),0)+IF(Element_Stiffness!$C$216,IF(Element_Stiffness!$C$215=2,IF(7=Element_Stiffness!$C$215,Element_Stiffness!R241,IF(7=Element_Stiffness!$E$215,Element_Stiffness!X241,0)),IF(Element_Stiffness!$E$215=2,IF(7=Element_Stiffness!$C$215,Element_Stiffness!R247,IF(7=Element_Stiffness!$E$215,Element_Stiffness!X247,0)),0)),0)</f>
        <v/>
      </c>
      <c r="AV22" s="21">
        <f>IF(Element_Stiffness!$C$6,IF(Element_Stiffness!$C$5=2,IF(7=Element_Stiffness!$C$5,Element_Stiffness!S31,IF(7=Element_Stiffness!$E$5,Element_Stiffness!Y31,0)),IF(Element_Stiffness!$E$5=2,IF(7=Element_Stiffness!$C$5,Element_Stiffness!S37,IF(7=Element_Stiffness!$E$5,Element_Stiffness!Y37,0)),0)),0)+IF(Element_Stiffness!$C$41,IF(Element_Stiffness!$C$40=2,IF(7=Element_Stiffness!$C$40,Element_Stiffness!S66,IF(7=Element_Stiffness!$E$40,Element_Stiffness!Y66,0)),IF(Element_Stiffness!$E$40=2,IF(7=Element_Stiffness!$C$40,Element_Stiffness!S72,IF(7=Element_Stiffness!$E$40,Element_Stiffness!Y72,0)),0)),0)+IF(Element_Stiffness!$C$76,IF(Element_Stiffness!$C$75=2,IF(7=Element_Stiffness!$C$75,Element_Stiffness!S101,IF(7=Element_Stiffness!$E$75,Element_Stiffness!Y101,0)),IF(Element_Stiffness!$E$75=2,IF(7=Element_Stiffness!$C$75,Element_Stiffness!S107,IF(7=Element_Stiffness!$E$75,Element_Stiffness!Y107,0)),0)),0)+IF(Element_Stiffness!$C$111,IF(Element_Stiffness!$C$110=2,IF(7=Element_Stiffness!$C$110,Element_Stiffness!S136,IF(7=Element_Stiffness!$E$110,Element_Stiffness!Y136,0)),IF(Element_Stiffness!$E$110=2,IF(7=Element_Stiffness!$C$110,Element_Stiffness!S142,IF(7=Element_Stiffness!$E$110,Element_Stiffness!Y142,0)),0)),0)+IF(Element_Stiffness!$C$146,IF(Element_Stiffness!$C$145=2,IF(7=Element_Stiffness!$C$145,Element_Stiffness!S171,IF(7=Element_Stiffness!$E$145,Element_Stiffness!Y171,0)),IF(Element_Stiffness!$E$145=2,IF(7=Element_Stiffness!$C$145,Element_Stiffness!S177,IF(7=Element_Stiffness!$E$145,Element_Stiffness!Y177,0)),0)),0)+IF(Element_Stiffness!$C$181,IF(Element_Stiffness!$C$180=2,IF(7=Element_Stiffness!$C$180,Element_Stiffness!S206,IF(7=Element_Stiffness!$E$180,Element_Stiffness!Y206,0)),IF(Element_Stiffness!$E$180=2,IF(7=Element_Stiffness!$C$180,Element_Stiffness!S212,IF(7=Element_Stiffness!$E$180,Element_Stiffness!Y212,0)),0)),0)+IF(Element_Stiffness!$C$216,IF(Element_Stiffness!$C$215=2,IF(7=Element_Stiffness!$C$215,Element_Stiffness!S241,IF(7=Element_Stiffness!$E$215,Element_Stiffness!Y241,0)),IF(Element_Stiffness!$E$215=2,IF(7=Element_Stiffness!$C$215,Element_Stiffness!S247,IF(7=Element_Stiffness!$E$215,Element_Stiffness!Y247,0)),0)),0)</f>
        <v/>
      </c>
      <c r="AW22" s="21">
        <f>IF(Element_Stiffness!$C$6,IF(Element_Stiffness!$C$5=2,IF(7=Element_Stiffness!$C$5,Element_Stiffness!T31,IF(7=Element_Stiffness!$E$5,Element_Stiffness!Z31,0)),IF(Element_Stiffness!$E$5=2,IF(7=Element_Stiffness!$C$5,Element_Stiffness!T37,IF(7=Element_Stiffness!$E$5,Element_Stiffness!Z37,0)),0)),0)+IF(Element_Stiffness!$C$41,IF(Element_Stiffness!$C$40=2,IF(7=Element_Stiffness!$C$40,Element_Stiffness!T66,IF(7=Element_Stiffness!$E$40,Element_Stiffness!Z66,0)),IF(Element_Stiffness!$E$40=2,IF(7=Element_Stiffness!$C$40,Element_Stiffness!T72,IF(7=Element_Stiffness!$E$40,Element_Stiffness!Z72,0)),0)),0)+IF(Element_Stiffness!$C$76,IF(Element_Stiffness!$C$75=2,IF(7=Element_Stiffness!$C$75,Element_Stiffness!T101,IF(7=Element_Stiffness!$E$75,Element_Stiffness!Z101,0)),IF(Element_Stiffness!$E$75=2,IF(7=Element_Stiffness!$C$75,Element_Stiffness!T107,IF(7=Element_Stiffness!$E$75,Element_Stiffness!Z107,0)),0)),0)+IF(Element_Stiffness!$C$111,IF(Element_Stiffness!$C$110=2,IF(7=Element_Stiffness!$C$110,Element_Stiffness!T136,IF(7=Element_Stiffness!$E$110,Element_Stiffness!Z136,0)),IF(Element_Stiffness!$E$110=2,IF(7=Element_Stiffness!$C$110,Element_Stiffness!T142,IF(7=Element_Stiffness!$E$110,Element_Stiffness!Z142,0)),0)),0)+IF(Element_Stiffness!$C$146,IF(Element_Stiffness!$C$145=2,IF(7=Element_Stiffness!$C$145,Element_Stiffness!T171,IF(7=Element_Stiffness!$E$145,Element_Stiffness!Z171,0)),IF(Element_Stiffness!$E$145=2,IF(7=Element_Stiffness!$C$145,Element_Stiffness!T177,IF(7=Element_Stiffness!$E$145,Element_Stiffness!Z177,0)),0)),0)+IF(Element_Stiffness!$C$181,IF(Element_Stiffness!$C$180=2,IF(7=Element_Stiffness!$C$180,Element_Stiffness!T206,IF(7=Element_Stiffness!$E$180,Element_Stiffness!Z206,0)),IF(Element_Stiffness!$E$180=2,IF(7=Element_Stiffness!$C$180,Element_Stiffness!T212,IF(7=Element_Stiffness!$E$180,Element_Stiffness!Z212,0)),0)),0)+IF(Element_Stiffness!$C$216,IF(Element_Stiffness!$C$215=2,IF(7=Element_Stiffness!$C$215,Element_Stiffness!T241,IF(7=Element_Stiffness!$E$215,Element_Stiffness!Z241,0)),IF(Element_Stiffness!$E$215=2,IF(7=Element_Stiffness!$C$215,Element_Stiffness!T247,IF(7=Element_Stiffness!$E$215,Element_Stiffness!Z247,0)),0)),0)</f>
        <v/>
      </c>
      <c r="AX22" s="21">
        <f>IF(Element_Stiffness!$C$6,IF(Element_Stiffness!$C$5=2,IF(7=Element_Stiffness!$C$5,Element_Stiffness!U31,IF(7=Element_Stiffness!$E$5,Element_Stiffness!AA31,0)),IF(Element_Stiffness!$E$5=2,IF(7=Element_Stiffness!$C$5,Element_Stiffness!U37,IF(7=Element_Stiffness!$E$5,Element_Stiffness!AA37,0)),0)),0)+IF(Element_Stiffness!$C$41,IF(Element_Stiffness!$C$40=2,IF(7=Element_Stiffness!$C$40,Element_Stiffness!U66,IF(7=Element_Stiffness!$E$40,Element_Stiffness!AA66,0)),IF(Element_Stiffness!$E$40=2,IF(7=Element_Stiffness!$C$40,Element_Stiffness!U72,IF(7=Element_Stiffness!$E$40,Element_Stiffness!AA72,0)),0)),0)+IF(Element_Stiffness!$C$76,IF(Element_Stiffness!$C$75=2,IF(7=Element_Stiffness!$C$75,Element_Stiffness!U101,IF(7=Element_Stiffness!$E$75,Element_Stiffness!AA101,0)),IF(Element_Stiffness!$E$75=2,IF(7=Element_Stiffness!$C$75,Element_Stiffness!U107,IF(7=Element_Stiffness!$E$75,Element_Stiffness!AA107,0)),0)),0)+IF(Element_Stiffness!$C$111,IF(Element_Stiffness!$C$110=2,IF(7=Element_Stiffness!$C$110,Element_Stiffness!U136,IF(7=Element_Stiffness!$E$110,Element_Stiffness!AA136,0)),IF(Element_Stiffness!$E$110=2,IF(7=Element_Stiffness!$C$110,Element_Stiffness!U142,IF(7=Element_Stiffness!$E$110,Element_Stiffness!AA142,0)),0)),0)+IF(Element_Stiffness!$C$146,IF(Element_Stiffness!$C$145=2,IF(7=Element_Stiffness!$C$145,Element_Stiffness!U171,IF(7=Element_Stiffness!$E$145,Element_Stiffness!AA171,0)),IF(Element_Stiffness!$E$145=2,IF(7=Element_Stiffness!$C$145,Element_Stiffness!U177,IF(7=Element_Stiffness!$E$145,Element_Stiffness!AA177,0)),0)),0)+IF(Element_Stiffness!$C$181,IF(Element_Stiffness!$C$180=2,IF(7=Element_Stiffness!$C$180,Element_Stiffness!U206,IF(7=Element_Stiffness!$E$180,Element_Stiffness!AA206,0)),IF(Element_Stiffness!$E$180=2,IF(7=Element_Stiffness!$C$180,Element_Stiffness!U212,IF(7=Element_Stiffness!$E$180,Element_Stiffness!AA212,0)),0)),0)+IF(Element_Stiffness!$C$216,IF(Element_Stiffness!$C$215=2,IF(7=Element_Stiffness!$C$215,Element_Stiffness!U241,IF(7=Element_Stiffness!$E$215,Element_Stiffness!AA241,0)),IF(Element_Stiffness!$E$215=2,IF(7=Element_Stiffness!$C$215,Element_Stiffness!U247,IF(7=Element_Stiffness!$E$215,Element_Stiffness!AA247,0)),0)),0)</f>
        <v/>
      </c>
      <c r="AY22" s="21" t="n">
        <v>0</v>
      </c>
      <c r="AZ22" s="21">
        <f>IF(Element_Stiffness!$C$6,IF(Element_Stiffness!$C$5=2,Element_Stiffness!C31,IF(Element_Stiffness!$E$5=2,Element_Stiffness!C37,0)),0)+IF(Element_Stiffness!$C$41,IF(Element_Stiffness!$C$40=2,Element_Stiffness!C66,IF(Element_Stiffness!$E$40=2,Element_Stiffness!C72,0)),0)+IF(Element_Stiffness!$C$76,IF(Element_Stiffness!$C$75=2,Element_Stiffness!C101,IF(Element_Stiffness!$E$75=2,Element_Stiffness!C107,0)),0)+IF(Element_Stiffness!$C$111,IF(Element_Stiffness!$C$110=2,Element_Stiffness!C136,IF(Element_Stiffness!$E$110=2,Element_Stiffness!C142,0)),0)+IF(Element_Stiffness!$C$146,IF(Element_Stiffness!$C$145=2,Element_Stiffness!C171,IF(Element_Stiffness!$E$145=2,Element_Stiffness!C177,0)),0)+IF(Element_Stiffness!$C$181,IF(Element_Stiffness!$C$180=2,Element_Stiffness!C206,IF(Element_Stiffness!$E$180=2,Element_Stiffness!C212,0)),0)+IF(Element_Stiffness!$C$216,IF(Element_Stiffness!$C$215=2,Element_Stiffness!C241,IF(Element_Stiffness!$E$215=2,Element_Stiffness!C247,0)),0)</f>
        <v/>
      </c>
      <c r="BB22" s="28">
        <f>INDEX(MMULT(MINVERSE(C5:AX52), AY5:AY52), 18, 1)</f>
        <v/>
      </c>
      <c r="BC22" s="28">
        <f>INDEX(MMULT(MINVERSE(C5:AX52), AZ5:AZ52), 18, 1)</f>
        <v/>
      </c>
    </row>
    <row r="23">
      <c r="B23" s="27" t="inlineStr">
        <is>
          <t>N3_tx</t>
        </is>
      </c>
      <c r="C23" s="21">
        <f>IF(Element_Stiffness!$C$6,IF(Element_Stiffness!$C$5=3,IF(0=Element_Stiffness!$C$5,Element_Stiffness!P26,IF(0=Element_Stiffness!$E$5,Element_Stiffness!V26,0)),IF(Element_Stiffness!$E$5=3,IF(0=Element_Stiffness!$C$5,Element_Stiffness!P32,IF(0=Element_Stiffness!$E$5,Element_Stiffness!V32,0)),0)),0)+IF(Element_Stiffness!$C$41,IF(Element_Stiffness!$C$40=3,IF(0=Element_Stiffness!$C$40,Element_Stiffness!P61,IF(0=Element_Stiffness!$E$40,Element_Stiffness!V61,0)),IF(Element_Stiffness!$E$40=3,IF(0=Element_Stiffness!$C$40,Element_Stiffness!P67,IF(0=Element_Stiffness!$E$40,Element_Stiffness!V67,0)),0)),0)+IF(Element_Stiffness!$C$76,IF(Element_Stiffness!$C$75=3,IF(0=Element_Stiffness!$C$75,Element_Stiffness!P96,IF(0=Element_Stiffness!$E$75,Element_Stiffness!V96,0)),IF(Element_Stiffness!$E$75=3,IF(0=Element_Stiffness!$C$75,Element_Stiffness!P102,IF(0=Element_Stiffness!$E$75,Element_Stiffness!V102,0)),0)),0)+IF(Element_Stiffness!$C$111,IF(Element_Stiffness!$C$110=3,IF(0=Element_Stiffness!$C$110,Element_Stiffness!P131,IF(0=Element_Stiffness!$E$110,Element_Stiffness!V131,0)),IF(Element_Stiffness!$E$110=3,IF(0=Element_Stiffness!$C$110,Element_Stiffness!P137,IF(0=Element_Stiffness!$E$110,Element_Stiffness!V137,0)),0)),0)+IF(Element_Stiffness!$C$146,IF(Element_Stiffness!$C$145=3,IF(0=Element_Stiffness!$C$145,Element_Stiffness!P166,IF(0=Element_Stiffness!$E$145,Element_Stiffness!V166,0)),IF(Element_Stiffness!$E$145=3,IF(0=Element_Stiffness!$C$145,Element_Stiffness!P172,IF(0=Element_Stiffness!$E$145,Element_Stiffness!V172,0)),0)),0)+IF(Element_Stiffness!$C$181,IF(Element_Stiffness!$C$180=3,IF(0=Element_Stiffness!$C$180,Element_Stiffness!P201,IF(0=Element_Stiffness!$E$180,Element_Stiffness!V201,0)),IF(Element_Stiffness!$E$180=3,IF(0=Element_Stiffness!$C$180,Element_Stiffness!P207,IF(0=Element_Stiffness!$E$180,Element_Stiffness!V207,0)),0)),0)+IF(Element_Stiffness!$C$216,IF(Element_Stiffness!$C$215=3,IF(0=Element_Stiffness!$C$215,Element_Stiffness!P236,IF(0=Element_Stiffness!$E$215,Element_Stiffness!V236,0)),IF(Element_Stiffness!$E$215=3,IF(0=Element_Stiffness!$C$215,Element_Stiffness!P242,IF(0=Element_Stiffness!$E$215,Element_Stiffness!V242,0)),0)),0)</f>
        <v/>
      </c>
      <c r="D23" s="21">
        <f>IF(Element_Stiffness!$C$6,IF(Element_Stiffness!$C$5=3,IF(0=Element_Stiffness!$C$5,Element_Stiffness!Q26,IF(0=Element_Stiffness!$E$5,Element_Stiffness!W26,0)),IF(Element_Stiffness!$E$5=3,IF(0=Element_Stiffness!$C$5,Element_Stiffness!Q32,IF(0=Element_Stiffness!$E$5,Element_Stiffness!W32,0)),0)),0)+IF(Element_Stiffness!$C$41,IF(Element_Stiffness!$C$40=3,IF(0=Element_Stiffness!$C$40,Element_Stiffness!Q61,IF(0=Element_Stiffness!$E$40,Element_Stiffness!W61,0)),IF(Element_Stiffness!$E$40=3,IF(0=Element_Stiffness!$C$40,Element_Stiffness!Q67,IF(0=Element_Stiffness!$E$40,Element_Stiffness!W67,0)),0)),0)+IF(Element_Stiffness!$C$76,IF(Element_Stiffness!$C$75=3,IF(0=Element_Stiffness!$C$75,Element_Stiffness!Q96,IF(0=Element_Stiffness!$E$75,Element_Stiffness!W96,0)),IF(Element_Stiffness!$E$75=3,IF(0=Element_Stiffness!$C$75,Element_Stiffness!Q102,IF(0=Element_Stiffness!$E$75,Element_Stiffness!W102,0)),0)),0)+IF(Element_Stiffness!$C$111,IF(Element_Stiffness!$C$110=3,IF(0=Element_Stiffness!$C$110,Element_Stiffness!Q131,IF(0=Element_Stiffness!$E$110,Element_Stiffness!W131,0)),IF(Element_Stiffness!$E$110=3,IF(0=Element_Stiffness!$C$110,Element_Stiffness!Q137,IF(0=Element_Stiffness!$E$110,Element_Stiffness!W137,0)),0)),0)+IF(Element_Stiffness!$C$146,IF(Element_Stiffness!$C$145=3,IF(0=Element_Stiffness!$C$145,Element_Stiffness!Q166,IF(0=Element_Stiffness!$E$145,Element_Stiffness!W166,0)),IF(Element_Stiffness!$E$145=3,IF(0=Element_Stiffness!$C$145,Element_Stiffness!Q172,IF(0=Element_Stiffness!$E$145,Element_Stiffness!W172,0)),0)),0)+IF(Element_Stiffness!$C$181,IF(Element_Stiffness!$C$180=3,IF(0=Element_Stiffness!$C$180,Element_Stiffness!Q201,IF(0=Element_Stiffness!$E$180,Element_Stiffness!W201,0)),IF(Element_Stiffness!$E$180=3,IF(0=Element_Stiffness!$C$180,Element_Stiffness!Q207,IF(0=Element_Stiffness!$E$180,Element_Stiffness!W207,0)),0)),0)+IF(Element_Stiffness!$C$216,IF(Element_Stiffness!$C$215=3,IF(0=Element_Stiffness!$C$215,Element_Stiffness!Q236,IF(0=Element_Stiffness!$E$215,Element_Stiffness!W236,0)),IF(Element_Stiffness!$E$215=3,IF(0=Element_Stiffness!$C$215,Element_Stiffness!Q242,IF(0=Element_Stiffness!$E$215,Element_Stiffness!W242,0)),0)),0)</f>
        <v/>
      </c>
      <c r="E23" s="21">
        <f>IF(Element_Stiffness!$C$6,IF(Element_Stiffness!$C$5=3,IF(0=Element_Stiffness!$C$5,Element_Stiffness!R26,IF(0=Element_Stiffness!$E$5,Element_Stiffness!X26,0)),IF(Element_Stiffness!$E$5=3,IF(0=Element_Stiffness!$C$5,Element_Stiffness!R32,IF(0=Element_Stiffness!$E$5,Element_Stiffness!X32,0)),0)),0)+IF(Element_Stiffness!$C$41,IF(Element_Stiffness!$C$40=3,IF(0=Element_Stiffness!$C$40,Element_Stiffness!R61,IF(0=Element_Stiffness!$E$40,Element_Stiffness!X61,0)),IF(Element_Stiffness!$E$40=3,IF(0=Element_Stiffness!$C$40,Element_Stiffness!R67,IF(0=Element_Stiffness!$E$40,Element_Stiffness!X67,0)),0)),0)+IF(Element_Stiffness!$C$76,IF(Element_Stiffness!$C$75=3,IF(0=Element_Stiffness!$C$75,Element_Stiffness!R96,IF(0=Element_Stiffness!$E$75,Element_Stiffness!X96,0)),IF(Element_Stiffness!$E$75=3,IF(0=Element_Stiffness!$C$75,Element_Stiffness!R102,IF(0=Element_Stiffness!$E$75,Element_Stiffness!X102,0)),0)),0)+IF(Element_Stiffness!$C$111,IF(Element_Stiffness!$C$110=3,IF(0=Element_Stiffness!$C$110,Element_Stiffness!R131,IF(0=Element_Stiffness!$E$110,Element_Stiffness!X131,0)),IF(Element_Stiffness!$E$110=3,IF(0=Element_Stiffness!$C$110,Element_Stiffness!R137,IF(0=Element_Stiffness!$E$110,Element_Stiffness!X137,0)),0)),0)+IF(Element_Stiffness!$C$146,IF(Element_Stiffness!$C$145=3,IF(0=Element_Stiffness!$C$145,Element_Stiffness!R166,IF(0=Element_Stiffness!$E$145,Element_Stiffness!X166,0)),IF(Element_Stiffness!$E$145=3,IF(0=Element_Stiffness!$C$145,Element_Stiffness!R172,IF(0=Element_Stiffness!$E$145,Element_Stiffness!X172,0)),0)),0)+IF(Element_Stiffness!$C$181,IF(Element_Stiffness!$C$180=3,IF(0=Element_Stiffness!$C$180,Element_Stiffness!R201,IF(0=Element_Stiffness!$E$180,Element_Stiffness!X201,0)),IF(Element_Stiffness!$E$180=3,IF(0=Element_Stiffness!$C$180,Element_Stiffness!R207,IF(0=Element_Stiffness!$E$180,Element_Stiffness!X207,0)),0)),0)+IF(Element_Stiffness!$C$216,IF(Element_Stiffness!$C$215=3,IF(0=Element_Stiffness!$C$215,Element_Stiffness!R236,IF(0=Element_Stiffness!$E$215,Element_Stiffness!X236,0)),IF(Element_Stiffness!$E$215=3,IF(0=Element_Stiffness!$C$215,Element_Stiffness!R242,IF(0=Element_Stiffness!$E$215,Element_Stiffness!X242,0)),0)),0)</f>
        <v/>
      </c>
      <c r="F23" s="21">
        <f>IF(Element_Stiffness!$C$6,IF(Element_Stiffness!$C$5=3,IF(0=Element_Stiffness!$C$5,Element_Stiffness!S26,IF(0=Element_Stiffness!$E$5,Element_Stiffness!Y26,0)),IF(Element_Stiffness!$E$5=3,IF(0=Element_Stiffness!$C$5,Element_Stiffness!S32,IF(0=Element_Stiffness!$E$5,Element_Stiffness!Y32,0)),0)),0)+IF(Element_Stiffness!$C$41,IF(Element_Stiffness!$C$40=3,IF(0=Element_Stiffness!$C$40,Element_Stiffness!S61,IF(0=Element_Stiffness!$E$40,Element_Stiffness!Y61,0)),IF(Element_Stiffness!$E$40=3,IF(0=Element_Stiffness!$C$40,Element_Stiffness!S67,IF(0=Element_Stiffness!$E$40,Element_Stiffness!Y67,0)),0)),0)+IF(Element_Stiffness!$C$76,IF(Element_Stiffness!$C$75=3,IF(0=Element_Stiffness!$C$75,Element_Stiffness!S96,IF(0=Element_Stiffness!$E$75,Element_Stiffness!Y96,0)),IF(Element_Stiffness!$E$75=3,IF(0=Element_Stiffness!$C$75,Element_Stiffness!S102,IF(0=Element_Stiffness!$E$75,Element_Stiffness!Y102,0)),0)),0)+IF(Element_Stiffness!$C$111,IF(Element_Stiffness!$C$110=3,IF(0=Element_Stiffness!$C$110,Element_Stiffness!S131,IF(0=Element_Stiffness!$E$110,Element_Stiffness!Y131,0)),IF(Element_Stiffness!$E$110=3,IF(0=Element_Stiffness!$C$110,Element_Stiffness!S137,IF(0=Element_Stiffness!$E$110,Element_Stiffness!Y137,0)),0)),0)+IF(Element_Stiffness!$C$146,IF(Element_Stiffness!$C$145=3,IF(0=Element_Stiffness!$C$145,Element_Stiffness!S166,IF(0=Element_Stiffness!$E$145,Element_Stiffness!Y166,0)),IF(Element_Stiffness!$E$145=3,IF(0=Element_Stiffness!$C$145,Element_Stiffness!S172,IF(0=Element_Stiffness!$E$145,Element_Stiffness!Y172,0)),0)),0)+IF(Element_Stiffness!$C$181,IF(Element_Stiffness!$C$180=3,IF(0=Element_Stiffness!$C$180,Element_Stiffness!S201,IF(0=Element_Stiffness!$E$180,Element_Stiffness!Y201,0)),IF(Element_Stiffness!$E$180=3,IF(0=Element_Stiffness!$C$180,Element_Stiffness!S207,IF(0=Element_Stiffness!$E$180,Element_Stiffness!Y207,0)),0)),0)+IF(Element_Stiffness!$C$216,IF(Element_Stiffness!$C$215=3,IF(0=Element_Stiffness!$C$215,Element_Stiffness!S236,IF(0=Element_Stiffness!$E$215,Element_Stiffness!Y236,0)),IF(Element_Stiffness!$E$215=3,IF(0=Element_Stiffness!$C$215,Element_Stiffness!S242,IF(0=Element_Stiffness!$E$215,Element_Stiffness!Y242,0)),0)),0)</f>
        <v/>
      </c>
      <c r="G23" s="21">
        <f>IF(Element_Stiffness!$C$6,IF(Element_Stiffness!$C$5=3,IF(0=Element_Stiffness!$C$5,Element_Stiffness!T26,IF(0=Element_Stiffness!$E$5,Element_Stiffness!Z26,0)),IF(Element_Stiffness!$E$5=3,IF(0=Element_Stiffness!$C$5,Element_Stiffness!T32,IF(0=Element_Stiffness!$E$5,Element_Stiffness!Z32,0)),0)),0)+IF(Element_Stiffness!$C$41,IF(Element_Stiffness!$C$40=3,IF(0=Element_Stiffness!$C$40,Element_Stiffness!T61,IF(0=Element_Stiffness!$E$40,Element_Stiffness!Z61,0)),IF(Element_Stiffness!$E$40=3,IF(0=Element_Stiffness!$C$40,Element_Stiffness!T67,IF(0=Element_Stiffness!$E$40,Element_Stiffness!Z67,0)),0)),0)+IF(Element_Stiffness!$C$76,IF(Element_Stiffness!$C$75=3,IF(0=Element_Stiffness!$C$75,Element_Stiffness!T96,IF(0=Element_Stiffness!$E$75,Element_Stiffness!Z96,0)),IF(Element_Stiffness!$E$75=3,IF(0=Element_Stiffness!$C$75,Element_Stiffness!T102,IF(0=Element_Stiffness!$E$75,Element_Stiffness!Z102,0)),0)),0)+IF(Element_Stiffness!$C$111,IF(Element_Stiffness!$C$110=3,IF(0=Element_Stiffness!$C$110,Element_Stiffness!T131,IF(0=Element_Stiffness!$E$110,Element_Stiffness!Z131,0)),IF(Element_Stiffness!$E$110=3,IF(0=Element_Stiffness!$C$110,Element_Stiffness!T137,IF(0=Element_Stiffness!$E$110,Element_Stiffness!Z137,0)),0)),0)+IF(Element_Stiffness!$C$146,IF(Element_Stiffness!$C$145=3,IF(0=Element_Stiffness!$C$145,Element_Stiffness!T166,IF(0=Element_Stiffness!$E$145,Element_Stiffness!Z166,0)),IF(Element_Stiffness!$E$145=3,IF(0=Element_Stiffness!$C$145,Element_Stiffness!T172,IF(0=Element_Stiffness!$E$145,Element_Stiffness!Z172,0)),0)),0)+IF(Element_Stiffness!$C$181,IF(Element_Stiffness!$C$180=3,IF(0=Element_Stiffness!$C$180,Element_Stiffness!T201,IF(0=Element_Stiffness!$E$180,Element_Stiffness!Z201,0)),IF(Element_Stiffness!$E$180=3,IF(0=Element_Stiffness!$C$180,Element_Stiffness!T207,IF(0=Element_Stiffness!$E$180,Element_Stiffness!Z207,0)),0)),0)+IF(Element_Stiffness!$C$216,IF(Element_Stiffness!$C$215=3,IF(0=Element_Stiffness!$C$215,Element_Stiffness!T236,IF(0=Element_Stiffness!$E$215,Element_Stiffness!Z236,0)),IF(Element_Stiffness!$E$215=3,IF(0=Element_Stiffness!$C$215,Element_Stiffness!T242,IF(0=Element_Stiffness!$E$215,Element_Stiffness!Z242,0)),0)),0)</f>
        <v/>
      </c>
      <c r="H23" s="21">
        <f>IF(Element_Stiffness!$C$6,IF(Element_Stiffness!$C$5=3,IF(0=Element_Stiffness!$C$5,Element_Stiffness!U26,IF(0=Element_Stiffness!$E$5,Element_Stiffness!AA26,0)),IF(Element_Stiffness!$E$5=3,IF(0=Element_Stiffness!$C$5,Element_Stiffness!U32,IF(0=Element_Stiffness!$E$5,Element_Stiffness!AA32,0)),0)),0)+IF(Element_Stiffness!$C$41,IF(Element_Stiffness!$C$40=3,IF(0=Element_Stiffness!$C$40,Element_Stiffness!U61,IF(0=Element_Stiffness!$E$40,Element_Stiffness!AA61,0)),IF(Element_Stiffness!$E$40=3,IF(0=Element_Stiffness!$C$40,Element_Stiffness!U67,IF(0=Element_Stiffness!$E$40,Element_Stiffness!AA67,0)),0)),0)+IF(Element_Stiffness!$C$76,IF(Element_Stiffness!$C$75=3,IF(0=Element_Stiffness!$C$75,Element_Stiffness!U96,IF(0=Element_Stiffness!$E$75,Element_Stiffness!AA96,0)),IF(Element_Stiffness!$E$75=3,IF(0=Element_Stiffness!$C$75,Element_Stiffness!U102,IF(0=Element_Stiffness!$E$75,Element_Stiffness!AA102,0)),0)),0)+IF(Element_Stiffness!$C$111,IF(Element_Stiffness!$C$110=3,IF(0=Element_Stiffness!$C$110,Element_Stiffness!U131,IF(0=Element_Stiffness!$E$110,Element_Stiffness!AA131,0)),IF(Element_Stiffness!$E$110=3,IF(0=Element_Stiffness!$C$110,Element_Stiffness!U137,IF(0=Element_Stiffness!$E$110,Element_Stiffness!AA137,0)),0)),0)+IF(Element_Stiffness!$C$146,IF(Element_Stiffness!$C$145=3,IF(0=Element_Stiffness!$C$145,Element_Stiffness!U166,IF(0=Element_Stiffness!$E$145,Element_Stiffness!AA166,0)),IF(Element_Stiffness!$E$145=3,IF(0=Element_Stiffness!$C$145,Element_Stiffness!U172,IF(0=Element_Stiffness!$E$145,Element_Stiffness!AA172,0)),0)),0)+IF(Element_Stiffness!$C$181,IF(Element_Stiffness!$C$180=3,IF(0=Element_Stiffness!$C$180,Element_Stiffness!U201,IF(0=Element_Stiffness!$E$180,Element_Stiffness!AA201,0)),IF(Element_Stiffness!$E$180=3,IF(0=Element_Stiffness!$C$180,Element_Stiffness!U207,IF(0=Element_Stiffness!$E$180,Element_Stiffness!AA207,0)),0)),0)+IF(Element_Stiffness!$C$216,IF(Element_Stiffness!$C$215=3,IF(0=Element_Stiffness!$C$215,Element_Stiffness!U236,IF(0=Element_Stiffness!$E$215,Element_Stiffness!AA236,0)),IF(Element_Stiffness!$E$215=3,IF(0=Element_Stiffness!$C$215,Element_Stiffness!U242,IF(0=Element_Stiffness!$E$215,Element_Stiffness!AA242,0)),0)),0)</f>
        <v/>
      </c>
      <c r="I23" s="21">
        <f>IF(Element_Stiffness!$C$6,IF(Element_Stiffness!$C$5=3,IF(1=Element_Stiffness!$C$5,Element_Stiffness!P26,IF(1=Element_Stiffness!$E$5,Element_Stiffness!V26,0)),IF(Element_Stiffness!$E$5=3,IF(1=Element_Stiffness!$C$5,Element_Stiffness!P32,IF(1=Element_Stiffness!$E$5,Element_Stiffness!V32,0)),0)),0)+IF(Element_Stiffness!$C$41,IF(Element_Stiffness!$C$40=3,IF(1=Element_Stiffness!$C$40,Element_Stiffness!P61,IF(1=Element_Stiffness!$E$40,Element_Stiffness!V61,0)),IF(Element_Stiffness!$E$40=3,IF(1=Element_Stiffness!$C$40,Element_Stiffness!P67,IF(1=Element_Stiffness!$E$40,Element_Stiffness!V67,0)),0)),0)+IF(Element_Stiffness!$C$76,IF(Element_Stiffness!$C$75=3,IF(1=Element_Stiffness!$C$75,Element_Stiffness!P96,IF(1=Element_Stiffness!$E$75,Element_Stiffness!V96,0)),IF(Element_Stiffness!$E$75=3,IF(1=Element_Stiffness!$C$75,Element_Stiffness!P102,IF(1=Element_Stiffness!$E$75,Element_Stiffness!V102,0)),0)),0)+IF(Element_Stiffness!$C$111,IF(Element_Stiffness!$C$110=3,IF(1=Element_Stiffness!$C$110,Element_Stiffness!P131,IF(1=Element_Stiffness!$E$110,Element_Stiffness!V131,0)),IF(Element_Stiffness!$E$110=3,IF(1=Element_Stiffness!$C$110,Element_Stiffness!P137,IF(1=Element_Stiffness!$E$110,Element_Stiffness!V137,0)),0)),0)+IF(Element_Stiffness!$C$146,IF(Element_Stiffness!$C$145=3,IF(1=Element_Stiffness!$C$145,Element_Stiffness!P166,IF(1=Element_Stiffness!$E$145,Element_Stiffness!V166,0)),IF(Element_Stiffness!$E$145=3,IF(1=Element_Stiffness!$C$145,Element_Stiffness!P172,IF(1=Element_Stiffness!$E$145,Element_Stiffness!V172,0)),0)),0)+IF(Element_Stiffness!$C$181,IF(Element_Stiffness!$C$180=3,IF(1=Element_Stiffness!$C$180,Element_Stiffness!P201,IF(1=Element_Stiffness!$E$180,Element_Stiffness!V201,0)),IF(Element_Stiffness!$E$180=3,IF(1=Element_Stiffness!$C$180,Element_Stiffness!P207,IF(1=Element_Stiffness!$E$180,Element_Stiffness!V207,0)),0)),0)+IF(Element_Stiffness!$C$216,IF(Element_Stiffness!$C$215=3,IF(1=Element_Stiffness!$C$215,Element_Stiffness!P236,IF(1=Element_Stiffness!$E$215,Element_Stiffness!V236,0)),IF(Element_Stiffness!$E$215=3,IF(1=Element_Stiffness!$C$215,Element_Stiffness!P242,IF(1=Element_Stiffness!$E$215,Element_Stiffness!V242,0)),0)),0)</f>
        <v/>
      </c>
      <c r="J23" s="21">
        <f>IF(Element_Stiffness!$C$6,IF(Element_Stiffness!$C$5=3,IF(1=Element_Stiffness!$C$5,Element_Stiffness!Q26,IF(1=Element_Stiffness!$E$5,Element_Stiffness!W26,0)),IF(Element_Stiffness!$E$5=3,IF(1=Element_Stiffness!$C$5,Element_Stiffness!Q32,IF(1=Element_Stiffness!$E$5,Element_Stiffness!W32,0)),0)),0)+IF(Element_Stiffness!$C$41,IF(Element_Stiffness!$C$40=3,IF(1=Element_Stiffness!$C$40,Element_Stiffness!Q61,IF(1=Element_Stiffness!$E$40,Element_Stiffness!W61,0)),IF(Element_Stiffness!$E$40=3,IF(1=Element_Stiffness!$C$40,Element_Stiffness!Q67,IF(1=Element_Stiffness!$E$40,Element_Stiffness!W67,0)),0)),0)+IF(Element_Stiffness!$C$76,IF(Element_Stiffness!$C$75=3,IF(1=Element_Stiffness!$C$75,Element_Stiffness!Q96,IF(1=Element_Stiffness!$E$75,Element_Stiffness!W96,0)),IF(Element_Stiffness!$E$75=3,IF(1=Element_Stiffness!$C$75,Element_Stiffness!Q102,IF(1=Element_Stiffness!$E$75,Element_Stiffness!W102,0)),0)),0)+IF(Element_Stiffness!$C$111,IF(Element_Stiffness!$C$110=3,IF(1=Element_Stiffness!$C$110,Element_Stiffness!Q131,IF(1=Element_Stiffness!$E$110,Element_Stiffness!W131,0)),IF(Element_Stiffness!$E$110=3,IF(1=Element_Stiffness!$C$110,Element_Stiffness!Q137,IF(1=Element_Stiffness!$E$110,Element_Stiffness!W137,0)),0)),0)+IF(Element_Stiffness!$C$146,IF(Element_Stiffness!$C$145=3,IF(1=Element_Stiffness!$C$145,Element_Stiffness!Q166,IF(1=Element_Stiffness!$E$145,Element_Stiffness!W166,0)),IF(Element_Stiffness!$E$145=3,IF(1=Element_Stiffness!$C$145,Element_Stiffness!Q172,IF(1=Element_Stiffness!$E$145,Element_Stiffness!W172,0)),0)),0)+IF(Element_Stiffness!$C$181,IF(Element_Stiffness!$C$180=3,IF(1=Element_Stiffness!$C$180,Element_Stiffness!Q201,IF(1=Element_Stiffness!$E$180,Element_Stiffness!W201,0)),IF(Element_Stiffness!$E$180=3,IF(1=Element_Stiffness!$C$180,Element_Stiffness!Q207,IF(1=Element_Stiffness!$E$180,Element_Stiffness!W207,0)),0)),0)+IF(Element_Stiffness!$C$216,IF(Element_Stiffness!$C$215=3,IF(1=Element_Stiffness!$C$215,Element_Stiffness!Q236,IF(1=Element_Stiffness!$E$215,Element_Stiffness!W236,0)),IF(Element_Stiffness!$E$215=3,IF(1=Element_Stiffness!$C$215,Element_Stiffness!Q242,IF(1=Element_Stiffness!$E$215,Element_Stiffness!W242,0)),0)),0)</f>
        <v/>
      </c>
      <c r="K23" s="21">
        <f>IF(Element_Stiffness!$C$6,IF(Element_Stiffness!$C$5=3,IF(1=Element_Stiffness!$C$5,Element_Stiffness!R26,IF(1=Element_Stiffness!$E$5,Element_Stiffness!X26,0)),IF(Element_Stiffness!$E$5=3,IF(1=Element_Stiffness!$C$5,Element_Stiffness!R32,IF(1=Element_Stiffness!$E$5,Element_Stiffness!X32,0)),0)),0)+IF(Element_Stiffness!$C$41,IF(Element_Stiffness!$C$40=3,IF(1=Element_Stiffness!$C$40,Element_Stiffness!R61,IF(1=Element_Stiffness!$E$40,Element_Stiffness!X61,0)),IF(Element_Stiffness!$E$40=3,IF(1=Element_Stiffness!$C$40,Element_Stiffness!R67,IF(1=Element_Stiffness!$E$40,Element_Stiffness!X67,0)),0)),0)+IF(Element_Stiffness!$C$76,IF(Element_Stiffness!$C$75=3,IF(1=Element_Stiffness!$C$75,Element_Stiffness!R96,IF(1=Element_Stiffness!$E$75,Element_Stiffness!X96,0)),IF(Element_Stiffness!$E$75=3,IF(1=Element_Stiffness!$C$75,Element_Stiffness!R102,IF(1=Element_Stiffness!$E$75,Element_Stiffness!X102,0)),0)),0)+IF(Element_Stiffness!$C$111,IF(Element_Stiffness!$C$110=3,IF(1=Element_Stiffness!$C$110,Element_Stiffness!R131,IF(1=Element_Stiffness!$E$110,Element_Stiffness!X131,0)),IF(Element_Stiffness!$E$110=3,IF(1=Element_Stiffness!$C$110,Element_Stiffness!R137,IF(1=Element_Stiffness!$E$110,Element_Stiffness!X137,0)),0)),0)+IF(Element_Stiffness!$C$146,IF(Element_Stiffness!$C$145=3,IF(1=Element_Stiffness!$C$145,Element_Stiffness!R166,IF(1=Element_Stiffness!$E$145,Element_Stiffness!X166,0)),IF(Element_Stiffness!$E$145=3,IF(1=Element_Stiffness!$C$145,Element_Stiffness!R172,IF(1=Element_Stiffness!$E$145,Element_Stiffness!X172,0)),0)),0)+IF(Element_Stiffness!$C$181,IF(Element_Stiffness!$C$180=3,IF(1=Element_Stiffness!$C$180,Element_Stiffness!R201,IF(1=Element_Stiffness!$E$180,Element_Stiffness!X201,0)),IF(Element_Stiffness!$E$180=3,IF(1=Element_Stiffness!$C$180,Element_Stiffness!R207,IF(1=Element_Stiffness!$E$180,Element_Stiffness!X207,0)),0)),0)+IF(Element_Stiffness!$C$216,IF(Element_Stiffness!$C$215=3,IF(1=Element_Stiffness!$C$215,Element_Stiffness!R236,IF(1=Element_Stiffness!$E$215,Element_Stiffness!X236,0)),IF(Element_Stiffness!$E$215=3,IF(1=Element_Stiffness!$C$215,Element_Stiffness!R242,IF(1=Element_Stiffness!$E$215,Element_Stiffness!X242,0)),0)),0)</f>
        <v/>
      </c>
      <c r="L23" s="21">
        <f>IF(Element_Stiffness!$C$6,IF(Element_Stiffness!$C$5=3,IF(1=Element_Stiffness!$C$5,Element_Stiffness!S26,IF(1=Element_Stiffness!$E$5,Element_Stiffness!Y26,0)),IF(Element_Stiffness!$E$5=3,IF(1=Element_Stiffness!$C$5,Element_Stiffness!S32,IF(1=Element_Stiffness!$E$5,Element_Stiffness!Y32,0)),0)),0)+IF(Element_Stiffness!$C$41,IF(Element_Stiffness!$C$40=3,IF(1=Element_Stiffness!$C$40,Element_Stiffness!S61,IF(1=Element_Stiffness!$E$40,Element_Stiffness!Y61,0)),IF(Element_Stiffness!$E$40=3,IF(1=Element_Stiffness!$C$40,Element_Stiffness!S67,IF(1=Element_Stiffness!$E$40,Element_Stiffness!Y67,0)),0)),0)+IF(Element_Stiffness!$C$76,IF(Element_Stiffness!$C$75=3,IF(1=Element_Stiffness!$C$75,Element_Stiffness!S96,IF(1=Element_Stiffness!$E$75,Element_Stiffness!Y96,0)),IF(Element_Stiffness!$E$75=3,IF(1=Element_Stiffness!$C$75,Element_Stiffness!S102,IF(1=Element_Stiffness!$E$75,Element_Stiffness!Y102,0)),0)),0)+IF(Element_Stiffness!$C$111,IF(Element_Stiffness!$C$110=3,IF(1=Element_Stiffness!$C$110,Element_Stiffness!S131,IF(1=Element_Stiffness!$E$110,Element_Stiffness!Y131,0)),IF(Element_Stiffness!$E$110=3,IF(1=Element_Stiffness!$C$110,Element_Stiffness!S137,IF(1=Element_Stiffness!$E$110,Element_Stiffness!Y137,0)),0)),0)+IF(Element_Stiffness!$C$146,IF(Element_Stiffness!$C$145=3,IF(1=Element_Stiffness!$C$145,Element_Stiffness!S166,IF(1=Element_Stiffness!$E$145,Element_Stiffness!Y166,0)),IF(Element_Stiffness!$E$145=3,IF(1=Element_Stiffness!$C$145,Element_Stiffness!S172,IF(1=Element_Stiffness!$E$145,Element_Stiffness!Y172,0)),0)),0)+IF(Element_Stiffness!$C$181,IF(Element_Stiffness!$C$180=3,IF(1=Element_Stiffness!$C$180,Element_Stiffness!S201,IF(1=Element_Stiffness!$E$180,Element_Stiffness!Y201,0)),IF(Element_Stiffness!$E$180=3,IF(1=Element_Stiffness!$C$180,Element_Stiffness!S207,IF(1=Element_Stiffness!$E$180,Element_Stiffness!Y207,0)),0)),0)+IF(Element_Stiffness!$C$216,IF(Element_Stiffness!$C$215=3,IF(1=Element_Stiffness!$C$215,Element_Stiffness!S236,IF(1=Element_Stiffness!$E$215,Element_Stiffness!Y236,0)),IF(Element_Stiffness!$E$215=3,IF(1=Element_Stiffness!$C$215,Element_Stiffness!S242,IF(1=Element_Stiffness!$E$215,Element_Stiffness!Y242,0)),0)),0)</f>
        <v/>
      </c>
      <c r="M23" s="21">
        <f>IF(Element_Stiffness!$C$6,IF(Element_Stiffness!$C$5=3,IF(1=Element_Stiffness!$C$5,Element_Stiffness!T26,IF(1=Element_Stiffness!$E$5,Element_Stiffness!Z26,0)),IF(Element_Stiffness!$E$5=3,IF(1=Element_Stiffness!$C$5,Element_Stiffness!T32,IF(1=Element_Stiffness!$E$5,Element_Stiffness!Z32,0)),0)),0)+IF(Element_Stiffness!$C$41,IF(Element_Stiffness!$C$40=3,IF(1=Element_Stiffness!$C$40,Element_Stiffness!T61,IF(1=Element_Stiffness!$E$40,Element_Stiffness!Z61,0)),IF(Element_Stiffness!$E$40=3,IF(1=Element_Stiffness!$C$40,Element_Stiffness!T67,IF(1=Element_Stiffness!$E$40,Element_Stiffness!Z67,0)),0)),0)+IF(Element_Stiffness!$C$76,IF(Element_Stiffness!$C$75=3,IF(1=Element_Stiffness!$C$75,Element_Stiffness!T96,IF(1=Element_Stiffness!$E$75,Element_Stiffness!Z96,0)),IF(Element_Stiffness!$E$75=3,IF(1=Element_Stiffness!$C$75,Element_Stiffness!T102,IF(1=Element_Stiffness!$E$75,Element_Stiffness!Z102,0)),0)),0)+IF(Element_Stiffness!$C$111,IF(Element_Stiffness!$C$110=3,IF(1=Element_Stiffness!$C$110,Element_Stiffness!T131,IF(1=Element_Stiffness!$E$110,Element_Stiffness!Z131,0)),IF(Element_Stiffness!$E$110=3,IF(1=Element_Stiffness!$C$110,Element_Stiffness!T137,IF(1=Element_Stiffness!$E$110,Element_Stiffness!Z137,0)),0)),0)+IF(Element_Stiffness!$C$146,IF(Element_Stiffness!$C$145=3,IF(1=Element_Stiffness!$C$145,Element_Stiffness!T166,IF(1=Element_Stiffness!$E$145,Element_Stiffness!Z166,0)),IF(Element_Stiffness!$E$145=3,IF(1=Element_Stiffness!$C$145,Element_Stiffness!T172,IF(1=Element_Stiffness!$E$145,Element_Stiffness!Z172,0)),0)),0)+IF(Element_Stiffness!$C$181,IF(Element_Stiffness!$C$180=3,IF(1=Element_Stiffness!$C$180,Element_Stiffness!T201,IF(1=Element_Stiffness!$E$180,Element_Stiffness!Z201,0)),IF(Element_Stiffness!$E$180=3,IF(1=Element_Stiffness!$C$180,Element_Stiffness!T207,IF(1=Element_Stiffness!$E$180,Element_Stiffness!Z207,0)),0)),0)+IF(Element_Stiffness!$C$216,IF(Element_Stiffness!$C$215=3,IF(1=Element_Stiffness!$C$215,Element_Stiffness!T236,IF(1=Element_Stiffness!$E$215,Element_Stiffness!Z236,0)),IF(Element_Stiffness!$E$215=3,IF(1=Element_Stiffness!$C$215,Element_Stiffness!T242,IF(1=Element_Stiffness!$E$215,Element_Stiffness!Z242,0)),0)),0)</f>
        <v/>
      </c>
      <c r="N23" s="21">
        <f>IF(Element_Stiffness!$C$6,IF(Element_Stiffness!$C$5=3,IF(1=Element_Stiffness!$C$5,Element_Stiffness!U26,IF(1=Element_Stiffness!$E$5,Element_Stiffness!AA26,0)),IF(Element_Stiffness!$E$5=3,IF(1=Element_Stiffness!$C$5,Element_Stiffness!U32,IF(1=Element_Stiffness!$E$5,Element_Stiffness!AA32,0)),0)),0)+IF(Element_Stiffness!$C$41,IF(Element_Stiffness!$C$40=3,IF(1=Element_Stiffness!$C$40,Element_Stiffness!U61,IF(1=Element_Stiffness!$E$40,Element_Stiffness!AA61,0)),IF(Element_Stiffness!$E$40=3,IF(1=Element_Stiffness!$C$40,Element_Stiffness!U67,IF(1=Element_Stiffness!$E$40,Element_Stiffness!AA67,0)),0)),0)+IF(Element_Stiffness!$C$76,IF(Element_Stiffness!$C$75=3,IF(1=Element_Stiffness!$C$75,Element_Stiffness!U96,IF(1=Element_Stiffness!$E$75,Element_Stiffness!AA96,0)),IF(Element_Stiffness!$E$75=3,IF(1=Element_Stiffness!$C$75,Element_Stiffness!U102,IF(1=Element_Stiffness!$E$75,Element_Stiffness!AA102,0)),0)),0)+IF(Element_Stiffness!$C$111,IF(Element_Stiffness!$C$110=3,IF(1=Element_Stiffness!$C$110,Element_Stiffness!U131,IF(1=Element_Stiffness!$E$110,Element_Stiffness!AA131,0)),IF(Element_Stiffness!$E$110=3,IF(1=Element_Stiffness!$C$110,Element_Stiffness!U137,IF(1=Element_Stiffness!$E$110,Element_Stiffness!AA137,0)),0)),0)+IF(Element_Stiffness!$C$146,IF(Element_Stiffness!$C$145=3,IF(1=Element_Stiffness!$C$145,Element_Stiffness!U166,IF(1=Element_Stiffness!$E$145,Element_Stiffness!AA166,0)),IF(Element_Stiffness!$E$145=3,IF(1=Element_Stiffness!$C$145,Element_Stiffness!U172,IF(1=Element_Stiffness!$E$145,Element_Stiffness!AA172,0)),0)),0)+IF(Element_Stiffness!$C$181,IF(Element_Stiffness!$C$180=3,IF(1=Element_Stiffness!$C$180,Element_Stiffness!U201,IF(1=Element_Stiffness!$E$180,Element_Stiffness!AA201,0)),IF(Element_Stiffness!$E$180=3,IF(1=Element_Stiffness!$C$180,Element_Stiffness!U207,IF(1=Element_Stiffness!$E$180,Element_Stiffness!AA207,0)),0)),0)+IF(Element_Stiffness!$C$216,IF(Element_Stiffness!$C$215=3,IF(1=Element_Stiffness!$C$215,Element_Stiffness!U236,IF(1=Element_Stiffness!$E$215,Element_Stiffness!AA236,0)),IF(Element_Stiffness!$E$215=3,IF(1=Element_Stiffness!$C$215,Element_Stiffness!U242,IF(1=Element_Stiffness!$E$215,Element_Stiffness!AA242,0)),0)),0)</f>
        <v/>
      </c>
      <c r="O23" s="21">
        <f>IF(Element_Stiffness!$C$6,IF(Element_Stiffness!$C$5=3,IF(2=Element_Stiffness!$C$5,Element_Stiffness!P26,IF(2=Element_Stiffness!$E$5,Element_Stiffness!V26,0)),IF(Element_Stiffness!$E$5=3,IF(2=Element_Stiffness!$C$5,Element_Stiffness!P32,IF(2=Element_Stiffness!$E$5,Element_Stiffness!V32,0)),0)),0)+IF(Element_Stiffness!$C$41,IF(Element_Stiffness!$C$40=3,IF(2=Element_Stiffness!$C$40,Element_Stiffness!P61,IF(2=Element_Stiffness!$E$40,Element_Stiffness!V61,0)),IF(Element_Stiffness!$E$40=3,IF(2=Element_Stiffness!$C$40,Element_Stiffness!P67,IF(2=Element_Stiffness!$E$40,Element_Stiffness!V67,0)),0)),0)+IF(Element_Stiffness!$C$76,IF(Element_Stiffness!$C$75=3,IF(2=Element_Stiffness!$C$75,Element_Stiffness!P96,IF(2=Element_Stiffness!$E$75,Element_Stiffness!V96,0)),IF(Element_Stiffness!$E$75=3,IF(2=Element_Stiffness!$C$75,Element_Stiffness!P102,IF(2=Element_Stiffness!$E$75,Element_Stiffness!V102,0)),0)),0)+IF(Element_Stiffness!$C$111,IF(Element_Stiffness!$C$110=3,IF(2=Element_Stiffness!$C$110,Element_Stiffness!P131,IF(2=Element_Stiffness!$E$110,Element_Stiffness!V131,0)),IF(Element_Stiffness!$E$110=3,IF(2=Element_Stiffness!$C$110,Element_Stiffness!P137,IF(2=Element_Stiffness!$E$110,Element_Stiffness!V137,0)),0)),0)+IF(Element_Stiffness!$C$146,IF(Element_Stiffness!$C$145=3,IF(2=Element_Stiffness!$C$145,Element_Stiffness!P166,IF(2=Element_Stiffness!$E$145,Element_Stiffness!V166,0)),IF(Element_Stiffness!$E$145=3,IF(2=Element_Stiffness!$C$145,Element_Stiffness!P172,IF(2=Element_Stiffness!$E$145,Element_Stiffness!V172,0)),0)),0)+IF(Element_Stiffness!$C$181,IF(Element_Stiffness!$C$180=3,IF(2=Element_Stiffness!$C$180,Element_Stiffness!P201,IF(2=Element_Stiffness!$E$180,Element_Stiffness!V201,0)),IF(Element_Stiffness!$E$180=3,IF(2=Element_Stiffness!$C$180,Element_Stiffness!P207,IF(2=Element_Stiffness!$E$180,Element_Stiffness!V207,0)),0)),0)+IF(Element_Stiffness!$C$216,IF(Element_Stiffness!$C$215=3,IF(2=Element_Stiffness!$C$215,Element_Stiffness!P236,IF(2=Element_Stiffness!$E$215,Element_Stiffness!V236,0)),IF(Element_Stiffness!$E$215=3,IF(2=Element_Stiffness!$C$215,Element_Stiffness!P242,IF(2=Element_Stiffness!$E$215,Element_Stiffness!V242,0)),0)),0)</f>
        <v/>
      </c>
      <c r="P23" s="21">
        <f>IF(Element_Stiffness!$C$6,IF(Element_Stiffness!$C$5=3,IF(2=Element_Stiffness!$C$5,Element_Stiffness!Q26,IF(2=Element_Stiffness!$E$5,Element_Stiffness!W26,0)),IF(Element_Stiffness!$E$5=3,IF(2=Element_Stiffness!$C$5,Element_Stiffness!Q32,IF(2=Element_Stiffness!$E$5,Element_Stiffness!W32,0)),0)),0)+IF(Element_Stiffness!$C$41,IF(Element_Stiffness!$C$40=3,IF(2=Element_Stiffness!$C$40,Element_Stiffness!Q61,IF(2=Element_Stiffness!$E$40,Element_Stiffness!W61,0)),IF(Element_Stiffness!$E$40=3,IF(2=Element_Stiffness!$C$40,Element_Stiffness!Q67,IF(2=Element_Stiffness!$E$40,Element_Stiffness!W67,0)),0)),0)+IF(Element_Stiffness!$C$76,IF(Element_Stiffness!$C$75=3,IF(2=Element_Stiffness!$C$75,Element_Stiffness!Q96,IF(2=Element_Stiffness!$E$75,Element_Stiffness!W96,0)),IF(Element_Stiffness!$E$75=3,IF(2=Element_Stiffness!$C$75,Element_Stiffness!Q102,IF(2=Element_Stiffness!$E$75,Element_Stiffness!W102,0)),0)),0)+IF(Element_Stiffness!$C$111,IF(Element_Stiffness!$C$110=3,IF(2=Element_Stiffness!$C$110,Element_Stiffness!Q131,IF(2=Element_Stiffness!$E$110,Element_Stiffness!W131,0)),IF(Element_Stiffness!$E$110=3,IF(2=Element_Stiffness!$C$110,Element_Stiffness!Q137,IF(2=Element_Stiffness!$E$110,Element_Stiffness!W137,0)),0)),0)+IF(Element_Stiffness!$C$146,IF(Element_Stiffness!$C$145=3,IF(2=Element_Stiffness!$C$145,Element_Stiffness!Q166,IF(2=Element_Stiffness!$E$145,Element_Stiffness!W166,0)),IF(Element_Stiffness!$E$145=3,IF(2=Element_Stiffness!$C$145,Element_Stiffness!Q172,IF(2=Element_Stiffness!$E$145,Element_Stiffness!W172,0)),0)),0)+IF(Element_Stiffness!$C$181,IF(Element_Stiffness!$C$180=3,IF(2=Element_Stiffness!$C$180,Element_Stiffness!Q201,IF(2=Element_Stiffness!$E$180,Element_Stiffness!W201,0)),IF(Element_Stiffness!$E$180=3,IF(2=Element_Stiffness!$C$180,Element_Stiffness!Q207,IF(2=Element_Stiffness!$E$180,Element_Stiffness!W207,0)),0)),0)+IF(Element_Stiffness!$C$216,IF(Element_Stiffness!$C$215=3,IF(2=Element_Stiffness!$C$215,Element_Stiffness!Q236,IF(2=Element_Stiffness!$E$215,Element_Stiffness!W236,0)),IF(Element_Stiffness!$E$215=3,IF(2=Element_Stiffness!$C$215,Element_Stiffness!Q242,IF(2=Element_Stiffness!$E$215,Element_Stiffness!W242,0)),0)),0)</f>
        <v/>
      </c>
      <c r="Q23" s="21">
        <f>IF(Element_Stiffness!$C$6,IF(Element_Stiffness!$C$5=3,IF(2=Element_Stiffness!$C$5,Element_Stiffness!R26,IF(2=Element_Stiffness!$E$5,Element_Stiffness!X26,0)),IF(Element_Stiffness!$E$5=3,IF(2=Element_Stiffness!$C$5,Element_Stiffness!R32,IF(2=Element_Stiffness!$E$5,Element_Stiffness!X32,0)),0)),0)+IF(Element_Stiffness!$C$41,IF(Element_Stiffness!$C$40=3,IF(2=Element_Stiffness!$C$40,Element_Stiffness!R61,IF(2=Element_Stiffness!$E$40,Element_Stiffness!X61,0)),IF(Element_Stiffness!$E$40=3,IF(2=Element_Stiffness!$C$40,Element_Stiffness!R67,IF(2=Element_Stiffness!$E$40,Element_Stiffness!X67,0)),0)),0)+IF(Element_Stiffness!$C$76,IF(Element_Stiffness!$C$75=3,IF(2=Element_Stiffness!$C$75,Element_Stiffness!R96,IF(2=Element_Stiffness!$E$75,Element_Stiffness!X96,0)),IF(Element_Stiffness!$E$75=3,IF(2=Element_Stiffness!$C$75,Element_Stiffness!R102,IF(2=Element_Stiffness!$E$75,Element_Stiffness!X102,0)),0)),0)+IF(Element_Stiffness!$C$111,IF(Element_Stiffness!$C$110=3,IF(2=Element_Stiffness!$C$110,Element_Stiffness!R131,IF(2=Element_Stiffness!$E$110,Element_Stiffness!X131,0)),IF(Element_Stiffness!$E$110=3,IF(2=Element_Stiffness!$C$110,Element_Stiffness!R137,IF(2=Element_Stiffness!$E$110,Element_Stiffness!X137,0)),0)),0)+IF(Element_Stiffness!$C$146,IF(Element_Stiffness!$C$145=3,IF(2=Element_Stiffness!$C$145,Element_Stiffness!R166,IF(2=Element_Stiffness!$E$145,Element_Stiffness!X166,0)),IF(Element_Stiffness!$E$145=3,IF(2=Element_Stiffness!$C$145,Element_Stiffness!R172,IF(2=Element_Stiffness!$E$145,Element_Stiffness!X172,0)),0)),0)+IF(Element_Stiffness!$C$181,IF(Element_Stiffness!$C$180=3,IF(2=Element_Stiffness!$C$180,Element_Stiffness!R201,IF(2=Element_Stiffness!$E$180,Element_Stiffness!X201,0)),IF(Element_Stiffness!$E$180=3,IF(2=Element_Stiffness!$C$180,Element_Stiffness!R207,IF(2=Element_Stiffness!$E$180,Element_Stiffness!X207,0)),0)),0)+IF(Element_Stiffness!$C$216,IF(Element_Stiffness!$C$215=3,IF(2=Element_Stiffness!$C$215,Element_Stiffness!R236,IF(2=Element_Stiffness!$E$215,Element_Stiffness!X236,0)),IF(Element_Stiffness!$E$215=3,IF(2=Element_Stiffness!$C$215,Element_Stiffness!R242,IF(2=Element_Stiffness!$E$215,Element_Stiffness!X242,0)),0)),0)</f>
        <v/>
      </c>
      <c r="R23" s="21">
        <f>IF(Element_Stiffness!$C$6,IF(Element_Stiffness!$C$5=3,IF(2=Element_Stiffness!$C$5,Element_Stiffness!S26,IF(2=Element_Stiffness!$E$5,Element_Stiffness!Y26,0)),IF(Element_Stiffness!$E$5=3,IF(2=Element_Stiffness!$C$5,Element_Stiffness!S32,IF(2=Element_Stiffness!$E$5,Element_Stiffness!Y32,0)),0)),0)+IF(Element_Stiffness!$C$41,IF(Element_Stiffness!$C$40=3,IF(2=Element_Stiffness!$C$40,Element_Stiffness!S61,IF(2=Element_Stiffness!$E$40,Element_Stiffness!Y61,0)),IF(Element_Stiffness!$E$40=3,IF(2=Element_Stiffness!$C$40,Element_Stiffness!S67,IF(2=Element_Stiffness!$E$40,Element_Stiffness!Y67,0)),0)),0)+IF(Element_Stiffness!$C$76,IF(Element_Stiffness!$C$75=3,IF(2=Element_Stiffness!$C$75,Element_Stiffness!S96,IF(2=Element_Stiffness!$E$75,Element_Stiffness!Y96,0)),IF(Element_Stiffness!$E$75=3,IF(2=Element_Stiffness!$C$75,Element_Stiffness!S102,IF(2=Element_Stiffness!$E$75,Element_Stiffness!Y102,0)),0)),0)+IF(Element_Stiffness!$C$111,IF(Element_Stiffness!$C$110=3,IF(2=Element_Stiffness!$C$110,Element_Stiffness!S131,IF(2=Element_Stiffness!$E$110,Element_Stiffness!Y131,0)),IF(Element_Stiffness!$E$110=3,IF(2=Element_Stiffness!$C$110,Element_Stiffness!S137,IF(2=Element_Stiffness!$E$110,Element_Stiffness!Y137,0)),0)),0)+IF(Element_Stiffness!$C$146,IF(Element_Stiffness!$C$145=3,IF(2=Element_Stiffness!$C$145,Element_Stiffness!S166,IF(2=Element_Stiffness!$E$145,Element_Stiffness!Y166,0)),IF(Element_Stiffness!$E$145=3,IF(2=Element_Stiffness!$C$145,Element_Stiffness!S172,IF(2=Element_Stiffness!$E$145,Element_Stiffness!Y172,0)),0)),0)+IF(Element_Stiffness!$C$181,IF(Element_Stiffness!$C$180=3,IF(2=Element_Stiffness!$C$180,Element_Stiffness!S201,IF(2=Element_Stiffness!$E$180,Element_Stiffness!Y201,0)),IF(Element_Stiffness!$E$180=3,IF(2=Element_Stiffness!$C$180,Element_Stiffness!S207,IF(2=Element_Stiffness!$E$180,Element_Stiffness!Y207,0)),0)),0)+IF(Element_Stiffness!$C$216,IF(Element_Stiffness!$C$215=3,IF(2=Element_Stiffness!$C$215,Element_Stiffness!S236,IF(2=Element_Stiffness!$E$215,Element_Stiffness!Y236,0)),IF(Element_Stiffness!$E$215=3,IF(2=Element_Stiffness!$C$215,Element_Stiffness!S242,IF(2=Element_Stiffness!$E$215,Element_Stiffness!Y242,0)),0)),0)</f>
        <v/>
      </c>
      <c r="S23" s="21">
        <f>IF(Element_Stiffness!$C$6,IF(Element_Stiffness!$C$5=3,IF(2=Element_Stiffness!$C$5,Element_Stiffness!T26,IF(2=Element_Stiffness!$E$5,Element_Stiffness!Z26,0)),IF(Element_Stiffness!$E$5=3,IF(2=Element_Stiffness!$C$5,Element_Stiffness!T32,IF(2=Element_Stiffness!$E$5,Element_Stiffness!Z32,0)),0)),0)+IF(Element_Stiffness!$C$41,IF(Element_Stiffness!$C$40=3,IF(2=Element_Stiffness!$C$40,Element_Stiffness!T61,IF(2=Element_Stiffness!$E$40,Element_Stiffness!Z61,0)),IF(Element_Stiffness!$E$40=3,IF(2=Element_Stiffness!$C$40,Element_Stiffness!T67,IF(2=Element_Stiffness!$E$40,Element_Stiffness!Z67,0)),0)),0)+IF(Element_Stiffness!$C$76,IF(Element_Stiffness!$C$75=3,IF(2=Element_Stiffness!$C$75,Element_Stiffness!T96,IF(2=Element_Stiffness!$E$75,Element_Stiffness!Z96,0)),IF(Element_Stiffness!$E$75=3,IF(2=Element_Stiffness!$C$75,Element_Stiffness!T102,IF(2=Element_Stiffness!$E$75,Element_Stiffness!Z102,0)),0)),0)+IF(Element_Stiffness!$C$111,IF(Element_Stiffness!$C$110=3,IF(2=Element_Stiffness!$C$110,Element_Stiffness!T131,IF(2=Element_Stiffness!$E$110,Element_Stiffness!Z131,0)),IF(Element_Stiffness!$E$110=3,IF(2=Element_Stiffness!$C$110,Element_Stiffness!T137,IF(2=Element_Stiffness!$E$110,Element_Stiffness!Z137,0)),0)),0)+IF(Element_Stiffness!$C$146,IF(Element_Stiffness!$C$145=3,IF(2=Element_Stiffness!$C$145,Element_Stiffness!T166,IF(2=Element_Stiffness!$E$145,Element_Stiffness!Z166,0)),IF(Element_Stiffness!$E$145=3,IF(2=Element_Stiffness!$C$145,Element_Stiffness!T172,IF(2=Element_Stiffness!$E$145,Element_Stiffness!Z172,0)),0)),0)+IF(Element_Stiffness!$C$181,IF(Element_Stiffness!$C$180=3,IF(2=Element_Stiffness!$C$180,Element_Stiffness!T201,IF(2=Element_Stiffness!$E$180,Element_Stiffness!Z201,0)),IF(Element_Stiffness!$E$180=3,IF(2=Element_Stiffness!$C$180,Element_Stiffness!T207,IF(2=Element_Stiffness!$E$180,Element_Stiffness!Z207,0)),0)),0)+IF(Element_Stiffness!$C$216,IF(Element_Stiffness!$C$215=3,IF(2=Element_Stiffness!$C$215,Element_Stiffness!T236,IF(2=Element_Stiffness!$E$215,Element_Stiffness!Z236,0)),IF(Element_Stiffness!$E$215=3,IF(2=Element_Stiffness!$C$215,Element_Stiffness!T242,IF(2=Element_Stiffness!$E$215,Element_Stiffness!Z242,0)),0)),0)</f>
        <v/>
      </c>
      <c r="T23" s="21">
        <f>IF(Element_Stiffness!$C$6,IF(Element_Stiffness!$C$5=3,IF(2=Element_Stiffness!$C$5,Element_Stiffness!U26,IF(2=Element_Stiffness!$E$5,Element_Stiffness!AA26,0)),IF(Element_Stiffness!$E$5=3,IF(2=Element_Stiffness!$C$5,Element_Stiffness!U32,IF(2=Element_Stiffness!$E$5,Element_Stiffness!AA32,0)),0)),0)+IF(Element_Stiffness!$C$41,IF(Element_Stiffness!$C$40=3,IF(2=Element_Stiffness!$C$40,Element_Stiffness!U61,IF(2=Element_Stiffness!$E$40,Element_Stiffness!AA61,0)),IF(Element_Stiffness!$E$40=3,IF(2=Element_Stiffness!$C$40,Element_Stiffness!U67,IF(2=Element_Stiffness!$E$40,Element_Stiffness!AA67,0)),0)),0)+IF(Element_Stiffness!$C$76,IF(Element_Stiffness!$C$75=3,IF(2=Element_Stiffness!$C$75,Element_Stiffness!U96,IF(2=Element_Stiffness!$E$75,Element_Stiffness!AA96,0)),IF(Element_Stiffness!$E$75=3,IF(2=Element_Stiffness!$C$75,Element_Stiffness!U102,IF(2=Element_Stiffness!$E$75,Element_Stiffness!AA102,0)),0)),0)+IF(Element_Stiffness!$C$111,IF(Element_Stiffness!$C$110=3,IF(2=Element_Stiffness!$C$110,Element_Stiffness!U131,IF(2=Element_Stiffness!$E$110,Element_Stiffness!AA131,0)),IF(Element_Stiffness!$E$110=3,IF(2=Element_Stiffness!$C$110,Element_Stiffness!U137,IF(2=Element_Stiffness!$E$110,Element_Stiffness!AA137,0)),0)),0)+IF(Element_Stiffness!$C$146,IF(Element_Stiffness!$C$145=3,IF(2=Element_Stiffness!$C$145,Element_Stiffness!U166,IF(2=Element_Stiffness!$E$145,Element_Stiffness!AA166,0)),IF(Element_Stiffness!$E$145=3,IF(2=Element_Stiffness!$C$145,Element_Stiffness!U172,IF(2=Element_Stiffness!$E$145,Element_Stiffness!AA172,0)),0)),0)+IF(Element_Stiffness!$C$181,IF(Element_Stiffness!$C$180=3,IF(2=Element_Stiffness!$C$180,Element_Stiffness!U201,IF(2=Element_Stiffness!$E$180,Element_Stiffness!AA201,0)),IF(Element_Stiffness!$E$180=3,IF(2=Element_Stiffness!$C$180,Element_Stiffness!U207,IF(2=Element_Stiffness!$E$180,Element_Stiffness!AA207,0)),0)),0)+IF(Element_Stiffness!$C$216,IF(Element_Stiffness!$C$215=3,IF(2=Element_Stiffness!$C$215,Element_Stiffness!U236,IF(2=Element_Stiffness!$E$215,Element_Stiffness!AA236,0)),IF(Element_Stiffness!$E$215=3,IF(2=Element_Stiffness!$C$215,Element_Stiffness!U242,IF(2=Element_Stiffness!$E$215,Element_Stiffness!AA242,0)),0)),0)</f>
        <v/>
      </c>
      <c r="U23" s="21">
        <f>IF(Element_Stiffness!$C$6,IF(Element_Stiffness!$C$5=3,IF(3=Element_Stiffness!$C$5,Element_Stiffness!P26,IF(3=Element_Stiffness!$E$5,Element_Stiffness!V26,0)),IF(Element_Stiffness!$E$5=3,IF(3=Element_Stiffness!$C$5,Element_Stiffness!P32,IF(3=Element_Stiffness!$E$5,Element_Stiffness!V32,0)),0)),0)+IF(Element_Stiffness!$C$41,IF(Element_Stiffness!$C$40=3,IF(3=Element_Stiffness!$C$40,Element_Stiffness!P61,IF(3=Element_Stiffness!$E$40,Element_Stiffness!V61,0)),IF(Element_Stiffness!$E$40=3,IF(3=Element_Stiffness!$C$40,Element_Stiffness!P67,IF(3=Element_Stiffness!$E$40,Element_Stiffness!V67,0)),0)),0)+IF(Element_Stiffness!$C$76,IF(Element_Stiffness!$C$75=3,IF(3=Element_Stiffness!$C$75,Element_Stiffness!P96,IF(3=Element_Stiffness!$E$75,Element_Stiffness!V96,0)),IF(Element_Stiffness!$E$75=3,IF(3=Element_Stiffness!$C$75,Element_Stiffness!P102,IF(3=Element_Stiffness!$E$75,Element_Stiffness!V102,0)),0)),0)+IF(Element_Stiffness!$C$111,IF(Element_Stiffness!$C$110=3,IF(3=Element_Stiffness!$C$110,Element_Stiffness!P131,IF(3=Element_Stiffness!$E$110,Element_Stiffness!V131,0)),IF(Element_Stiffness!$E$110=3,IF(3=Element_Stiffness!$C$110,Element_Stiffness!P137,IF(3=Element_Stiffness!$E$110,Element_Stiffness!V137,0)),0)),0)+IF(Element_Stiffness!$C$146,IF(Element_Stiffness!$C$145=3,IF(3=Element_Stiffness!$C$145,Element_Stiffness!P166,IF(3=Element_Stiffness!$E$145,Element_Stiffness!V166,0)),IF(Element_Stiffness!$E$145=3,IF(3=Element_Stiffness!$C$145,Element_Stiffness!P172,IF(3=Element_Stiffness!$E$145,Element_Stiffness!V172,0)),0)),0)+IF(Element_Stiffness!$C$181,IF(Element_Stiffness!$C$180=3,IF(3=Element_Stiffness!$C$180,Element_Stiffness!P201,IF(3=Element_Stiffness!$E$180,Element_Stiffness!V201,0)),IF(Element_Stiffness!$E$180=3,IF(3=Element_Stiffness!$C$180,Element_Stiffness!P207,IF(3=Element_Stiffness!$E$180,Element_Stiffness!V207,0)),0)),0)+IF(Element_Stiffness!$C$216,IF(Element_Stiffness!$C$215=3,IF(3=Element_Stiffness!$C$215,Element_Stiffness!P236,IF(3=Element_Stiffness!$E$215,Element_Stiffness!V236,0)),IF(Element_Stiffness!$E$215=3,IF(3=Element_Stiffness!$C$215,Element_Stiffness!P242,IF(3=Element_Stiffness!$E$215,Element_Stiffness!V242,0)),0)),0)+IF(Inputs!C43=TRUE,1E15,IF(ISNUMBER(Inputs!C43),Inputs!C43,0))</f>
        <v/>
      </c>
      <c r="V23" s="21">
        <f>IF(Element_Stiffness!$C$6,IF(Element_Stiffness!$C$5=3,IF(3=Element_Stiffness!$C$5,Element_Stiffness!Q26,IF(3=Element_Stiffness!$E$5,Element_Stiffness!W26,0)),IF(Element_Stiffness!$E$5=3,IF(3=Element_Stiffness!$C$5,Element_Stiffness!Q32,IF(3=Element_Stiffness!$E$5,Element_Stiffness!W32,0)),0)),0)+IF(Element_Stiffness!$C$41,IF(Element_Stiffness!$C$40=3,IF(3=Element_Stiffness!$C$40,Element_Stiffness!Q61,IF(3=Element_Stiffness!$E$40,Element_Stiffness!W61,0)),IF(Element_Stiffness!$E$40=3,IF(3=Element_Stiffness!$C$40,Element_Stiffness!Q67,IF(3=Element_Stiffness!$E$40,Element_Stiffness!W67,0)),0)),0)+IF(Element_Stiffness!$C$76,IF(Element_Stiffness!$C$75=3,IF(3=Element_Stiffness!$C$75,Element_Stiffness!Q96,IF(3=Element_Stiffness!$E$75,Element_Stiffness!W96,0)),IF(Element_Stiffness!$E$75=3,IF(3=Element_Stiffness!$C$75,Element_Stiffness!Q102,IF(3=Element_Stiffness!$E$75,Element_Stiffness!W102,0)),0)),0)+IF(Element_Stiffness!$C$111,IF(Element_Stiffness!$C$110=3,IF(3=Element_Stiffness!$C$110,Element_Stiffness!Q131,IF(3=Element_Stiffness!$E$110,Element_Stiffness!W131,0)),IF(Element_Stiffness!$E$110=3,IF(3=Element_Stiffness!$C$110,Element_Stiffness!Q137,IF(3=Element_Stiffness!$E$110,Element_Stiffness!W137,0)),0)),0)+IF(Element_Stiffness!$C$146,IF(Element_Stiffness!$C$145=3,IF(3=Element_Stiffness!$C$145,Element_Stiffness!Q166,IF(3=Element_Stiffness!$E$145,Element_Stiffness!W166,0)),IF(Element_Stiffness!$E$145=3,IF(3=Element_Stiffness!$C$145,Element_Stiffness!Q172,IF(3=Element_Stiffness!$E$145,Element_Stiffness!W172,0)),0)),0)+IF(Element_Stiffness!$C$181,IF(Element_Stiffness!$C$180=3,IF(3=Element_Stiffness!$C$180,Element_Stiffness!Q201,IF(3=Element_Stiffness!$E$180,Element_Stiffness!W201,0)),IF(Element_Stiffness!$E$180=3,IF(3=Element_Stiffness!$C$180,Element_Stiffness!Q207,IF(3=Element_Stiffness!$E$180,Element_Stiffness!W207,0)),0)),0)+IF(Element_Stiffness!$C$216,IF(Element_Stiffness!$C$215=3,IF(3=Element_Stiffness!$C$215,Element_Stiffness!Q236,IF(3=Element_Stiffness!$E$215,Element_Stiffness!W236,0)),IF(Element_Stiffness!$E$215=3,IF(3=Element_Stiffness!$C$215,Element_Stiffness!Q242,IF(3=Element_Stiffness!$E$215,Element_Stiffness!W242,0)),0)),0)</f>
        <v/>
      </c>
      <c r="W23" s="21">
        <f>IF(Element_Stiffness!$C$6,IF(Element_Stiffness!$C$5=3,IF(3=Element_Stiffness!$C$5,Element_Stiffness!R26,IF(3=Element_Stiffness!$E$5,Element_Stiffness!X26,0)),IF(Element_Stiffness!$E$5=3,IF(3=Element_Stiffness!$C$5,Element_Stiffness!R32,IF(3=Element_Stiffness!$E$5,Element_Stiffness!X32,0)),0)),0)+IF(Element_Stiffness!$C$41,IF(Element_Stiffness!$C$40=3,IF(3=Element_Stiffness!$C$40,Element_Stiffness!R61,IF(3=Element_Stiffness!$E$40,Element_Stiffness!X61,0)),IF(Element_Stiffness!$E$40=3,IF(3=Element_Stiffness!$C$40,Element_Stiffness!R67,IF(3=Element_Stiffness!$E$40,Element_Stiffness!X67,0)),0)),0)+IF(Element_Stiffness!$C$76,IF(Element_Stiffness!$C$75=3,IF(3=Element_Stiffness!$C$75,Element_Stiffness!R96,IF(3=Element_Stiffness!$E$75,Element_Stiffness!X96,0)),IF(Element_Stiffness!$E$75=3,IF(3=Element_Stiffness!$C$75,Element_Stiffness!R102,IF(3=Element_Stiffness!$E$75,Element_Stiffness!X102,0)),0)),0)+IF(Element_Stiffness!$C$111,IF(Element_Stiffness!$C$110=3,IF(3=Element_Stiffness!$C$110,Element_Stiffness!R131,IF(3=Element_Stiffness!$E$110,Element_Stiffness!X131,0)),IF(Element_Stiffness!$E$110=3,IF(3=Element_Stiffness!$C$110,Element_Stiffness!R137,IF(3=Element_Stiffness!$E$110,Element_Stiffness!X137,0)),0)),0)+IF(Element_Stiffness!$C$146,IF(Element_Stiffness!$C$145=3,IF(3=Element_Stiffness!$C$145,Element_Stiffness!R166,IF(3=Element_Stiffness!$E$145,Element_Stiffness!X166,0)),IF(Element_Stiffness!$E$145=3,IF(3=Element_Stiffness!$C$145,Element_Stiffness!R172,IF(3=Element_Stiffness!$E$145,Element_Stiffness!X172,0)),0)),0)+IF(Element_Stiffness!$C$181,IF(Element_Stiffness!$C$180=3,IF(3=Element_Stiffness!$C$180,Element_Stiffness!R201,IF(3=Element_Stiffness!$E$180,Element_Stiffness!X201,0)),IF(Element_Stiffness!$E$180=3,IF(3=Element_Stiffness!$C$180,Element_Stiffness!R207,IF(3=Element_Stiffness!$E$180,Element_Stiffness!X207,0)),0)),0)+IF(Element_Stiffness!$C$216,IF(Element_Stiffness!$C$215=3,IF(3=Element_Stiffness!$C$215,Element_Stiffness!R236,IF(3=Element_Stiffness!$E$215,Element_Stiffness!X236,0)),IF(Element_Stiffness!$E$215=3,IF(3=Element_Stiffness!$C$215,Element_Stiffness!R242,IF(3=Element_Stiffness!$E$215,Element_Stiffness!X242,0)),0)),0)</f>
        <v/>
      </c>
      <c r="X23" s="21">
        <f>IF(Element_Stiffness!$C$6,IF(Element_Stiffness!$C$5=3,IF(3=Element_Stiffness!$C$5,Element_Stiffness!S26,IF(3=Element_Stiffness!$E$5,Element_Stiffness!Y26,0)),IF(Element_Stiffness!$E$5=3,IF(3=Element_Stiffness!$C$5,Element_Stiffness!S32,IF(3=Element_Stiffness!$E$5,Element_Stiffness!Y32,0)),0)),0)+IF(Element_Stiffness!$C$41,IF(Element_Stiffness!$C$40=3,IF(3=Element_Stiffness!$C$40,Element_Stiffness!S61,IF(3=Element_Stiffness!$E$40,Element_Stiffness!Y61,0)),IF(Element_Stiffness!$E$40=3,IF(3=Element_Stiffness!$C$40,Element_Stiffness!S67,IF(3=Element_Stiffness!$E$40,Element_Stiffness!Y67,0)),0)),0)+IF(Element_Stiffness!$C$76,IF(Element_Stiffness!$C$75=3,IF(3=Element_Stiffness!$C$75,Element_Stiffness!S96,IF(3=Element_Stiffness!$E$75,Element_Stiffness!Y96,0)),IF(Element_Stiffness!$E$75=3,IF(3=Element_Stiffness!$C$75,Element_Stiffness!S102,IF(3=Element_Stiffness!$E$75,Element_Stiffness!Y102,0)),0)),0)+IF(Element_Stiffness!$C$111,IF(Element_Stiffness!$C$110=3,IF(3=Element_Stiffness!$C$110,Element_Stiffness!S131,IF(3=Element_Stiffness!$E$110,Element_Stiffness!Y131,0)),IF(Element_Stiffness!$E$110=3,IF(3=Element_Stiffness!$C$110,Element_Stiffness!S137,IF(3=Element_Stiffness!$E$110,Element_Stiffness!Y137,0)),0)),0)+IF(Element_Stiffness!$C$146,IF(Element_Stiffness!$C$145=3,IF(3=Element_Stiffness!$C$145,Element_Stiffness!S166,IF(3=Element_Stiffness!$E$145,Element_Stiffness!Y166,0)),IF(Element_Stiffness!$E$145=3,IF(3=Element_Stiffness!$C$145,Element_Stiffness!S172,IF(3=Element_Stiffness!$E$145,Element_Stiffness!Y172,0)),0)),0)+IF(Element_Stiffness!$C$181,IF(Element_Stiffness!$C$180=3,IF(3=Element_Stiffness!$C$180,Element_Stiffness!S201,IF(3=Element_Stiffness!$E$180,Element_Stiffness!Y201,0)),IF(Element_Stiffness!$E$180=3,IF(3=Element_Stiffness!$C$180,Element_Stiffness!S207,IF(3=Element_Stiffness!$E$180,Element_Stiffness!Y207,0)),0)),0)+IF(Element_Stiffness!$C$216,IF(Element_Stiffness!$C$215=3,IF(3=Element_Stiffness!$C$215,Element_Stiffness!S236,IF(3=Element_Stiffness!$E$215,Element_Stiffness!Y236,0)),IF(Element_Stiffness!$E$215=3,IF(3=Element_Stiffness!$C$215,Element_Stiffness!S242,IF(3=Element_Stiffness!$E$215,Element_Stiffness!Y242,0)),0)),0)</f>
        <v/>
      </c>
      <c r="Y23" s="21">
        <f>IF(Element_Stiffness!$C$6,IF(Element_Stiffness!$C$5=3,IF(3=Element_Stiffness!$C$5,Element_Stiffness!T26,IF(3=Element_Stiffness!$E$5,Element_Stiffness!Z26,0)),IF(Element_Stiffness!$E$5=3,IF(3=Element_Stiffness!$C$5,Element_Stiffness!T32,IF(3=Element_Stiffness!$E$5,Element_Stiffness!Z32,0)),0)),0)+IF(Element_Stiffness!$C$41,IF(Element_Stiffness!$C$40=3,IF(3=Element_Stiffness!$C$40,Element_Stiffness!T61,IF(3=Element_Stiffness!$E$40,Element_Stiffness!Z61,0)),IF(Element_Stiffness!$E$40=3,IF(3=Element_Stiffness!$C$40,Element_Stiffness!T67,IF(3=Element_Stiffness!$E$40,Element_Stiffness!Z67,0)),0)),0)+IF(Element_Stiffness!$C$76,IF(Element_Stiffness!$C$75=3,IF(3=Element_Stiffness!$C$75,Element_Stiffness!T96,IF(3=Element_Stiffness!$E$75,Element_Stiffness!Z96,0)),IF(Element_Stiffness!$E$75=3,IF(3=Element_Stiffness!$C$75,Element_Stiffness!T102,IF(3=Element_Stiffness!$E$75,Element_Stiffness!Z102,0)),0)),0)+IF(Element_Stiffness!$C$111,IF(Element_Stiffness!$C$110=3,IF(3=Element_Stiffness!$C$110,Element_Stiffness!T131,IF(3=Element_Stiffness!$E$110,Element_Stiffness!Z131,0)),IF(Element_Stiffness!$E$110=3,IF(3=Element_Stiffness!$C$110,Element_Stiffness!T137,IF(3=Element_Stiffness!$E$110,Element_Stiffness!Z137,0)),0)),0)+IF(Element_Stiffness!$C$146,IF(Element_Stiffness!$C$145=3,IF(3=Element_Stiffness!$C$145,Element_Stiffness!T166,IF(3=Element_Stiffness!$E$145,Element_Stiffness!Z166,0)),IF(Element_Stiffness!$E$145=3,IF(3=Element_Stiffness!$C$145,Element_Stiffness!T172,IF(3=Element_Stiffness!$E$145,Element_Stiffness!Z172,0)),0)),0)+IF(Element_Stiffness!$C$181,IF(Element_Stiffness!$C$180=3,IF(3=Element_Stiffness!$C$180,Element_Stiffness!T201,IF(3=Element_Stiffness!$E$180,Element_Stiffness!Z201,0)),IF(Element_Stiffness!$E$180=3,IF(3=Element_Stiffness!$C$180,Element_Stiffness!T207,IF(3=Element_Stiffness!$E$180,Element_Stiffness!Z207,0)),0)),0)+IF(Element_Stiffness!$C$216,IF(Element_Stiffness!$C$215=3,IF(3=Element_Stiffness!$C$215,Element_Stiffness!T236,IF(3=Element_Stiffness!$E$215,Element_Stiffness!Z236,0)),IF(Element_Stiffness!$E$215=3,IF(3=Element_Stiffness!$C$215,Element_Stiffness!T242,IF(3=Element_Stiffness!$E$215,Element_Stiffness!Z242,0)),0)),0)</f>
        <v/>
      </c>
      <c r="Z23" s="21">
        <f>IF(Element_Stiffness!$C$6,IF(Element_Stiffness!$C$5=3,IF(3=Element_Stiffness!$C$5,Element_Stiffness!U26,IF(3=Element_Stiffness!$E$5,Element_Stiffness!AA26,0)),IF(Element_Stiffness!$E$5=3,IF(3=Element_Stiffness!$C$5,Element_Stiffness!U32,IF(3=Element_Stiffness!$E$5,Element_Stiffness!AA32,0)),0)),0)+IF(Element_Stiffness!$C$41,IF(Element_Stiffness!$C$40=3,IF(3=Element_Stiffness!$C$40,Element_Stiffness!U61,IF(3=Element_Stiffness!$E$40,Element_Stiffness!AA61,0)),IF(Element_Stiffness!$E$40=3,IF(3=Element_Stiffness!$C$40,Element_Stiffness!U67,IF(3=Element_Stiffness!$E$40,Element_Stiffness!AA67,0)),0)),0)+IF(Element_Stiffness!$C$76,IF(Element_Stiffness!$C$75=3,IF(3=Element_Stiffness!$C$75,Element_Stiffness!U96,IF(3=Element_Stiffness!$E$75,Element_Stiffness!AA96,0)),IF(Element_Stiffness!$E$75=3,IF(3=Element_Stiffness!$C$75,Element_Stiffness!U102,IF(3=Element_Stiffness!$E$75,Element_Stiffness!AA102,0)),0)),0)+IF(Element_Stiffness!$C$111,IF(Element_Stiffness!$C$110=3,IF(3=Element_Stiffness!$C$110,Element_Stiffness!U131,IF(3=Element_Stiffness!$E$110,Element_Stiffness!AA131,0)),IF(Element_Stiffness!$E$110=3,IF(3=Element_Stiffness!$C$110,Element_Stiffness!U137,IF(3=Element_Stiffness!$E$110,Element_Stiffness!AA137,0)),0)),0)+IF(Element_Stiffness!$C$146,IF(Element_Stiffness!$C$145=3,IF(3=Element_Stiffness!$C$145,Element_Stiffness!U166,IF(3=Element_Stiffness!$E$145,Element_Stiffness!AA166,0)),IF(Element_Stiffness!$E$145=3,IF(3=Element_Stiffness!$C$145,Element_Stiffness!U172,IF(3=Element_Stiffness!$E$145,Element_Stiffness!AA172,0)),0)),0)+IF(Element_Stiffness!$C$181,IF(Element_Stiffness!$C$180=3,IF(3=Element_Stiffness!$C$180,Element_Stiffness!U201,IF(3=Element_Stiffness!$E$180,Element_Stiffness!AA201,0)),IF(Element_Stiffness!$E$180=3,IF(3=Element_Stiffness!$C$180,Element_Stiffness!U207,IF(3=Element_Stiffness!$E$180,Element_Stiffness!AA207,0)),0)),0)+IF(Element_Stiffness!$C$216,IF(Element_Stiffness!$C$215=3,IF(3=Element_Stiffness!$C$215,Element_Stiffness!U236,IF(3=Element_Stiffness!$E$215,Element_Stiffness!AA236,0)),IF(Element_Stiffness!$E$215=3,IF(3=Element_Stiffness!$C$215,Element_Stiffness!U242,IF(3=Element_Stiffness!$E$215,Element_Stiffness!AA242,0)),0)),0)</f>
        <v/>
      </c>
      <c r="AA23" s="21">
        <f>IF(Element_Stiffness!$C$6,IF(Element_Stiffness!$C$5=3,IF(4=Element_Stiffness!$C$5,Element_Stiffness!P26,IF(4=Element_Stiffness!$E$5,Element_Stiffness!V26,0)),IF(Element_Stiffness!$E$5=3,IF(4=Element_Stiffness!$C$5,Element_Stiffness!P32,IF(4=Element_Stiffness!$E$5,Element_Stiffness!V32,0)),0)),0)+IF(Element_Stiffness!$C$41,IF(Element_Stiffness!$C$40=3,IF(4=Element_Stiffness!$C$40,Element_Stiffness!P61,IF(4=Element_Stiffness!$E$40,Element_Stiffness!V61,0)),IF(Element_Stiffness!$E$40=3,IF(4=Element_Stiffness!$C$40,Element_Stiffness!P67,IF(4=Element_Stiffness!$E$40,Element_Stiffness!V67,0)),0)),0)+IF(Element_Stiffness!$C$76,IF(Element_Stiffness!$C$75=3,IF(4=Element_Stiffness!$C$75,Element_Stiffness!P96,IF(4=Element_Stiffness!$E$75,Element_Stiffness!V96,0)),IF(Element_Stiffness!$E$75=3,IF(4=Element_Stiffness!$C$75,Element_Stiffness!P102,IF(4=Element_Stiffness!$E$75,Element_Stiffness!V102,0)),0)),0)+IF(Element_Stiffness!$C$111,IF(Element_Stiffness!$C$110=3,IF(4=Element_Stiffness!$C$110,Element_Stiffness!P131,IF(4=Element_Stiffness!$E$110,Element_Stiffness!V131,0)),IF(Element_Stiffness!$E$110=3,IF(4=Element_Stiffness!$C$110,Element_Stiffness!P137,IF(4=Element_Stiffness!$E$110,Element_Stiffness!V137,0)),0)),0)+IF(Element_Stiffness!$C$146,IF(Element_Stiffness!$C$145=3,IF(4=Element_Stiffness!$C$145,Element_Stiffness!P166,IF(4=Element_Stiffness!$E$145,Element_Stiffness!V166,0)),IF(Element_Stiffness!$E$145=3,IF(4=Element_Stiffness!$C$145,Element_Stiffness!P172,IF(4=Element_Stiffness!$E$145,Element_Stiffness!V172,0)),0)),0)+IF(Element_Stiffness!$C$181,IF(Element_Stiffness!$C$180=3,IF(4=Element_Stiffness!$C$180,Element_Stiffness!P201,IF(4=Element_Stiffness!$E$180,Element_Stiffness!V201,0)),IF(Element_Stiffness!$E$180=3,IF(4=Element_Stiffness!$C$180,Element_Stiffness!P207,IF(4=Element_Stiffness!$E$180,Element_Stiffness!V207,0)),0)),0)+IF(Element_Stiffness!$C$216,IF(Element_Stiffness!$C$215=3,IF(4=Element_Stiffness!$C$215,Element_Stiffness!P236,IF(4=Element_Stiffness!$E$215,Element_Stiffness!V236,0)),IF(Element_Stiffness!$E$215=3,IF(4=Element_Stiffness!$C$215,Element_Stiffness!P242,IF(4=Element_Stiffness!$E$215,Element_Stiffness!V242,0)),0)),0)</f>
        <v/>
      </c>
      <c r="AB23" s="21">
        <f>IF(Element_Stiffness!$C$6,IF(Element_Stiffness!$C$5=3,IF(4=Element_Stiffness!$C$5,Element_Stiffness!Q26,IF(4=Element_Stiffness!$E$5,Element_Stiffness!W26,0)),IF(Element_Stiffness!$E$5=3,IF(4=Element_Stiffness!$C$5,Element_Stiffness!Q32,IF(4=Element_Stiffness!$E$5,Element_Stiffness!W32,0)),0)),0)+IF(Element_Stiffness!$C$41,IF(Element_Stiffness!$C$40=3,IF(4=Element_Stiffness!$C$40,Element_Stiffness!Q61,IF(4=Element_Stiffness!$E$40,Element_Stiffness!W61,0)),IF(Element_Stiffness!$E$40=3,IF(4=Element_Stiffness!$C$40,Element_Stiffness!Q67,IF(4=Element_Stiffness!$E$40,Element_Stiffness!W67,0)),0)),0)+IF(Element_Stiffness!$C$76,IF(Element_Stiffness!$C$75=3,IF(4=Element_Stiffness!$C$75,Element_Stiffness!Q96,IF(4=Element_Stiffness!$E$75,Element_Stiffness!W96,0)),IF(Element_Stiffness!$E$75=3,IF(4=Element_Stiffness!$C$75,Element_Stiffness!Q102,IF(4=Element_Stiffness!$E$75,Element_Stiffness!W102,0)),0)),0)+IF(Element_Stiffness!$C$111,IF(Element_Stiffness!$C$110=3,IF(4=Element_Stiffness!$C$110,Element_Stiffness!Q131,IF(4=Element_Stiffness!$E$110,Element_Stiffness!W131,0)),IF(Element_Stiffness!$E$110=3,IF(4=Element_Stiffness!$C$110,Element_Stiffness!Q137,IF(4=Element_Stiffness!$E$110,Element_Stiffness!W137,0)),0)),0)+IF(Element_Stiffness!$C$146,IF(Element_Stiffness!$C$145=3,IF(4=Element_Stiffness!$C$145,Element_Stiffness!Q166,IF(4=Element_Stiffness!$E$145,Element_Stiffness!W166,0)),IF(Element_Stiffness!$E$145=3,IF(4=Element_Stiffness!$C$145,Element_Stiffness!Q172,IF(4=Element_Stiffness!$E$145,Element_Stiffness!W172,0)),0)),0)+IF(Element_Stiffness!$C$181,IF(Element_Stiffness!$C$180=3,IF(4=Element_Stiffness!$C$180,Element_Stiffness!Q201,IF(4=Element_Stiffness!$E$180,Element_Stiffness!W201,0)),IF(Element_Stiffness!$E$180=3,IF(4=Element_Stiffness!$C$180,Element_Stiffness!Q207,IF(4=Element_Stiffness!$E$180,Element_Stiffness!W207,0)),0)),0)+IF(Element_Stiffness!$C$216,IF(Element_Stiffness!$C$215=3,IF(4=Element_Stiffness!$C$215,Element_Stiffness!Q236,IF(4=Element_Stiffness!$E$215,Element_Stiffness!W236,0)),IF(Element_Stiffness!$E$215=3,IF(4=Element_Stiffness!$C$215,Element_Stiffness!Q242,IF(4=Element_Stiffness!$E$215,Element_Stiffness!W242,0)),0)),0)</f>
        <v/>
      </c>
      <c r="AC23" s="21">
        <f>IF(Element_Stiffness!$C$6,IF(Element_Stiffness!$C$5=3,IF(4=Element_Stiffness!$C$5,Element_Stiffness!R26,IF(4=Element_Stiffness!$E$5,Element_Stiffness!X26,0)),IF(Element_Stiffness!$E$5=3,IF(4=Element_Stiffness!$C$5,Element_Stiffness!R32,IF(4=Element_Stiffness!$E$5,Element_Stiffness!X32,0)),0)),0)+IF(Element_Stiffness!$C$41,IF(Element_Stiffness!$C$40=3,IF(4=Element_Stiffness!$C$40,Element_Stiffness!R61,IF(4=Element_Stiffness!$E$40,Element_Stiffness!X61,0)),IF(Element_Stiffness!$E$40=3,IF(4=Element_Stiffness!$C$40,Element_Stiffness!R67,IF(4=Element_Stiffness!$E$40,Element_Stiffness!X67,0)),0)),0)+IF(Element_Stiffness!$C$76,IF(Element_Stiffness!$C$75=3,IF(4=Element_Stiffness!$C$75,Element_Stiffness!R96,IF(4=Element_Stiffness!$E$75,Element_Stiffness!X96,0)),IF(Element_Stiffness!$E$75=3,IF(4=Element_Stiffness!$C$75,Element_Stiffness!R102,IF(4=Element_Stiffness!$E$75,Element_Stiffness!X102,0)),0)),0)+IF(Element_Stiffness!$C$111,IF(Element_Stiffness!$C$110=3,IF(4=Element_Stiffness!$C$110,Element_Stiffness!R131,IF(4=Element_Stiffness!$E$110,Element_Stiffness!X131,0)),IF(Element_Stiffness!$E$110=3,IF(4=Element_Stiffness!$C$110,Element_Stiffness!R137,IF(4=Element_Stiffness!$E$110,Element_Stiffness!X137,0)),0)),0)+IF(Element_Stiffness!$C$146,IF(Element_Stiffness!$C$145=3,IF(4=Element_Stiffness!$C$145,Element_Stiffness!R166,IF(4=Element_Stiffness!$E$145,Element_Stiffness!X166,0)),IF(Element_Stiffness!$E$145=3,IF(4=Element_Stiffness!$C$145,Element_Stiffness!R172,IF(4=Element_Stiffness!$E$145,Element_Stiffness!X172,0)),0)),0)+IF(Element_Stiffness!$C$181,IF(Element_Stiffness!$C$180=3,IF(4=Element_Stiffness!$C$180,Element_Stiffness!R201,IF(4=Element_Stiffness!$E$180,Element_Stiffness!X201,0)),IF(Element_Stiffness!$E$180=3,IF(4=Element_Stiffness!$C$180,Element_Stiffness!R207,IF(4=Element_Stiffness!$E$180,Element_Stiffness!X207,0)),0)),0)+IF(Element_Stiffness!$C$216,IF(Element_Stiffness!$C$215=3,IF(4=Element_Stiffness!$C$215,Element_Stiffness!R236,IF(4=Element_Stiffness!$E$215,Element_Stiffness!X236,0)),IF(Element_Stiffness!$E$215=3,IF(4=Element_Stiffness!$C$215,Element_Stiffness!R242,IF(4=Element_Stiffness!$E$215,Element_Stiffness!X242,0)),0)),0)</f>
        <v/>
      </c>
      <c r="AD23" s="21">
        <f>IF(Element_Stiffness!$C$6,IF(Element_Stiffness!$C$5=3,IF(4=Element_Stiffness!$C$5,Element_Stiffness!S26,IF(4=Element_Stiffness!$E$5,Element_Stiffness!Y26,0)),IF(Element_Stiffness!$E$5=3,IF(4=Element_Stiffness!$C$5,Element_Stiffness!S32,IF(4=Element_Stiffness!$E$5,Element_Stiffness!Y32,0)),0)),0)+IF(Element_Stiffness!$C$41,IF(Element_Stiffness!$C$40=3,IF(4=Element_Stiffness!$C$40,Element_Stiffness!S61,IF(4=Element_Stiffness!$E$40,Element_Stiffness!Y61,0)),IF(Element_Stiffness!$E$40=3,IF(4=Element_Stiffness!$C$40,Element_Stiffness!S67,IF(4=Element_Stiffness!$E$40,Element_Stiffness!Y67,0)),0)),0)+IF(Element_Stiffness!$C$76,IF(Element_Stiffness!$C$75=3,IF(4=Element_Stiffness!$C$75,Element_Stiffness!S96,IF(4=Element_Stiffness!$E$75,Element_Stiffness!Y96,0)),IF(Element_Stiffness!$E$75=3,IF(4=Element_Stiffness!$C$75,Element_Stiffness!S102,IF(4=Element_Stiffness!$E$75,Element_Stiffness!Y102,0)),0)),0)+IF(Element_Stiffness!$C$111,IF(Element_Stiffness!$C$110=3,IF(4=Element_Stiffness!$C$110,Element_Stiffness!S131,IF(4=Element_Stiffness!$E$110,Element_Stiffness!Y131,0)),IF(Element_Stiffness!$E$110=3,IF(4=Element_Stiffness!$C$110,Element_Stiffness!S137,IF(4=Element_Stiffness!$E$110,Element_Stiffness!Y137,0)),0)),0)+IF(Element_Stiffness!$C$146,IF(Element_Stiffness!$C$145=3,IF(4=Element_Stiffness!$C$145,Element_Stiffness!S166,IF(4=Element_Stiffness!$E$145,Element_Stiffness!Y166,0)),IF(Element_Stiffness!$E$145=3,IF(4=Element_Stiffness!$C$145,Element_Stiffness!S172,IF(4=Element_Stiffness!$E$145,Element_Stiffness!Y172,0)),0)),0)+IF(Element_Stiffness!$C$181,IF(Element_Stiffness!$C$180=3,IF(4=Element_Stiffness!$C$180,Element_Stiffness!S201,IF(4=Element_Stiffness!$E$180,Element_Stiffness!Y201,0)),IF(Element_Stiffness!$E$180=3,IF(4=Element_Stiffness!$C$180,Element_Stiffness!S207,IF(4=Element_Stiffness!$E$180,Element_Stiffness!Y207,0)),0)),0)+IF(Element_Stiffness!$C$216,IF(Element_Stiffness!$C$215=3,IF(4=Element_Stiffness!$C$215,Element_Stiffness!S236,IF(4=Element_Stiffness!$E$215,Element_Stiffness!Y236,0)),IF(Element_Stiffness!$E$215=3,IF(4=Element_Stiffness!$C$215,Element_Stiffness!S242,IF(4=Element_Stiffness!$E$215,Element_Stiffness!Y242,0)),0)),0)</f>
        <v/>
      </c>
      <c r="AE23" s="21">
        <f>IF(Element_Stiffness!$C$6,IF(Element_Stiffness!$C$5=3,IF(4=Element_Stiffness!$C$5,Element_Stiffness!T26,IF(4=Element_Stiffness!$E$5,Element_Stiffness!Z26,0)),IF(Element_Stiffness!$E$5=3,IF(4=Element_Stiffness!$C$5,Element_Stiffness!T32,IF(4=Element_Stiffness!$E$5,Element_Stiffness!Z32,0)),0)),0)+IF(Element_Stiffness!$C$41,IF(Element_Stiffness!$C$40=3,IF(4=Element_Stiffness!$C$40,Element_Stiffness!T61,IF(4=Element_Stiffness!$E$40,Element_Stiffness!Z61,0)),IF(Element_Stiffness!$E$40=3,IF(4=Element_Stiffness!$C$40,Element_Stiffness!T67,IF(4=Element_Stiffness!$E$40,Element_Stiffness!Z67,0)),0)),0)+IF(Element_Stiffness!$C$76,IF(Element_Stiffness!$C$75=3,IF(4=Element_Stiffness!$C$75,Element_Stiffness!T96,IF(4=Element_Stiffness!$E$75,Element_Stiffness!Z96,0)),IF(Element_Stiffness!$E$75=3,IF(4=Element_Stiffness!$C$75,Element_Stiffness!T102,IF(4=Element_Stiffness!$E$75,Element_Stiffness!Z102,0)),0)),0)+IF(Element_Stiffness!$C$111,IF(Element_Stiffness!$C$110=3,IF(4=Element_Stiffness!$C$110,Element_Stiffness!T131,IF(4=Element_Stiffness!$E$110,Element_Stiffness!Z131,0)),IF(Element_Stiffness!$E$110=3,IF(4=Element_Stiffness!$C$110,Element_Stiffness!T137,IF(4=Element_Stiffness!$E$110,Element_Stiffness!Z137,0)),0)),0)+IF(Element_Stiffness!$C$146,IF(Element_Stiffness!$C$145=3,IF(4=Element_Stiffness!$C$145,Element_Stiffness!T166,IF(4=Element_Stiffness!$E$145,Element_Stiffness!Z166,0)),IF(Element_Stiffness!$E$145=3,IF(4=Element_Stiffness!$C$145,Element_Stiffness!T172,IF(4=Element_Stiffness!$E$145,Element_Stiffness!Z172,0)),0)),0)+IF(Element_Stiffness!$C$181,IF(Element_Stiffness!$C$180=3,IF(4=Element_Stiffness!$C$180,Element_Stiffness!T201,IF(4=Element_Stiffness!$E$180,Element_Stiffness!Z201,0)),IF(Element_Stiffness!$E$180=3,IF(4=Element_Stiffness!$C$180,Element_Stiffness!T207,IF(4=Element_Stiffness!$E$180,Element_Stiffness!Z207,0)),0)),0)+IF(Element_Stiffness!$C$216,IF(Element_Stiffness!$C$215=3,IF(4=Element_Stiffness!$C$215,Element_Stiffness!T236,IF(4=Element_Stiffness!$E$215,Element_Stiffness!Z236,0)),IF(Element_Stiffness!$E$215=3,IF(4=Element_Stiffness!$C$215,Element_Stiffness!T242,IF(4=Element_Stiffness!$E$215,Element_Stiffness!Z242,0)),0)),0)</f>
        <v/>
      </c>
      <c r="AF23" s="21">
        <f>IF(Element_Stiffness!$C$6,IF(Element_Stiffness!$C$5=3,IF(4=Element_Stiffness!$C$5,Element_Stiffness!U26,IF(4=Element_Stiffness!$E$5,Element_Stiffness!AA26,0)),IF(Element_Stiffness!$E$5=3,IF(4=Element_Stiffness!$C$5,Element_Stiffness!U32,IF(4=Element_Stiffness!$E$5,Element_Stiffness!AA32,0)),0)),0)+IF(Element_Stiffness!$C$41,IF(Element_Stiffness!$C$40=3,IF(4=Element_Stiffness!$C$40,Element_Stiffness!U61,IF(4=Element_Stiffness!$E$40,Element_Stiffness!AA61,0)),IF(Element_Stiffness!$E$40=3,IF(4=Element_Stiffness!$C$40,Element_Stiffness!U67,IF(4=Element_Stiffness!$E$40,Element_Stiffness!AA67,0)),0)),0)+IF(Element_Stiffness!$C$76,IF(Element_Stiffness!$C$75=3,IF(4=Element_Stiffness!$C$75,Element_Stiffness!U96,IF(4=Element_Stiffness!$E$75,Element_Stiffness!AA96,0)),IF(Element_Stiffness!$E$75=3,IF(4=Element_Stiffness!$C$75,Element_Stiffness!U102,IF(4=Element_Stiffness!$E$75,Element_Stiffness!AA102,0)),0)),0)+IF(Element_Stiffness!$C$111,IF(Element_Stiffness!$C$110=3,IF(4=Element_Stiffness!$C$110,Element_Stiffness!U131,IF(4=Element_Stiffness!$E$110,Element_Stiffness!AA131,0)),IF(Element_Stiffness!$E$110=3,IF(4=Element_Stiffness!$C$110,Element_Stiffness!U137,IF(4=Element_Stiffness!$E$110,Element_Stiffness!AA137,0)),0)),0)+IF(Element_Stiffness!$C$146,IF(Element_Stiffness!$C$145=3,IF(4=Element_Stiffness!$C$145,Element_Stiffness!U166,IF(4=Element_Stiffness!$E$145,Element_Stiffness!AA166,0)),IF(Element_Stiffness!$E$145=3,IF(4=Element_Stiffness!$C$145,Element_Stiffness!U172,IF(4=Element_Stiffness!$E$145,Element_Stiffness!AA172,0)),0)),0)+IF(Element_Stiffness!$C$181,IF(Element_Stiffness!$C$180=3,IF(4=Element_Stiffness!$C$180,Element_Stiffness!U201,IF(4=Element_Stiffness!$E$180,Element_Stiffness!AA201,0)),IF(Element_Stiffness!$E$180=3,IF(4=Element_Stiffness!$C$180,Element_Stiffness!U207,IF(4=Element_Stiffness!$E$180,Element_Stiffness!AA207,0)),0)),0)+IF(Element_Stiffness!$C$216,IF(Element_Stiffness!$C$215=3,IF(4=Element_Stiffness!$C$215,Element_Stiffness!U236,IF(4=Element_Stiffness!$E$215,Element_Stiffness!AA236,0)),IF(Element_Stiffness!$E$215=3,IF(4=Element_Stiffness!$C$215,Element_Stiffness!U242,IF(4=Element_Stiffness!$E$215,Element_Stiffness!AA242,0)),0)),0)</f>
        <v/>
      </c>
      <c r="AG23" s="21">
        <f>IF(Element_Stiffness!$C$6,IF(Element_Stiffness!$C$5=3,IF(5=Element_Stiffness!$C$5,Element_Stiffness!P26,IF(5=Element_Stiffness!$E$5,Element_Stiffness!V26,0)),IF(Element_Stiffness!$E$5=3,IF(5=Element_Stiffness!$C$5,Element_Stiffness!P32,IF(5=Element_Stiffness!$E$5,Element_Stiffness!V32,0)),0)),0)+IF(Element_Stiffness!$C$41,IF(Element_Stiffness!$C$40=3,IF(5=Element_Stiffness!$C$40,Element_Stiffness!P61,IF(5=Element_Stiffness!$E$40,Element_Stiffness!V61,0)),IF(Element_Stiffness!$E$40=3,IF(5=Element_Stiffness!$C$40,Element_Stiffness!P67,IF(5=Element_Stiffness!$E$40,Element_Stiffness!V67,0)),0)),0)+IF(Element_Stiffness!$C$76,IF(Element_Stiffness!$C$75=3,IF(5=Element_Stiffness!$C$75,Element_Stiffness!P96,IF(5=Element_Stiffness!$E$75,Element_Stiffness!V96,0)),IF(Element_Stiffness!$E$75=3,IF(5=Element_Stiffness!$C$75,Element_Stiffness!P102,IF(5=Element_Stiffness!$E$75,Element_Stiffness!V102,0)),0)),0)+IF(Element_Stiffness!$C$111,IF(Element_Stiffness!$C$110=3,IF(5=Element_Stiffness!$C$110,Element_Stiffness!P131,IF(5=Element_Stiffness!$E$110,Element_Stiffness!V131,0)),IF(Element_Stiffness!$E$110=3,IF(5=Element_Stiffness!$C$110,Element_Stiffness!P137,IF(5=Element_Stiffness!$E$110,Element_Stiffness!V137,0)),0)),0)+IF(Element_Stiffness!$C$146,IF(Element_Stiffness!$C$145=3,IF(5=Element_Stiffness!$C$145,Element_Stiffness!P166,IF(5=Element_Stiffness!$E$145,Element_Stiffness!V166,0)),IF(Element_Stiffness!$E$145=3,IF(5=Element_Stiffness!$C$145,Element_Stiffness!P172,IF(5=Element_Stiffness!$E$145,Element_Stiffness!V172,0)),0)),0)+IF(Element_Stiffness!$C$181,IF(Element_Stiffness!$C$180=3,IF(5=Element_Stiffness!$C$180,Element_Stiffness!P201,IF(5=Element_Stiffness!$E$180,Element_Stiffness!V201,0)),IF(Element_Stiffness!$E$180=3,IF(5=Element_Stiffness!$C$180,Element_Stiffness!P207,IF(5=Element_Stiffness!$E$180,Element_Stiffness!V207,0)),0)),0)+IF(Element_Stiffness!$C$216,IF(Element_Stiffness!$C$215=3,IF(5=Element_Stiffness!$C$215,Element_Stiffness!P236,IF(5=Element_Stiffness!$E$215,Element_Stiffness!V236,0)),IF(Element_Stiffness!$E$215=3,IF(5=Element_Stiffness!$C$215,Element_Stiffness!P242,IF(5=Element_Stiffness!$E$215,Element_Stiffness!V242,0)),0)),0)</f>
        <v/>
      </c>
      <c r="AH23" s="21">
        <f>IF(Element_Stiffness!$C$6,IF(Element_Stiffness!$C$5=3,IF(5=Element_Stiffness!$C$5,Element_Stiffness!Q26,IF(5=Element_Stiffness!$E$5,Element_Stiffness!W26,0)),IF(Element_Stiffness!$E$5=3,IF(5=Element_Stiffness!$C$5,Element_Stiffness!Q32,IF(5=Element_Stiffness!$E$5,Element_Stiffness!W32,0)),0)),0)+IF(Element_Stiffness!$C$41,IF(Element_Stiffness!$C$40=3,IF(5=Element_Stiffness!$C$40,Element_Stiffness!Q61,IF(5=Element_Stiffness!$E$40,Element_Stiffness!W61,0)),IF(Element_Stiffness!$E$40=3,IF(5=Element_Stiffness!$C$40,Element_Stiffness!Q67,IF(5=Element_Stiffness!$E$40,Element_Stiffness!W67,0)),0)),0)+IF(Element_Stiffness!$C$76,IF(Element_Stiffness!$C$75=3,IF(5=Element_Stiffness!$C$75,Element_Stiffness!Q96,IF(5=Element_Stiffness!$E$75,Element_Stiffness!W96,0)),IF(Element_Stiffness!$E$75=3,IF(5=Element_Stiffness!$C$75,Element_Stiffness!Q102,IF(5=Element_Stiffness!$E$75,Element_Stiffness!W102,0)),0)),0)+IF(Element_Stiffness!$C$111,IF(Element_Stiffness!$C$110=3,IF(5=Element_Stiffness!$C$110,Element_Stiffness!Q131,IF(5=Element_Stiffness!$E$110,Element_Stiffness!W131,0)),IF(Element_Stiffness!$E$110=3,IF(5=Element_Stiffness!$C$110,Element_Stiffness!Q137,IF(5=Element_Stiffness!$E$110,Element_Stiffness!W137,0)),0)),0)+IF(Element_Stiffness!$C$146,IF(Element_Stiffness!$C$145=3,IF(5=Element_Stiffness!$C$145,Element_Stiffness!Q166,IF(5=Element_Stiffness!$E$145,Element_Stiffness!W166,0)),IF(Element_Stiffness!$E$145=3,IF(5=Element_Stiffness!$C$145,Element_Stiffness!Q172,IF(5=Element_Stiffness!$E$145,Element_Stiffness!W172,0)),0)),0)+IF(Element_Stiffness!$C$181,IF(Element_Stiffness!$C$180=3,IF(5=Element_Stiffness!$C$180,Element_Stiffness!Q201,IF(5=Element_Stiffness!$E$180,Element_Stiffness!W201,0)),IF(Element_Stiffness!$E$180=3,IF(5=Element_Stiffness!$C$180,Element_Stiffness!Q207,IF(5=Element_Stiffness!$E$180,Element_Stiffness!W207,0)),0)),0)+IF(Element_Stiffness!$C$216,IF(Element_Stiffness!$C$215=3,IF(5=Element_Stiffness!$C$215,Element_Stiffness!Q236,IF(5=Element_Stiffness!$E$215,Element_Stiffness!W236,0)),IF(Element_Stiffness!$E$215=3,IF(5=Element_Stiffness!$C$215,Element_Stiffness!Q242,IF(5=Element_Stiffness!$E$215,Element_Stiffness!W242,0)),0)),0)</f>
        <v/>
      </c>
      <c r="AI23" s="21">
        <f>IF(Element_Stiffness!$C$6,IF(Element_Stiffness!$C$5=3,IF(5=Element_Stiffness!$C$5,Element_Stiffness!R26,IF(5=Element_Stiffness!$E$5,Element_Stiffness!X26,0)),IF(Element_Stiffness!$E$5=3,IF(5=Element_Stiffness!$C$5,Element_Stiffness!R32,IF(5=Element_Stiffness!$E$5,Element_Stiffness!X32,0)),0)),0)+IF(Element_Stiffness!$C$41,IF(Element_Stiffness!$C$40=3,IF(5=Element_Stiffness!$C$40,Element_Stiffness!R61,IF(5=Element_Stiffness!$E$40,Element_Stiffness!X61,0)),IF(Element_Stiffness!$E$40=3,IF(5=Element_Stiffness!$C$40,Element_Stiffness!R67,IF(5=Element_Stiffness!$E$40,Element_Stiffness!X67,0)),0)),0)+IF(Element_Stiffness!$C$76,IF(Element_Stiffness!$C$75=3,IF(5=Element_Stiffness!$C$75,Element_Stiffness!R96,IF(5=Element_Stiffness!$E$75,Element_Stiffness!X96,0)),IF(Element_Stiffness!$E$75=3,IF(5=Element_Stiffness!$C$75,Element_Stiffness!R102,IF(5=Element_Stiffness!$E$75,Element_Stiffness!X102,0)),0)),0)+IF(Element_Stiffness!$C$111,IF(Element_Stiffness!$C$110=3,IF(5=Element_Stiffness!$C$110,Element_Stiffness!R131,IF(5=Element_Stiffness!$E$110,Element_Stiffness!X131,0)),IF(Element_Stiffness!$E$110=3,IF(5=Element_Stiffness!$C$110,Element_Stiffness!R137,IF(5=Element_Stiffness!$E$110,Element_Stiffness!X137,0)),0)),0)+IF(Element_Stiffness!$C$146,IF(Element_Stiffness!$C$145=3,IF(5=Element_Stiffness!$C$145,Element_Stiffness!R166,IF(5=Element_Stiffness!$E$145,Element_Stiffness!X166,0)),IF(Element_Stiffness!$E$145=3,IF(5=Element_Stiffness!$C$145,Element_Stiffness!R172,IF(5=Element_Stiffness!$E$145,Element_Stiffness!X172,0)),0)),0)+IF(Element_Stiffness!$C$181,IF(Element_Stiffness!$C$180=3,IF(5=Element_Stiffness!$C$180,Element_Stiffness!R201,IF(5=Element_Stiffness!$E$180,Element_Stiffness!X201,0)),IF(Element_Stiffness!$E$180=3,IF(5=Element_Stiffness!$C$180,Element_Stiffness!R207,IF(5=Element_Stiffness!$E$180,Element_Stiffness!X207,0)),0)),0)+IF(Element_Stiffness!$C$216,IF(Element_Stiffness!$C$215=3,IF(5=Element_Stiffness!$C$215,Element_Stiffness!R236,IF(5=Element_Stiffness!$E$215,Element_Stiffness!X236,0)),IF(Element_Stiffness!$E$215=3,IF(5=Element_Stiffness!$C$215,Element_Stiffness!R242,IF(5=Element_Stiffness!$E$215,Element_Stiffness!X242,0)),0)),0)</f>
        <v/>
      </c>
      <c r="AJ23" s="21">
        <f>IF(Element_Stiffness!$C$6,IF(Element_Stiffness!$C$5=3,IF(5=Element_Stiffness!$C$5,Element_Stiffness!S26,IF(5=Element_Stiffness!$E$5,Element_Stiffness!Y26,0)),IF(Element_Stiffness!$E$5=3,IF(5=Element_Stiffness!$C$5,Element_Stiffness!S32,IF(5=Element_Stiffness!$E$5,Element_Stiffness!Y32,0)),0)),0)+IF(Element_Stiffness!$C$41,IF(Element_Stiffness!$C$40=3,IF(5=Element_Stiffness!$C$40,Element_Stiffness!S61,IF(5=Element_Stiffness!$E$40,Element_Stiffness!Y61,0)),IF(Element_Stiffness!$E$40=3,IF(5=Element_Stiffness!$C$40,Element_Stiffness!S67,IF(5=Element_Stiffness!$E$40,Element_Stiffness!Y67,0)),0)),0)+IF(Element_Stiffness!$C$76,IF(Element_Stiffness!$C$75=3,IF(5=Element_Stiffness!$C$75,Element_Stiffness!S96,IF(5=Element_Stiffness!$E$75,Element_Stiffness!Y96,0)),IF(Element_Stiffness!$E$75=3,IF(5=Element_Stiffness!$C$75,Element_Stiffness!S102,IF(5=Element_Stiffness!$E$75,Element_Stiffness!Y102,0)),0)),0)+IF(Element_Stiffness!$C$111,IF(Element_Stiffness!$C$110=3,IF(5=Element_Stiffness!$C$110,Element_Stiffness!S131,IF(5=Element_Stiffness!$E$110,Element_Stiffness!Y131,0)),IF(Element_Stiffness!$E$110=3,IF(5=Element_Stiffness!$C$110,Element_Stiffness!S137,IF(5=Element_Stiffness!$E$110,Element_Stiffness!Y137,0)),0)),0)+IF(Element_Stiffness!$C$146,IF(Element_Stiffness!$C$145=3,IF(5=Element_Stiffness!$C$145,Element_Stiffness!S166,IF(5=Element_Stiffness!$E$145,Element_Stiffness!Y166,0)),IF(Element_Stiffness!$E$145=3,IF(5=Element_Stiffness!$C$145,Element_Stiffness!S172,IF(5=Element_Stiffness!$E$145,Element_Stiffness!Y172,0)),0)),0)+IF(Element_Stiffness!$C$181,IF(Element_Stiffness!$C$180=3,IF(5=Element_Stiffness!$C$180,Element_Stiffness!S201,IF(5=Element_Stiffness!$E$180,Element_Stiffness!Y201,0)),IF(Element_Stiffness!$E$180=3,IF(5=Element_Stiffness!$C$180,Element_Stiffness!S207,IF(5=Element_Stiffness!$E$180,Element_Stiffness!Y207,0)),0)),0)+IF(Element_Stiffness!$C$216,IF(Element_Stiffness!$C$215=3,IF(5=Element_Stiffness!$C$215,Element_Stiffness!S236,IF(5=Element_Stiffness!$E$215,Element_Stiffness!Y236,0)),IF(Element_Stiffness!$E$215=3,IF(5=Element_Stiffness!$C$215,Element_Stiffness!S242,IF(5=Element_Stiffness!$E$215,Element_Stiffness!Y242,0)),0)),0)</f>
        <v/>
      </c>
      <c r="AK23" s="21">
        <f>IF(Element_Stiffness!$C$6,IF(Element_Stiffness!$C$5=3,IF(5=Element_Stiffness!$C$5,Element_Stiffness!T26,IF(5=Element_Stiffness!$E$5,Element_Stiffness!Z26,0)),IF(Element_Stiffness!$E$5=3,IF(5=Element_Stiffness!$C$5,Element_Stiffness!T32,IF(5=Element_Stiffness!$E$5,Element_Stiffness!Z32,0)),0)),0)+IF(Element_Stiffness!$C$41,IF(Element_Stiffness!$C$40=3,IF(5=Element_Stiffness!$C$40,Element_Stiffness!T61,IF(5=Element_Stiffness!$E$40,Element_Stiffness!Z61,0)),IF(Element_Stiffness!$E$40=3,IF(5=Element_Stiffness!$C$40,Element_Stiffness!T67,IF(5=Element_Stiffness!$E$40,Element_Stiffness!Z67,0)),0)),0)+IF(Element_Stiffness!$C$76,IF(Element_Stiffness!$C$75=3,IF(5=Element_Stiffness!$C$75,Element_Stiffness!T96,IF(5=Element_Stiffness!$E$75,Element_Stiffness!Z96,0)),IF(Element_Stiffness!$E$75=3,IF(5=Element_Stiffness!$C$75,Element_Stiffness!T102,IF(5=Element_Stiffness!$E$75,Element_Stiffness!Z102,0)),0)),0)+IF(Element_Stiffness!$C$111,IF(Element_Stiffness!$C$110=3,IF(5=Element_Stiffness!$C$110,Element_Stiffness!T131,IF(5=Element_Stiffness!$E$110,Element_Stiffness!Z131,0)),IF(Element_Stiffness!$E$110=3,IF(5=Element_Stiffness!$C$110,Element_Stiffness!T137,IF(5=Element_Stiffness!$E$110,Element_Stiffness!Z137,0)),0)),0)+IF(Element_Stiffness!$C$146,IF(Element_Stiffness!$C$145=3,IF(5=Element_Stiffness!$C$145,Element_Stiffness!T166,IF(5=Element_Stiffness!$E$145,Element_Stiffness!Z166,0)),IF(Element_Stiffness!$E$145=3,IF(5=Element_Stiffness!$C$145,Element_Stiffness!T172,IF(5=Element_Stiffness!$E$145,Element_Stiffness!Z172,0)),0)),0)+IF(Element_Stiffness!$C$181,IF(Element_Stiffness!$C$180=3,IF(5=Element_Stiffness!$C$180,Element_Stiffness!T201,IF(5=Element_Stiffness!$E$180,Element_Stiffness!Z201,0)),IF(Element_Stiffness!$E$180=3,IF(5=Element_Stiffness!$C$180,Element_Stiffness!T207,IF(5=Element_Stiffness!$E$180,Element_Stiffness!Z207,0)),0)),0)+IF(Element_Stiffness!$C$216,IF(Element_Stiffness!$C$215=3,IF(5=Element_Stiffness!$C$215,Element_Stiffness!T236,IF(5=Element_Stiffness!$E$215,Element_Stiffness!Z236,0)),IF(Element_Stiffness!$E$215=3,IF(5=Element_Stiffness!$C$215,Element_Stiffness!T242,IF(5=Element_Stiffness!$E$215,Element_Stiffness!Z242,0)),0)),0)</f>
        <v/>
      </c>
      <c r="AL23" s="21">
        <f>IF(Element_Stiffness!$C$6,IF(Element_Stiffness!$C$5=3,IF(5=Element_Stiffness!$C$5,Element_Stiffness!U26,IF(5=Element_Stiffness!$E$5,Element_Stiffness!AA26,0)),IF(Element_Stiffness!$E$5=3,IF(5=Element_Stiffness!$C$5,Element_Stiffness!U32,IF(5=Element_Stiffness!$E$5,Element_Stiffness!AA32,0)),0)),0)+IF(Element_Stiffness!$C$41,IF(Element_Stiffness!$C$40=3,IF(5=Element_Stiffness!$C$40,Element_Stiffness!U61,IF(5=Element_Stiffness!$E$40,Element_Stiffness!AA61,0)),IF(Element_Stiffness!$E$40=3,IF(5=Element_Stiffness!$C$40,Element_Stiffness!U67,IF(5=Element_Stiffness!$E$40,Element_Stiffness!AA67,0)),0)),0)+IF(Element_Stiffness!$C$76,IF(Element_Stiffness!$C$75=3,IF(5=Element_Stiffness!$C$75,Element_Stiffness!U96,IF(5=Element_Stiffness!$E$75,Element_Stiffness!AA96,0)),IF(Element_Stiffness!$E$75=3,IF(5=Element_Stiffness!$C$75,Element_Stiffness!U102,IF(5=Element_Stiffness!$E$75,Element_Stiffness!AA102,0)),0)),0)+IF(Element_Stiffness!$C$111,IF(Element_Stiffness!$C$110=3,IF(5=Element_Stiffness!$C$110,Element_Stiffness!U131,IF(5=Element_Stiffness!$E$110,Element_Stiffness!AA131,0)),IF(Element_Stiffness!$E$110=3,IF(5=Element_Stiffness!$C$110,Element_Stiffness!U137,IF(5=Element_Stiffness!$E$110,Element_Stiffness!AA137,0)),0)),0)+IF(Element_Stiffness!$C$146,IF(Element_Stiffness!$C$145=3,IF(5=Element_Stiffness!$C$145,Element_Stiffness!U166,IF(5=Element_Stiffness!$E$145,Element_Stiffness!AA166,0)),IF(Element_Stiffness!$E$145=3,IF(5=Element_Stiffness!$C$145,Element_Stiffness!U172,IF(5=Element_Stiffness!$E$145,Element_Stiffness!AA172,0)),0)),0)+IF(Element_Stiffness!$C$181,IF(Element_Stiffness!$C$180=3,IF(5=Element_Stiffness!$C$180,Element_Stiffness!U201,IF(5=Element_Stiffness!$E$180,Element_Stiffness!AA201,0)),IF(Element_Stiffness!$E$180=3,IF(5=Element_Stiffness!$C$180,Element_Stiffness!U207,IF(5=Element_Stiffness!$E$180,Element_Stiffness!AA207,0)),0)),0)+IF(Element_Stiffness!$C$216,IF(Element_Stiffness!$C$215=3,IF(5=Element_Stiffness!$C$215,Element_Stiffness!U236,IF(5=Element_Stiffness!$E$215,Element_Stiffness!AA236,0)),IF(Element_Stiffness!$E$215=3,IF(5=Element_Stiffness!$C$215,Element_Stiffness!U242,IF(5=Element_Stiffness!$E$215,Element_Stiffness!AA242,0)),0)),0)</f>
        <v/>
      </c>
      <c r="AM23" s="21">
        <f>IF(Element_Stiffness!$C$6,IF(Element_Stiffness!$C$5=3,IF(6=Element_Stiffness!$C$5,Element_Stiffness!P26,IF(6=Element_Stiffness!$E$5,Element_Stiffness!V26,0)),IF(Element_Stiffness!$E$5=3,IF(6=Element_Stiffness!$C$5,Element_Stiffness!P32,IF(6=Element_Stiffness!$E$5,Element_Stiffness!V32,0)),0)),0)+IF(Element_Stiffness!$C$41,IF(Element_Stiffness!$C$40=3,IF(6=Element_Stiffness!$C$40,Element_Stiffness!P61,IF(6=Element_Stiffness!$E$40,Element_Stiffness!V61,0)),IF(Element_Stiffness!$E$40=3,IF(6=Element_Stiffness!$C$40,Element_Stiffness!P67,IF(6=Element_Stiffness!$E$40,Element_Stiffness!V67,0)),0)),0)+IF(Element_Stiffness!$C$76,IF(Element_Stiffness!$C$75=3,IF(6=Element_Stiffness!$C$75,Element_Stiffness!P96,IF(6=Element_Stiffness!$E$75,Element_Stiffness!V96,0)),IF(Element_Stiffness!$E$75=3,IF(6=Element_Stiffness!$C$75,Element_Stiffness!P102,IF(6=Element_Stiffness!$E$75,Element_Stiffness!V102,0)),0)),0)+IF(Element_Stiffness!$C$111,IF(Element_Stiffness!$C$110=3,IF(6=Element_Stiffness!$C$110,Element_Stiffness!P131,IF(6=Element_Stiffness!$E$110,Element_Stiffness!V131,0)),IF(Element_Stiffness!$E$110=3,IF(6=Element_Stiffness!$C$110,Element_Stiffness!P137,IF(6=Element_Stiffness!$E$110,Element_Stiffness!V137,0)),0)),0)+IF(Element_Stiffness!$C$146,IF(Element_Stiffness!$C$145=3,IF(6=Element_Stiffness!$C$145,Element_Stiffness!P166,IF(6=Element_Stiffness!$E$145,Element_Stiffness!V166,0)),IF(Element_Stiffness!$E$145=3,IF(6=Element_Stiffness!$C$145,Element_Stiffness!P172,IF(6=Element_Stiffness!$E$145,Element_Stiffness!V172,0)),0)),0)+IF(Element_Stiffness!$C$181,IF(Element_Stiffness!$C$180=3,IF(6=Element_Stiffness!$C$180,Element_Stiffness!P201,IF(6=Element_Stiffness!$E$180,Element_Stiffness!V201,0)),IF(Element_Stiffness!$E$180=3,IF(6=Element_Stiffness!$C$180,Element_Stiffness!P207,IF(6=Element_Stiffness!$E$180,Element_Stiffness!V207,0)),0)),0)+IF(Element_Stiffness!$C$216,IF(Element_Stiffness!$C$215=3,IF(6=Element_Stiffness!$C$215,Element_Stiffness!P236,IF(6=Element_Stiffness!$E$215,Element_Stiffness!V236,0)),IF(Element_Stiffness!$E$215=3,IF(6=Element_Stiffness!$C$215,Element_Stiffness!P242,IF(6=Element_Stiffness!$E$215,Element_Stiffness!V242,0)),0)),0)</f>
        <v/>
      </c>
      <c r="AN23" s="21">
        <f>IF(Element_Stiffness!$C$6,IF(Element_Stiffness!$C$5=3,IF(6=Element_Stiffness!$C$5,Element_Stiffness!Q26,IF(6=Element_Stiffness!$E$5,Element_Stiffness!W26,0)),IF(Element_Stiffness!$E$5=3,IF(6=Element_Stiffness!$C$5,Element_Stiffness!Q32,IF(6=Element_Stiffness!$E$5,Element_Stiffness!W32,0)),0)),0)+IF(Element_Stiffness!$C$41,IF(Element_Stiffness!$C$40=3,IF(6=Element_Stiffness!$C$40,Element_Stiffness!Q61,IF(6=Element_Stiffness!$E$40,Element_Stiffness!W61,0)),IF(Element_Stiffness!$E$40=3,IF(6=Element_Stiffness!$C$40,Element_Stiffness!Q67,IF(6=Element_Stiffness!$E$40,Element_Stiffness!W67,0)),0)),0)+IF(Element_Stiffness!$C$76,IF(Element_Stiffness!$C$75=3,IF(6=Element_Stiffness!$C$75,Element_Stiffness!Q96,IF(6=Element_Stiffness!$E$75,Element_Stiffness!W96,0)),IF(Element_Stiffness!$E$75=3,IF(6=Element_Stiffness!$C$75,Element_Stiffness!Q102,IF(6=Element_Stiffness!$E$75,Element_Stiffness!W102,0)),0)),0)+IF(Element_Stiffness!$C$111,IF(Element_Stiffness!$C$110=3,IF(6=Element_Stiffness!$C$110,Element_Stiffness!Q131,IF(6=Element_Stiffness!$E$110,Element_Stiffness!W131,0)),IF(Element_Stiffness!$E$110=3,IF(6=Element_Stiffness!$C$110,Element_Stiffness!Q137,IF(6=Element_Stiffness!$E$110,Element_Stiffness!W137,0)),0)),0)+IF(Element_Stiffness!$C$146,IF(Element_Stiffness!$C$145=3,IF(6=Element_Stiffness!$C$145,Element_Stiffness!Q166,IF(6=Element_Stiffness!$E$145,Element_Stiffness!W166,0)),IF(Element_Stiffness!$E$145=3,IF(6=Element_Stiffness!$C$145,Element_Stiffness!Q172,IF(6=Element_Stiffness!$E$145,Element_Stiffness!W172,0)),0)),0)+IF(Element_Stiffness!$C$181,IF(Element_Stiffness!$C$180=3,IF(6=Element_Stiffness!$C$180,Element_Stiffness!Q201,IF(6=Element_Stiffness!$E$180,Element_Stiffness!W201,0)),IF(Element_Stiffness!$E$180=3,IF(6=Element_Stiffness!$C$180,Element_Stiffness!Q207,IF(6=Element_Stiffness!$E$180,Element_Stiffness!W207,0)),0)),0)+IF(Element_Stiffness!$C$216,IF(Element_Stiffness!$C$215=3,IF(6=Element_Stiffness!$C$215,Element_Stiffness!Q236,IF(6=Element_Stiffness!$E$215,Element_Stiffness!W236,0)),IF(Element_Stiffness!$E$215=3,IF(6=Element_Stiffness!$C$215,Element_Stiffness!Q242,IF(6=Element_Stiffness!$E$215,Element_Stiffness!W242,0)),0)),0)</f>
        <v/>
      </c>
      <c r="AO23" s="21">
        <f>IF(Element_Stiffness!$C$6,IF(Element_Stiffness!$C$5=3,IF(6=Element_Stiffness!$C$5,Element_Stiffness!R26,IF(6=Element_Stiffness!$E$5,Element_Stiffness!X26,0)),IF(Element_Stiffness!$E$5=3,IF(6=Element_Stiffness!$C$5,Element_Stiffness!R32,IF(6=Element_Stiffness!$E$5,Element_Stiffness!X32,0)),0)),0)+IF(Element_Stiffness!$C$41,IF(Element_Stiffness!$C$40=3,IF(6=Element_Stiffness!$C$40,Element_Stiffness!R61,IF(6=Element_Stiffness!$E$40,Element_Stiffness!X61,0)),IF(Element_Stiffness!$E$40=3,IF(6=Element_Stiffness!$C$40,Element_Stiffness!R67,IF(6=Element_Stiffness!$E$40,Element_Stiffness!X67,0)),0)),0)+IF(Element_Stiffness!$C$76,IF(Element_Stiffness!$C$75=3,IF(6=Element_Stiffness!$C$75,Element_Stiffness!R96,IF(6=Element_Stiffness!$E$75,Element_Stiffness!X96,0)),IF(Element_Stiffness!$E$75=3,IF(6=Element_Stiffness!$C$75,Element_Stiffness!R102,IF(6=Element_Stiffness!$E$75,Element_Stiffness!X102,0)),0)),0)+IF(Element_Stiffness!$C$111,IF(Element_Stiffness!$C$110=3,IF(6=Element_Stiffness!$C$110,Element_Stiffness!R131,IF(6=Element_Stiffness!$E$110,Element_Stiffness!X131,0)),IF(Element_Stiffness!$E$110=3,IF(6=Element_Stiffness!$C$110,Element_Stiffness!R137,IF(6=Element_Stiffness!$E$110,Element_Stiffness!X137,0)),0)),0)+IF(Element_Stiffness!$C$146,IF(Element_Stiffness!$C$145=3,IF(6=Element_Stiffness!$C$145,Element_Stiffness!R166,IF(6=Element_Stiffness!$E$145,Element_Stiffness!X166,0)),IF(Element_Stiffness!$E$145=3,IF(6=Element_Stiffness!$C$145,Element_Stiffness!R172,IF(6=Element_Stiffness!$E$145,Element_Stiffness!X172,0)),0)),0)+IF(Element_Stiffness!$C$181,IF(Element_Stiffness!$C$180=3,IF(6=Element_Stiffness!$C$180,Element_Stiffness!R201,IF(6=Element_Stiffness!$E$180,Element_Stiffness!X201,0)),IF(Element_Stiffness!$E$180=3,IF(6=Element_Stiffness!$C$180,Element_Stiffness!R207,IF(6=Element_Stiffness!$E$180,Element_Stiffness!X207,0)),0)),0)+IF(Element_Stiffness!$C$216,IF(Element_Stiffness!$C$215=3,IF(6=Element_Stiffness!$C$215,Element_Stiffness!R236,IF(6=Element_Stiffness!$E$215,Element_Stiffness!X236,0)),IF(Element_Stiffness!$E$215=3,IF(6=Element_Stiffness!$C$215,Element_Stiffness!R242,IF(6=Element_Stiffness!$E$215,Element_Stiffness!X242,0)),0)),0)</f>
        <v/>
      </c>
      <c r="AP23" s="21">
        <f>IF(Element_Stiffness!$C$6,IF(Element_Stiffness!$C$5=3,IF(6=Element_Stiffness!$C$5,Element_Stiffness!S26,IF(6=Element_Stiffness!$E$5,Element_Stiffness!Y26,0)),IF(Element_Stiffness!$E$5=3,IF(6=Element_Stiffness!$C$5,Element_Stiffness!S32,IF(6=Element_Stiffness!$E$5,Element_Stiffness!Y32,0)),0)),0)+IF(Element_Stiffness!$C$41,IF(Element_Stiffness!$C$40=3,IF(6=Element_Stiffness!$C$40,Element_Stiffness!S61,IF(6=Element_Stiffness!$E$40,Element_Stiffness!Y61,0)),IF(Element_Stiffness!$E$40=3,IF(6=Element_Stiffness!$C$40,Element_Stiffness!S67,IF(6=Element_Stiffness!$E$40,Element_Stiffness!Y67,0)),0)),0)+IF(Element_Stiffness!$C$76,IF(Element_Stiffness!$C$75=3,IF(6=Element_Stiffness!$C$75,Element_Stiffness!S96,IF(6=Element_Stiffness!$E$75,Element_Stiffness!Y96,0)),IF(Element_Stiffness!$E$75=3,IF(6=Element_Stiffness!$C$75,Element_Stiffness!S102,IF(6=Element_Stiffness!$E$75,Element_Stiffness!Y102,0)),0)),0)+IF(Element_Stiffness!$C$111,IF(Element_Stiffness!$C$110=3,IF(6=Element_Stiffness!$C$110,Element_Stiffness!S131,IF(6=Element_Stiffness!$E$110,Element_Stiffness!Y131,0)),IF(Element_Stiffness!$E$110=3,IF(6=Element_Stiffness!$C$110,Element_Stiffness!S137,IF(6=Element_Stiffness!$E$110,Element_Stiffness!Y137,0)),0)),0)+IF(Element_Stiffness!$C$146,IF(Element_Stiffness!$C$145=3,IF(6=Element_Stiffness!$C$145,Element_Stiffness!S166,IF(6=Element_Stiffness!$E$145,Element_Stiffness!Y166,0)),IF(Element_Stiffness!$E$145=3,IF(6=Element_Stiffness!$C$145,Element_Stiffness!S172,IF(6=Element_Stiffness!$E$145,Element_Stiffness!Y172,0)),0)),0)+IF(Element_Stiffness!$C$181,IF(Element_Stiffness!$C$180=3,IF(6=Element_Stiffness!$C$180,Element_Stiffness!S201,IF(6=Element_Stiffness!$E$180,Element_Stiffness!Y201,0)),IF(Element_Stiffness!$E$180=3,IF(6=Element_Stiffness!$C$180,Element_Stiffness!S207,IF(6=Element_Stiffness!$E$180,Element_Stiffness!Y207,0)),0)),0)+IF(Element_Stiffness!$C$216,IF(Element_Stiffness!$C$215=3,IF(6=Element_Stiffness!$C$215,Element_Stiffness!S236,IF(6=Element_Stiffness!$E$215,Element_Stiffness!Y236,0)),IF(Element_Stiffness!$E$215=3,IF(6=Element_Stiffness!$C$215,Element_Stiffness!S242,IF(6=Element_Stiffness!$E$215,Element_Stiffness!Y242,0)),0)),0)</f>
        <v/>
      </c>
      <c r="AQ23" s="21">
        <f>IF(Element_Stiffness!$C$6,IF(Element_Stiffness!$C$5=3,IF(6=Element_Stiffness!$C$5,Element_Stiffness!T26,IF(6=Element_Stiffness!$E$5,Element_Stiffness!Z26,0)),IF(Element_Stiffness!$E$5=3,IF(6=Element_Stiffness!$C$5,Element_Stiffness!T32,IF(6=Element_Stiffness!$E$5,Element_Stiffness!Z32,0)),0)),0)+IF(Element_Stiffness!$C$41,IF(Element_Stiffness!$C$40=3,IF(6=Element_Stiffness!$C$40,Element_Stiffness!T61,IF(6=Element_Stiffness!$E$40,Element_Stiffness!Z61,0)),IF(Element_Stiffness!$E$40=3,IF(6=Element_Stiffness!$C$40,Element_Stiffness!T67,IF(6=Element_Stiffness!$E$40,Element_Stiffness!Z67,0)),0)),0)+IF(Element_Stiffness!$C$76,IF(Element_Stiffness!$C$75=3,IF(6=Element_Stiffness!$C$75,Element_Stiffness!T96,IF(6=Element_Stiffness!$E$75,Element_Stiffness!Z96,0)),IF(Element_Stiffness!$E$75=3,IF(6=Element_Stiffness!$C$75,Element_Stiffness!T102,IF(6=Element_Stiffness!$E$75,Element_Stiffness!Z102,0)),0)),0)+IF(Element_Stiffness!$C$111,IF(Element_Stiffness!$C$110=3,IF(6=Element_Stiffness!$C$110,Element_Stiffness!T131,IF(6=Element_Stiffness!$E$110,Element_Stiffness!Z131,0)),IF(Element_Stiffness!$E$110=3,IF(6=Element_Stiffness!$C$110,Element_Stiffness!T137,IF(6=Element_Stiffness!$E$110,Element_Stiffness!Z137,0)),0)),0)+IF(Element_Stiffness!$C$146,IF(Element_Stiffness!$C$145=3,IF(6=Element_Stiffness!$C$145,Element_Stiffness!T166,IF(6=Element_Stiffness!$E$145,Element_Stiffness!Z166,0)),IF(Element_Stiffness!$E$145=3,IF(6=Element_Stiffness!$C$145,Element_Stiffness!T172,IF(6=Element_Stiffness!$E$145,Element_Stiffness!Z172,0)),0)),0)+IF(Element_Stiffness!$C$181,IF(Element_Stiffness!$C$180=3,IF(6=Element_Stiffness!$C$180,Element_Stiffness!T201,IF(6=Element_Stiffness!$E$180,Element_Stiffness!Z201,0)),IF(Element_Stiffness!$E$180=3,IF(6=Element_Stiffness!$C$180,Element_Stiffness!T207,IF(6=Element_Stiffness!$E$180,Element_Stiffness!Z207,0)),0)),0)+IF(Element_Stiffness!$C$216,IF(Element_Stiffness!$C$215=3,IF(6=Element_Stiffness!$C$215,Element_Stiffness!T236,IF(6=Element_Stiffness!$E$215,Element_Stiffness!Z236,0)),IF(Element_Stiffness!$E$215=3,IF(6=Element_Stiffness!$C$215,Element_Stiffness!T242,IF(6=Element_Stiffness!$E$215,Element_Stiffness!Z242,0)),0)),0)</f>
        <v/>
      </c>
      <c r="AR23" s="21">
        <f>IF(Element_Stiffness!$C$6,IF(Element_Stiffness!$C$5=3,IF(6=Element_Stiffness!$C$5,Element_Stiffness!U26,IF(6=Element_Stiffness!$E$5,Element_Stiffness!AA26,0)),IF(Element_Stiffness!$E$5=3,IF(6=Element_Stiffness!$C$5,Element_Stiffness!U32,IF(6=Element_Stiffness!$E$5,Element_Stiffness!AA32,0)),0)),0)+IF(Element_Stiffness!$C$41,IF(Element_Stiffness!$C$40=3,IF(6=Element_Stiffness!$C$40,Element_Stiffness!U61,IF(6=Element_Stiffness!$E$40,Element_Stiffness!AA61,0)),IF(Element_Stiffness!$E$40=3,IF(6=Element_Stiffness!$C$40,Element_Stiffness!U67,IF(6=Element_Stiffness!$E$40,Element_Stiffness!AA67,0)),0)),0)+IF(Element_Stiffness!$C$76,IF(Element_Stiffness!$C$75=3,IF(6=Element_Stiffness!$C$75,Element_Stiffness!U96,IF(6=Element_Stiffness!$E$75,Element_Stiffness!AA96,0)),IF(Element_Stiffness!$E$75=3,IF(6=Element_Stiffness!$C$75,Element_Stiffness!U102,IF(6=Element_Stiffness!$E$75,Element_Stiffness!AA102,0)),0)),0)+IF(Element_Stiffness!$C$111,IF(Element_Stiffness!$C$110=3,IF(6=Element_Stiffness!$C$110,Element_Stiffness!U131,IF(6=Element_Stiffness!$E$110,Element_Stiffness!AA131,0)),IF(Element_Stiffness!$E$110=3,IF(6=Element_Stiffness!$C$110,Element_Stiffness!U137,IF(6=Element_Stiffness!$E$110,Element_Stiffness!AA137,0)),0)),0)+IF(Element_Stiffness!$C$146,IF(Element_Stiffness!$C$145=3,IF(6=Element_Stiffness!$C$145,Element_Stiffness!U166,IF(6=Element_Stiffness!$E$145,Element_Stiffness!AA166,0)),IF(Element_Stiffness!$E$145=3,IF(6=Element_Stiffness!$C$145,Element_Stiffness!U172,IF(6=Element_Stiffness!$E$145,Element_Stiffness!AA172,0)),0)),0)+IF(Element_Stiffness!$C$181,IF(Element_Stiffness!$C$180=3,IF(6=Element_Stiffness!$C$180,Element_Stiffness!U201,IF(6=Element_Stiffness!$E$180,Element_Stiffness!AA201,0)),IF(Element_Stiffness!$E$180=3,IF(6=Element_Stiffness!$C$180,Element_Stiffness!U207,IF(6=Element_Stiffness!$E$180,Element_Stiffness!AA207,0)),0)),0)+IF(Element_Stiffness!$C$216,IF(Element_Stiffness!$C$215=3,IF(6=Element_Stiffness!$C$215,Element_Stiffness!U236,IF(6=Element_Stiffness!$E$215,Element_Stiffness!AA236,0)),IF(Element_Stiffness!$E$215=3,IF(6=Element_Stiffness!$C$215,Element_Stiffness!U242,IF(6=Element_Stiffness!$E$215,Element_Stiffness!AA242,0)),0)),0)</f>
        <v/>
      </c>
      <c r="AS23" s="21">
        <f>IF(Element_Stiffness!$C$6,IF(Element_Stiffness!$C$5=3,IF(7=Element_Stiffness!$C$5,Element_Stiffness!P26,IF(7=Element_Stiffness!$E$5,Element_Stiffness!V26,0)),IF(Element_Stiffness!$E$5=3,IF(7=Element_Stiffness!$C$5,Element_Stiffness!P32,IF(7=Element_Stiffness!$E$5,Element_Stiffness!V32,0)),0)),0)+IF(Element_Stiffness!$C$41,IF(Element_Stiffness!$C$40=3,IF(7=Element_Stiffness!$C$40,Element_Stiffness!P61,IF(7=Element_Stiffness!$E$40,Element_Stiffness!V61,0)),IF(Element_Stiffness!$E$40=3,IF(7=Element_Stiffness!$C$40,Element_Stiffness!P67,IF(7=Element_Stiffness!$E$40,Element_Stiffness!V67,0)),0)),0)+IF(Element_Stiffness!$C$76,IF(Element_Stiffness!$C$75=3,IF(7=Element_Stiffness!$C$75,Element_Stiffness!P96,IF(7=Element_Stiffness!$E$75,Element_Stiffness!V96,0)),IF(Element_Stiffness!$E$75=3,IF(7=Element_Stiffness!$C$75,Element_Stiffness!P102,IF(7=Element_Stiffness!$E$75,Element_Stiffness!V102,0)),0)),0)+IF(Element_Stiffness!$C$111,IF(Element_Stiffness!$C$110=3,IF(7=Element_Stiffness!$C$110,Element_Stiffness!P131,IF(7=Element_Stiffness!$E$110,Element_Stiffness!V131,0)),IF(Element_Stiffness!$E$110=3,IF(7=Element_Stiffness!$C$110,Element_Stiffness!P137,IF(7=Element_Stiffness!$E$110,Element_Stiffness!V137,0)),0)),0)+IF(Element_Stiffness!$C$146,IF(Element_Stiffness!$C$145=3,IF(7=Element_Stiffness!$C$145,Element_Stiffness!P166,IF(7=Element_Stiffness!$E$145,Element_Stiffness!V166,0)),IF(Element_Stiffness!$E$145=3,IF(7=Element_Stiffness!$C$145,Element_Stiffness!P172,IF(7=Element_Stiffness!$E$145,Element_Stiffness!V172,0)),0)),0)+IF(Element_Stiffness!$C$181,IF(Element_Stiffness!$C$180=3,IF(7=Element_Stiffness!$C$180,Element_Stiffness!P201,IF(7=Element_Stiffness!$E$180,Element_Stiffness!V201,0)),IF(Element_Stiffness!$E$180=3,IF(7=Element_Stiffness!$C$180,Element_Stiffness!P207,IF(7=Element_Stiffness!$E$180,Element_Stiffness!V207,0)),0)),0)+IF(Element_Stiffness!$C$216,IF(Element_Stiffness!$C$215=3,IF(7=Element_Stiffness!$C$215,Element_Stiffness!P236,IF(7=Element_Stiffness!$E$215,Element_Stiffness!V236,0)),IF(Element_Stiffness!$E$215=3,IF(7=Element_Stiffness!$C$215,Element_Stiffness!P242,IF(7=Element_Stiffness!$E$215,Element_Stiffness!V242,0)),0)),0)</f>
        <v/>
      </c>
      <c r="AT23" s="21">
        <f>IF(Element_Stiffness!$C$6,IF(Element_Stiffness!$C$5=3,IF(7=Element_Stiffness!$C$5,Element_Stiffness!Q26,IF(7=Element_Stiffness!$E$5,Element_Stiffness!W26,0)),IF(Element_Stiffness!$E$5=3,IF(7=Element_Stiffness!$C$5,Element_Stiffness!Q32,IF(7=Element_Stiffness!$E$5,Element_Stiffness!W32,0)),0)),0)+IF(Element_Stiffness!$C$41,IF(Element_Stiffness!$C$40=3,IF(7=Element_Stiffness!$C$40,Element_Stiffness!Q61,IF(7=Element_Stiffness!$E$40,Element_Stiffness!W61,0)),IF(Element_Stiffness!$E$40=3,IF(7=Element_Stiffness!$C$40,Element_Stiffness!Q67,IF(7=Element_Stiffness!$E$40,Element_Stiffness!W67,0)),0)),0)+IF(Element_Stiffness!$C$76,IF(Element_Stiffness!$C$75=3,IF(7=Element_Stiffness!$C$75,Element_Stiffness!Q96,IF(7=Element_Stiffness!$E$75,Element_Stiffness!W96,0)),IF(Element_Stiffness!$E$75=3,IF(7=Element_Stiffness!$C$75,Element_Stiffness!Q102,IF(7=Element_Stiffness!$E$75,Element_Stiffness!W102,0)),0)),0)+IF(Element_Stiffness!$C$111,IF(Element_Stiffness!$C$110=3,IF(7=Element_Stiffness!$C$110,Element_Stiffness!Q131,IF(7=Element_Stiffness!$E$110,Element_Stiffness!W131,0)),IF(Element_Stiffness!$E$110=3,IF(7=Element_Stiffness!$C$110,Element_Stiffness!Q137,IF(7=Element_Stiffness!$E$110,Element_Stiffness!W137,0)),0)),0)+IF(Element_Stiffness!$C$146,IF(Element_Stiffness!$C$145=3,IF(7=Element_Stiffness!$C$145,Element_Stiffness!Q166,IF(7=Element_Stiffness!$E$145,Element_Stiffness!W166,0)),IF(Element_Stiffness!$E$145=3,IF(7=Element_Stiffness!$C$145,Element_Stiffness!Q172,IF(7=Element_Stiffness!$E$145,Element_Stiffness!W172,0)),0)),0)+IF(Element_Stiffness!$C$181,IF(Element_Stiffness!$C$180=3,IF(7=Element_Stiffness!$C$180,Element_Stiffness!Q201,IF(7=Element_Stiffness!$E$180,Element_Stiffness!W201,0)),IF(Element_Stiffness!$E$180=3,IF(7=Element_Stiffness!$C$180,Element_Stiffness!Q207,IF(7=Element_Stiffness!$E$180,Element_Stiffness!W207,0)),0)),0)+IF(Element_Stiffness!$C$216,IF(Element_Stiffness!$C$215=3,IF(7=Element_Stiffness!$C$215,Element_Stiffness!Q236,IF(7=Element_Stiffness!$E$215,Element_Stiffness!W236,0)),IF(Element_Stiffness!$E$215=3,IF(7=Element_Stiffness!$C$215,Element_Stiffness!Q242,IF(7=Element_Stiffness!$E$215,Element_Stiffness!W242,0)),0)),0)</f>
        <v/>
      </c>
      <c r="AU23" s="21">
        <f>IF(Element_Stiffness!$C$6,IF(Element_Stiffness!$C$5=3,IF(7=Element_Stiffness!$C$5,Element_Stiffness!R26,IF(7=Element_Stiffness!$E$5,Element_Stiffness!X26,0)),IF(Element_Stiffness!$E$5=3,IF(7=Element_Stiffness!$C$5,Element_Stiffness!R32,IF(7=Element_Stiffness!$E$5,Element_Stiffness!X32,0)),0)),0)+IF(Element_Stiffness!$C$41,IF(Element_Stiffness!$C$40=3,IF(7=Element_Stiffness!$C$40,Element_Stiffness!R61,IF(7=Element_Stiffness!$E$40,Element_Stiffness!X61,0)),IF(Element_Stiffness!$E$40=3,IF(7=Element_Stiffness!$C$40,Element_Stiffness!R67,IF(7=Element_Stiffness!$E$40,Element_Stiffness!X67,0)),0)),0)+IF(Element_Stiffness!$C$76,IF(Element_Stiffness!$C$75=3,IF(7=Element_Stiffness!$C$75,Element_Stiffness!R96,IF(7=Element_Stiffness!$E$75,Element_Stiffness!X96,0)),IF(Element_Stiffness!$E$75=3,IF(7=Element_Stiffness!$C$75,Element_Stiffness!R102,IF(7=Element_Stiffness!$E$75,Element_Stiffness!X102,0)),0)),0)+IF(Element_Stiffness!$C$111,IF(Element_Stiffness!$C$110=3,IF(7=Element_Stiffness!$C$110,Element_Stiffness!R131,IF(7=Element_Stiffness!$E$110,Element_Stiffness!X131,0)),IF(Element_Stiffness!$E$110=3,IF(7=Element_Stiffness!$C$110,Element_Stiffness!R137,IF(7=Element_Stiffness!$E$110,Element_Stiffness!X137,0)),0)),0)+IF(Element_Stiffness!$C$146,IF(Element_Stiffness!$C$145=3,IF(7=Element_Stiffness!$C$145,Element_Stiffness!R166,IF(7=Element_Stiffness!$E$145,Element_Stiffness!X166,0)),IF(Element_Stiffness!$E$145=3,IF(7=Element_Stiffness!$C$145,Element_Stiffness!R172,IF(7=Element_Stiffness!$E$145,Element_Stiffness!X172,0)),0)),0)+IF(Element_Stiffness!$C$181,IF(Element_Stiffness!$C$180=3,IF(7=Element_Stiffness!$C$180,Element_Stiffness!R201,IF(7=Element_Stiffness!$E$180,Element_Stiffness!X201,0)),IF(Element_Stiffness!$E$180=3,IF(7=Element_Stiffness!$C$180,Element_Stiffness!R207,IF(7=Element_Stiffness!$E$180,Element_Stiffness!X207,0)),0)),0)+IF(Element_Stiffness!$C$216,IF(Element_Stiffness!$C$215=3,IF(7=Element_Stiffness!$C$215,Element_Stiffness!R236,IF(7=Element_Stiffness!$E$215,Element_Stiffness!X236,0)),IF(Element_Stiffness!$E$215=3,IF(7=Element_Stiffness!$C$215,Element_Stiffness!R242,IF(7=Element_Stiffness!$E$215,Element_Stiffness!X242,0)),0)),0)</f>
        <v/>
      </c>
      <c r="AV23" s="21">
        <f>IF(Element_Stiffness!$C$6,IF(Element_Stiffness!$C$5=3,IF(7=Element_Stiffness!$C$5,Element_Stiffness!S26,IF(7=Element_Stiffness!$E$5,Element_Stiffness!Y26,0)),IF(Element_Stiffness!$E$5=3,IF(7=Element_Stiffness!$C$5,Element_Stiffness!S32,IF(7=Element_Stiffness!$E$5,Element_Stiffness!Y32,0)),0)),0)+IF(Element_Stiffness!$C$41,IF(Element_Stiffness!$C$40=3,IF(7=Element_Stiffness!$C$40,Element_Stiffness!S61,IF(7=Element_Stiffness!$E$40,Element_Stiffness!Y61,0)),IF(Element_Stiffness!$E$40=3,IF(7=Element_Stiffness!$C$40,Element_Stiffness!S67,IF(7=Element_Stiffness!$E$40,Element_Stiffness!Y67,0)),0)),0)+IF(Element_Stiffness!$C$76,IF(Element_Stiffness!$C$75=3,IF(7=Element_Stiffness!$C$75,Element_Stiffness!S96,IF(7=Element_Stiffness!$E$75,Element_Stiffness!Y96,0)),IF(Element_Stiffness!$E$75=3,IF(7=Element_Stiffness!$C$75,Element_Stiffness!S102,IF(7=Element_Stiffness!$E$75,Element_Stiffness!Y102,0)),0)),0)+IF(Element_Stiffness!$C$111,IF(Element_Stiffness!$C$110=3,IF(7=Element_Stiffness!$C$110,Element_Stiffness!S131,IF(7=Element_Stiffness!$E$110,Element_Stiffness!Y131,0)),IF(Element_Stiffness!$E$110=3,IF(7=Element_Stiffness!$C$110,Element_Stiffness!S137,IF(7=Element_Stiffness!$E$110,Element_Stiffness!Y137,0)),0)),0)+IF(Element_Stiffness!$C$146,IF(Element_Stiffness!$C$145=3,IF(7=Element_Stiffness!$C$145,Element_Stiffness!S166,IF(7=Element_Stiffness!$E$145,Element_Stiffness!Y166,0)),IF(Element_Stiffness!$E$145=3,IF(7=Element_Stiffness!$C$145,Element_Stiffness!S172,IF(7=Element_Stiffness!$E$145,Element_Stiffness!Y172,0)),0)),0)+IF(Element_Stiffness!$C$181,IF(Element_Stiffness!$C$180=3,IF(7=Element_Stiffness!$C$180,Element_Stiffness!S201,IF(7=Element_Stiffness!$E$180,Element_Stiffness!Y201,0)),IF(Element_Stiffness!$E$180=3,IF(7=Element_Stiffness!$C$180,Element_Stiffness!S207,IF(7=Element_Stiffness!$E$180,Element_Stiffness!Y207,0)),0)),0)+IF(Element_Stiffness!$C$216,IF(Element_Stiffness!$C$215=3,IF(7=Element_Stiffness!$C$215,Element_Stiffness!S236,IF(7=Element_Stiffness!$E$215,Element_Stiffness!Y236,0)),IF(Element_Stiffness!$E$215=3,IF(7=Element_Stiffness!$C$215,Element_Stiffness!S242,IF(7=Element_Stiffness!$E$215,Element_Stiffness!Y242,0)),0)),0)</f>
        <v/>
      </c>
      <c r="AW23" s="21">
        <f>IF(Element_Stiffness!$C$6,IF(Element_Stiffness!$C$5=3,IF(7=Element_Stiffness!$C$5,Element_Stiffness!T26,IF(7=Element_Stiffness!$E$5,Element_Stiffness!Z26,0)),IF(Element_Stiffness!$E$5=3,IF(7=Element_Stiffness!$C$5,Element_Stiffness!T32,IF(7=Element_Stiffness!$E$5,Element_Stiffness!Z32,0)),0)),0)+IF(Element_Stiffness!$C$41,IF(Element_Stiffness!$C$40=3,IF(7=Element_Stiffness!$C$40,Element_Stiffness!T61,IF(7=Element_Stiffness!$E$40,Element_Stiffness!Z61,0)),IF(Element_Stiffness!$E$40=3,IF(7=Element_Stiffness!$C$40,Element_Stiffness!T67,IF(7=Element_Stiffness!$E$40,Element_Stiffness!Z67,0)),0)),0)+IF(Element_Stiffness!$C$76,IF(Element_Stiffness!$C$75=3,IF(7=Element_Stiffness!$C$75,Element_Stiffness!T96,IF(7=Element_Stiffness!$E$75,Element_Stiffness!Z96,0)),IF(Element_Stiffness!$E$75=3,IF(7=Element_Stiffness!$C$75,Element_Stiffness!T102,IF(7=Element_Stiffness!$E$75,Element_Stiffness!Z102,0)),0)),0)+IF(Element_Stiffness!$C$111,IF(Element_Stiffness!$C$110=3,IF(7=Element_Stiffness!$C$110,Element_Stiffness!T131,IF(7=Element_Stiffness!$E$110,Element_Stiffness!Z131,0)),IF(Element_Stiffness!$E$110=3,IF(7=Element_Stiffness!$C$110,Element_Stiffness!T137,IF(7=Element_Stiffness!$E$110,Element_Stiffness!Z137,0)),0)),0)+IF(Element_Stiffness!$C$146,IF(Element_Stiffness!$C$145=3,IF(7=Element_Stiffness!$C$145,Element_Stiffness!T166,IF(7=Element_Stiffness!$E$145,Element_Stiffness!Z166,0)),IF(Element_Stiffness!$E$145=3,IF(7=Element_Stiffness!$C$145,Element_Stiffness!T172,IF(7=Element_Stiffness!$E$145,Element_Stiffness!Z172,0)),0)),0)+IF(Element_Stiffness!$C$181,IF(Element_Stiffness!$C$180=3,IF(7=Element_Stiffness!$C$180,Element_Stiffness!T201,IF(7=Element_Stiffness!$E$180,Element_Stiffness!Z201,0)),IF(Element_Stiffness!$E$180=3,IF(7=Element_Stiffness!$C$180,Element_Stiffness!T207,IF(7=Element_Stiffness!$E$180,Element_Stiffness!Z207,0)),0)),0)+IF(Element_Stiffness!$C$216,IF(Element_Stiffness!$C$215=3,IF(7=Element_Stiffness!$C$215,Element_Stiffness!T236,IF(7=Element_Stiffness!$E$215,Element_Stiffness!Z236,0)),IF(Element_Stiffness!$E$215=3,IF(7=Element_Stiffness!$C$215,Element_Stiffness!T242,IF(7=Element_Stiffness!$E$215,Element_Stiffness!Z242,0)),0)),0)</f>
        <v/>
      </c>
      <c r="AX23" s="21">
        <f>IF(Element_Stiffness!$C$6,IF(Element_Stiffness!$C$5=3,IF(7=Element_Stiffness!$C$5,Element_Stiffness!U26,IF(7=Element_Stiffness!$E$5,Element_Stiffness!AA26,0)),IF(Element_Stiffness!$E$5=3,IF(7=Element_Stiffness!$C$5,Element_Stiffness!U32,IF(7=Element_Stiffness!$E$5,Element_Stiffness!AA32,0)),0)),0)+IF(Element_Stiffness!$C$41,IF(Element_Stiffness!$C$40=3,IF(7=Element_Stiffness!$C$40,Element_Stiffness!U61,IF(7=Element_Stiffness!$E$40,Element_Stiffness!AA61,0)),IF(Element_Stiffness!$E$40=3,IF(7=Element_Stiffness!$C$40,Element_Stiffness!U67,IF(7=Element_Stiffness!$E$40,Element_Stiffness!AA67,0)),0)),0)+IF(Element_Stiffness!$C$76,IF(Element_Stiffness!$C$75=3,IF(7=Element_Stiffness!$C$75,Element_Stiffness!U96,IF(7=Element_Stiffness!$E$75,Element_Stiffness!AA96,0)),IF(Element_Stiffness!$E$75=3,IF(7=Element_Stiffness!$C$75,Element_Stiffness!U102,IF(7=Element_Stiffness!$E$75,Element_Stiffness!AA102,0)),0)),0)+IF(Element_Stiffness!$C$111,IF(Element_Stiffness!$C$110=3,IF(7=Element_Stiffness!$C$110,Element_Stiffness!U131,IF(7=Element_Stiffness!$E$110,Element_Stiffness!AA131,0)),IF(Element_Stiffness!$E$110=3,IF(7=Element_Stiffness!$C$110,Element_Stiffness!U137,IF(7=Element_Stiffness!$E$110,Element_Stiffness!AA137,0)),0)),0)+IF(Element_Stiffness!$C$146,IF(Element_Stiffness!$C$145=3,IF(7=Element_Stiffness!$C$145,Element_Stiffness!U166,IF(7=Element_Stiffness!$E$145,Element_Stiffness!AA166,0)),IF(Element_Stiffness!$E$145=3,IF(7=Element_Stiffness!$C$145,Element_Stiffness!U172,IF(7=Element_Stiffness!$E$145,Element_Stiffness!AA172,0)),0)),0)+IF(Element_Stiffness!$C$181,IF(Element_Stiffness!$C$180=3,IF(7=Element_Stiffness!$C$180,Element_Stiffness!U201,IF(7=Element_Stiffness!$E$180,Element_Stiffness!AA201,0)),IF(Element_Stiffness!$E$180=3,IF(7=Element_Stiffness!$C$180,Element_Stiffness!U207,IF(7=Element_Stiffness!$E$180,Element_Stiffness!AA207,0)),0)),0)+IF(Element_Stiffness!$C$216,IF(Element_Stiffness!$C$215=3,IF(7=Element_Stiffness!$C$215,Element_Stiffness!U236,IF(7=Element_Stiffness!$E$215,Element_Stiffness!AA236,0)),IF(Element_Stiffness!$E$215=3,IF(7=Element_Stiffness!$C$215,Element_Stiffness!U242,IF(7=Element_Stiffness!$E$215,Element_Stiffness!AA242,0)),0)),0)</f>
        <v/>
      </c>
      <c r="AY23" s="21" t="n">
        <v>0</v>
      </c>
      <c r="AZ23" s="21">
        <f>IF(Element_Stiffness!$C$6,IF(Element_Stiffness!$C$5=3,Element_Stiffness!C26,IF(Element_Stiffness!$E$5=3,Element_Stiffness!C32,0)),0)+IF(Element_Stiffness!$C$41,IF(Element_Stiffness!$C$40=3,Element_Stiffness!C61,IF(Element_Stiffness!$E$40=3,Element_Stiffness!C67,0)),0)+IF(Element_Stiffness!$C$76,IF(Element_Stiffness!$C$75=3,Element_Stiffness!C96,IF(Element_Stiffness!$E$75=3,Element_Stiffness!C102,0)),0)+IF(Element_Stiffness!$C$111,IF(Element_Stiffness!$C$110=3,Element_Stiffness!C131,IF(Element_Stiffness!$E$110=3,Element_Stiffness!C137,0)),0)+IF(Element_Stiffness!$C$146,IF(Element_Stiffness!$C$145=3,Element_Stiffness!C166,IF(Element_Stiffness!$E$145=3,Element_Stiffness!C172,0)),0)+IF(Element_Stiffness!$C$181,IF(Element_Stiffness!$C$180=3,Element_Stiffness!C201,IF(Element_Stiffness!$E$180=3,Element_Stiffness!C207,0)),0)+IF(Element_Stiffness!$C$216,IF(Element_Stiffness!$C$215=3,Element_Stiffness!C236,IF(Element_Stiffness!$E$215=3,Element_Stiffness!C242,0)),0)</f>
        <v/>
      </c>
      <c r="BB23" s="28">
        <f>INDEX(MMULT(MINVERSE(C5:AX52), AY5:AY52), 19, 1)</f>
        <v/>
      </c>
      <c r="BC23" s="28">
        <f>INDEX(MMULT(MINVERSE(C5:AX52), AZ5:AZ52), 19, 1)</f>
        <v/>
      </c>
    </row>
    <row r="24">
      <c r="B24" s="27" t="inlineStr">
        <is>
          <t>N3_ty</t>
        </is>
      </c>
      <c r="C24" s="21">
        <f>IF(Element_Stiffness!$C$6,IF(Element_Stiffness!$C$5=3,IF(0=Element_Stiffness!$C$5,Element_Stiffness!P27,IF(0=Element_Stiffness!$E$5,Element_Stiffness!V27,0)),IF(Element_Stiffness!$E$5=3,IF(0=Element_Stiffness!$C$5,Element_Stiffness!P33,IF(0=Element_Stiffness!$E$5,Element_Stiffness!V33,0)),0)),0)+IF(Element_Stiffness!$C$41,IF(Element_Stiffness!$C$40=3,IF(0=Element_Stiffness!$C$40,Element_Stiffness!P62,IF(0=Element_Stiffness!$E$40,Element_Stiffness!V62,0)),IF(Element_Stiffness!$E$40=3,IF(0=Element_Stiffness!$C$40,Element_Stiffness!P68,IF(0=Element_Stiffness!$E$40,Element_Stiffness!V68,0)),0)),0)+IF(Element_Stiffness!$C$76,IF(Element_Stiffness!$C$75=3,IF(0=Element_Stiffness!$C$75,Element_Stiffness!P97,IF(0=Element_Stiffness!$E$75,Element_Stiffness!V97,0)),IF(Element_Stiffness!$E$75=3,IF(0=Element_Stiffness!$C$75,Element_Stiffness!P103,IF(0=Element_Stiffness!$E$75,Element_Stiffness!V103,0)),0)),0)+IF(Element_Stiffness!$C$111,IF(Element_Stiffness!$C$110=3,IF(0=Element_Stiffness!$C$110,Element_Stiffness!P132,IF(0=Element_Stiffness!$E$110,Element_Stiffness!V132,0)),IF(Element_Stiffness!$E$110=3,IF(0=Element_Stiffness!$C$110,Element_Stiffness!P138,IF(0=Element_Stiffness!$E$110,Element_Stiffness!V138,0)),0)),0)+IF(Element_Stiffness!$C$146,IF(Element_Stiffness!$C$145=3,IF(0=Element_Stiffness!$C$145,Element_Stiffness!P167,IF(0=Element_Stiffness!$E$145,Element_Stiffness!V167,0)),IF(Element_Stiffness!$E$145=3,IF(0=Element_Stiffness!$C$145,Element_Stiffness!P173,IF(0=Element_Stiffness!$E$145,Element_Stiffness!V173,0)),0)),0)+IF(Element_Stiffness!$C$181,IF(Element_Stiffness!$C$180=3,IF(0=Element_Stiffness!$C$180,Element_Stiffness!P202,IF(0=Element_Stiffness!$E$180,Element_Stiffness!V202,0)),IF(Element_Stiffness!$E$180=3,IF(0=Element_Stiffness!$C$180,Element_Stiffness!P208,IF(0=Element_Stiffness!$E$180,Element_Stiffness!V208,0)),0)),0)+IF(Element_Stiffness!$C$216,IF(Element_Stiffness!$C$215=3,IF(0=Element_Stiffness!$C$215,Element_Stiffness!P237,IF(0=Element_Stiffness!$E$215,Element_Stiffness!V237,0)),IF(Element_Stiffness!$E$215=3,IF(0=Element_Stiffness!$C$215,Element_Stiffness!P243,IF(0=Element_Stiffness!$E$215,Element_Stiffness!V243,0)),0)),0)</f>
        <v/>
      </c>
      <c r="D24" s="21">
        <f>IF(Element_Stiffness!$C$6,IF(Element_Stiffness!$C$5=3,IF(0=Element_Stiffness!$C$5,Element_Stiffness!Q27,IF(0=Element_Stiffness!$E$5,Element_Stiffness!W27,0)),IF(Element_Stiffness!$E$5=3,IF(0=Element_Stiffness!$C$5,Element_Stiffness!Q33,IF(0=Element_Stiffness!$E$5,Element_Stiffness!W33,0)),0)),0)+IF(Element_Stiffness!$C$41,IF(Element_Stiffness!$C$40=3,IF(0=Element_Stiffness!$C$40,Element_Stiffness!Q62,IF(0=Element_Stiffness!$E$40,Element_Stiffness!W62,0)),IF(Element_Stiffness!$E$40=3,IF(0=Element_Stiffness!$C$40,Element_Stiffness!Q68,IF(0=Element_Stiffness!$E$40,Element_Stiffness!W68,0)),0)),0)+IF(Element_Stiffness!$C$76,IF(Element_Stiffness!$C$75=3,IF(0=Element_Stiffness!$C$75,Element_Stiffness!Q97,IF(0=Element_Stiffness!$E$75,Element_Stiffness!W97,0)),IF(Element_Stiffness!$E$75=3,IF(0=Element_Stiffness!$C$75,Element_Stiffness!Q103,IF(0=Element_Stiffness!$E$75,Element_Stiffness!W103,0)),0)),0)+IF(Element_Stiffness!$C$111,IF(Element_Stiffness!$C$110=3,IF(0=Element_Stiffness!$C$110,Element_Stiffness!Q132,IF(0=Element_Stiffness!$E$110,Element_Stiffness!W132,0)),IF(Element_Stiffness!$E$110=3,IF(0=Element_Stiffness!$C$110,Element_Stiffness!Q138,IF(0=Element_Stiffness!$E$110,Element_Stiffness!W138,0)),0)),0)+IF(Element_Stiffness!$C$146,IF(Element_Stiffness!$C$145=3,IF(0=Element_Stiffness!$C$145,Element_Stiffness!Q167,IF(0=Element_Stiffness!$E$145,Element_Stiffness!W167,0)),IF(Element_Stiffness!$E$145=3,IF(0=Element_Stiffness!$C$145,Element_Stiffness!Q173,IF(0=Element_Stiffness!$E$145,Element_Stiffness!W173,0)),0)),0)+IF(Element_Stiffness!$C$181,IF(Element_Stiffness!$C$180=3,IF(0=Element_Stiffness!$C$180,Element_Stiffness!Q202,IF(0=Element_Stiffness!$E$180,Element_Stiffness!W202,0)),IF(Element_Stiffness!$E$180=3,IF(0=Element_Stiffness!$C$180,Element_Stiffness!Q208,IF(0=Element_Stiffness!$E$180,Element_Stiffness!W208,0)),0)),0)+IF(Element_Stiffness!$C$216,IF(Element_Stiffness!$C$215=3,IF(0=Element_Stiffness!$C$215,Element_Stiffness!Q237,IF(0=Element_Stiffness!$E$215,Element_Stiffness!W237,0)),IF(Element_Stiffness!$E$215=3,IF(0=Element_Stiffness!$C$215,Element_Stiffness!Q243,IF(0=Element_Stiffness!$E$215,Element_Stiffness!W243,0)),0)),0)</f>
        <v/>
      </c>
      <c r="E24" s="21">
        <f>IF(Element_Stiffness!$C$6,IF(Element_Stiffness!$C$5=3,IF(0=Element_Stiffness!$C$5,Element_Stiffness!R27,IF(0=Element_Stiffness!$E$5,Element_Stiffness!X27,0)),IF(Element_Stiffness!$E$5=3,IF(0=Element_Stiffness!$C$5,Element_Stiffness!R33,IF(0=Element_Stiffness!$E$5,Element_Stiffness!X33,0)),0)),0)+IF(Element_Stiffness!$C$41,IF(Element_Stiffness!$C$40=3,IF(0=Element_Stiffness!$C$40,Element_Stiffness!R62,IF(0=Element_Stiffness!$E$40,Element_Stiffness!X62,0)),IF(Element_Stiffness!$E$40=3,IF(0=Element_Stiffness!$C$40,Element_Stiffness!R68,IF(0=Element_Stiffness!$E$40,Element_Stiffness!X68,0)),0)),0)+IF(Element_Stiffness!$C$76,IF(Element_Stiffness!$C$75=3,IF(0=Element_Stiffness!$C$75,Element_Stiffness!R97,IF(0=Element_Stiffness!$E$75,Element_Stiffness!X97,0)),IF(Element_Stiffness!$E$75=3,IF(0=Element_Stiffness!$C$75,Element_Stiffness!R103,IF(0=Element_Stiffness!$E$75,Element_Stiffness!X103,0)),0)),0)+IF(Element_Stiffness!$C$111,IF(Element_Stiffness!$C$110=3,IF(0=Element_Stiffness!$C$110,Element_Stiffness!R132,IF(0=Element_Stiffness!$E$110,Element_Stiffness!X132,0)),IF(Element_Stiffness!$E$110=3,IF(0=Element_Stiffness!$C$110,Element_Stiffness!R138,IF(0=Element_Stiffness!$E$110,Element_Stiffness!X138,0)),0)),0)+IF(Element_Stiffness!$C$146,IF(Element_Stiffness!$C$145=3,IF(0=Element_Stiffness!$C$145,Element_Stiffness!R167,IF(0=Element_Stiffness!$E$145,Element_Stiffness!X167,0)),IF(Element_Stiffness!$E$145=3,IF(0=Element_Stiffness!$C$145,Element_Stiffness!R173,IF(0=Element_Stiffness!$E$145,Element_Stiffness!X173,0)),0)),0)+IF(Element_Stiffness!$C$181,IF(Element_Stiffness!$C$180=3,IF(0=Element_Stiffness!$C$180,Element_Stiffness!R202,IF(0=Element_Stiffness!$E$180,Element_Stiffness!X202,0)),IF(Element_Stiffness!$E$180=3,IF(0=Element_Stiffness!$C$180,Element_Stiffness!R208,IF(0=Element_Stiffness!$E$180,Element_Stiffness!X208,0)),0)),0)+IF(Element_Stiffness!$C$216,IF(Element_Stiffness!$C$215=3,IF(0=Element_Stiffness!$C$215,Element_Stiffness!R237,IF(0=Element_Stiffness!$E$215,Element_Stiffness!X237,0)),IF(Element_Stiffness!$E$215=3,IF(0=Element_Stiffness!$C$215,Element_Stiffness!R243,IF(0=Element_Stiffness!$E$215,Element_Stiffness!X243,0)),0)),0)</f>
        <v/>
      </c>
      <c r="F24" s="21">
        <f>IF(Element_Stiffness!$C$6,IF(Element_Stiffness!$C$5=3,IF(0=Element_Stiffness!$C$5,Element_Stiffness!S27,IF(0=Element_Stiffness!$E$5,Element_Stiffness!Y27,0)),IF(Element_Stiffness!$E$5=3,IF(0=Element_Stiffness!$C$5,Element_Stiffness!S33,IF(0=Element_Stiffness!$E$5,Element_Stiffness!Y33,0)),0)),0)+IF(Element_Stiffness!$C$41,IF(Element_Stiffness!$C$40=3,IF(0=Element_Stiffness!$C$40,Element_Stiffness!S62,IF(0=Element_Stiffness!$E$40,Element_Stiffness!Y62,0)),IF(Element_Stiffness!$E$40=3,IF(0=Element_Stiffness!$C$40,Element_Stiffness!S68,IF(0=Element_Stiffness!$E$40,Element_Stiffness!Y68,0)),0)),0)+IF(Element_Stiffness!$C$76,IF(Element_Stiffness!$C$75=3,IF(0=Element_Stiffness!$C$75,Element_Stiffness!S97,IF(0=Element_Stiffness!$E$75,Element_Stiffness!Y97,0)),IF(Element_Stiffness!$E$75=3,IF(0=Element_Stiffness!$C$75,Element_Stiffness!S103,IF(0=Element_Stiffness!$E$75,Element_Stiffness!Y103,0)),0)),0)+IF(Element_Stiffness!$C$111,IF(Element_Stiffness!$C$110=3,IF(0=Element_Stiffness!$C$110,Element_Stiffness!S132,IF(0=Element_Stiffness!$E$110,Element_Stiffness!Y132,0)),IF(Element_Stiffness!$E$110=3,IF(0=Element_Stiffness!$C$110,Element_Stiffness!S138,IF(0=Element_Stiffness!$E$110,Element_Stiffness!Y138,0)),0)),0)+IF(Element_Stiffness!$C$146,IF(Element_Stiffness!$C$145=3,IF(0=Element_Stiffness!$C$145,Element_Stiffness!S167,IF(0=Element_Stiffness!$E$145,Element_Stiffness!Y167,0)),IF(Element_Stiffness!$E$145=3,IF(0=Element_Stiffness!$C$145,Element_Stiffness!S173,IF(0=Element_Stiffness!$E$145,Element_Stiffness!Y173,0)),0)),0)+IF(Element_Stiffness!$C$181,IF(Element_Stiffness!$C$180=3,IF(0=Element_Stiffness!$C$180,Element_Stiffness!S202,IF(0=Element_Stiffness!$E$180,Element_Stiffness!Y202,0)),IF(Element_Stiffness!$E$180=3,IF(0=Element_Stiffness!$C$180,Element_Stiffness!S208,IF(0=Element_Stiffness!$E$180,Element_Stiffness!Y208,0)),0)),0)+IF(Element_Stiffness!$C$216,IF(Element_Stiffness!$C$215=3,IF(0=Element_Stiffness!$C$215,Element_Stiffness!S237,IF(0=Element_Stiffness!$E$215,Element_Stiffness!Y237,0)),IF(Element_Stiffness!$E$215=3,IF(0=Element_Stiffness!$C$215,Element_Stiffness!S243,IF(0=Element_Stiffness!$E$215,Element_Stiffness!Y243,0)),0)),0)</f>
        <v/>
      </c>
      <c r="G24" s="21">
        <f>IF(Element_Stiffness!$C$6,IF(Element_Stiffness!$C$5=3,IF(0=Element_Stiffness!$C$5,Element_Stiffness!T27,IF(0=Element_Stiffness!$E$5,Element_Stiffness!Z27,0)),IF(Element_Stiffness!$E$5=3,IF(0=Element_Stiffness!$C$5,Element_Stiffness!T33,IF(0=Element_Stiffness!$E$5,Element_Stiffness!Z33,0)),0)),0)+IF(Element_Stiffness!$C$41,IF(Element_Stiffness!$C$40=3,IF(0=Element_Stiffness!$C$40,Element_Stiffness!T62,IF(0=Element_Stiffness!$E$40,Element_Stiffness!Z62,0)),IF(Element_Stiffness!$E$40=3,IF(0=Element_Stiffness!$C$40,Element_Stiffness!T68,IF(0=Element_Stiffness!$E$40,Element_Stiffness!Z68,0)),0)),0)+IF(Element_Stiffness!$C$76,IF(Element_Stiffness!$C$75=3,IF(0=Element_Stiffness!$C$75,Element_Stiffness!T97,IF(0=Element_Stiffness!$E$75,Element_Stiffness!Z97,0)),IF(Element_Stiffness!$E$75=3,IF(0=Element_Stiffness!$C$75,Element_Stiffness!T103,IF(0=Element_Stiffness!$E$75,Element_Stiffness!Z103,0)),0)),0)+IF(Element_Stiffness!$C$111,IF(Element_Stiffness!$C$110=3,IF(0=Element_Stiffness!$C$110,Element_Stiffness!T132,IF(0=Element_Stiffness!$E$110,Element_Stiffness!Z132,0)),IF(Element_Stiffness!$E$110=3,IF(0=Element_Stiffness!$C$110,Element_Stiffness!T138,IF(0=Element_Stiffness!$E$110,Element_Stiffness!Z138,0)),0)),0)+IF(Element_Stiffness!$C$146,IF(Element_Stiffness!$C$145=3,IF(0=Element_Stiffness!$C$145,Element_Stiffness!T167,IF(0=Element_Stiffness!$E$145,Element_Stiffness!Z167,0)),IF(Element_Stiffness!$E$145=3,IF(0=Element_Stiffness!$C$145,Element_Stiffness!T173,IF(0=Element_Stiffness!$E$145,Element_Stiffness!Z173,0)),0)),0)+IF(Element_Stiffness!$C$181,IF(Element_Stiffness!$C$180=3,IF(0=Element_Stiffness!$C$180,Element_Stiffness!T202,IF(0=Element_Stiffness!$E$180,Element_Stiffness!Z202,0)),IF(Element_Stiffness!$E$180=3,IF(0=Element_Stiffness!$C$180,Element_Stiffness!T208,IF(0=Element_Stiffness!$E$180,Element_Stiffness!Z208,0)),0)),0)+IF(Element_Stiffness!$C$216,IF(Element_Stiffness!$C$215=3,IF(0=Element_Stiffness!$C$215,Element_Stiffness!T237,IF(0=Element_Stiffness!$E$215,Element_Stiffness!Z237,0)),IF(Element_Stiffness!$E$215=3,IF(0=Element_Stiffness!$C$215,Element_Stiffness!T243,IF(0=Element_Stiffness!$E$215,Element_Stiffness!Z243,0)),0)),0)</f>
        <v/>
      </c>
      <c r="H24" s="21">
        <f>IF(Element_Stiffness!$C$6,IF(Element_Stiffness!$C$5=3,IF(0=Element_Stiffness!$C$5,Element_Stiffness!U27,IF(0=Element_Stiffness!$E$5,Element_Stiffness!AA27,0)),IF(Element_Stiffness!$E$5=3,IF(0=Element_Stiffness!$C$5,Element_Stiffness!U33,IF(0=Element_Stiffness!$E$5,Element_Stiffness!AA33,0)),0)),0)+IF(Element_Stiffness!$C$41,IF(Element_Stiffness!$C$40=3,IF(0=Element_Stiffness!$C$40,Element_Stiffness!U62,IF(0=Element_Stiffness!$E$40,Element_Stiffness!AA62,0)),IF(Element_Stiffness!$E$40=3,IF(0=Element_Stiffness!$C$40,Element_Stiffness!U68,IF(0=Element_Stiffness!$E$40,Element_Stiffness!AA68,0)),0)),0)+IF(Element_Stiffness!$C$76,IF(Element_Stiffness!$C$75=3,IF(0=Element_Stiffness!$C$75,Element_Stiffness!U97,IF(0=Element_Stiffness!$E$75,Element_Stiffness!AA97,0)),IF(Element_Stiffness!$E$75=3,IF(0=Element_Stiffness!$C$75,Element_Stiffness!U103,IF(0=Element_Stiffness!$E$75,Element_Stiffness!AA103,0)),0)),0)+IF(Element_Stiffness!$C$111,IF(Element_Stiffness!$C$110=3,IF(0=Element_Stiffness!$C$110,Element_Stiffness!U132,IF(0=Element_Stiffness!$E$110,Element_Stiffness!AA132,0)),IF(Element_Stiffness!$E$110=3,IF(0=Element_Stiffness!$C$110,Element_Stiffness!U138,IF(0=Element_Stiffness!$E$110,Element_Stiffness!AA138,0)),0)),0)+IF(Element_Stiffness!$C$146,IF(Element_Stiffness!$C$145=3,IF(0=Element_Stiffness!$C$145,Element_Stiffness!U167,IF(0=Element_Stiffness!$E$145,Element_Stiffness!AA167,0)),IF(Element_Stiffness!$E$145=3,IF(0=Element_Stiffness!$C$145,Element_Stiffness!U173,IF(0=Element_Stiffness!$E$145,Element_Stiffness!AA173,0)),0)),0)+IF(Element_Stiffness!$C$181,IF(Element_Stiffness!$C$180=3,IF(0=Element_Stiffness!$C$180,Element_Stiffness!U202,IF(0=Element_Stiffness!$E$180,Element_Stiffness!AA202,0)),IF(Element_Stiffness!$E$180=3,IF(0=Element_Stiffness!$C$180,Element_Stiffness!U208,IF(0=Element_Stiffness!$E$180,Element_Stiffness!AA208,0)),0)),0)+IF(Element_Stiffness!$C$216,IF(Element_Stiffness!$C$215=3,IF(0=Element_Stiffness!$C$215,Element_Stiffness!U237,IF(0=Element_Stiffness!$E$215,Element_Stiffness!AA237,0)),IF(Element_Stiffness!$E$215=3,IF(0=Element_Stiffness!$C$215,Element_Stiffness!U243,IF(0=Element_Stiffness!$E$215,Element_Stiffness!AA243,0)),0)),0)</f>
        <v/>
      </c>
      <c r="I24" s="21">
        <f>IF(Element_Stiffness!$C$6,IF(Element_Stiffness!$C$5=3,IF(1=Element_Stiffness!$C$5,Element_Stiffness!P27,IF(1=Element_Stiffness!$E$5,Element_Stiffness!V27,0)),IF(Element_Stiffness!$E$5=3,IF(1=Element_Stiffness!$C$5,Element_Stiffness!P33,IF(1=Element_Stiffness!$E$5,Element_Stiffness!V33,0)),0)),0)+IF(Element_Stiffness!$C$41,IF(Element_Stiffness!$C$40=3,IF(1=Element_Stiffness!$C$40,Element_Stiffness!P62,IF(1=Element_Stiffness!$E$40,Element_Stiffness!V62,0)),IF(Element_Stiffness!$E$40=3,IF(1=Element_Stiffness!$C$40,Element_Stiffness!P68,IF(1=Element_Stiffness!$E$40,Element_Stiffness!V68,0)),0)),0)+IF(Element_Stiffness!$C$76,IF(Element_Stiffness!$C$75=3,IF(1=Element_Stiffness!$C$75,Element_Stiffness!P97,IF(1=Element_Stiffness!$E$75,Element_Stiffness!V97,0)),IF(Element_Stiffness!$E$75=3,IF(1=Element_Stiffness!$C$75,Element_Stiffness!P103,IF(1=Element_Stiffness!$E$75,Element_Stiffness!V103,0)),0)),0)+IF(Element_Stiffness!$C$111,IF(Element_Stiffness!$C$110=3,IF(1=Element_Stiffness!$C$110,Element_Stiffness!P132,IF(1=Element_Stiffness!$E$110,Element_Stiffness!V132,0)),IF(Element_Stiffness!$E$110=3,IF(1=Element_Stiffness!$C$110,Element_Stiffness!P138,IF(1=Element_Stiffness!$E$110,Element_Stiffness!V138,0)),0)),0)+IF(Element_Stiffness!$C$146,IF(Element_Stiffness!$C$145=3,IF(1=Element_Stiffness!$C$145,Element_Stiffness!P167,IF(1=Element_Stiffness!$E$145,Element_Stiffness!V167,0)),IF(Element_Stiffness!$E$145=3,IF(1=Element_Stiffness!$C$145,Element_Stiffness!P173,IF(1=Element_Stiffness!$E$145,Element_Stiffness!V173,0)),0)),0)+IF(Element_Stiffness!$C$181,IF(Element_Stiffness!$C$180=3,IF(1=Element_Stiffness!$C$180,Element_Stiffness!P202,IF(1=Element_Stiffness!$E$180,Element_Stiffness!V202,0)),IF(Element_Stiffness!$E$180=3,IF(1=Element_Stiffness!$C$180,Element_Stiffness!P208,IF(1=Element_Stiffness!$E$180,Element_Stiffness!V208,0)),0)),0)+IF(Element_Stiffness!$C$216,IF(Element_Stiffness!$C$215=3,IF(1=Element_Stiffness!$C$215,Element_Stiffness!P237,IF(1=Element_Stiffness!$E$215,Element_Stiffness!V237,0)),IF(Element_Stiffness!$E$215=3,IF(1=Element_Stiffness!$C$215,Element_Stiffness!P243,IF(1=Element_Stiffness!$E$215,Element_Stiffness!V243,0)),0)),0)</f>
        <v/>
      </c>
      <c r="J24" s="21">
        <f>IF(Element_Stiffness!$C$6,IF(Element_Stiffness!$C$5=3,IF(1=Element_Stiffness!$C$5,Element_Stiffness!Q27,IF(1=Element_Stiffness!$E$5,Element_Stiffness!W27,0)),IF(Element_Stiffness!$E$5=3,IF(1=Element_Stiffness!$C$5,Element_Stiffness!Q33,IF(1=Element_Stiffness!$E$5,Element_Stiffness!W33,0)),0)),0)+IF(Element_Stiffness!$C$41,IF(Element_Stiffness!$C$40=3,IF(1=Element_Stiffness!$C$40,Element_Stiffness!Q62,IF(1=Element_Stiffness!$E$40,Element_Stiffness!W62,0)),IF(Element_Stiffness!$E$40=3,IF(1=Element_Stiffness!$C$40,Element_Stiffness!Q68,IF(1=Element_Stiffness!$E$40,Element_Stiffness!W68,0)),0)),0)+IF(Element_Stiffness!$C$76,IF(Element_Stiffness!$C$75=3,IF(1=Element_Stiffness!$C$75,Element_Stiffness!Q97,IF(1=Element_Stiffness!$E$75,Element_Stiffness!W97,0)),IF(Element_Stiffness!$E$75=3,IF(1=Element_Stiffness!$C$75,Element_Stiffness!Q103,IF(1=Element_Stiffness!$E$75,Element_Stiffness!W103,0)),0)),0)+IF(Element_Stiffness!$C$111,IF(Element_Stiffness!$C$110=3,IF(1=Element_Stiffness!$C$110,Element_Stiffness!Q132,IF(1=Element_Stiffness!$E$110,Element_Stiffness!W132,0)),IF(Element_Stiffness!$E$110=3,IF(1=Element_Stiffness!$C$110,Element_Stiffness!Q138,IF(1=Element_Stiffness!$E$110,Element_Stiffness!W138,0)),0)),0)+IF(Element_Stiffness!$C$146,IF(Element_Stiffness!$C$145=3,IF(1=Element_Stiffness!$C$145,Element_Stiffness!Q167,IF(1=Element_Stiffness!$E$145,Element_Stiffness!W167,0)),IF(Element_Stiffness!$E$145=3,IF(1=Element_Stiffness!$C$145,Element_Stiffness!Q173,IF(1=Element_Stiffness!$E$145,Element_Stiffness!W173,0)),0)),0)+IF(Element_Stiffness!$C$181,IF(Element_Stiffness!$C$180=3,IF(1=Element_Stiffness!$C$180,Element_Stiffness!Q202,IF(1=Element_Stiffness!$E$180,Element_Stiffness!W202,0)),IF(Element_Stiffness!$E$180=3,IF(1=Element_Stiffness!$C$180,Element_Stiffness!Q208,IF(1=Element_Stiffness!$E$180,Element_Stiffness!W208,0)),0)),0)+IF(Element_Stiffness!$C$216,IF(Element_Stiffness!$C$215=3,IF(1=Element_Stiffness!$C$215,Element_Stiffness!Q237,IF(1=Element_Stiffness!$E$215,Element_Stiffness!W237,0)),IF(Element_Stiffness!$E$215=3,IF(1=Element_Stiffness!$C$215,Element_Stiffness!Q243,IF(1=Element_Stiffness!$E$215,Element_Stiffness!W243,0)),0)),0)</f>
        <v/>
      </c>
      <c r="K24" s="21">
        <f>IF(Element_Stiffness!$C$6,IF(Element_Stiffness!$C$5=3,IF(1=Element_Stiffness!$C$5,Element_Stiffness!R27,IF(1=Element_Stiffness!$E$5,Element_Stiffness!X27,0)),IF(Element_Stiffness!$E$5=3,IF(1=Element_Stiffness!$C$5,Element_Stiffness!R33,IF(1=Element_Stiffness!$E$5,Element_Stiffness!X33,0)),0)),0)+IF(Element_Stiffness!$C$41,IF(Element_Stiffness!$C$40=3,IF(1=Element_Stiffness!$C$40,Element_Stiffness!R62,IF(1=Element_Stiffness!$E$40,Element_Stiffness!X62,0)),IF(Element_Stiffness!$E$40=3,IF(1=Element_Stiffness!$C$40,Element_Stiffness!R68,IF(1=Element_Stiffness!$E$40,Element_Stiffness!X68,0)),0)),0)+IF(Element_Stiffness!$C$76,IF(Element_Stiffness!$C$75=3,IF(1=Element_Stiffness!$C$75,Element_Stiffness!R97,IF(1=Element_Stiffness!$E$75,Element_Stiffness!X97,0)),IF(Element_Stiffness!$E$75=3,IF(1=Element_Stiffness!$C$75,Element_Stiffness!R103,IF(1=Element_Stiffness!$E$75,Element_Stiffness!X103,0)),0)),0)+IF(Element_Stiffness!$C$111,IF(Element_Stiffness!$C$110=3,IF(1=Element_Stiffness!$C$110,Element_Stiffness!R132,IF(1=Element_Stiffness!$E$110,Element_Stiffness!X132,0)),IF(Element_Stiffness!$E$110=3,IF(1=Element_Stiffness!$C$110,Element_Stiffness!R138,IF(1=Element_Stiffness!$E$110,Element_Stiffness!X138,0)),0)),0)+IF(Element_Stiffness!$C$146,IF(Element_Stiffness!$C$145=3,IF(1=Element_Stiffness!$C$145,Element_Stiffness!R167,IF(1=Element_Stiffness!$E$145,Element_Stiffness!X167,0)),IF(Element_Stiffness!$E$145=3,IF(1=Element_Stiffness!$C$145,Element_Stiffness!R173,IF(1=Element_Stiffness!$E$145,Element_Stiffness!X173,0)),0)),0)+IF(Element_Stiffness!$C$181,IF(Element_Stiffness!$C$180=3,IF(1=Element_Stiffness!$C$180,Element_Stiffness!R202,IF(1=Element_Stiffness!$E$180,Element_Stiffness!X202,0)),IF(Element_Stiffness!$E$180=3,IF(1=Element_Stiffness!$C$180,Element_Stiffness!R208,IF(1=Element_Stiffness!$E$180,Element_Stiffness!X208,0)),0)),0)+IF(Element_Stiffness!$C$216,IF(Element_Stiffness!$C$215=3,IF(1=Element_Stiffness!$C$215,Element_Stiffness!R237,IF(1=Element_Stiffness!$E$215,Element_Stiffness!X237,0)),IF(Element_Stiffness!$E$215=3,IF(1=Element_Stiffness!$C$215,Element_Stiffness!R243,IF(1=Element_Stiffness!$E$215,Element_Stiffness!X243,0)),0)),0)</f>
        <v/>
      </c>
      <c r="L24" s="21">
        <f>IF(Element_Stiffness!$C$6,IF(Element_Stiffness!$C$5=3,IF(1=Element_Stiffness!$C$5,Element_Stiffness!S27,IF(1=Element_Stiffness!$E$5,Element_Stiffness!Y27,0)),IF(Element_Stiffness!$E$5=3,IF(1=Element_Stiffness!$C$5,Element_Stiffness!S33,IF(1=Element_Stiffness!$E$5,Element_Stiffness!Y33,0)),0)),0)+IF(Element_Stiffness!$C$41,IF(Element_Stiffness!$C$40=3,IF(1=Element_Stiffness!$C$40,Element_Stiffness!S62,IF(1=Element_Stiffness!$E$40,Element_Stiffness!Y62,0)),IF(Element_Stiffness!$E$40=3,IF(1=Element_Stiffness!$C$40,Element_Stiffness!S68,IF(1=Element_Stiffness!$E$40,Element_Stiffness!Y68,0)),0)),0)+IF(Element_Stiffness!$C$76,IF(Element_Stiffness!$C$75=3,IF(1=Element_Stiffness!$C$75,Element_Stiffness!S97,IF(1=Element_Stiffness!$E$75,Element_Stiffness!Y97,0)),IF(Element_Stiffness!$E$75=3,IF(1=Element_Stiffness!$C$75,Element_Stiffness!S103,IF(1=Element_Stiffness!$E$75,Element_Stiffness!Y103,0)),0)),0)+IF(Element_Stiffness!$C$111,IF(Element_Stiffness!$C$110=3,IF(1=Element_Stiffness!$C$110,Element_Stiffness!S132,IF(1=Element_Stiffness!$E$110,Element_Stiffness!Y132,0)),IF(Element_Stiffness!$E$110=3,IF(1=Element_Stiffness!$C$110,Element_Stiffness!S138,IF(1=Element_Stiffness!$E$110,Element_Stiffness!Y138,0)),0)),0)+IF(Element_Stiffness!$C$146,IF(Element_Stiffness!$C$145=3,IF(1=Element_Stiffness!$C$145,Element_Stiffness!S167,IF(1=Element_Stiffness!$E$145,Element_Stiffness!Y167,0)),IF(Element_Stiffness!$E$145=3,IF(1=Element_Stiffness!$C$145,Element_Stiffness!S173,IF(1=Element_Stiffness!$E$145,Element_Stiffness!Y173,0)),0)),0)+IF(Element_Stiffness!$C$181,IF(Element_Stiffness!$C$180=3,IF(1=Element_Stiffness!$C$180,Element_Stiffness!S202,IF(1=Element_Stiffness!$E$180,Element_Stiffness!Y202,0)),IF(Element_Stiffness!$E$180=3,IF(1=Element_Stiffness!$C$180,Element_Stiffness!S208,IF(1=Element_Stiffness!$E$180,Element_Stiffness!Y208,0)),0)),0)+IF(Element_Stiffness!$C$216,IF(Element_Stiffness!$C$215=3,IF(1=Element_Stiffness!$C$215,Element_Stiffness!S237,IF(1=Element_Stiffness!$E$215,Element_Stiffness!Y237,0)),IF(Element_Stiffness!$E$215=3,IF(1=Element_Stiffness!$C$215,Element_Stiffness!S243,IF(1=Element_Stiffness!$E$215,Element_Stiffness!Y243,0)),0)),0)</f>
        <v/>
      </c>
      <c r="M24" s="21">
        <f>IF(Element_Stiffness!$C$6,IF(Element_Stiffness!$C$5=3,IF(1=Element_Stiffness!$C$5,Element_Stiffness!T27,IF(1=Element_Stiffness!$E$5,Element_Stiffness!Z27,0)),IF(Element_Stiffness!$E$5=3,IF(1=Element_Stiffness!$C$5,Element_Stiffness!T33,IF(1=Element_Stiffness!$E$5,Element_Stiffness!Z33,0)),0)),0)+IF(Element_Stiffness!$C$41,IF(Element_Stiffness!$C$40=3,IF(1=Element_Stiffness!$C$40,Element_Stiffness!T62,IF(1=Element_Stiffness!$E$40,Element_Stiffness!Z62,0)),IF(Element_Stiffness!$E$40=3,IF(1=Element_Stiffness!$C$40,Element_Stiffness!T68,IF(1=Element_Stiffness!$E$40,Element_Stiffness!Z68,0)),0)),0)+IF(Element_Stiffness!$C$76,IF(Element_Stiffness!$C$75=3,IF(1=Element_Stiffness!$C$75,Element_Stiffness!T97,IF(1=Element_Stiffness!$E$75,Element_Stiffness!Z97,0)),IF(Element_Stiffness!$E$75=3,IF(1=Element_Stiffness!$C$75,Element_Stiffness!T103,IF(1=Element_Stiffness!$E$75,Element_Stiffness!Z103,0)),0)),0)+IF(Element_Stiffness!$C$111,IF(Element_Stiffness!$C$110=3,IF(1=Element_Stiffness!$C$110,Element_Stiffness!T132,IF(1=Element_Stiffness!$E$110,Element_Stiffness!Z132,0)),IF(Element_Stiffness!$E$110=3,IF(1=Element_Stiffness!$C$110,Element_Stiffness!T138,IF(1=Element_Stiffness!$E$110,Element_Stiffness!Z138,0)),0)),0)+IF(Element_Stiffness!$C$146,IF(Element_Stiffness!$C$145=3,IF(1=Element_Stiffness!$C$145,Element_Stiffness!T167,IF(1=Element_Stiffness!$E$145,Element_Stiffness!Z167,0)),IF(Element_Stiffness!$E$145=3,IF(1=Element_Stiffness!$C$145,Element_Stiffness!T173,IF(1=Element_Stiffness!$E$145,Element_Stiffness!Z173,0)),0)),0)+IF(Element_Stiffness!$C$181,IF(Element_Stiffness!$C$180=3,IF(1=Element_Stiffness!$C$180,Element_Stiffness!T202,IF(1=Element_Stiffness!$E$180,Element_Stiffness!Z202,0)),IF(Element_Stiffness!$E$180=3,IF(1=Element_Stiffness!$C$180,Element_Stiffness!T208,IF(1=Element_Stiffness!$E$180,Element_Stiffness!Z208,0)),0)),0)+IF(Element_Stiffness!$C$216,IF(Element_Stiffness!$C$215=3,IF(1=Element_Stiffness!$C$215,Element_Stiffness!T237,IF(1=Element_Stiffness!$E$215,Element_Stiffness!Z237,0)),IF(Element_Stiffness!$E$215=3,IF(1=Element_Stiffness!$C$215,Element_Stiffness!T243,IF(1=Element_Stiffness!$E$215,Element_Stiffness!Z243,0)),0)),0)</f>
        <v/>
      </c>
      <c r="N24" s="21">
        <f>IF(Element_Stiffness!$C$6,IF(Element_Stiffness!$C$5=3,IF(1=Element_Stiffness!$C$5,Element_Stiffness!U27,IF(1=Element_Stiffness!$E$5,Element_Stiffness!AA27,0)),IF(Element_Stiffness!$E$5=3,IF(1=Element_Stiffness!$C$5,Element_Stiffness!U33,IF(1=Element_Stiffness!$E$5,Element_Stiffness!AA33,0)),0)),0)+IF(Element_Stiffness!$C$41,IF(Element_Stiffness!$C$40=3,IF(1=Element_Stiffness!$C$40,Element_Stiffness!U62,IF(1=Element_Stiffness!$E$40,Element_Stiffness!AA62,0)),IF(Element_Stiffness!$E$40=3,IF(1=Element_Stiffness!$C$40,Element_Stiffness!U68,IF(1=Element_Stiffness!$E$40,Element_Stiffness!AA68,0)),0)),0)+IF(Element_Stiffness!$C$76,IF(Element_Stiffness!$C$75=3,IF(1=Element_Stiffness!$C$75,Element_Stiffness!U97,IF(1=Element_Stiffness!$E$75,Element_Stiffness!AA97,0)),IF(Element_Stiffness!$E$75=3,IF(1=Element_Stiffness!$C$75,Element_Stiffness!U103,IF(1=Element_Stiffness!$E$75,Element_Stiffness!AA103,0)),0)),0)+IF(Element_Stiffness!$C$111,IF(Element_Stiffness!$C$110=3,IF(1=Element_Stiffness!$C$110,Element_Stiffness!U132,IF(1=Element_Stiffness!$E$110,Element_Stiffness!AA132,0)),IF(Element_Stiffness!$E$110=3,IF(1=Element_Stiffness!$C$110,Element_Stiffness!U138,IF(1=Element_Stiffness!$E$110,Element_Stiffness!AA138,0)),0)),0)+IF(Element_Stiffness!$C$146,IF(Element_Stiffness!$C$145=3,IF(1=Element_Stiffness!$C$145,Element_Stiffness!U167,IF(1=Element_Stiffness!$E$145,Element_Stiffness!AA167,0)),IF(Element_Stiffness!$E$145=3,IF(1=Element_Stiffness!$C$145,Element_Stiffness!U173,IF(1=Element_Stiffness!$E$145,Element_Stiffness!AA173,0)),0)),0)+IF(Element_Stiffness!$C$181,IF(Element_Stiffness!$C$180=3,IF(1=Element_Stiffness!$C$180,Element_Stiffness!U202,IF(1=Element_Stiffness!$E$180,Element_Stiffness!AA202,0)),IF(Element_Stiffness!$E$180=3,IF(1=Element_Stiffness!$C$180,Element_Stiffness!U208,IF(1=Element_Stiffness!$E$180,Element_Stiffness!AA208,0)),0)),0)+IF(Element_Stiffness!$C$216,IF(Element_Stiffness!$C$215=3,IF(1=Element_Stiffness!$C$215,Element_Stiffness!U237,IF(1=Element_Stiffness!$E$215,Element_Stiffness!AA237,0)),IF(Element_Stiffness!$E$215=3,IF(1=Element_Stiffness!$C$215,Element_Stiffness!U243,IF(1=Element_Stiffness!$E$215,Element_Stiffness!AA243,0)),0)),0)</f>
        <v/>
      </c>
      <c r="O24" s="21">
        <f>IF(Element_Stiffness!$C$6,IF(Element_Stiffness!$C$5=3,IF(2=Element_Stiffness!$C$5,Element_Stiffness!P27,IF(2=Element_Stiffness!$E$5,Element_Stiffness!V27,0)),IF(Element_Stiffness!$E$5=3,IF(2=Element_Stiffness!$C$5,Element_Stiffness!P33,IF(2=Element_Stiffness!$E$5,Element_Stiffness!V33,0)),0)),0)+IF(Element_Stiffness!$C$41,IF(Element_Stiffness!$C$40=3,IF(2=Element_Stiffness!$C$40,Element_Stiffness!P62,IF(2=Element_Stiffness!$E$40,Element_Stiffness!V62,0)),IF(Element_Stiffness!$E$40=3,IF(2=Element_Stiffness!$C$40,Element_Stiffness!P68,IF(2=Element_Stiffness!$E$40,Element_Stiffness!V68,0)),0)),0)+IF(Element_Stiffness!$C$76,IF(Element_Stiffness!$C$75=3,IF(2=Element_Stiffness!$C$75,Element_Stiffness!P97,IF(2=Element_Stiffness!$E$75,Element_Stiffness!V97,0)),IF(Element_Stiffness!$E$75=3,IF(2=Element_Stiffness!$C$75,Element_Stiffness!P103,IF(2=Element_Stiffness!$E$75,Element_Stiffness!V103,0)),0)),0)+IF(Element_Stiffness!$C$111,IF(Element_Stiffness!$C$110=3,IF(2=Element_Stiffness!$C$110,Element_Stiffness!P132,IF(2=Element_Stiffness!$E$110,Element_Stiffness!V132,0)),IF(Element_Stiffness!$E$110=3,IF(2=Element_Stiffness!$C$110,Element_Stiffness!P138,IF(2=Element_Stiffness!$E$110,Element_Stiffness!V138,0)),0)),0)+IF(Element_Stiffness!$C$146,IF(Element_Stiffness!$C$145=3,IF(2=Element_Stiffness!$C$145,Element_Stiffness!P167,IF(2=Element_Stiffness!$E$145,Element_Stiffness!V167,0)),IF(Element_Stiffness!$E$145=3,IF(2=Element_Stiffness!$C$145,Element_Stiffness!P173,IF(2=Element_Stiffness!$E$145,Element_Stiffness!V173,0)),0)),0)+IF(Element_Stiffness!$C$181,IF(Element_Stiffness!$C$180=3,IF(2=Element_Stiffness!$C$180,Element_Stiffness!P202,IF(2=Element_Stiffness!$E$180,Element_Stiffness!V202,0)),IF(Element_Stiffness!$E$180=3,IF(2=Element_Stiffness!$C$180,Element_Stiffness!P208,IF(2=Element_Stiffness!$E$180,Element_Stiffness!V208,0)),0)),0)+IF(Element_Stiffness!$C$216,IF(Element_Stiffness!$C$215=3,IF(2=Element_Stiffness!$C$215,Element_Stiffness!P237,IF(2=Element_Stiffness!$E$215,Element_Stiffness!V237,0)),IF(Element_Stiffness!$E$215=3,IF(2=Element_Stiffness!$C$215,Element_Stiffness!P243,IF(2=Element_Stiffness!$E$215,Element_Stiffness!V243,0)),0)),0)</f>
        <v/>
      </c>
      <c r="P24" s="21">
        <f>IF(Element_Stiffness!$C$6,IF(Element_Stiffness!$C$5=3,IF(2=Element_Stiffness!$C$5,Element_Stiffness!Q27,IF(2=Element_Stiffness!$E$5,Element_Stiffness!W27,0)),IF(Element_Stiffness!$E$5=3,IF(2=Element_Stiffness!$C$5,Element_Stiffness!Q33,IF(2=Element_Stiffness!$E$5,Element_Stiffness!W33,0)),0)),0)+IF(Element_Stiffness!$C$41,IF(Element_Stiffness!$C$40=3,IF(2=Element_Stiffness!$C$40,Element_Stiffness!Q62,IF(2=Element_Stiffness!$E$40,Element_Stiffness!W62,0)),IF(Element_Stiffness!$E$40=3,IF(2=Element_Stiffness!$C$40,Element_Stiffness!Q68,IF(2=Element_Stiffness!$E$40,Element_Stiffness!W68,0)),0)),0)+IF(Element_Stiffness!$C$76,IF(Element_Stiffness!$C$75=3,IF(2=Element_Stiffness!$C$75,Element_Stiffness!Q97,IF(2=Element_Stiffness!$E$75,Element_Stiffness!W97,0)),IF(Element_Stiffness!$E$75=3,IF(2=Element_Stiffness!$C$75,Element_Stiffness!Q103,IF(2=Element_Stiffness!$E$75,Element_Stiffness!W103,0)),0)),0)+IF(Element_Stiffness!$C$111,IF(Element_Stiffness!$C$110=3,IF(2=Element_Stiffness!$C$110,Element_Stiffness!Q132,IF(2=Element_Stiffness!$E$110,Element_Stiffness!W132,0)),IF(Element_Stiffness!$E$110=3,IF(2=Element_Stiffness!$C$110,Element_Stiffness!Q138,IF(2=Element_Stiffness!$E$110,Element_Stiffness!W138,0)),0)),0)+IF(Element_Stiffness!$C$146,IF(Element_Stiffness!$C$145=3,IF(2=Element_Stiffness!$C$145,Element_Stiffness!Q167,IF(2=Element_Stiffness!$E$145,Element_Stiffness!W167,0)),IF(Element_Stiffness!$E$145=3,IF(2=Element_Stiffness!$C$145,Element_Stiffness!Q173,IF(2=Element_Stiffness!$E$145,Element_Stiffness!W173,0)),0)),0)+IF(Element_Stiffness!$C$181,IF(Element_Stiffness!$C$180=3,IF(2=Element_Stiffness!$C$180,Element_Stiffness!Q202,IF(2=Element_Stiffness!$E$180,Element_Stiffness!W202,0)),IF(Element_Stiffness!$E$180=3,IF(2=Element_Stiffness!$C$180,Element_Stiffness!Q208,IF(2=Element_Stiffness!$E$180,Element_Stiffness!W208,0)),0)),0)+IF(Element_Stiffness!$C$216,IF(Element_Stiffness!$C$215=3,IF(2=Element_Stiffness!$C$215,Element_Stiffness!Q237,IF(2=Element_Stiffness!$E$215,Element_Stiffness!W237,0)),IF(Element_Stiffness!$E$215=3,IF(2=Element_Stiffness!$C$215,Element_Stiffness!Q243,IF(2=Element_Stiffness!$E$215,Element_Stiffness!W243,0)),0)),0)</f>
        <v/>
      </c>
      <c r="Q24" s="21">
        <f>IF(Element_Stiffness!$C$6,IF(Element_Stiffness!$C$5=3,IF(2=Element_Stiffness!$C$5,Element_Stiffness!R27,IF(2=Element_Stiffness!$E$5,Element_Stiffness!X27,0)),IF(Element_Stiffness!$E$5=3,IF(2=Element_Stiffness!$C$5,Element_Stiffness!R33,IF(2=Element_Stiffness!$E$5,Element_Stiffness!X33,0)),0)),0)+IF(Element_Stiffness!$C$41,IF(Element_Stiffness!$C$40=3,IF(2=Element_Stiffness!$C$40,Element_Stiffness!R62,IF(2=Element_Stiffness!$E$40,Element_Stiffness!X62,0)),IF(Element_Stiffness!$E$40=3,IF(2=Element_Stiffness!$C$40,Element_Stiffness!R68,IF(2=Element_Stiffness!$E$40,Element_Stiffness!X68,0)),0)),0)+IF(Element_Stiffness!$C$76,IF(Element_Stiffness!$C$75=3,IF(2=Element_Stiffness!$C$75,Element_Stiffness!R97,IF(2=Element_Stiffness!$E$75,Element_Stiffness!X97,0)),IF(Element_Stiffness!$E$75=3,IF(2=Element_Stiffness!$C$75,Element_Stiffness!R103,IF(2=Element_Stiffness!$E$75,Element_Stiffness!X103,0)),0)),0)+IF(Element_Stiffness!$C$111,IF(Element_Stiffness!$C$110=3,IF(2=Element_Stiffness!$C$110,Element_Stiffness!R132,IF(2=Element_Stiffness!$E$110,Element_Stiffness!X132,0)),IF(Element_Stiffness!$E$110=3,IF(2=Element_Stiffness!$C$110,Element_Stiffness!R138,IF(2=Element_Stiffness!$E$110,Element_Stiffness!X138,0)),0)),0)+IF(Element_Stiffness!$C$146,IF(Element_Stiffness!$C$145=3,IF(2=Element_Stiffness!$C$145,Element_Stiffness!R167,IF(2=Element_Stiffness!$E$145,Element_Stiffness!X167,0)),IF(Element_Stiffness!$E$145=3,IF(2=Element_Stiffness!$C$145,Element_Stiffness!R173,IF(2=Element_Stiffness!$E$145,Element_Stiffness!X173,0)),0)),0)+IF(Element_Stiffness!$C$181,IF(Element_Stiffness!$C$180=3,IF(2=Element_Stiffness!$C$180,Element_Stiffness!R202,IF(2=Element_Stiffness!$E$180,Element_Stiffness!X202,0)),IF(Element_Stiffness!$E$180=3,IF(2=Element_Stiffness!$C$180,Element_Stiffness!R208,IF(2=Element_Stiffness!$E$180,Element_Stiffness!X208,0)),0)),0)+IF(Element_Stiffness!$C$216,IF(Element_Stiffness!$C$215=3,IF(2=Element_Stiffness!$C$215,Element_Stiffness!R237,IF(2=Element_Stiffness!$E$215,Element_Stiffness!X237,0)),IF(Element_Stiffness!$E$215=3,IF(2=Element_Stiffness!$C$215,Element_Stiffness!R243,IF(2=Element_Stiffness!$E$215,Element_Stiffness!X243,0)),0)),0)</f>
        <v/>
      </c>
      <c r="R24" s="21">
        <f>IF(Element_Stiffness!$C$6,IF(Element_Stiffness!$C$5=3,IF(2=Element_Stiffness!$C$5,Element_Stiffness!S27,IF(2=Element_Stiffness!$E$5,Element_Stiffness!Y27,0)),IF(Element_Stiffness!$E$5=3,IF(2=Element_Stiffness!$C$5,Element_Stiffness!S33,IF(2=Element_Stiffness!$E$5,Element_Stiffness!Y33,0)),0)),0)+IF(Element_Stiffness!$C$41,IF(Element_Stiffness!$C$40=3,IF(2=Element_Stiffness!$C$40,Element_Stiffness!S62,IF(2=Element_Stiffness!$E$40,Element_Stiffness!Y62,0)),IF(Element_Stiffness!$E$40=3,IF(2=Element_Stiffness!$C$40,Element_Stiffness!S68,IF(2=Element_Stiffness!$E$40,Element_Stiffness!Y68,0)),0)),0)+IF(Element_Stiffness!$C$76,IF(Element_Stiffness!$C$75=3,IF(2=Element_Stiffness!$C$75,Element_Stiffness!S97,IF(2=Element_Stiffness!$E$75,Element_Stiffness!Y97,0)),IF(Element_Stiffness!$E$75=3,IF(2=Element_Stiffness!$C$75,Element_Stiffness!S103,IF(2=Element_Stiffness!$E$75,Element_Stiffness!Y103,0)),0)),0)+IF(Element_Stiffness!$C$111,IF(Element_Stiffness!$C$110=3,IF(2=Element_Stiffness!$C$110,Element_Stiffness!S132,IF(2=Element_Stiffness!$E$110,Element_Stiffness!Y132,0)),IF(Element_Stiffness!$E$110=3,IF(2=Element_Stiffness!$C$110,Element_Stiffness!S138,IF(2=Element_Stiffness!$E$110,Element_Stiffness!Y138,0)),0)),0)+IF(Element_Stiffness!$C$146,IF(Element_Stiffness!$C$145=3,IF(2=Element_Stiffness!$C$145,Element_Stiffness!S167,IF(2=Element_Stiffness!$E$145,Element_Stiffness!Y167,0)),IF(Element_Stiffness!$E$145=3,IF(2=Element_Stiffness!$C$145,Element_Stiffness!S173,IF(2=Element_Stiffness!$E$145,Element_Stiffness!Y173,0)),0)),0)+IF(Element_Stiffness!$C$181,IF(Element_Stiffness!$C$180=3,IF(2=Element_Stiffness!$C$180,Element_Stiffness!S202,IF(2=Element_Stiffness!$E$180,Element_Stiffness!Y202,0)),IF(Element_Stiffness!$E$180=3,IF(2=Element_Stiffness!$C$180,Element_Stiffness!S208,IF(2=Element_Stiffness!$E$180,Element_Stiffness!Y208,0)),0)),0)+IF(Element_Stiffness!$C$216,IF(Element_Stiffness!$C$215=3,IF(2=Element_Stiffness!$C$215,Element_Stiffness!S237,IF(2=Element_Stiffness!$E$215,Element_Stiffness!Y237,0)),IF(Element_Stiffness!$E$215=3,IF(2=Element_Stiffness!$C$215,Element_Stiffness!S243,IF(2=Element_Stiffness!$E$215,Element_Stiffness!Y243,0)),0)),0)</f>
        <v/>
      </c>
      <c r="S24" s="21">
        <f>IF(Element_Stiffness!$C$6,IF(Element_Stiffness!$C$5=3,IF(2=Element_Stiffness!$C$5,Element_Stiffness!T27,IF(2=Element_Stiffness!$E$5,Element_Stiffness!Z27,0)),IF(Element_Stiffness!$E$5=3,IF(2=Element_Stiffness!$C$5,Element_Stiffness!T33,IF(2=Element_Stiffness!$E$5,Element_Stiffness!Z33,0)),0)),0)+IF(Element_Stiffness!$C$41,IF(Element_Stiffness!$C$40=3,IF(2=Element_Stiffness!$C$40,Element_Stiffness!T62,IF(2=Element_Stiffness!$E$40,Element_Stiffness!Z62,0)),IF(Element_Stiffness!$E$40=3,IF(2=Element_Stiffness!$C$40,Element_Stiffness!T68,IF(2=Element_Stiffness!$E$40,Element_Stiffness!Z68,0)),0)),0)+IF(Element_Stiffness!$C$76,IF(Element_Stiffness!$C$75=3,IF(2=Element_Stiffness!$C$75,Element_Stiffness!T97,IF(2=Element_Stiffness!$E$75,Element_Stiffness!Z97,0)),IF(Element_Stiffness!$E$75=3,IF(2=Element_Stiffness!$C$75,Element_Stiffness!T103,IF(2=Element_Stiffness!$E$75,Element_Stiffness!Z103,0)),0)),0)+IF(Element_Stiffness!$C$111,IF(Element_Stiffness!$C$110=3,IF(2=Element_Stiffness!$C$110,Element_Stiffness!T132,IF(2=Element_Stiffness!$E$110,Element_Stiffness!Z132,0)),IF(Element_Stiffness!$E$110=3,IF(2=Element_Stiffness!$C$110,Element_Stiffness!T138,IF(2=Element_Stiffness!$E$110,Element_Stiffness!Z138,0)),0)),0)+IF(Element_Stiffness!$C$146,IF(Element_Stiffness!$C$145=3,IF(2=Element_Stiffness!$C$145,Element_Stiffness!T167,IF(2=Element_Stiffness!$E$145,Element_Stiffness!Z167,0)),IF(Element_Stiffness!$E$145=3,IF(2=Element_Stiffness!$C$145,Element_Stiffness!T173,IF(2=Element_Stiffness!$E$145,Element_Stiffness!Z173,0)),0)),0)+IF(Element_Stiffness!$C$181,IF(Element_Stiffness!$C$180=3,IF(2=Element_Stiffness!$C$180,Element_Stiffness!T202,IF(2=Element_Stiffness!$E$180,Element_Stiffness!Z202,0)),IF(Element_Stiffness!$E$180=3,IF(2=Element_Stiffness!$C$180,Element_Stiffness!T208,IF(2=Element_Stiffness!$E$180,Element_Stiffness!Z208,0)),0)),0)+IF(Element_Stiffness!$C$216,IF(Element_Stiffness!$C$215=3,IF(2=Element_Stiffness!$C$215,Element_Stiffness!T237,IF(2=Element_Stiffness!$E$215,Element_Stiffness!Z237,0)),IF(Element_Stiffness!$E$215=3,IF(2=Element_Stiffness!$C$215,Element_Stiffness!T243,IF(2=Element_Stiffness!$E$215,Element_Stiffness!Z243,0)),0)),0)</f>
        <v/>
      </c>
      <c r="T24" s="21">
        <f>IF(Element_Stiffness!$C$6,IF(Element_Stiffness!$C$5=3,IF(2=Element_Stiffness!$C$5,Element_Stiffness!U27,IF(2=Element_Stiffness!$E$5,Element_Stiffness!AA27,0)),IF(Element_Stiffness!$E$5=3,IF(2=Element_Stiffness!$C$5,Element_Stiffness!U33,IF(2=Element_Stiffness!$E$5,Element_Stiffness!AA33,0)),0)),0)+IF(Element_Stiffness!$C$41,IF(Element_Stiffness!$C$40=3,IF(2=Element_Stiffness!$C$40,Element_Stiffness!U62,IF(2=Element_Stiffness!$E$40,Element_Stiffness!AA62,0)),IF(Element_Stiffness!$E$40=3,IF(2=Element_Stiffness!$C$40,Element_Stiffness!U68,IF(2=Element_Stiffness!$E$40,Element_Stiffness!AA68,0)),0)),0)+IF(Element_Stiffness!$C$76,IF(Element_Stiffness!$C$75=3,IF(2=Element_Stiffness!$C$75,Element_Stiffness!U97,IF(2=Element_Stiffness!$E$75,Element_Stiffness!AA97,0)),IF(Element_Stiffness!$E$75=3,IF(2=Element_Stiffness!$C$75,Element_Stiffness!U103,IF(2=Element_Stiffness!$E$75,Element_Stiffness!AA103,0)),0)),0)+IF(Element_Stiffness!$C$111,IF(Element_Stiffness!$C$110=3,IF(2=Element_Stiffness!$C$110,Element_Stiffness!U132,IF(2=Element_Stiffness!$E$110,Element_Stiffness!AA132,0)),IF(Element_Stiffness!$E$110=3,IF(2=Element_Stiffness!$C$110,Element_Stiffness!U138,IF(2=Element_Stiffness!$E$110,Element_Stiffness!AA138,0)),0)),0)+IF(Element_Stiffness!$C$146,IF(Element_Stiffness!$C$145=3,IF(2=Element_Stiffness!$C$145,Element_Stiffness!U167,IF(2=Element_Stiffness!$E$145,Element_Stiffness!AA167,0)),IF(Element_Stiffness!$E$145=3,IF(2=Element_Stiffness!$C$145,Element_Stiffness!U173,IF(2=Element_Stiffness!$E$145,Element_Stiffness!AA173,0)),0)),0)+IF(Element_Stiffness!$C$181,IF(Element_Stiffness!$C$180=3,IF(2=Element_Stiffness!$C$180,Element_Stiffness!U202,IF(2=Element_Stiffness!$E$180,Element_Stiffness!AA202,0)),IF(Element_Stiffness!$E$180=3,IF(2=Element_Stiffness!$C$180,Element_Stiffness!U208,IF(2=Element_Stiffness!$E$180,Element_Stiffness!AA208,0)),0)),0)+IF(Element_Stiffness!$C$216,IF(Element_Stiffness!$C$215=3,IF(2=Element_Stiffness!$C$215,Element_Stiffness!U237,IF(2=Element_Stiffness!$E$215,Element_Stiffness!AA237,0)),IF(Element_Stiffness!$E$215=3,IF(2=Element_Stiffness!$C$215,Element_Stiffness!U243,IF(2=Element_Stiffness!$E$215,Element_Stiffness!AA243,0)),0)),0)</f>
        <v/>
      </c>
      <c r="U24" s="21">
        <f>IF(Element_Stiffness!$C$6,IF(Element_Stiffness!$C$5=3,IF(3=Element_Stiffness!$C$5,Element_Stiffness!P27,IF(3=Element_Stiffness!$E$5,Element_Stiffness!V27,0)),IF(Element_Stiffness!$E$5=3,IF(3=Element_Stiffness!$C$5,Element_Stiffness!P33,IF(3=Element_Stiffness!$E$5,Element_Stiffness!V33,0)),0)),0)+IF(Element_Stiffness!$C$41,IF(Element_Stiffness!$C$40=3,IF(3=Element_Stiffness!$C$40,Element_Stiffness!P62,IF(3=Element_Stiffness!$E$40,Element_Stiffness!V62,0)),IF(Element_Stiffness!$E$40=3,IF(3=Element_Stiffness!$C$40,Element_Stiffness!P68,IF(3=Element_Stiffness!$E$40,Element_Stiffness!V68,0)),0)),0)+IF(Element_Stiffness!$C$76,IF(Element_Stiffness!$C$75=3,IF(3=Element_Stiffness!$C$75,Element_Stiffness!P97,IF(3=Element_Stiffness!$E$75,Element_Stiffness!V97,0)),IF(Element_Stiffness!$E$75=3,IF(3=Element_Stiffness!$C$75,Element_Stiffness!P103,IF(3=Element_Stiffness!$E$75,Element_Stiffness!V103,0)),0)),0)+IF(Element_Stiffness!$C$111,IF(Element_Stiffness!$C$110=3,IF(3=Element_Stiffness!$C$110,Element_Stiffness!P132,IF(3=Element_Stiffness!$E$110,Element_Stiffness!V132,0)),IF(Element_Stiffness!$E$110=3,IF(3=Element_Stiffness!$C$110,Element_Stiffness!P138,IF(3=Element_Stiffness!$E$110,Element_Stiffness!V138,0)),0)),0)+IF(Element_Stiffness!$C$146,IF(Element_Stiffness!$C$145=3,IF(3=Element_Stiffness!$C$145,Element_Stiffness!P167,IF(3=Element_Stiffness!$E$145,Element_Stiffness!V167,0)),IF(Element_Stiffness!$E$145=3,IF(3=Element_Stiffness!$C$145,Element_Stiffness!P173,IF(3=Element_Stiffness!$E$145,Element_Stiffness!V173,0)),0)),0)+IF(Element_Stiffness!$C$181,IF(Element_Stiffness!$C$180=3,IF(3=Element_Stiffness!$C$180,Element_Stiffness!P202,IF(3=Element_Stiffness!$E$180,Element_Stiffness!V202,0)),IF(Element_Stiffness!$E$180=3,IF(3=Element_Stiffness!$C$180,Element_Stiffness!P208,IF(3=Element_Stiffness!$E$180,Element_Stiffness!V208,0)),0)),0)+IF(Element_Stiffness!$C$216,IF(Element_Stiffness!$C$215=3,IF(3=Element_Stiffness!$C$215,Element_Stiffness!P237,IF(3=Element_Stiffness!$E$215,Element_Stiffness!V237,0)),IF(Element_Stiffness!$E$215=3,IF(3=Element_Stiffness!$C$215,Element_Stiffness!P243,IF(3=Element_Stiffness!$E$215,Element_Stiffness!V243,0)),0)),0)</f>
        <v/>
      </c>
      <c r="V24" s="21">
        <f>IF(Element_Stiffness!$C$6,IF(Element_Stiffness!$C$5=3,IF(3=Element_Stiffness!$C$5,Element_Stiffness!Q27,IF(3=Element_Stiffness!$E$5,Element_Stiffness!W27,0)),IF(Element_Stiffness!$E$5=3,IF(3=Element_Stiffness!$C$5,Element_Stiffness!Q33,IF(3=Element_Stiffness!$E$5,Element_Stiffness!W33,0)),0)),0)+IF(Element_Stiffness!$C$41,IF(Element_Stiffness!$C$40=3,IF(3=Element_Stiffness!$C$40,Element_Stiffness!Q62,IF(3=Element_Stiffness!$E$40,Element_Stiffness!W62,0)),IF(Element_Stiffness!$E$40=3,IF(3=Element_Stiffness!$C$40,Element_Stiffness!Q68,IF(3=Element_Stiffness!$E$40,Element_Stiffness!W68,0)),0)),0)+IF(Element_Stiffness!$C$76,IF(Element_Stiffness!$C$75=3,IF(3=Element_Stiffness!$C$75,Element_Stiffness!Q97,IF(3=Element_Stiffness!$E$75,Element_Stiffness!W97,0)),IF(Element_Stiffness!$E$75=3,IF(3=Element_Stiffness!$C$75,Element_Stiffness!Q103,IF(3=Element_Stiffness!$E$75,Element_Stiffness!W103,0)),0)),0)+IF(Element_Stiffness!$C$111,IF(Element_Stiffness!$C$110=3,IF(3=Element_Stiffness!$C$110,Element_Stiffness!Q132,IF(3=Element_Stiffness!$E$110,Element_Stiffness!W132,0)),IF(Element_Stiffness!$E$110=3,IF(3=Element_Stiffness!$C$110,Element_Stiffness!Q138,IF(3=Element_Stiffness!$E$110,Element_Stiffness!W138,0)),0)),0)+IF(Element_Stiffness!$C$146,IF(Element_Stiffness!$C$145=3,IF(3=Element_Stiffness!$C$145,Element_Stiffness!Q167,IF(3=Element_Stiffness!$E$145,Element_Stiffness!W167,0)),IF(Element_Stiffness!$E$145=3,IF(3=Element_Stiffness!$C$145,Element_Stiffness!Q173,IF(3=Element_Stiffness!$E$145,Element_Stiffness!W173,0)),0)),0)+IF(Element_Stiffness!$C$181,IF(Element_Stiffness!$C$180=3,IF(3=Element_Stiffness!$C$180,Element_Stiffness!Q202,IF(3=Element_Stiffness!$E$180,Element_Stiffness!W202,0)),IF(Element_Stiffness!$E$180=3,IF(3=Element_Stiffness!$C$180,Element_Stiffness!Q208,IF(3=Element_Stiffness!$E$180,Element_Stiffness!W208,0)),0)),0)+IF(Element_Stiffness!$C$216,IF(Element_Stiffness!$C$215=3,IF(3=Element_Stiffness!$C$215,Element_Stiffness!Q237,IF(3=Element_Stiffness!$E$215,Element_Stiffness!W237,0)),IF(Element_Stiffness!$E$215=3,IF(3=Element_Stiffness!$C$215,Element_Stiffness!Q243,IF(3=Element_Stiffness!$E$215,Element_Stiffness!W243,0)),0)),0)+IF(Inputs!D43=TRUE,1E15,IF(ISNUMBER(Inputs!D43),Inputs!D43,0))</f>
        <v/>
      </c>
      <c r="W24" s="21">
        <f>IF(Element_Stiffness!$C$6,IF(Element_Stiffness!$C$5=3,IF(3=Element_Stiffness!$C$5,Element_Stiffness!R27,IF(3=Element_Stiffness!$E$5,Element_Stiffness!X27,0)),IF(Element_Stiffness!$E$5=3,IF(3=Element_Stiffness!$C$5,Element_Stiffness!R33,IF(3=Element_Stiffness!$E$5,Element_Stiffness!X33,0)),0)),0)+IF(Element_Stiffness!$C$41,IF(Element_Stiffness!$C$40=3,IF(3=Element_Stiffness!$C$40,Element_Stiffness!R62,IF(3=Element_Stiffness!$E$40,Element_Stiffness!X62,0)),IF(Element_Stiffness!$E$40=3,IF(3=Element_Stiffness!$C$40,Element_Stiffness!R68,IF(3=Element_Stiffness!$E$40,Element_Stiffness!X68,0)),0)),0)+IF(Element_Stiffness!$C$76,IF(Element_Stiffness!$C$75=3,IF(3=Element_Stiffness!$C$75,Element_Stiffness!R97,IF(3=Element_Stiffness!$E$75,Element_Stiffness!X97,0)),IF(Element_Stiffness!$E$75=3,IF(3=Element_Stiffness!$C$75,Element_Stiffness!R103,IF(3=Element_Stiffness!$E$75,Element_Stiffness!X103,0)),0)),0)+IF(Element_Stiffness!$C$111,IF(Element_Stiffness!$C$110=3,IF(3=Element_Stiffness!$C$110,Element_Stiffness!R132,IF(3=Element_Stiffness!$E$110,Element_Stiffness!X132,0)),IF(Element_Stiffness!$E$110=3,IF(3=Element_Stiffness!$C$110,Element_Stiffness!R138,IF(3=Element_Stiffness!$E$110,Element_Stiffness!X138,0)),0)),0)+IF(Element_Stiffness!$C$146,IF(Element_Stiffness!$C$145=3,IF(3=Element_Stiffness!$C$145,Element_Stiffness!R167,IF(3=Element_Stiffness!$E$145,Element_Stiffness!X167,0)),IF(Element_Stiffness!$E$145=3,IF(3=Element_Stiffness!$C$145,Element_Stiffness!R173,IF(3=Element_Stiffness!$E$145,Element_Stiffness!X173,0)),0)),0)+IF(Element_Stiffness!$C$181,IF(Element_Stiffness!$C$180=3,IF(3=Element_Stiffness!$C$180,Element_Stiffness!R202,IF(3=Element_Stiffness!$E$180,Element_Stiffness!X202,0)),IF(Element_Stiffness!$E$180=3,IF(3=Element_Stiffness!$C$180,Element_Stiffness!R208,IF(3=Element_Stiffness!$E$180,Element_Stiffness!X208,0)),0)),0)+IF(Element_Stiffness!$C$216,IF(Element_Stiffness!$C$215=3,IF(3=Element_Stiffness!$C$215,Element_Stiffness!R237,IF(3=Element_Stiffness!$E$215,Element_Stiffness!X237,0)),IF(Element_Stiffness!$E$215=3,IF(3=Element_Stiffness!$C$215,Element_Stiffness!R243,IF(3=Element_Stiffness!$E$215,Element_Stiffness!X243,0)),0)),0)</f>
        <v/>
      </c>
      <c r="X24" s="21">
        <f>IF(Element_Stiffness!$C$6,IF(Element_Stiffness!$C$5=3,IF(3=Element_Stiffness!$C$5,Element_Stiffness!S27,IF(3=Element_Stiffness!$E$5,Element_Stiffness!Y27,0)),IF(Element_Stiffness!$E$5=3,IF(3=Element_Stiffness!$C$5,Element_Stiffness!S33,IF(3=Element_Stiffness!$E$5,Element_Stiffness!Y33,0)),0)),0)+IF(Element_Stiffness!$C$41,IF(Element_Stiffness!$C$40=3,IF(3=Element_Stiffness!$C$40,Element_Stiffness!S62,IF(3=Element_Stiffness!$E$40,Element_Stiffness!Y62,0)),IF(Element_Stiffness!$E$40=3,IF(3=Element_Stiffness!$C$40,Element_Stiffness!S68,IF(3=Element_Stiffness!$E$40,Element_Stiffness!Y68,0)),0)),0)+IF(Element_Stiffness!$C$76,IF(Element_Stiffness!$C$75=3,IF(3=Element_Stiffness!$C$75,Element_Stiffness!S97,IF(3=Element_Stiffness!$E$75,Element_Stiffness!Y97,0)),IF(Element_Stiffness!$E$75=3,IF(3=Element_Stiffness!$C$75,Element_Stiffness!S103,IF(3=Element_Stiffness!$E$75,Element_Stiffness!Y103,0)),0)),0)+IF(Element_Stiffness!$C$111,IF(Element_Stiffness!$C$110=3,IF(3=Element_Stiffness!$C$110,Element_Stiffness!S132,IF(3=Element_Stiffness!$E$110,Element_Stiffness!Y132,0)),IF(Element_Stiffness!$E$110=3,IF(3=Element_Stiffness!$C$110,Element_Stiffness!S138,IF(3=Element_Stiffness!$E$110,Element_Stiffness!Y138,0)),0)),0)+IF(Element_Stiffness!$C$146,IF(Element_Stiffness!$C$145=3,IF(3=Element_Stiffness!$C$145,Element_Stiffness!S167,IF(3=Element_Stiffness!$E$145,Element_Stiffness!Y167,0)),IF(Element_Stiffness!$E$145=3,IF(3=Element_Stiffness!$C$145,Element_Stiffness!S173,IF(3=Element_Stiffness!$E$145,Element_Stiffness!Y173,0)),0)),0)+IF(Element_Stiffness!$C$181,IF(Element_Stiffness!$C$180=3,IF(3=Element_Stiffness!$C$180,Element_Stiffness!S202,IF(3=Element_Stiffness!$E$180,Element_Stiffness!Y202,0)),IF(Element_Stiffness!$E$180=3,IF(3=Element_Stiffness!$C$180,Element_Stiffness!S208,IF(3=Element_Stiffness!$E$180,Element_Stiffness!Y208,0)),0)),0)+IF(Element_Stiffness!$C$216,IF(Element_Stiffness!$C$215=3,IF(3=Element_Stiffness!$C$215,Element_Stiffness!S237,IF(3=Element_Stiffness!$E$215,Element_Stiffness!Y237,0)),IF(Element_Stiffness!$E$215=3,IF(3=Element_Stiffness!$C$215,Element_Stiffness!S243,IF(3=Element_Stiffness!$E$215,Element_Stiffness!Y243,0)),0)),0)</f>
        <v/>
      </c>
      <c r="Y24" s="21">
        <f>IF(Element_Stiffness!$C$6,IF(Element_Stiffness!$C$5=3,IF(3=Element_Stiffness!$C$5,Element_Stiffness!T27,IF(3=Element_Stiffness!$E$5,Element_Stiffness!Z27,0)),IF(Element_Stiffness!$E$5=3,IF(3=Element_Stiffness!$C$5,Element_Stiffness!T33,IF(3=Element_Stiffness!$E$5,Element_Stiffness!Z33,0)),0)),0)+IF(Element_Stiffness!$C$41,IF(Element_Stiffness!$C$40=3,IF(3=Element_Stiffness!$C$40,Element_Stiffness!T62,IF(3=Element_Stiffness!$E$40,Element_Stiffness!Z62,0)),IF(Element_Stiffness!$E$40=3,IF(3=Element_Stiffness!$C$40,Element_Stiffness!T68,IF(3=Element_Stiffness!$E$40,Element_Stiffness!Z68,0)),0)),0)+IF(Element_Stiffness!$C$76,IF(Element_Stiffness!$C$75=3,IF(3=Element_Stiffness!$C$75,Element_Stiffness!T97,IF(3=Element_Stiffness!$E$75,Element_Stiffness!Z97,0)),IF(Element_Stiffness!$E$75=3,IF(3=Element_Stiffness!$C$75,Element_Stiffness!T103,IF(3=Element_Stiffness!$E$75,Element_Stiffness!Z103,0)),0)),0)+IF(Element_Stiffness!$C$111,IF(Element_Stiffness!$C$110=3,IF(3=Element_Stiffness!$C$110,Element_Stiffness!T132,IF(3=Element_Stiffness!$E$110,Element_Stiffness!Z132,0)),IF(Element_Stiffness!$E$110=3,IF(3=Element_Stiffness!$C$110,Element_Stiffness!T138,IF(3=Element_Stiffness!$E$110,Element_Stiffness!Z138,0)),0)),0)+IF(Element_Stiffness!$C$146,IF(Element_Stiffness!$C$145=3,IF(3=Element_Stiffness!$C$145,Element_Stiffness!T167,IF(3=Element_Stiffness!$E$145,Element_Stiffness!Z167,0)),IF(Element_Stiffness!$E$145=3,IF(3=Element_Stiffness!$C$145,Element_Stiffness!T173,IF(3=Element_Stiffness!$E$145,Element_Stiffness!Z173,0)),0)),0)+IF(Element_Stiffness!$C$181,IF(Element_Stiffness!$C$180=3,IF(3=Element_Stiffness!$C$180,Element_Stiffness!T202,IF(3=Element_Stiffness!$E$180,Element_Stiffness!Z202,0)),IF(Element_Stiffness!$E$180=3,IF(3=Element_Stiffness!$C$180,Element_Stiffness!T208,IF(3=Element_Stiffness!$E$180,Element_Stiffness!Z208,0)),0)),0)+IF(Element_Stiffness!$C$216,IF(Element_Stiffness!$C$215=3,IF(3=Element_Stiffness!$C$215,Element_Stiffness!T237,IF(3=Element_Stiffness!$E$215,Element_Stiffness!Z237,0)),IF(Element_Stiffness!$E$215=3,IF(3=Element_Stiffness!$C$215,Element_Stiffness!T243,IF(3=Element_Stiffness!$E$215,Element_Stiffness!Z243,0)),0)),0)</f>
        <v/>
      </c>
      <c r="Z24" s="21">
        <f>IF(Element_Stiffness!$C$6,IF(Element_Stiffness!$C$5=3,IF(3=Element_Stiffness!$C$5,Element_Stiffness!U27,IF(3=Element_Stiffness!$E$5,Element_Stiffness!AA27,0)),IF(Element_Stiffness!$E$5=3,IF(3=Element_Stiffness!$C$5,Element_Stiffness!U33,IF(3=Element_Stiffness!$E$5,Element_Stiffness!AA33,0)),0)),0)+IF(Element_Stiffness!$C$41,IF(Element_Stiffness!$C$40=3,IF(3=Element_Stiffness!$C$40,Element_Stiffness!U62,IF(3=Element_Stiffness!$E$40,Element_Stiffness!AA62,0)),IF(Element_Stiffness!$E$40=3,IF(3=Element_Stiffness!$C$40,Element_Stiffness!U68,IF(3=Element_Stiffness!$E$40,Element_Stiffness!AA68,0)),0)),0)+IF(Element_Stiffness!$C$76,IF(Element_Stiffness!$C$75=3,IF(3=Element_Stiffness!$C$75,Element_Stiffness!U97,IF(3=Element_Stiffness!$E$75,Element_Stiffness!AA97,0)),IF(Element_Stiffness!$E$75=3,IF(3=Element_Stiffness!$C$75,Element_Stiffness!U103,IF(3=Element_Stiffness!$E$75,Element_Stiffness!AA103,0)),0)),0)+IF(Element_Stiffness!$C$111,IF(Element_Stiffness!$C$110=3,IF(3=Element_Stiffness!$C$110,Element_Stiffness!U132,IF(3=Element_Stiffness!$E$110,Element_Stiffness!AA132,0)),IF(Element_Stiffness!$E$110=3,IF(3=Element_Stiffness!$C$110,Element_Stiffness!U138,IF(3=Element_Stiffness!$E$110,Element_Stiffness!AA138,0)),0)),0)+IF(Element_Stiffness!$C$146,IF(Element_Stiffness!$C$145=3,IF(3=Element_Stiffness!$C$145,Element_Stiffness!U167,IF(3=Element_Stiffness!$E$145,Element_Stiffness!AA167,0)),IF(Element_Stiffness!$E$145=3,IF(3=Element_Stiffness!$C$145,Element_Stiffness!U173,IF(3=Element_Stiffness!$E$145,Element_Stiffness!AA173,0)),0)),0)+IF(Element_Stiffness!$C$181,IF(Element_Stiffness!$C$180=3,IF(3=Element_Stiffness!$C$180,Element_Stiffness!U202,IF(3=Element_Stiffness!$E$180,Element_Stiffness!AA202,0)),IF(Element_Stiffness!$E$180=3,IF(3=Element_Stiffness!$C$180,Element_Stiffness!U208,IF(3=Element_Stiffness!$E$180,Element_Stiffness!AA208,0)),0)),0)+IF(Element_Stiffness!$C$216,IF(Element_Stiffness!$C$215=3,IF(3=Element_Stiffness!$C$215,Element_Stiffness!U237,IF(3=Element_Stiffness!$E$215,Element_Stiffness!AA237,0)),IF(Element_Stiffness!$E$215=3,IF(3=Element_Stiffness!$C$215,Element_Stiffness!U243,IF(3=Element_Stiffness!$E$215,Element_Stiffness!AA243,0)),0)),0)</f>
        <v/>
      </c>
      <c r="AA24" s="21">
        <f>IF(Element_Stiffness!$C$6,IF(Element_Stiffness!$C$5=3,IF(4=Element_Stiffness!$C$5,Element_Stiffness!P27,IF(4=Element_Stiffness!$E$5,Element_Stiffness!V27,0)),IF(Element_Stiffness!$E$5=3,IF(4=Element_Stiffness!$C$5,Element_Stiffness!P33,IF(4=Element_Stiffness!$E$5,Element_Stiffness!V33,0)),0)),0)+IF(Element_Stiffness!$C$41,IF(Element_Stiffness!$C$40=3,IF(4=Element_Stiffness!$C$40,Element_Stiffness!P62,IF(4=Element_Stiffness!$E$40,Element_Stiffness!V62,0)),IF(Element_Stiffness!$E$40=3,IF(4=Element_Stiffness!$C$40,Element_Stiffness!P68,IF(4=Element_Stiffness!$E$40,Element_Stiffness!V68,0)),0)),0)+IF(Element_Stiffness!$C$76,IF(Element_Stiffness!$C$75=3,IF(4=Element_Stiffness!$C$75,Element_Stiffness!P97,IF(4=Element_Stiffness!$E$75,Element_Stiffness!V97,0)),IF(Element_Stiffness!$E$75=3,IF(4=Element_Stiffness!$C$75,Element_Stiffness!P103,IF(4=Element_Stiffness!$E$75,Element_Stiffness!V103,0)),0)),0)+IF(Element_Stiffness!$C$111,IF(Element_Stiffness!$C$110=3,IF(4=Element_Stiffness!$C$110,Element_Stiffness!P132,IF(4=Element_Stiffness!$E$110,Element_Stiffness!V132,0)),IF(Element_Stiffness!$E$110=3,IF(4=Element_Stiffness!$C$110,Element_Stiffness!P138,IF(4=Element_Stiffness!$E$110,Element_Stiffness!V138,0)),0)),0)+IF(Element_Stiffness!$C$146,IF(Element_Stiffness!$C$145=3,IF(4=Element_Stiffness!$C$145,Element_Stiffness!P167,IF(4=Element_Stiffness!$E$145,Element_Stiffness!V167,0)),IF(Element_Stiffness!$E$145=3,IF(4=Element_Stiffness!$C$145,Element_Stiffness!P173,IF(4=Element_Stiffness!$E$145,Element_Stiffness!V173,0)),0)),0)+IF(Element_Stiffness!$C$181,IF(Element_Stiffness!$C$180=3,IF(4=Element_Stiffness!$C$180,Element_Stiffness!P202,IF(4=Element_Stiffness!$E$180,Element_Stiffness!V202,0)),IF(Element_Stiffness!$E$180=3,IF(4=Element_Stiffness!$C$180,Element_Stiffness!P208,IF(4=Element_Stiffness!$E$180,Element_Stiffness!V208,0)),0)),0)+IF(Element_Stiffness!$C$216,IF(Element_Stiffness!$C$215=3,IF(4=Element_Stiffness!$C$215,Element_Stiffness!P237,IF(4=Element_Stiffness!$E$215,Element_Stiffness!V237,0)),IF(Element_Stiffness!$E$215=3,IF(4=Element_Stiffness!$C$215,Element_Stiffness!P243,IF(4=Element_Stiffness!$E$215,Element_Stiffness!V243,0)),0)),0)</f>
        <v/>
      </c>
      <c r="AB24" s="21">
        <f>IF(Element_Stiffness!$C$6,IF(Element_Stiffness!$C$5=3,IF(4=Element_Stiffness!$C$5,Element_Stiffness!Q27,IF(4=Element_Stiffness!$E$5,Element_Stiffness!W27,0)),IF(Element_Stiffness!$E$5=3,IF(4=Element_Stiffness!$C$5,Element_Stiffness!Q33,IF(4=Element_Stiffness!$E$5,Element_Stiffness!W33,0)),0)),0)+IF(Element_Stiffness!$C$41,IF(Element_Stiffness!$C$40=3,IF(4=Element_Stiffness!$C$40,Element_Stiffness!Q62,IF(4=Element_Stiffness!$E$40,Element_Stiffness!W62,0)),IF(Element_Stiffness!$E$40=3,IF(4=Element_Stiffness!$C$40,Element_Stiffness!Q68,IF(4=Element_Stiffness!$E$40,Element_Stiffness!W68,0)),0)),0)+IF(Element_Stiffness!$C$76,IF(Element_Stiffness!$C$75=3,IF(4=Element_Stiffness!$C$75,Element_Stiffness!Q97,IF(4=Element_Stiffness!$E$75,Element_Stiffness!W97,0)),IF(Element_Stiffness!$E$75=3,IF(4=Element_Stiffness!$C$75,Element_Stiffness!Q103,IF(4=Element_Stiffness!$E$75,Element_Stiffness!W103,0)),0)),0)+IF(Element_Stiffness!$C$111,IF(Element_Stiffness!$C$110=3,IF(4=Element_Stiffness!$C$110,Element_Stiffness!Q132,IF(4=Element_Stiffness!$E$110,Element_Stiffness!W132,0)),IF(Element_Stiffness!$E$110=3,IF(4=Element_Stiffness!$C$110,Element_Stiffness!Q138,IF(4=Element_Stiffness!$E$110,Element_Stiffness!W138,0)),0)),0)+IF(Element_Stiffness!$C$146,IF(Element_Stiffness!$C$145=3,IF(4=Element_Stiffness!$C$145,Element_Stiffness!Q167,IF(4=Element_Stiffness!$E$145,Element_Stiffness!W167,0)),IF(Element_Stiffness!$E$145=3,IF(4=Element_Stiffness!$C$145,Element_Stiffness!Q173,IF(4=Element_Stiffness!$E$145,Element_Stiffness!W173,0)),0)),0)+IF(Element_Stiffness!$C$181,IF(Element_Stiffness!$C$180=3,IF(4=Element_Stiffness!$C$180,Element_Stiffness!Q202,IF(4=Element_Stiffness!$E$180,Element_Stiffness!W202,0)),IF(Element_Stiffness!$E$180=3,IF(4=Element_Stiffness!$C$180,Element_Stiffness!Q208,IF(4=Element_Stiffness!$E$180,Element_Stiffness!W208,0)),0)),0)+IF(Element_Stiffness!$C$216,IF(Element_Stiffness!$C$215=3,IF(4=Element_Stiffness!$C$215,Element_Stiffness!Q237,IF(4=Element_Stiffness!$E$215,Element_Stiffness!W237,0)),IF(Element_Stiffness!$E$215=3,IF(4=Element_Stiffness!$C$215,Element_Stiffness!Q243,IF(4=Element_Stiffness!$E$215,Element_Stiffness!W243,0)),0)),0)</f>
        <v/>
      </c>
      <c r="AC24" s="21">
        <f>IF(Element_Stiffness!$C$6,IF(Element_Stiffness!$C$5=3,IF(4=Element_Stiffness!$C$5,Element_Stiffness!R27,IF(4=Element_Stiffness!$E$5,Element_Stiffness!X27,0)),IF(Element_Stiffness!$E$5=3,IF(4=Element_Stiffness!$C$5,Element_Stiffness!R33,IF(4=Element_Stiffness!$E$5,Element_Stiffness!X33,0)),0)),0)+IF(Element_Stiffness!$C$41,IF(Element_Stiffness!$C$40=3,IF(4=Element_Stiffness!$C$40,Element_Stiffness!R62,IF(4=Element_Stiffness!$E$40,Element_Stiffness!X62,0)),IF(Element_Stiffness!$E$40=3,IF(4=Element_Stiffness!$C$40,Element_Stiffness!R68,IF(4=Element_Stiffness!$E$40,Element_Stiffness!X68,0)),0)),0)+IF(Element_Stiffness!$C$76,IF(Element_Stiffness!$C$75=3,IF(4=Element_Stiffness!$C$75,Element_Stiffness!R97,IF(4=Element_Stiffness!$E$75,Element_Stiffness!X97,0)),IF(Element_Stiffness!$E$75=3,IF(4=Element_Stiffness!$C$75,Element_Stiffness!R103,IF(4=Element_Stiffness!$E$75,Element_Stiffness!X103,0)),0)),0)+IF(Element_Stiffness!$C$111,IF(Element_Stiffness!$C$110=3,IF(4=Element_Stiffness!$C$110,Element_Stiffness!R132,IF(4=Element_Stiffness!$E$110,Element_Stiffness!X132,0)),IF(Element_Stiffness!$E$110=3,IF(4=Element_Stiffness!$C$110,Element_Stiffness!R138,IF(4=Element_Stiffness!$E$110,Element_Stiffness!X138,0)),0)),0)+IF(Element_Stiffness!$C$146,IF(Element_Stiffness!$C$145=3,IF(4=Element_Stiffness!$C$145,Element_Stiffness!R167,IF(4=Element_Stiffness!$E$145,Element_Stiffness!X167,0)),IF(Element_Stiffness!$E$145=3,IF(4=Element_Stiffness!$C$145,Element_Stiffness!R173,IF(4=Element_Stiffness!$E$145,Element_Stiffness!X173,0)),0)),0)+IF(Element_Stiffness!$C$181,IF(Element_Stiffness!$C$180=3,IF(4=Element_Stiffness!$C$180,Element_Stiffness!R202,IF(4=Element_Stiffness!$E$180,Element_Stiffness!X202,0)),IF(Element_Stiffness!$E$180=3,IF(4=Element_Stiffness!$C$180,Element_Stiffness!R208,IF(4=Element_Stiffness!$E$180,Element_Stiffness!X208,0)),0)),0)+IF(Element_Stiffness!$C$216,IF(Element_Stiffness!$C$215=3,IF(4=Element_Stiffness!$C$215,Element_Stiffness!R237,IF(4=Element_Stiffness!$E$215,Element_Stiffness!X237,0)),IF(Element_Stiffness!$E$215=3,IF(4=Element_Stiffness!$C$215,Element_Stiffness!R243,IF(4=Element_Stiffness!$E$215,Element_Stiffness!X243,0)),0)),0)</f>
        <v/>
      </c>
      <c r="AD24" s="21">
        <f>IF(Element_Stiffness!$C$6,IF(Element_Stiffness!$C$5=3,IF(4=Element_Stiffness!$C$5,Element_Stiffness!S27,IF(4=Element_Stiffness!$E$5,Element_Stiffness!Y27,0)),IF(Element_Stiffness!$E$5=3,IF(4=Element_Stiffness!$C$5,Element_Stiffness!S33,IF(4=Element_Stiffness!$E$5,Element_Stiffness!Y33,0)),0)),0)+IF(Element_Stiffness!$C$41,IF(Element_Stiffness!$C$40=3,IF(4=Element_Stiffness!$C$40,Element_Stiffness!S62,IF(4=Element_Stiffness!$E$40,Element_Stiffness!Y62,0)),IF(Element_Stiffness!$E$40=3,IF(4=Element_Stiffness!$C$40,Element_Stiffness!S68,IF(4=Element_Stiffness!$E$40,Element_Stiffness!Y68,0)),0)),0)+IF(Element_Stiffness!$C$76,IF(Element_Stiffness!$C$75=3,IF(4=Element_Stiffness!$C$75,Element_Stiffness!S97,IF(4=Element_Stiffness!$E$75,Element_Stiffness!Y97,0)),IF(Element_Stiffness!$E$75=3,IF(4=Element_Stiffness!$C$75,Element_Stiffness!S103,IF(4=Element_Stiffness!$E$75,Element_Stiffness!Y103,0)),0)),0)+IF(Element_Stiffness!$C$111,IF(Element_Stiffness!$C$110=3,IF(4=Element_Stiffness!$C$110,Element_Stiffness!S132,IF(4=Element_Stiffness!$E$110,Element_Stiffness!Y132,0)),IF(Element_Stiffness!$E$110=3,IF(4=Element_Stiffness!$C$110,Element_Stiffness!S138,IF(4=Element_Stiffness!$E$110,Element_Stiffness!Y138,0)),0)),0)+IF(Element_Stiffness!$C$146,IF(Element_Stiffness!$C$145=3,IF(4=Element_Stiffness!$C$145,Element_Stiffness!S167,IF(4=Element_Stiffness!$E$145,Element_Stiffness!Y167,0)),IF(Element_Stiffness!$E$145=3,IF(4=Element_Stiffness!$C$145,Element_Stiffness!S173,IF(4=Element_Stiffness!$E$145,Element_Stiffness!Y173,0)),0)),0)+IF(Element_Stiffness!$C$181,IF(Element_Stiffness!$C$180=3,IF(4=Element_Stiffness!$C$180,Element_Stiffness!S202,IF(4=Element_Stiffness!$E$180,Element_Stiffness!Y202,0)),IF(Element_Stiffness!$E$180=3,IF(4=Element_Stiffness!$C$180,Element_Stiffness!S208,IF(4=Element_Stiffness!$E$180,Element_Stiffness!Y208,0)),0)),0)+IF(Element_Stiffness!$C$216,IF(Element_Stiffness!$C$215=3,IF(4=Element_Stiffness!$C$215,Element_Stiffness!S237,IF(4=Element_Stiffness!$E$215,Element_Stiffness!Y237,0)),IF(Element_Stiffness!$E$215=3,IF(4=Element_Stiffness!$C$215,Element_Stiffness!S243,IF(4=Element_Stiffness!$E$215,Element_Stiffness!Y243,0)),0)),0)</f>
        <v/>
      </c>
      <c r="AE24" s="21">
        <f>IF(Element_Stiffness!$C$6,IF(Element_Stiffness!$C$5=3,IF(4=Element_Stiffness!$C$5,Element_Stiffness!T27,IF(4=Element_Stiffness!$E$5,Element_Stiffness!Z27,0)),IF(Element_Stiffness!$E$5=3,IF(4=Element_Stiffness!$C$5,Element_Stiffness!T33,IF(4=Element_Stiffness!$E$5,Element_Stiffness!Z33,0)),0)),0)+IF(Element_Stiffness!$C$41,IF(Element_Stiffness!$C$40=3,IF(4=Element_Stiffness!$C$40,Element_Stiffness!T62,IF(4=Element_Stiffness!$E$40,Element_Stiffness!Z62,0)),IF(Element_Stiffness!$E$40=3,IF(4=Element_Stiffness!$C$40,Element_Stiffness!T68,IF(4=Element_Stiffness!$E$40,Element_Stiffness!Z68,0)),0)),0)+IF(Element_Stiffness!$C$76,IF(Element_Stiffness!$C$75=3,IF(4=Element_Stiffness!$C$75,Element_Stiffness!T97,IF(4=Element_Stiffness!$E$75,Element_Stiffness!Z97,0)),IF(Element_Stiffness!$E$75=3,IF(4=Element_Stiffness!$C$75,Element_Stiffness!T103,IF(4=Element_Stiffness!$E$75,Element_Stiffness!Z103,0)),0)),0)+IF(Element_Stiffness!$C$111,IF(Element_Stiffness!$C$110=3,IF(4=Element_Stiffness!$C$110,Element_Stiffness!T132,IF(4=Element_Stiffness!$E$110,Element_Stiffness!Z132,0)),IF(Element_Stiffness!$E$110=3,IF(4=Element_Stiffness!$C$110,Element_Stiffness!T138,IF(4=Element_Stiffness!$E$110,Element_Stiffness!Z138,0)),0)),0)+IF(Element_Stiffness!$C$146,IF(Element_Stiffness!$C$145=3,IF(4=Element_Stiffness!$C$145,Element_Stiffness!T167,IF(4=Element_Stiffness!$E$145,Element_Stiffness!Z167,0)),IF(Element_Stiffness!$E$145=3,IF(4=Element_Stiffness!$C$145,Element_Stiffness!T173,IF(4=Element_Stiffness!$E$145,Element_Stiffness!Z173,0)),0)),0)+IF(Element_Stiffness!$C$181,IF(Element_Stiffness!$C$180=3,IF(4=Element_Stiffness!$C$180,Element_Stiffness!T202,IF(4=Element_Stiffness!$E$180,Element_Stiffness!Z202,0)),IF(Element_Stiffness!$E$180=3,IF(4=Element_Stiffness!$C$180,Element_Stiffness!T208,IF(4=Element_Stiffness!$E$180,Element_Stiffness!Z208,0)),0)),0)+IF(Element_Stiffness!$C$216,IF(Element_Stiffness!$C$215=3,IF(4=Element_Stiffness!$C$215,Element_Stiffness!T237,IF(4=Element_Stiffness!$E$215,Element_Stiffness!Z237,0)),IF(Element_Stiffness!$E$215=3,IF(4=Element_Stiffness!$C$215,Element_Stiffness!T243,IF(4=Element_Stiffness!$E$215,Element_Stiffness!Z243,0)),0)),0)</f>
        <v/>
      </c>
      <c r="AF24" s="21">
        <f>IF(Element_Stiffness!$C$6,IF(Element_Stiffness!$C$5=3,IF(4=Element_Stiffness!$C$5,Element_Stiffness!U27,IF(4=Element_Stiffness!$E$5,Element_Stiffness!AA27,0)),IF(Element_Stiffness!$E$5=3,IF(4=Element_Stiffness!$C$5,Element_Stiffness!U33,IF(4=Element_Stiffness!$E$5,Element_Stiffness!AA33,0)),0)),0)+IF(Element_Stiffness!$C$41,IF(Element_Stiffness!$C$40=3,IF(4=Element_Stiffness!$C$40,Element_Stiffness!U62,IF(4=Element_Stiffness!$E$40,Element_Stiffness!AA62,0)),IF(Element_Stiffness!$E$40=3,IF(4=Element_Stiffness!$C$40,Element_Stiffness!U68,IF(4=Element_Stiffness!$E$40,Element_Stiffness!AA68,0)),0)),0)+IF(Element_Stiffness!$C$76,IF(Element_Stiffness!$C$75=3,IF(4=Element_Stiffness!$C$75,Element_Stiffness!U97,IF(4=Element_Stiffness!$E$75,Element_Stiffness!AA97,0)),IF(Element_Stiffness!$E$75=3,IF(4=Element_Stiffness!$C$75,Element_Stiffness!U103,IF(4=Element_Stiffness!$E$75,Element_Stiffness!AA103,0)),0)),0)+IF(Element_Stiffness!$C$111,IF(Element_Stiffness!$C$110=3,IF(4=Element_Stiffness!$C$110,Element_Stiffness!U132,IF(4=Element_Stiffness!$E$110,Element_Stiffness!AA132,0)),IF(Element_Stiffness!$E$110=3,IF(4=Element_Stiffness!$C$110,Element_Stiffness!U138,IF(4=Element_Stiffness!$E$110,Element_Stiffness!AA138,0)),0)),0)+IF(Element_Stiffness!$C$146,IF(Element_Stiffness!$C$145=3,IF(4=Element_Stiffness!$C$145,Element_Stiffness!U167,IF(4=Element_Stiffness!$E$145,Element_Stiffness!AA167,0)),IF(Element_Stiffness!$E$145=3,IF(4=Element_Stiffness!$C$145,Element_Stiffness!U173,IF(4=Element_Stiffness!$E$145,Element_Stiffness!AA173,0)),0)),0)+IF(Element_Stiffness!$C$181,IF(Element_Stiffness!$C$180=3,IF(4=Element_Stiffness!$C$180,Element_Stiffness!U202,IF(4=Element_Stiffness!$E$180,Element_Stiffness!AA202,0)),IF(Element_Stiffness!$E$180=3,IF(4=Element_Stiffness!$C$180,Element_Stiffness!U208,IF(4=Element_Stiffness!$E$180,Element_Stiffness!AA208,0)),0)),0)+IF(Element_Stiffness!$C$216,IF(Element_Stiffness!$C$215=3,IF(4=Element_Stiffness!$C$215,Element_Stiffness!U237,IF(4=Element_Stiffness!$E$215,Element_Stiffness!AA237,0)),IF(Element_Stiffness!$E$215=3,IF(4=Element_Stiffness!$C$215,Element_Stiffness!U243,IF(4=Element_Stiffness!$E$215,Element_Stiffness!AA243,0)),0)),0)</f>
        <v/>
      </c>
      <c r="AG24" s="21">
        <f>IF(Element_Stiffness!$C$6,IF(Element_Stiffness!$C$5=3,IF(5=Element_Stiffness!$C$5,Element_Stiffness!P27,IF(5=Element_Stiffness!$E$5,Element_Stiffness!V27,0)),IF(Element_Stiffness!$E$5=3,IF(5=Element_Stiffness!$C$5,Element_Stiffness!P33,IF(5=Element_Stiffness!$E$5,Element_Stiffness!V33,0)),0)),0)+IF(Element_Stiffness!$C$41,IF(Element_Stiffness!$C$40=3,IF(5=Element_Stiffness!$C$40,Element_Stiffness!P62,IF(5=Element_Stiffness!$E$40,Element_Stiffness!V62,0)),IF(Element_Stiffness!$E$40=3,IF(5=Element_Stiffness!$C$40,Element_Stiffness!P68,IF(5=Element_Stiffness!$E$40,Element_Stiffness!V68,0)),0)),0)+IF(Element_Stiffness!$C$76,IF(Element_Stiffness!$C$75=3,IF(5=Element_Stiffness!$C$75,Element_Stiffness!P97,IF(5=Element_Stiffness!$E$75,Element_Stiffness!V97,0)),IF(Element_Stiffness!$E$75=3,IF(5=Element_Stiffness!$C$75,Element_Stiffness!P103,IF(5=Element_Stiffness!$E$75,Element_Stiffness!V103,0)),0)),0)+IF(Element_Stiffness!$C$111,IF(Element_Stiffness!$C$110=3,IF(5=Element_Stiffness!$C$110,Element_Stiffness!P132,IF(5=Element_Stiffness!$E$110,Element_Stiffness!V132,0)),IF(Element_Stiffness!$E$110=3,IF(5=Element_Stiffness!$C$110,Element_Stiffness!P138,IF(5=Element_Stiffness!$E$110,Element_Stiffness!V138,0)),0)),0)+IF(Element_Stiffness!$C$146,IF(Element_Stiffness!$C$145=3,IF(5=Element_Stiffness!$C$145,Element_Stiffness!P167,IF(5=Element_Stiffness!$E$145,Element_Stiffness!V167,0)),IF(Element_Stiffness!$E$145=3,IF(5=Element_Stiffness!$C$145,Element_Stiffness!P173,IF(5=Element_Stiffness!$E$145,Element_Stiffness!V173,0)),0)),0)+IF(Element_Stiffness!$C$181,IF(Element_Stiffness!$C$180=3,IF(5=Element_Stiffness!$C$180,Element_Stiffness!P202,IF(5=Element_Stiffness!$E$180,Element_Stiffness!V202,0)),IF(Element_Stiffness!$E$180=3,IF(5=Element_Stiffness!$C$180,Element_Stiffness!P208,IF(5=Element_Stiffness!$E$180,Element_Stiffness!V208,0)),0)),0)+IF(Element_Stiffness!$C$216,IF(Element_Stiffness!$C$215=3,IF(5=Element_Stiffness!$C$215,Element_Stiffness!P237,IF(5=Element_Stiffness!$E$215,Element_Stiffness!V237,0)),IF(Element_Stiffness!$E$215=3,IF(5=Element_Stiffness!$C$215,Element_Stiffness!P243,IF(5=Element_Stiffness!$E$215,Element_Stiffness!V243,0)),0)),0)</f>
        <v/>
      </c>
      <c r="AH24" s="21">
        <f>IF(Element_Stiffness!$C$6,IF(Element_Stiffness!$C$5=3,IF(5=Element_Stiffness!$C$5,Element_Stiffness!Q27,IF(5=Element_Stiffness!$E$5,Element_Stiffness!W27,0)),IF(Element_Stiffness!$E$5=3,IF(5=Element_Stiffness!$C$5,Element_Stiffness!Q33,IF(5=Element_Stiffness!$E$5,Element_Stiffness!W33,0)),0)),0)+IF(Element_Stiffness!$C$41,IF(Element_Stiffness!$C$40=3,IF(5=Element_Stiffness!$C$40,Element_Stiffness!Q62,IF(5=Element_Stiffness!$E$40,Element_Stiffness!W62,0)),IF(Element_Stiffness!$E$40=3,IF(5=Element_Stiffness!$C$40,Element_Stiffness!Q68,IF(5=Element_Stiffness!$E$40,Element_Stiffness!W68,0)),0)),0)+IF(Element_Stiffness!$C$76,IF(Element_Stiffness!$C$75=3,IF(5=Element_Stiffness!$C$75,Element_Stiffness!Q97,IF(5=Element_Stiffness!$E$75,Element_Stiffness!W97,0)),IF(Element_Stiffness!$E$75=3,IF(5=Element_Stiffness!$C$75,Element_Stiffness!Q103,IF(5=Element_Stiffness!$E$75,Element_Stiffness!W103,0)),0)),0)+IF(Element_Stiffness!$C$111,IF(Element_Stiffness!$C$110=3,IF(5=Element_Stiffness!$C$110,Element_Stiffness!Q132,IF(5=Element_Stiffness!$E$110,Element_Stiffness!W132,0)),IF(Element_Stiffness!$E$110=3,IF(5=Element_Stiffness!$C$110,Element_Stiffness!Q138,IF(5=Element_Stiffness!$E$110,Element_Stiffness!W138,0)),0)),0)+IF(Element_Stiffness!$C$146,IF(Element_Stiffness!$C$145=3,IF(5=Element_Stiffness!$C$145,Element_Stiffness!Q167,IF(5=Element_Stiffness!$E$145,Element_Stiffness!W167,0)),IF(Element_Stiffness!$E$145=3,IF(5=Element_Stiffness!$C$145,Element_Stiffness!Q173,IF(5=Element_Stiffness!$E$145,Element_Stiffness!W173,0)),0)),0)+IF(Element_Stiffness!$C$181,IF(Element_Stiffness!$C$180=3,IF(5=Element_Stiffness!$C$180,Element_Stiffness!Q202,IF(5=Element_Stiffness!$E$180,Element_Stiffness!W202,0)),IF(Element_Stiffness!$E$180=3,IF(5=Element_Stiffness!$C$180,Element_Stiffness!Q208,IF(5=Element_Stiffness!$E$180,Element_Stiffness!W208,0)),0)),0)+IF(Element_Stiffness!$C$216,IF(Element_Stiffness!$C$215=3,IF(5=Element_Stiffness!$C$215,Element_Stiffness!Q237,IF(5=Element_Stiffness!$E$215,Element_Stiffness!W237,0)),IF(Element_Stiffness!$E$215=3,IF(5=Element_Stiffness!$C$215,Element_Stiffness!Q243,IF(5=Element_Stiffness!$E$215,Element_Stiffness!W243,0)),0)),0)</f>
        <v/>
      </c>
      <c r="AI24" s="21">
        <f>IF(Element_Stiffness!$C$6,IF(Element_Stiffness!$C$5=3,IF(5=Element_Stiffness!$C$5,Element_Stiffness!R27,IF(5=Element_Stiffness!$E$5,Element_Stiffness!X27,0)),IF(Element_Stiffness!$E$5=3,IF(5=Element_Stiffness!$C$5,Element_Stiffness!R33,IF(5=Element_Stiffness!$E$5,Element_Stiffness!X33,0)),0)),0)+IF(Element_Stiffness!$C$41,IF(Element_Stiffness!$C$40=3,IF(5=Element_Stiffness!$C$40,Element_Stiffness!R62,IF(5=Element_Stiffness!$E$40,Element_Stiffness!X62,0)),IF(Element_Stiffness!$E$40=3,IF(5=Element_Stiffness!$C$40,Element_Stiffness!R68,IF(5=Element_Stiffness!$E$40,Element_Stiffness!X68,0)),0)),0)+IF(Element_Stiffness!$C$76,IF(Element_Stiffness!$C$75=3,IF(5=Element_Stiffness!$C$75,Element_Stiffness!R97,IF(5=Element_Stiffness!$E$75,Element_Stiffness!X97,0)),IF(Element_Stiffness!$E$75=3,IF(5=Element_Stiffness!$C$75,Element_Stiffness!R103,IF(5=Element_Stiffness!$E$75,Element_Stiffness!X103,0)),0)),0)+IF(Element_Stiffness!$C$111,IF(Element_Stiffness!$C$110=3,IF(5=Element_Stiffness!$C$110,Element_Stiffness!R132,IF(5=Element_Stiffness!$E$110,Element_Stiffness!X132,0)),IF(Element_Stiffness!$E$110=3,IF(5=Element_Stiffness!$C$110,Element_Stiffness!R138,IF(5=Element_Stiffness!$E$110,Element_Stiffness!X138,0)),0)),0)+IF(Element_Stiffness!$C$146,IF(Element_Stiffness!$C$145=3,IF(5=Element_Stiffness!$C$145,Element_Stiffness!R167,IF(5=Element_Stiffness!$E$145,Element_Stiffness!X167,0)),IF(Element_Stiffness!$E$145=3,IF(5=Element_Stiffness!$C$145,Element_Stiffness!R173,IF(5=Element_Stiffness!$E$145,Element_Stiffness!X173,0)),0)),0)+IF(Element_Stiffness!$C$181,IF(Element_Stiffness!$C$180=3,IF(5=Element_Stiffness!$C$180,Element_Stiffness!R202,IF(5=Element_Stiffness!$E$180,Element_Stiffness!X202,0)),IF(Element_Stiffness!$E$180=3,IF(5=Element_Stiffness!$C$180,Element_Stiffness!R208,IF(5=Element_Stiffness!$E$180,Element_Stiffness!X208,0)),0)),0)+IF(Element_Stiffness!$C$216,IF(Element_Stiffness!$C$215=3,IF(5=Element_Stiffness!$C$215,Element_Stiffness!R237,IF(5=Element_Stiffness!$E$215,Element_Stiffness!X237,0)),IF(Element_Stiffness!$E$215=3,IF(5=Element_Stiffness!$C$215,Element_Stiffness!R243,IF(5=Element_Stiffness!$E$215,Element_Stiffness!X243,0)),0)),0)</f>
        <v/>
      </c>
      <c r="AJ24" s="21">
        <f>IF(Element_Stiffness!$C$6,IF(Element_Stiffness!$C$5=3,IF(5=Element_Stiffness!$C$5,Element_Stiffness!S27,IF(5=Element_Stiffness!$E$5,Element_Stiffness!Y27,0)),IF(Element_Stiffness!$E$5=3,IF(5=Element_Stiffness!$C$5,Element_Stiffness!S33,IF(5=Element_Stiffness!$E$5,Element_Stiffness!Y33,0)),0)),0)+IF(Element_Stiffness!$C$41,IF(Element_Stiffness!$C$40=3,IF(5=Element_Stiffness!$C$40,Element_Stiffness!S62,IF(5=Element_Stiffness!$E$40,Element_Stiffness!Y62,0)),IF(Element_Stiffness!$E$40=3,IF(5=Element_Stiffness!$C$40,Element_Stiffness!S68,IF(5=Element_Stiffness!$E$40,Element_Stiffness!Y68,0)),0)),0)+IF(Element_Stiffness!$C$76,IF(Element_Stiffness!$C$75=3,IF(5=Element_Stiffness!$C$75,Element_Stiffness!S97,IF(5=Element_Stiffness!$E$75,Element_Stiffness!Y97,0)),IF(Element_Stiffness!$E$75=3,IF(5=Element_Stiffness!$C$75,Element_Stiffness!S103,IF(5=Element_Stiffness!$E$75,Element_Stiffness!Y103,0)),0)),0)+IF(Element_Stiffness!$C$111,IF(Element_Stiffness!$C$110=3,IF(5=Element_Stiffness!$C$110,Element_Stiffness!S132,IF(5=Element_Stiffness!$E$110,Element_Stiffness!Y132,0)),IF(Element_Stiffness!$E$110=3,IF(5=Element_Stiffness!$C$110,Element_Stiffness!S138,IF(5=Element_Stiffness!$E$110,Element_Stiffness!Y138,0)),0)),0)+IF(Element_Stiffness!$C$146,IF(Element_Stiffness!$C$145=3,IF(5=Element_Stiffness!$C$145,Element_Stiffness!S167,IF(5=Element_Stiffness!$E$145,Element_Stiffness!Y167,0)),IF(Element_Stiffness!$E$145=3,IF(5=Element_Stiffness!$C$145,Element_Stiffness!S173,IF(5=Element_Stiffness!$E$145,Element_Stiffness!Y173,0)),0)),0)+IF(Element_Stiffness!$C$181,IF(Element_Stiffness!$C$180=3,IF(5=Element_Stiffness!$C$180,Element_Stiffness!S202,IF(5=Element_Stiffness!$E$180,Element_Stiffness!Y202,0)),IF(Element_Stiffness!$E$180=3,IF(5=Element_Stiffness!$C$180,Element_Stiffness!S208,IF(5=Element_Stiffness!$E$180,Element_Stiffness!Y208,0)),0)),0)+IF(Element_Stiffness!$C$216,IF(Element_Stiffness!$C$215=3,IF(5=Element_Stiffness!$C$215,Element_Stiffness!S237,IF(5=Element_Stiffness!$E$215,Element_Stiffness!Y237,0)),IF(Element_Stiffness!$E$215=3,IF(5=Element_Stiffness!$C$215,Element_Stiffness!S243,IF(5=Element_Stiffness!$E$215,Element_Stiffness!Y243,0)),0)),0)</f>
        <v/>
      </c>
      <c r="AK24" s="21">
        <f>IF(Element_Stiffness!$C$6,IF(Element_Stiffness!$C$5=3,IF(5=Element_Stiffness!$C$5,Element_Stiffness!T27,IF(5=Element_Stiffness!$E$5,Element_Stiffness!Z27,0)),IF(Element_Stiffness!$E$5=3,IF(5=Element_Stiffness!$C$5,Element_Stiffness!T33,IF(5=Element_Stiffness!$E$5,Element_Stiffness!Z33,0)),0)),0)+IF(Element_Stiffness!$C$41,IF(Element_Stiffness!$C$40=3,IF(5=Element_Stiffness!$C$40,Element_Stiffness!T62,IF(5=Element_Stiffness!$E$40,Element_Stiffness!Z62,0)),IF(Element_Stiffness!$E$40=3,IF(5=Element_Stiffness!$C$40,Element_Stiffness!T68,IF(5=Element_Stiffness!$E$40,Element_Stiffness!Z68,0)),0)),0)+IF(Element_Stiffness!$C$76,IF(Element_Stiffness!$C$75=3,IF(5=Element_Stiffness!$C$75,Element_Stiffness!T97,IF(5=Element_Stiffness!$E$75,Element_Stiffness!Z97,0)),IF(Element_Stiffness!$E$75=3,IF(5=Element_Stiffness!$C$75,Element_Stiffness!T103,IF(5=Element_Stiffness!$E$75,Element_Stiffness!Z103,0)),0)),0)+IF(Element_Stiffness!$C$111,IF(Element_Stiffness!$C$110=3,IF(5=Element_Stiffness!$C$110,Element_Stiffness!T132,IF(5=Element_Stiffness!$E$110,Element_Stiffness!Z132,0)),IF(Element_Stiffness!$E$110=3,IF(5=Element_Stiffness!$C$110,Element_Stiffness!T138,IF(5=Element_Stiffness!$E$110,Element_Stiffness!Z138,0)),0)),0)+IF(Element_Stiffness!$C$146,IF(Element_Stiffness!$C$145=3,IF(5=Element_Stiffness!$C$145,Element_Stiffness!T167,IF(5=Element_Stiffness!$E$145,Element_Stiffness!Z167,0)),IF(Element_Stiffness!$E$145=3,IF(5=Element_Stiffness!$C$145,Element_Stiffness!T173,IF(5=Element_Stiffness!$E$145,Element_Stiffness!Z173,0)),0)),0)+IF(Element_Stiffness!$C$181,IF(Element_Stiffness!$C$180=3,IF(5=Element_Stiffness!$C$180,Element_Stiffness!T202,IF(5=Element_Stiffness!$E$180,Element_Stiffness!Z202,0)),IF(Element_Stiffness!$E$180=3,IF(5=Element_Stiffness!$C$180,Element_Stiffness!T208,IF(5=Element_Stiffness!$E$180,Element_Stiffness!Z208,0)),0)),0)+IF(Element_Stiffness!$C$216,IF(Element_Stiffness!$C$215=3,IF(5=Element_Stiffness!$C$215,Element_Stiffness!T237,IF(5=Element_Stiffness!$E$215,Element_Stiffness!Z237,0)),IF(Element_Stiffness!$E$215=3,IF(5=Element_Stiffness!$C$215,Element_Stiffness!T243,IF(5=Element_Stiffness!$E$215,Element_Stiffness!Z243,0)),0)),0)</f>
        <v/>
      </c>
      <c r="AL24" s="21">
        <f>IF(Element_Stiffness!$C$6,IF(Element_Stiffness!$C$5=3,IF(5=Element_Stiffness!$C$5,Element_Stiffness!U27,IF(5=Element_Stiffness!$E$5,Element_Stiffness!AA27,0)),IF(Element_Stiffness!$E$5=3,IF(5=Element_Stiffness!$C$5,Element_Stiffness!U33,IF(5=Element_Stiffness!$E$5,Element_Stiffness!AA33,0)),0)),0)+IF(Element_Stiffness!$C$41,IF(Element_Stiffness!$C$40=3,IF(5=Element_Stiffness!$C$40,Element_Stiffness!U62,IF(5=Element_Stiffness!$E$40,Element_Stiffness!AA62,0)),IF(Element_Stiffness!$E$40=3,IF(5=Element_Stiffness!$C$40,Element_Stiffness!U68,IF(5=Element_Stiffness!$E$40,Element_Stiffness!AA68,0)),0)),0)+IF(Element_Stiffness!$C$76,IF(Element_Stiffness!$C$75=3,IF(5=Element_Stiffness!$C$75,Element_Stiffness!U97,IF(5=Element_Stiffness!$E$75,Element_Stiffness!AA97,0)),IF(Element_Stiffness!$E$75=3,IF(5=Element_Stiffness!$C$75,Element_Stiffness!U103,IF(5=Element_Stiffness!$E$75,Element_Stiffness!AA103,0)),0)),0)+IF(Element_Stiffness!$C$111,IF(Element_Stiffness!$C$110=3,IF(5=Element_Stiffness!$C$110,Element_Stiffness!U132,IF(5=Element_Stiffness!$E$110,Element_Stiffness!AA132,0)),IF(Element_Stiffness!$E$110=3,IF(5=Element_Stiffness!$C$110,Element_Stiffness!U138,IF(5=Element_Stiffness!$E$110,Element_Stiffness!AA138,0)),0)),0)+IF(Element_Stiffness!$C$146,IF(Element_Stiffness!$C$145=3,IF(5=Element_Stiffness!$C$145,Element_Stiffness!U167,IF(5=Element_Stiffness!$E$145,Element_Stiffness!AA167,0)),IF(Element_Stiffness!$E$145=3,IF(5=Element_Stiffness!$C$145,Element_Stiffness!U173,IF(5=Element_Stiffness!$E$145,Element_Stiffness!AA173,0)),0)),0)+IF(Element_Stiffness!$C$181,IF(Element_Stiffness!$C$180=3,IF(5=Element_Stiffness!$C$180,Element_Stiffness!U202,IF(5=Element_Stiffness!$E$180,Element_Stiffness!AA202,0)),IF(Element_Stiffness!$E$180=3,IF(5=Element_Stiffness!$C$180,Element_Stiffness!U208,IF(5=Element_Stiffness!$E$180,Element_Stiffness!AA208,0)),0)),0)+IF(Element_Stiffness!$C$216,IF(Element_Stiffness!$C$215=3,IF(5=Element_Stiffness!$C$215,Element_Stiffness!U237,IF(5=Element_Stiffness!$E$215,Element_Stiffness!AA237,0)),IF(Element_Stiffness!$E$215=3,IF(5=Element_Stiffness!$C$215,Element_Stiffness!U243,IF(5=Element_Stiffness!$E$215,Element_Stiffness!AA243,0)),0)),0)</f>
        <v/>
      </c>
      <c r="AM24" s="21">
        <f>IF(Element_Stiffness!$C$6,IF(Element_Stiffness!$C$5=3,IF(6=Element_Stiffness!$C$5,Element_Stiffness!P27,IF(6=Element_Stiffness!$E$5,Element_Stiffness!V27,0)),IF(Element_Stiffness!$E$5=3,IF(6=Element_Stiffness!$C$5,Element_Stiffness!P33,IF(6=Element_Stiffness!$E$5,Element_Stiffness!V33,0)),0)),0)+IF(Element_Stiffness!$C$41,IF(Element_Stiffness!$C$40=3,IF(6=Element_Stiffness!$C$40,Element_Stiffness!P62,IF(6=Element_Stiffness!$E$40,Element_Stiffness!V62,0)),IF(Element_Stiffness!$E$40=3,IF(6=Element_Stiffness!$C$40,Element_Stiffness!P68,IF(6=Element_Stiffness!$E$40,Element_Stiffness!V68,0)),0)),0)+IF(Element_Stiffness!$C$76,IF(Element_Stiffness!$C$75=3,IF(6=Element_Stiffness!$C$75,Element_Stiffness!P97,IF(6=Element_Stiffness!$E$75,Element_Stiffness!V97,0)),IF(Element_Stiffness!$E$75=3,IF(6=Element_Stiffness!$C$75,Element_Stiffness!P103,IF(6=Element_Stiffness!$E$75,Element_Stiffness!V103,0)),0)),0)+IF(Element_Stiffness!$C$111,IF(Element_Stiffness!$C$110=3,IF(6=Element_Stiffness!$C$110,Element_Stiffness!P132,IF(6=Element_Stiffness!$E$110,Element_Stiffness!V132,0)),IF(Element_Stiffness!$E$110=3,IF(6=Element_Stiffness!$C$110,Element_Stiffness!P138,IF(6=Element_Stiffness!$E$110,Element_Stiffness!V138,0)),0)),0)+IF(Element_Stiffness!$C$146,IF(Element_Stiffness!$C$145=3,IF(6=Element_Stiffness!$C$145,Element_Stiffness!P167,IF(6=Element_Stiffness!$E$145,Element_Stiffness!V167,0)),IF(Element_Stiffness!$E$145=3,IF(6=Element_Stiffness!$C$145,Element_Stiffness!P173,IF(6=Element_Stiffness!$E$145,Element_Stiffness!V173,0)),0)),0)+IF(Element_Stiffness!$C$181,IF(Element_Stiffness!$C$180=3,IF(6=Element_Stiffness!$C$180,Element_Stiffness!P202,IF(6=Element_Stiffness!$E$180,Element_Stiffness!V202,0)),IF(Element_Stiffness!$E$180=3,IF(6=Element_Stiffness!$C$180,Element_Stiffness!P208,IF(6=Element_Stiffness!$E$180,Element_Stiffness!V208,0)),0)),0)+IF(Element_Stiffness!$C$216,IF(Element_Stiffness!$C$215=3,IF(6=Element_Stiffness!$C$215,Element_Stiffness!P237,IF(6=Element_Stiffness!$E$215,Element_Stiffness!V237,0)),IF(Element_Stiffness!$E$215=3,IF(6=Element_Stiffness!$C$215,Element_Stiffness!P243,IF(6=Element_Stiffness!$E$215,Element_Stiffness!V243,0)),0)),0)</f>
        <v/>
      </c>
      <c r="AN24" s="21">
        <f>IF(Element_Stiffness!$C$6,IF(Element_Stiffness!$C$5=3,IF(6=Element_Stiffness!$C$5,Element_Stiffness!Q27,IF(6=Element_Stiffness!$E$5,Element_Stiffness!W27,0)),IF(Element_Stiffness!$E$5=3,IF(6=Element_Stiffness!$C$5,Element_Stiffness!Q33,IF(6=Element_Stiffness!$E$5,Element_Stiffness!W33,0)),0)),0)+IF(Element_Stiffness!$C$41,IF(Element_Stiffness!$C$40=3,IF(6=Element_Stiffness!$C$40,Element_Stiffness!Q62,IF(6=Element_Stiffness!$E$40,Element_Stiffness!W62,0)),IF(Element_Stiffness!$E$40=3,IF(6=Element_Stiffness!$C$40,Element_Stiffness!Q68,IF(6=Element_Stiffness!$E$40,Element_Stiffness!W68,0)),0)),0)+IF(Element_Stiffness!$C$76,IF(Element_Stiffness!$C$75=3,IF(6=Element_Stiffness!$C$75,Element_Stiffness!Q97,IF(6=Element_Stiffness!$E$75,Element_Stiffness!W97,0)),IF(Element_Stiffness!$E$75=3,IF(6=Element_Stiffness!$C$75,Element_Stiffness!Q103,IF(6=Element_Stiffness!$E$75,Element_Stiffness!W103,0)),0)),0)+IF(Element_Stiffness!$C$111,IF(Element_Stiffness!$C$110=3,IF(6=Element_Stiffness!$C$110,Element_Stiffness!Q132,IF(6=Element_Stiffness!$E$110,Element_Stiffness!W132,0)),IF(Element_Stiffness!$E$110=3,IF(6=Element_Stiffness!$C$110,Element_Stiffness!Q138,IF(6=Element_Stiffness!$E$110,Element_Stiffness!W138,0)),0)),0)+IF(Element_Stiffness!$C$146,IF(Element_Stiffness!$C$145=3,IF(6=Element_Stiffness!$C$145,Element_Stiffness!Q167,IF(6=Element_Stiffness!$E$145,Element_Stiffness!W167,0)),IF(Element_Stiffness!$E$145=3,IF(6=Element_Stiffness!$C$145,Element_Stiffness!Q173,IF(6=Element_Stiffness!$E$145,Element_Stiffness!W173,0)),0)),0)+IF(Element_Stiffness!$C$181,IF(Element_Stiffness!$C$180=3,IF(6=Element_Stiffness!$C$180,Element_Stiffness!Q202,IF(6=Element_Stiffness!$E$180,Element_Stiffness!W202,0)),IF(Element_Stiffness!$E$180=3,IF(6=Element_Stiffness!$C$180,Element_Stiffness!Q208,IF(6=Element_Stiffness!$E$180,Element_Stiffness!W208,0)),0)),0)+IF(Element_Stiffness!$C$216,IF(Element_Stiffness!$C$215=3,IF(6=Element_Stiffness!$C$215,Element_Stiffness!Q237,IF(6=Element_Stiffness!$E$215,Element_Stiffness!W237,0)),IF(Element_Stiffness!$E$215=3,IF(6=Element_Stiffness!$C$215,Element_Stiffness!Q243,IF(6=Element_Stiffness!$E$215,Element_Stiffness!W243,0)),0)),0)</f>
        <v/>
      </c>
      <c r="AO24" s="21">
        <f>IF(Element_Stiffness!$C$6,IF(Element_Stiffness!$C$5=3,IF(6=Element_Stiffness!$C$5,Element_Stiffness!R27,IF(6=Element_Stiffness!$E$5,Element_Stiffness!X27,0)),IF(Element_Stiffness!$E$5=3,IF(6=Element_Stiffness!$C$5,Element_Stiffness!R33,IF(6=Element_Stiffness!$E$5,Element_Stiffness!X33,0)),0)),0)+IF(Element_Stiffness!$C$41,IF(Element_Stiffness!$C$40=3,IF(6=Element_Stiffness!$C$40,Element_Stiffness!R62,IF(6=Element_Stiffness!$E$40,Element_Stiffness!X62,0)),IF(Element_Stiffness!$E$40=3,IF(6=Element_Stiffness!$C$40,Element_Stiffness!R68,IF(6=Element_Stiffness!$E$40,Element_Stiffness!X68,0)),0)),0)+IF(Element_Stiffness!$C$76,IF(Element_Stiffness!$C$75=3,IF(6=Element_Stiffness!$C$75,Element_Stiffness!R97,IF(6=Element_Stiffness!$E$75,Element_Stiffness!X97,0)),IF(Element_Stiffness!$E$75=3,IF(6=Element_Stiffness!$C$75,Element_Stiffness!R103,IF(6=Element_Stiffness!$E$75,Element_Stiffness!X103,0)),0)),0)+IF(Element_Stiffness!$C$111,IF(Element_Stiffness!$C$110=3,IF(6=Element_Stiffness!$C$110,Element_Stiffness!R132,IF(6=Element_Stiffness!$E$110,Element_Stiffness!X132,0)),IF(Element_Stiffness!$E$110=3,IF(6=Element_Stiffness!$C$110,Element_Stiffness!R138,IF(6=Element_Stiffness!$E$110,Element_Stiffness!X138,0)),0)),0)+IF(Element_Stiffness!$C$146,IF(Element_Stiffness!$C$145=3,IF(6=Element_Stiffness!$C$145,Element_Stiffness!R167,IF(6=Element_Stiffness!$E$145,Element_Stiffness!X167,0)),IF(Element_Stiffness!$E$145=3,IF(6=Element_Stiffness!$C$145,Element_Stiffness!R173,IF(6=Element_Stiffness!$E$145,Element_Stiffness!X173,0)),0)),0)+IF(Element_Stiffness!$C$181,IF(Element_Stiffness!$C$180=3,IF(6=Element_Stiffness!$C$180,Element_Stiffness!R202,IF(6=Element_Stiffness!$E$180,Element_Stiffness!X202,0)),IF(Element_Stiffness!$E$180=3,IF(6=Element_Stiffness!$C$180,Element_Stiffness!R208,IF(6=Element_Stiffness!$E$180,Element_Stiffness!X208,0)),0)),0)+IF(Element_Stiffness!$C$216,IF(Element_Stiffness!$C$215=3,IF(6=Element_Stiffness!$C$215,Element_Stiffness!R237,IF(6=Element_Stiffness!$E$215,Element_Stiffness!X237,0)),IF(Element_Stiffness!$E$215=3,IF(6=Element_Stiffness!$C$215,Element_Stiffness!R243,IF(6=Element_Stiffness!$E$215,Element_Stiffness!X243,0)),0)),0)</f>
        <v/>
      </c>
      <c r="AP24" s="21">
        <f>IF(Element_Stiffness!$C$6,IF(Element_Stiffness!$C$5=3,IF(6=Element_Stiffness!$C$5,Element_Stiffness!S27,IF(6=Element_Stiffness!$E$5,Element_Stiffness!Y27,0)),IF(Element_Stiffness!$E$5=3,IF(6=Element_Stiffness!$C$5,Element_Stiffness!S33,IF(6=Element_Stiffness!$E$5,Element_Stiffness!Y33,0)),0)),0)+IF(Element_Stiffness!$C$41,IF(Element_Stiffness!$C$40=3,IF(6=Element_Stiffness!$C$40,Element_Stiffness!S62,IF(6=Element_Stiffness!$E$40,Element_Stiffness!Y62,0)),IF(Element_Stiffness!$E$40=3,IF(6=Element_Stiffness!$C$40,Element_Stiffness!S68,IF(6=Element_Stiffness!$E$40,Element_Stiffness!Y68,0)),0)),0)+IF(Element_Stiffness!$C$76,IF(Element_Stiffness!$C$75=3,IF(6=Element_Stiffness!$C$75,Element_Stiffness!S97,IF(6=Element_Stiffness!$E$75,Element_Stiffness!Y97,0)),IF(Element_Stiffness!$E$75=3,IF(6=Element_Stiffness!$C$75,Element_Stiffness!S103,IF(6=Element_Stiffness!$E$75,Element_Stiffness!Y103,0)),0)),0)+IF(Element_Stiffness!$C$111,IF(Element_Stiffness!$C$110=3,IF(6=Element_Stiffness!$C$110,Element_Stiffness!S132,IF(6=Element_Stiffness!$E$110,Element_Stiffness!Y132,0)),IF(Element_Stiffness!$E$110=3,IF(6=Element_Stiffness!$C$110,Element_Stiffness!S138,IF(6=Element_Stiffness!$E$110,Element_Stiffness!Y138,0)),0)),0)+IF(Element_Stiffness!$C$146,IF(Element_Stiffness!$C$145=3,IF(6=Element_Stiffness!$C$145,Element_Stiffness!S167,IF(6=Element_Stiffness!$E$145,Element_Stiffness!Y167,0)),IF(Element_Stiffness!$E$145=3,IF(6=Element_Stiffness!$C$145,Element_Stiffness!S173,IF(6=Element_Stiffness!$E$145,Element_Stiffness!Y173,0)),0)),0)+IF(Element_Stiffness!$C$181,IF(Element_Stiffness!$C$180=3,IF(6=Element_Stiffness!$C$180,Element_Stiffness!S202,IF(6=Element_Stiffness!$E$180,Element_Stiffness!Y202,0)),IF(Element_Stiffness!$E$180=3,IF(6=Element_Stiffness!$C$180,Element_Stiffness!S208,IF(6=Element_Stiffness!$E$180,Element_Stiffness!Y208,0)),0)),0)+IF(Element_Stiffness!$C$216,IF(Element_Stiffness!$C$215=3,IF(6=Element_Stiffness!$C$215,Element_Stiffness!S237,IF(6=Element_Stiffness!$E$215,Element_Stiffness!Y237,0)),IF(Element_Stiffness!$E$215=3,IF(6=Element_Stiffness!$C$215,Element_Stiffness!S243,IF(6=Element_Stiffness!$E$215,Element_Stiffness!Y243,0)),0)),0)</f>
        <v/>
      </c>
      <c r="AQ24" s="21">
        <f>IF(Element_Stiffness!$C$6,IF(Element_Stiffness!$C$5=3,IF(6=Element_Stiffness!$C$5,Element_Stiffness!T27,IF(6=Element_Stiffness!$E$5,Element_Stiffness!Z27,0)),IF(Element_Stiffness!$E$5=3,IF(6=Element_Stiffness!$C$5,Element_Stiffness!T33,IF(6=Element_Stiffness!$E$5,Element_Stiffness!Z33,0)),0)),0)+IF(Element_Stiffness!$C$41,IF(Element_Stiffness!$C$40=3,IF(6=Element_Stiffness!$C$40,Element_Stiffness!T62,IF(6=Element_Stiffness!$E$40,Element_Stiffness!Z62,0)),IF(Element_Stiffness!$E$40=3,IF(6=Element_Stiffness!$C$40,Element_Stiffness!T68,IF(6=Element_Stiffness!$E$40,Element_Stiffness!Z68,0)),0)),0)+IF(Element_Stiffness!$C$76,IF(Element_Stiffness!$C$75=3,IF(6=Element_Stiffness!$C$75,Element_Stiffness!T97,IF(6=Element_Stiffness!$E$75,Element_Stiffness!Z97,0)),IF(Element_Stiffness!$E$75=3,IF(6=Element_Stiffness!$C$75,Element_Stiffness!T103,IF(6=Element_Stiffness!$E$75,Element_Stiffness!Z103,0)),0)),0)+IF(Element_Stiffness!$C$111,IF(Element_Stiffness!$C$110=3,IF(6=Element_Stiffness!$C$110,Element_Stiffness!T132,IF(6=Element_Stiffness!$E$110,Element_Stiffness!Z132,0)),IF(Element_Stiffness!$E$110=3,IF(6=Element_Stiffness!$C$110,Element_Stiffness!T138,IF(6=Element_Stiffness!$E$110,Element_Stiffness!Z138,0)),0)),0)+IF(Element_Stiffness!$C$146,IF(Element_Stiffness!$C$145=3,IF(6=Element_Stiffness!$C$145,Element_Stiffness!T167,IF(6=Element_Stiffness!$E$145,Element_Stiffness!Z167,0)),IF(Element_Stiffness!$E$145=3,IF(6=Element_Stiffness!$C$145,Element_Stiffness!T173,IF(6=Element_Stiffness!$E$145,Element_Stiffness!Z173,0)),0)),0)+IF(Element_Stiffness!$C$181,IF(Element_Stiffness!$C$180=3,IF(6=Element_Stiffness!$C$180,Element_Stiffness!T202,IF(6=Element_Stiffness!$E$180,Element_Stiffness!Z202,0)),IF(Element_Stiffness!$E$180=3,IF(6=Element_Stiffness!$C$180,Element_Stiffness!T208,IF(6=Element_Stiffness!$E$180,Element_Stiffness!Z208,0)),0)),0)+IF(Element_Stiffness!$C$216,IF(Element_Stiffness!$C$215=3,IF(6=Element_Stiffness!$C$215,Element_Stiffness!T237,IF(6=Element_Stiffness!$E$215,Element_Stiffness!Z237,0)),IF(Element_Stiffness!$E$215=3,IF(6=Element_Stiffness!$C$215,Element_Stiffness!T243,IF(6=Element_Stiffness!$E$215,Element_Stiffness!Z243,0)),0)),0)</f>
        <v/>
      </c>
      <c r="AR24" s="21">
        <f>IF(Element_Stiffness!$C$6,IF(Element_Stiffness!$C$5=3,IF(6=Element_Stiffness!$C$5,Element_Stiffness!U27,IF(6=Element_Stiffness!$E$5,Element_Stiffness!AA27,0)),IF(Element_Stiffness!$E$5=3,IF(6=Element_Stiffness!$C$5,Element_Stiffness!U33,IF(6=Element_Stiffness!$E$5,Element_Stiffness!AA33,0)),0)),0)+IF(Element_Stiffness!$C$41,IF(Element_Stiffness!$C$40=3,IF(6=Element_Stiffness!$C$40,Element_Stiffness!U62,IF(6=Element_Stiffness!$E$40,Element_Stiffness!AA62,0)),IF(Element_Stiffness!$E$40=3,IF(6=Element_Stiffness!$C$40,Element_Stiffness!U68,IF(6=Element_Stiffness!$E$40,Element_Stiffness!AA68,0)),0)),0)+IF(Element_Stiffness!$C$76,IF(Element_Stiffness!$C$75=3,IF(6=Element_Stiffness!$C$75,Element_Stiffness!U97,IF(6=Element_Stiffness!$E$75,Element_Stiffness!AA97,0)),IF(Element_Stiffness!$E$75=3,IF(6=Element_Stiffness!$C$75,Element_Stiffness!U103,IF(6=Element_Stiffness!$E$75,Element_Stiffness!AA103,0)),0)),0)+IF(Element_Stiffness!$C$111,IF(Element_Stiffness!$C$110=3,IF(6=Element_Stiffness!$C$110,Element_Stiffness!U132,IF(6=Element_Stiffness!$E$110,Element_Stiffness!AA132,0)),IF(Element_Stiffness!$E$110=3,IF(6=Element_Stiffness!$C$110,Element_Stiffness!U138,IF(6=Element_Stiffness!$E$110,Element_Stiffness!AA138,0)),0)),0)+IF(Element_Stiffness!$C$146,IF(Element_Stiffness!$C$145=3,IF(6=Element_Stiffness!$C$145,Element_Stiffness!U167,IF(6=Element_Stiffness!$E$145,Element_Stiffness!AA167,0)),IF(Element_Stiffness!$E$145=3,IF(6=Element_Stiffness!$C$145,Element_Stiffness!U173,IF(6=Element_Stiffness!$E$145,Element_Stiffness!AA173,0)),0)),0)+IF(Element_Stiffness!$C$181,IF(Element_Stiffness!$C$180=3,IF(6=Element_Stiffness!$C$180,Element_Stiffness!U202,IF(6=Element_Stiffness!$E$180,Element_Stiffness!AA202,0)),IF(Element_Stiffness!$E$180=3,IF(6=Element_Stiffness!$C$180,Element_Stiffness!U208,IF(6=Element_Stiffness!$E$180,Element_Stiffness!AA208,0)),0)),0)+IF(Element_Stiffness!$C$216,IF(Element_Stiffness!$C$215=3,IF(6=Element_Stiffness!$C$215,Element_Stiffness!U237,IF(6=Element_Stiffness!$E$215,Element_Stiffness!AA237,0)),IF(Element_Stiffness!$E$215=3,IF(6=Element_Stiffness!$C$215,Element_Stiffness!U243,IF(6=Element_Stiffness!$E$215,Element_Stiffness!AA243,0)),0)),0)</f>
        <v/>
      </c>
      <c r="AS24" s="21">
        <f>IF(Element_Stiffness!$C$6,IF(Element_Stiffness!$C$5=3,IF(7=Element_Stiffness!$C$5,Element_Stiffness!P27,IF(7=Element_Stiffness!$E$5,Element_Stiffness!V27,0)),IF(Element_Stiffness!$E$5=3,IF(7=Element_Stiffness!$C$5,Element_Stiffness!P33,IF(7=Element_Stiffness!$E$5,Element_Stiffness!V33,0)),0)),0)+IF(Element_Stiffness!$C$41,IF(Element_Stiffness!$C$40=3,IF(7=Element_Stiffness!$C$40,Element_Stiffness!P62,IF(7=Element_Stiffness!$E$40,Element_Stiffness!V62,0)),IF(Element_Stiffness!$E$40=3,IF(7=Element_Stiffness!$C$40,Element_Stiffness!P68,IF(7=Element_Stiffness!$E$40,Element_Stiffness!V68,0)),0)),0)+IF(Element_Stiffness!$C$76,IF(Element_Stiffness!$C$75=3,IF(7=Element_Stiffness!$C$75,Element_Stiffness!P97,IF(7=Element_Stiffness!$E$75,Element_Stiffness!V97,0)),IF(Element_Stiffness!$E$75=3,IF(7=Element_Stiffness!$C$75,Element_Stiffness!P103,IF(7=Element_Stiffness!$E$75,Element_Stiffness!V103,0)),0)),0)+IF(Element_Stiffness!$C$111,IF(Element_Stiffness!$C$110=3,IF(7=Element_Stiffness!$C$110,Element_Stiffness!P132,IF(7=Element_Stiffness!$E$110,Element_Stiffness!V132,0)),IF(Element_Stiffness!$E$110=3,IF(7=Element_Stiffness!$C$110,Element_Stiffness!P138,IF(7=Element_Stiffness!$E$110,Element_Stiffness!V138,0)),0)),0)+IF(Element_Stiffness!$C$146,IF(Element_Stiffness!$C$145=3,IF(7=Element_Stiffness!$C$145,Element_Stiffness!P167,IF(7=Element_Stiffness!$E$145,Element_Stiffness!V167,0)),IF(Element_Stiffness!$E$145=3,IF(7=Element_Stiffness!$C$145,Element_Stiffness!P173,IF(7=Element_Stiffness!$E$145,Element_Stiffness!V173,0)),0)),0)+IF(Element_Stiffness!$C$181,IF(Element_Stiffness!$C$180=3,IF(7=Element_Stiffness!$C$180,Element_Stiffness!P202,IF(7=Element_Stiffness!$E$180,Element_Stiffness!V202,0)),IF(Element_Stiffness!$E$180=3,IF(7=Element_Stiffness!$C$180,Element_Stiffness!P208,IF(7=Element_Stiffness!$E$180,Element_Stiffness!V208,0)),0)),0)+IF(Element_Stiffness!$C$216,IF(Element_Stiffness!$C$215=3,IF(7=Element_Stiffness!$C$215,Element_Stiffness!P237,IF(7=Element_Stiffness!$E$215,Element_Stiffness!V237,0)),IF(Element_Stiffness!$E$215=3,IF(7=Element_Stiffness!$C$215,Element_Stiffness!P243,IF(7=Element_Stiffness!$E$215,Element_Stiffness!V243,0)),0)),0)</f>
        <v/>
      </c>
      <c r="AT24" s="21">
        <f>IF(Element_Stiffness!$C$6,IF(Element_Stiffness!$C$5=3,IF(7=Element_Stiffness!$C$5,Element_Stiffness!Q27,IF(7=Element_Stiffness!$E$5,Element_Stiffness!W27,0)),IF(Element_Stiffness!$E$5=3,IF(7=Element_Stiffness!$C$5,Element_Stiffness!Q33,IF(7=Element_Stiffness!$E$5,Element_Stiffness!W33,0)),0)),0)+IF(Element_Stiffness!$C$41,IF(Element_Stiffness!$C$40=3,IF(7=Element_Stiffness!$C$40,Element_Stiffness!Q62,IF(7=Element_Stiffness!$E$40,Element_Stiffness!W62,0)),IF(Element_Stiffness!$E$40=3,IF(7=Element_Stiffness!$C$40,Element_Stiffness!Q68,IF(7=Element_Stiffness!$E$40,Element_Stiffness!W68,0)),0)),0)+IF(Element_Stiffness!$C$76,IF(Element_Stiffness!$C$75=3,IF(7=Element_Stiffness!$C$75,Element_Stiffness!Q97,IF(7=Element_Stiffness!$E$75,Element_Stiffness!W97,0)),IF(Element_Stiffness!$E$75=3,IF(7=Element_Stiffness!$C$75,Element_Stiffness!Q103,IF(7=Element_Stiffness!$E$75,Element_Stiffness!W103,0)),0)),0)+IF(Element_Stiffness!$C$111,IF(Element_Stiffness!$C$110=3,IF(7=Element_Stiffness!$C$110,Element_Stiffness!Q132,IF(7=Element_Stiffness!$E$110,Element_Stiffness!W132,0)),IF(Element_Stiffness!$E$110=3,IF(7=Element_Stiffness!$C$110,Element_Stiffness!Q138,IF(7=Element_Stiffness!$E$110,Element_Stiffness!W138,0)),0)),0)+IF(Element_Stiffness!$C$146,IF(Element_Stiffness!$C$145=3,IF(7=Element_Stiffness!$C$145,Element_Stiffness!Q167,IF(7=Element_Stiffness!$E$145,Element_Stiffness!W167,0)),IF(Element_Stiffness!$E$145=3,IF(7=Element_Stiffness!$C$145,Element_Stiffness!Q173,IF(7=Element_Stiffness!$E$145,Element_Stiffness!W173,0)),0)),0)+IF(Element_Stiffness!$C$181,IF(Element_Stiffness!$C$180=3,IF(7=Element_Stiffness!$C$180,Element_Stiffness!Q202,IF(7=Element_Stiffness!$E$180,Element_Stiffness!W202,0)),IF(Element_Stiffness!$E$180=3,IF(7=Element_Stiffness!$C$180,Element_Stiffness!Q208,IF(7=Element_Stiffness!$E$180,Element_Stiffness!W208,0)),0)),0)+IF(Element_Stiffness!$C$216,IF(Element_Stiffness!$C$215=3,IF(7=Element_Stiffness!$C$215,Element_Stiffness!Q237,IF(7=Element_Stiffness!$E$215,Element_Stiffness!W237,0)),IF(Element_Stiffness!$E$215=3,IF(7=Element_Stiffness!$C$215,Element_Stiffness!Q243,IF(7=Element_Stiffness!$E$215,Element_Stiffness!W243,0)),0)),0)</f>
        <v/>
      </c>
      <c r="AU24" s="21">
        <f>IF(Element_Stiffness!$C$6,IF(Element_Stiffness!$C$5=3,IF(7=Element_Stiffness!$C$5,Element_Stiffness!R27,IF(7=Element_Stiffness!$E$5,Element_Stiffness!X27,0)),IF(Element_Stiffness!$E$5=3,IF(7=Element_Stiffness!$C$5,Element_Stiffness!R33,IF(7=Element_Stiffness!$E$5,Element_Stiffness!X33,0)),0)),0)+IF(Element_Stiffness!$C$41,IF(Element_Stiffness!$C$40=3,IF(7=Element_Stiffness!$C$40,Element_Stiffness!R62,IF(7=Element_Stiffness!$E$40,Element_Stiffness!X62,0)),IF(Element_Stiffness!$E$40=3,IF(7=Element_Stiffness!$C$40,Element_Stiffness!R68,IF(7=Element_Stiffness!$E$40,Element_Stiffness!X68,0)),0)),0)+IF(Element_Stiffness!$C$76,IF(Element_Stiffness!$C$75=3,IF(7=Element_Stiffness!$C$75,Element_Stiffness!R97,IF(7=Element_Stiffness!$E$75,Element_Stiffness!X97,0)),IF(Element_Stiffness!$E$75=3,IF(7=Element_Stiffness!$C$75,Element_Stiffness!R103,IF(7=Element_Stiffness!$E$75,Element_Stiffness!X103,0)),0)),0)+IF(Element_Stiffness!$C$111,IF(Element_Stiffness!$C$110=3,IF(7=Element_Stiffness!$C$110,Element_Stiffness!R132,IF(7=Element_Stiffness!$E$110,Element_Stiffness!X132,0)),IF(Element_Stiffness!$E$110=3,IF(7=Element_Stiffness!$C$110,Element_Stiffness!R138,IF(7=Element_Stiffness!$E$110,Element_Stiffness!X138,0)),0)),0)+IF(Element_Stiffness!$C$146,IF(Element_Stiffness!$C$145=3,IF(7=Element_Stiffness!$C$145,Element_Stiffness!R167,IF(7=Element_Stiffness!$E$145,Element_Stiffness!X167,0)),IF(Element_Stiffness!$E$145=3,IF(7=Element_Stiffness!$C$145,Element_Stiffness!R173,IF(7=Element_Stiffness!$E$145,Element_Stiffness!X173,0)),0)),0)+IF(Element_Stiffness!$C$181,IF(Element_Stiffness!$C$180=3,IF(7=Element_Stiffness!$C$180,Element_Stiffness!R202,IF(7=Element_Stiffness!$E$180,Element_Stiffness!X202,0)),IF(Element_Stiffness!$E$180=3,IF(7=Element_Stiffness!$C$180,Element_Stiffness!R208,IF(7=Element_Stiffness!$E$180,Element_Stiffness!X208,0)),0)),0)+IF(Element_Stiffness!$C$216,IF(Element_Stiffness!$C$215=3,IF(7=Element_Stiffness!$C$215,Element_Stiffness!R237,IF(7=Element_Stiffness!$E$215,Element_Stiffness!X237,0)),IF(Element_Stiffness!$E$215=3,IF(7=Element_Stiffness!$C$215,Element_Stiffness!R243,IF(7=Element_Stiffness!$E$215,Element_Stiffness!X243,0)),0)),0)</f>
        <v/>
      </c>
      <c r="AV24" s="21">
        <f>IF(Element_Stiffness!$C$6,IF(Element_Stiffness!$C$5=3,IF(7=Element_Stiffness!$C$5,Element_Stiffness!S27,IF(7=Element_Stiffness!$E$5,Element_Stiffness!Y27,0)),IF(Element_Stiffness!$E$5=3,IF(7=Element_Stiffness!$C$5,Element_Stiffness!S33,IF(7=Element_Stiffness!$E$5,Element_Stiffness!Y33,0)),0)),0)+IF(Element_Stiffness!$C$41,IF(Element_Stiffness!$C$40=3,IF(7=Element_Stiffness!$C$40,Element_Stiffness!S62,IF(7=Element_Stiffness!$E$40,Element_Stiffness!Y62,0)),IF(Element_Stiffness!$E$40=3,IF(7=Element_Stiffness!$C$40,Element_Stiffness!S68,IF(7=Element_Stiffness!$E$40,Element_Stiffness!Y68,0)),0)),0)+IF(Element_Stiffness!$C$76,IF(Element_Stiffness!$C$75=3,IF(7=Element_Stiffness!$C$75,Element_Stiffness!S97,IF(7=Element_Stiffness!$E$75,Element_Stiffness!Y97,0)),IF(Element_Stiffness!$E$75=3,IF(7=Element_Stiffness!$C$75,Element_Stiffness!S103,IF(7=Element_Stiffness!$E$75,Element_Stiffness!Y103,0)),0)),0)+IF(Element_Stiffness!$C$111,IF(Element_Stiffness!$C$110=3,IF(7=Element_Stiffness!$C$110,Element_Stiffness!S132,IF(7=Element_Stiffness!$E$110,Element_Stiffness!Y132,0)),IF(Element_Stiffness!$E$110=3,IF(7=Element_Stiffness!$C$110,Element_Stiffness!S138,IF(7=Element_Stiffness!$E$110,Element_Stiffness!Y138,0)),0)),0)+IF(Element_Stiffness!$C$146,IF(Element_Stiffness!$C$145=3,IF(7=Element_Stiffness!$C$145,Element_Stiffness!S167,IF(7=Element_Stiffness!$E$145,Element_Stiffness!Y167,0)),IF(Element_Stiffness!$E$145=3,IF(7=Element_Stiffness!$C$145,Element_Stiffness!S173,IF(7=Element_Stiffness!$E$145,Element_Stiffness!Y173,0)),0)),0)+IF(Element_Stiffness!$C$181,IF(Element_Stiffness!$C$180=3,IF(7=Element_Stiffness!$C$180,Element_Stiffness!S202,IF(7=Element_Stiffness!$E$180,Element_Stiffness!Y202,0)),IF(Element_Stiffness!$E$180=3,IF(7=Element_Stiffness!$C$180,Element_Stiffness!S208,IF(7=Element_Stiffness!$E$180,Element_Stiffness!Y208,0)),0)),0)+IF(Element_Stiffness!$C$216,IF(Element_Stiffness!$C$215=3,IF(7=Element_Stiffness!$C$215,Element_Stiffness!S237,IF(7=Element_Stiffness!$E$215,Element_Stiffness!Y237,0)),IF(Element_Stiffness!$E$215=3,IF(7=Element_Stiffness!$C$215,Element_Stiffness!S243,IF(7=Element_Stiffness!$E$215,Element_Stiffness!Y243,0)),0)),0)</f>
        <v/>
      </c>
      <c r="AW24" s="21">
        <f>IF(Element_Stiffness!$C$6,IF(Element_Stiffness!$C$5=3,IF(7=Element_Stiffness!$C$5,Element_Stiffness!T27,IF(7=Element_Stiffness!$E$5,Element_Stiffness!Z27,0)),IF(Element_Stiffness!$E$5=3,IF(7=Element_Stiffness!$C$5,Element_Stiffness!T33,IF(7=Element_Stiffness!$E$5,Element_Stiffness!Z33,0)),0)),0)+IF(Element_Stiffness!$C$41,IF(Element_Stiffness!$C$40=3,IF(7=Element_Stiffness!$C$40,Element_Stiffness!T62,IF(7=Element_Stiffness!$E$40,Element_Stiffness!Z62,0)),IF(Element_Stiffness!$E$40=3,IF(7=Element_Stiffness!$C$40,Element_Stiffness!T68,IF(7=Element_Stiffness!$E$40,Element_Stiffness!Z68,0)),0)),0)+IF(Element_Stiffness!$C$76,IF(Element_Stiffness!$C$75=3,IF(7=Element_Stiffness!$C$75,Element_Stiffness!T97,IF(7=Element_Stiffness!$E$75,Element_Stiffness!Z97,0)),IF(Element_Stiffness!$E$75=3,IF(7=Element_Stiffness!$C$75,Element_Stiffness!T103,IF(7=Element_Stiffness!$E$75,Element_Stiffness!Z103,0)),0)),0)+IF(Element_Stiffness!$C$111,IF(Element_Stiffness!$C$110=3,IF(7=Element_Stiffness!$C$110,Element_Stiffness!T132,IF(7=Element_Stiffness!$E$110,Element_Stiffness!Z132,0)),IF(Element_Stiffness!$E$110=3,IF(7=Element_Stiffness!$C$110,Element_Stiffness!T138,IF(7=Element_Stiffness!$E$110,Element_Stiffness!Z138,0)),0)),0)+IF(Element_Stiffness!$C$146,IF(Element_Stiffness!$C$145=3,IF(7=Element_Stiffness!$C$145,Element_Stiffness!T167,IF(7=Element_Stiffness!$E$145,Element_Stiffness!Z167,0)),IF(Element_Stiffness!$E$145=3,IF(7=Element_Stiffness!$C$145,Element_Stiffness!T173,IF(7=Element_Stiffness!$E$145,Element_Stiffness!Z173,0)),0)),0)+IF(Element_Stiffness!$C$181,IF(Element_Stiffness!$C$180=3,IF(7=Element_Stiffness!$C$180,Element_Stiffness!T202,IF(7=Element_Stiffness!$E$180,Element_Stiffness!Z202,0)),IF(Element_Stiffness!$E$180=3,IF(7=Element_Stiffness!$C$180,Element_Stiffness!T208,IF(7=Element_Stiffness!$E$180,Element_Stiffness!Z208,0)),0)),0)+IF(Element_Stiffness!$C$216,IF(Element_Stiffness!$C$215=3,IF(7=Element_Stiffness!$C$215,Element_Stiffness!T237,IF(7=Element_Stiffness!$E$215,Element_Stiffness!Z237,0)),IF(Element_Stiffness!$E$215=3,IF(7=Element_Stiffness!$C$215,Element_Stiffness!T243,IF(7=Element_Stiffness!$E$215,Element_Stiffness!Z243,0)),0)),0)</f>
        <v/>
      </c>
      <c r="AX24" s="21">
        <f>IF(Element_Stiffness!$C$6,IF(Element_Stiffness!$C$5=3,IF(7=Element_Stiffness!$C$5,Element_Stiffness!U27,IF(7=Element_Stiffness!$E$5,Element_Stiffness!AA27,0)),IF(Element_Stiffness!$E$5=3,IF(7=Element_Stiffness!$C$5,Element_Stiffness!U33,IF(7=Element_Stiffness!$E$5,Element_Stiffness!AA33,0)),0)),0)+IF(Element_Stiffness!$C$41,IF(Element_Stiffness!$C$40=3,IF(7=Element_Stiffness!$C$40,Element_Stiffness!U62,IF(7=Element_Stiffness!$E$40,Element_Stiffness!AA62,0)),IF(Element_Stiffness!$E$40=3,IF(7=Element_Stiffness!$C$40,Element_Stiffness!U68,IF(7=Element_Stiffness!$E$40,Element_Stiffness!AA68,0)),0)),0)+IF(Element_Stiffness!$C$76,IF(Element_Stiffness!$C$75=3,IF(7=Element_Stiffness!$C$75,Element_Stiffness!U97,IF(7=Element_Stiffness!$E$75,Element_Stiffness!AA97,0)),IF(Element_Stiffness!$E$75=3,IF(7=Element_Stiffness!$C$75,Element_Stiffness!U103,IF(7=Element_Stiffness!$E$75,Element_Stiffness!AA103,0)),0)),0)+IF(Element_Stiffness!$C$111,IF(Element_Stiffness!$C$110=3,IF(7=Element_Stiffness!$C$110,Element_Stiffness!U132,IF(7=Element_Stiffness!$E$110,Element_Stiffness!AA132,0)),IF(Element_Stiffness!$E$110=3,IF(7=Element_Stiffness!$C$110,Element_Stiffness!U138,IF(7=Element_Stiffness!$E$110,Element_Stiffness!AA138,0)),0)),0)+IF(Element_Stiffness!$C$146,IF(Element_Stiffness!$C$145=3,IF(7=Element_Stiffness!$C$145,Element_Stiffness!U167,IF(7=Element_Stiffness!$E$145,Element_Stiffness!AA167,0)),IF(Element_Stiffness!$E$145=3,IF(7=Element_Stiffness!$C$145,Element_Stiffness!U173,IF(7=Element_Stiffness!$E$145,Element_Stiffness!AA173,0)),0)),0)+IF(Element_Stiffness!$C$181,IF(Element_Stiffness!$C$180=3,IF(7=Element_Stiffness!$C$180,Element_Stiffness!U202,IF(7=Element_Stiffness!$E$180,Element_Stiffness!AA202,0)),IF(Element_Stiffness!$E$180=3,IF(7=Element_Stiffness!$C$180,Element_Stiffness!U208,IF(7=Element_Stiffness!$E$180,Element_Stiffness!AA208,0)),0)),0)+IF(Element_Stiffness!$C$216,IF(Element_Stiffness!$C$215=3,IF(7=Element_Stiffness!$C$215,Element_Stiffness!U237,IF(7=Element_Stiffness!$E$215,Element_Stiffness!AA237,0)),IF(Element_Stiffness!$E$215=3,IF(7=Element_Stiffness!$C$215,Element_Stiffness!U243,IF(7=Element_Stiffness!$E$215,Element_Stiffness!AA243,0)),0)),0)</f>
        <v/>
      </c>
      <c r="AY24" s="21" t="n">
        <v>0</v>
      </c>
      <c r="AZ24" s="21">
        <f>IF(Element_Stiffness!$C$6,IF(Element_Stiffness!$C$5=3,Element_Stiffness!C27,IF(Element_Stiffness!$E$5=3,Element_Stiffness!C33,0)),0)+IF(Element_Stiffness!$C$41,IF(Element_Stiffness!$C$40=3,Element_Stiffness!C62,IF(Element_Stiffness!$E$40=3,Element_Stiffness!C68,0)),0)+IF(Element_Stiffness!$C$76,IF(Element_Stiffness!$C$75=3,Element_Stiffness!C97,IF(Element_Stiffness!$E$75=3,Element_Stiffness!C103,0)),0)+IF(Element_Stiffness!$C$111,IF(Element_Stiffness!$C$110=3,Element_Stiffness!C132,IF(Element_Stiffness!$E$110=3,Element_Stiffness!C138,0)),0)+IF(Element_Stiffness!$C$146,IF(Element_Stiffness!$C$145=3,Element_Stiffness!C167,IF(Element_Stiffness!$E$145=3,Element_Stiffness!C173,0)),0)+IF(Element_Stiffness!$C$181,IF(Element_Stiffness!$C$180=3,Element_Stiffness!C202,IF(Element_Stiffness!$E$180=3,Element_Stiffness!C208,0)),0)+IF(Element_Stiffness!$C$216,IF(Element_Stiffness!$C$215=3,Element_Stiffness!C237,IF(Element_Stiffness!$E$215=3,Element_Stiffness!C243,0)),0)</f>
        <v/>
      </c>
      <c r="BB24" s="28">
        <f>INDEX(MMULT(MINVERSE(C5:AX52), AY5:AY52), 20, 1)</f>
        <v/>
      </c>
      <c r="BC24" s="28">
        <f>INDEX(MMULT(MINVERSE(C5:AX52), AZ5:AZ52), 20, 1)</f>
        <v/>
      </c>
    </row>
    <row r="25">
      <c r="B25" s="27" t="inlineStr">
        <is>
          <t>N3_tz</t>
        </is>
      </c>
      <c r="C25" s="21">
        <f>IF(Element_Stiffness!$C$6,IF(Element_Stiffness!$C$5=3,IF(0=Element_Stiffness!$C$5,Element_Stiffness!P28,IF(0=Element_Stiffness!$E$5,Element_Stiffness!V28,0)),IF(Element_Stiffness!$E$5=3,IF(0=Element_Stiffness!$C$5,Element_Stiffness!P34,IF(0=Element_Stiffness!$E$5,Element_Stiffness!V34,0)),0)),0)+IF(Element_Stiffness!$C$41,IF(Element_Stiffness!$C$40=3,IF(0=Element_Stiffness!$C$40,Element_Stiffness!P63,IF(0=Element_Stiffness!$E$40,Element_Stiffness!V63,0)),IF(Element_Stiffness!$E$40=3,IF(0=Element_Stiffness!$C$40,Element_Stiffness!P69,IF(0=Element_Stiffness!$E$40,Element_Stiffness!V69,0)),0)),0)+IF(Element_Stiffness!$C$76,IF(Element_Stiffness!$C$75=3,IF(0=Element_Stiffness!$C$75,Element_Stiffness!P98,IF(0=Element_Stiffness!$E$75,Element_Stiffness!V98,0)),IF(Element_Stiffness!$E$75=3,IF(0=Element_Stiffness!$C$75,Element_Stiffness!P104,IF(0=Element_Stiffness!$E$75,Element_Stiffness!V104,0)),0)),0)+IF(Element_Stiffness!$C$111,IF(Element_Stiffness!$C$110=3,IF(0=Element_Stiffness!$C$110,Element_Stiffness!P133,IF(0=Element_Stiffness!$E$110,Element_Stiffness!V133,0)),IF(Element_Stiffness!$E$110=3,IF(0=Element_Stiffness!$C$110,Element_Stiffness!P139,IF(0=Element_Stiffness!$E$110,Element_Stiffness!V139,0)),0)),0)+IF(Element_Stiffness!$C$146,IF(Element_Stiffness!$C$145=3,IF(0=Element_Stiffness!$C$145,Element_Stiffness!P168,IF(0=Element_Stiffness!$E$145,Element_Stiffness!V168,0)),IF(Element_Stiffness!$E$145=3,IF(0=Element_Stiffness!$C$145,Element_Stiffness!P174,IF(0=Element_Stiffness!$E$145,Element_Stiffness!V174,0)),0)),0)+IF(Element_Stiffness!$C$181,IF(Element_Stiffness!$C$180=3,IF(0=Element_Stiffness!$C$180,Element_Stiffness!P203,IF(0=Element_Stiffness!$E$180,Element_Stiffness!V203,0)),IF(Element_Stiffness!$E$180=3,IF(0=Element_Stiffness!$C$180,Element_Stiffness!P209,IF(0=Element_Stiffness!$E$180,Element_Stiffness!V209,0)),0)),0)+IF(Element_Stiffness!$C$216,IF(Element_Stiffness!$C$215=3,IF(0=Element_Stiffness!$C$215,Element_Stiffness!P238,IF(0=Element_Stiffness!$E$215,Element_Stiffness!V238,0)),IF(Element_Stiffness!$E$215=3,IF(0=Element_Stiffness!$C$215,Element_Stiffness!P244,IF(0=Element_Stiffness!$E$215,Element_Stiffness!V244,0)),0)),0)</f>
        <v/>
      </c>
      <c r="D25" s="21">
        <f>IF(Element_Stiffness!$C$6,IF(Element_Stiffness!$C$5=3,IF(0=Element_Stiffness!$C$5,Element_Stiffness!Q28,IF(0=Element_Stiffness!$E$5,Element_Stiffness!W28,0)),IF(Element_Stiffness!$E$5=3,IF(0=Element_Stiffness!$C$5,Element_Stiffness!Q34,IF(0=Element_Stiffness!$E$5,Element_Stiffness!W34,0)),0)),0)+IF(Element_Stiffness!$C$41,IF(Element_Stiffness!$C$40=3,IF(0=Element_Stiffness!$C$40,Element_Stiffness!Q63,IF(0=Element_Stiffness!$E$40,Element_Stiffness!W63,0)),IF(Element_Stiffness!$E$40=3,IF(0=Element_Stiffness!$C$40,Element_Stiffness!Q69,IF(0=Element_Stiffness!$E$40,Element_Stiffness!W69,0)),0)),0)+IF(Element_Stiffness!$C$76,IF(Element_Stiffness!$C$75=3,IF(0=Element_Stiffness!$C$75,Element_Stiffness!Q98,IF(0=Element_Stiffness!$E$75,Element_Stiffness!W98,0)),IF(Element_Stiffness!$E$75=3,IF(0=Element_Stiffness!$C$75,Element_Stiffness!Q104,IF(0=Element_Stiffness!$E$75,Element_Stiffness!W104,0)),0)),0)+IF(Element_Stiffness!$C$111,IF(Element_Stiffness!$C$110=3,IF(0=Element_Stiffness!$C$110,Element_Stiffness!Q133,IF(0=Element_Stiffness!$E$110,Element_Stiffness!W133,0)),IF(Element_Stiffness!$E$110=3,IF(0=Element_Stiffness!$C$110,Element_Stiffness!Q139,IF(0=Element_Stiffness!$E$110,Element_Stiffness!W139,0)),0)),0)+IF(Element_Stiffness!$C$146,IF(Element_Stiffness!$C$145=3,IF(0=Element_Stiffness!$C$145,Element_Stiffness!Q168,IF(0=Element_Stiffness!$E$145,Element_Stiffness!W168,0)),IF(Element_Stiffness!$E$145=3,IF(0=Element_Stiffness!$C$145,Element_Stiffness!Q174,IF(0=Element_Stiffness!$E$145,Element_Stiffness!W174,0)),0)),0)+IF(Element_Stiffness!$C$181,IF(Element_Stiffness!$C$180=3,IF(0=Element_Stiffness!$C$180,Element_Stiffness!Q203,IF(0=Element_Stiffness!$E$180,Element_Stiffness!W203,0)),IF(Element_Stiffness!$E$180=3,IF(0=Element_Stiffness!$C$180,Element_Stiffness!Q209,IF(0=Element_Stiffness!$E$180,Element_Stiffness!W209,0)),0)),0)+IF(Element_Stiffness!$C$216,IF(Element_Stiffness!$C$215=3,IF(0=Element_Stiffness!$C$215,Element_Stiffness!Q238,IF(0=Element_Stiffness!$E$215,Element_Stiffness!W238,0)),IF(Element_Stiffness!$E$215=3,IF(0=Element_Stiffness!$C$215,Element_Stiffness!Q244,IF(0=Element_Stiffness!$E$215,Element_Stiffness!W244,0)),0)),0)</f>
        <v/>
      </c>
      <c r="E25" s="21">
        <f>IF(Element_Stiffness!$C$6,IF(Element_Stiffness!$C$5=3,IF(0=Element_Stiffness!$C$5,Element_Stiffness!R28,IF(0=Element_Stiffness!$E$5,Element_Stiffness!X28,0)),IF(Element_Stiffness!$E$5=3,IF(0=Element_Stiffness!$C$5,Element_Stiffness!R34,IF(0=Element_Stiffness!$E$5,Element_Stiffness!X34,0)),0)),0)+IF(Element_Stiffness!$C$41,IF(Element_Stiffness!$C$40=3,IF(0=Element_Stiffness!$C$40,Element_Stiffness!R63,IF(0=Element_Stiffness!$E$40,Element_Stiffness!X63,0)),IF(Element_Stiffness!$E$40=3,IF(0=Element_Stiffness!$C$40,Element_Stiffness!R69,IF(0=Element_Stiffness!$E$40,Element_Stiffness!X69,0)),0)),0)+IF(Element_Stiffness!$C$76,IF(Element_Stiffness!$C$75=3,IF(0=Element_Stiffness!$C$75,Element_Stiffness!R98,IF(0=Element_Stiffness!$E$75,Element_Stiffness!X98,0)),IF(Element_Stiffness!$E$75=3,IF(0=Element_Stiffness!$C$75,Element_Stiffness!R104,IF(0=Element_Stiffness!$E$75,Element_Stiffness!X104,0)),0)),0)+IF(Element_Stiffness!$C$111,IF(Element_Stiffness!$C$110=3,IF(0=Element_Stiffness!$C$110,Element_Stiffness!R133,IF(0=Element_Stiffness!$E$110,Element_Stiffness!X133,0)),IF(Element_Stiffness!$E$110=3,IF(0=Element_Stiffness!$C$110,Element_Stiffness!R139,IF(0=Element_Stiffness!$E$110,Element_Stiffness!X139,0)),0)),0)+IF(Element_Stiffness!$C$146,IF(Element_Stiffness!$C$145=3,IF(0=Element_Stiffness!$C$145,Element_Stiffness!R168,IF(0=Element_Stiffness!$E$145,Element_Stiffness!X168,0)),IF(Element_Stiffness!$E$145=3,IF(0=Element_Stiffness!$C$145,Element_Stiffness!R174,IF(0=Element_Stiffness!$E$145,Element_Stiffness!X174,0)),0)),0)+IF(Element_Stiffness!$C$181,IF(Element_Stiffness!$C$180=3,IF(0=Element_Stiffness!$C$180,Element_Stiffness!R203,IF(0=Element_Stiffness!$E$180,Element_Stiffness!X203,0)),IF(Element_Stiffness!$E$180=3,IF(0=Element_Stiffness!$C$180,Element_Stiffness!R209,IF(0=Element_Stiffness!$E$180,Element_Stiffness!X209,0)),0)),0)+IF(Element_Stiffness!$C$216,IF(Element_Stiffness!$C$215=3,IF(0=Element_Stiffness!$C$215,Element_Stiffness!R238,IF(0=Element_Stiffness!$E$215,Element_Stiffness!X238,0)),IF(Element_Stiffness!$E$215=3,IF(0=Element_Stiffness!$C$215,Element_Stiffness!R244,IF(0=Element_Stiffness!$E$215,Element_Stiffness!X244,0)),0)),0)</f>
        <v/>
      </c>
      <c r="F25" s="21">
        <f>IF(Element_Stiffness!$C$6,IF(Element_Stiffness!$C$5=3,IF(0=Element_Stiffness!$C$5,Element_Stiffness!S28,IF(0=Element_Stiffness!$E$5,Element_Stiffness!Y28,0)),IF(Element_Stiffness!$E$5=3,IF(0=Element_Stiffness!$C$5,Element_Stiffness!S34,IF(0=Element_Stiffness!$E$5,Element_Stiffness!Y34,0)),0)),0)+IF(Element_Stiffness!$C$41,IF(Element_Stiffness!$C$40=3,IF(0=Element_Stiffness!$C$40,Element_Stiffness!S63,IF(0=Element_Stiffness!$E$40,Element_Stiffness!Y63,0)),IF(Element_Stiffness!$E$40=3,IF(0=Element_Stiffness!$C$40,Element_Stiffness!S69,IF(0=Element_Stiffness!$E$40,Element_Stiffness!Y69,0)),0)),0)+IF(Element_Stiffness!$C$76,IF(Element_Stiffness!$C$75=3,IF(0=Element_Stiffness!$C$75,Element_Stiffness!S98,IF(0=Element_Stiffness!$E$75,Element_Stiffness!Y98,0)),IF(Element_Stiffness!$E$75=3,IF(0=Element_Stiffness!$C$75,Element_Stiffness!S104,IF(0=Element_Stiffness!$E$75,Element_Stiffness!Y104,0)),0)),0)+IF(Element_Stiffness!$C$111,IF(Element_Stiffness!$C$110=3,IF(0=Element_Stiffness!$C$110,Element_Stiffness!S133,IF(0=Element_Stiffness!$E$110,Element_Stiffness!Y133,0)),IF(Element_Stiffness!$E$110=3,IF(0=Element_Stiffness!$C$110,Element_Stiffness!S139,IF(0=Element_Stiffness!$E$110,Element_Stiffness!Y139,0)),0)),0)+IF(Element_Stiffness!$C$146,IF(Element_Stiffness!$C$145=3,IF(0=Element_Stiffness!$C$145,Element_Stiffness!S168,IF(0=Element_Stiffness!$E$145,Element_Stiffness!Y168,0)),IF(Element_Stiffness!$E$145=3,IF(0=Element_Stiffness!$C$145,Element_Stiffness!S174,IF(0=Element_Stiffness!$E$145,Element_Stiffness!Y174,0)),0)),0)+IF(Element_Stiffness!$C$181,IF(Element_Stiffness!$C$180=3,IF(0=Element_Stiffness!$C$180,Element_Stiffness!S203,IF(0=Element_Stiffness!$E$180,Element_Stiffness!Y203,0)),IF(Element_Stiffness!$E$180=3,IF(0=Element_Stiffness!$C$180,Element_Stiffness!S209,IF(0=Element_Stiffness!$E$180,Element_Stiffness!Y209,0)),0)),0)+IF(Element_Stiffness!$C$216,IF(Element_Stiffness!$C$215=3,IF(0=Element_Stiffness!$C$215,Element_Stiffness!S238,IF(0=Element_Stiffness!$E$215,Element_Stiffness!Y238,0)),IF(Element_Stiffness!$E$215=3,IF(0=Element_Stiffness!$C$215,Element_Stiffness!S244,IF(0=Element_Stiffness!$E$215,Element_Stiffness!Y244,0)),0)),0)</f>
        <v/>
      </c>
      <c r="G25" s="21">
        <f>IF(Element_Stiffness!$C$6,IF(Element_Stiffness!$C$5=3,IF(0=Element_Stiffness!$C$5,Element_Stiffness!T28,IF(0=Element_Stiffness!$E$5,Element_Stiffness!Z28,0)),IF(Element_Stiffness!$E$5=3,IF(0=Element_Stiffness!$C$5,Element_Stiffness!T34,IF(0=Element_Stiffness!$E$5,Element_Stiffness!Z34,0)),0)),0)+IF(Element_Stiffness!$C$41,IF(Element_Stiffness!$C$40=3,IF(0=Element_Stiffness!$C$40,Element_Stiffness!T63,IF(0=Element_Stiffness!$E$40,Element_Stiffness!Z63,0)),IF(Element_Stiffness!$E$40=3,IF(0=Element_Stiffness!$C$40,Element_Stiffness!T69,IF(0=Element_Stiffness!$E$40,Element_Stiffness!Z69,0)),0)),0)+IF(Element_Stiffness!$C$76,IF(Element_Stiffness!$C$75=3,IF(0=Element_Stiffness!$C$75,Element_Stiffness!T98,IF(0=Element_Stiffness!$E$75,Element_Stiffness!Z98,0)),IF(Element_Stiffness!$E$75=3,IF(0=Element_Stiffness!$C$75,Element_Stiffness!T104,IF(0=Element_Stiffness!$E$75,Element_Stiffness!Z104,0)),0)),0)+IF(Element_Stiffness!$C$111,IF(Element_Stiffness!$C$110=3,IF(0=Element_Stiffness!$C$110,Element_Stiffness!T133,IF(0=Element_Stiffness!$E$110,Element_Stiffness!Z133,0)),IF(Element_Stiffness!$E$110=3,IF(0=Element_Stiffness!$C$110,Element_Stiffness!T139,IF(0=Element_Stiffness!$E$110,Element_Stiffness!Z139,0)),0)),0)+IF(Element_Stiffness!$C$146,IF(Element_Stiffness!$C$145=3,IF(0=Element_Stiffness!$C$145,Element_Stiffness!T168,IF(0=Element_Stiffness!$E$145,Element_Stiffness!Z168,0)),IF(Element_Stiffness!$E$145=3,IF(0=Element_Stiffness!$C$145,Element_Stiffness!T174,IF(0=Element_Stiffness!$E$145,Element_Stiffness!Z174,0)),0)),0)+IF(Element_Stiffness!$C$181,IF(Element_Stiffness!$C$180=3,IF(0=Element_Stiffness!$C$180,Element_Stiffness!T203,IF(0=Element_Stiffness!$E$180,Element_Stiffness!Z203,0)),IF(Element_Stiffness!$E$180=3,IF(0=Element_Stiffness!$C$180,Element_Stiffness!T209,IF(0=Element_Stiffness!$E$180,Element_Stiffness!Z209,0)),0)),0)+IF(Element_Stiffness!$C$216,IF(Element_Stiffness!$C$215=3,IF(0=Element_Stiffness!$C$215,Element_Stiffness!T238,IF(0=Element_Stiffness!$E$215,Element_Stiffness!Z238,0)),IF(Element_Stiffness!$E$215=3,IF(0=Element_Stiffness!$C$215,Element_Stiffness!T244,IF(0=Element_Stiffness!$E$215,Element_Stiffness!Z244,0)),0)),0)</f>
        <v/>
      </c>
      <c r="H25" s="21">
        <f>IF(Element_Stiffness!$C$6,IF(Element_Stiffness!$C$5=3,IF(0=Element_Stiffness!$C$5,Element_Stiffness!U28,IF(0=Element_Stiffness!$E$5,Element_Stiffness!AA28,0)),IF(Element_Stiffness!$E$5=3,IF(0=Element_Stiffness!$C$5,Element_Stiffness!U34,IF(0=Element_Stiffness!$E$5,Element_Stiffness!AA34,0)),0)),0)+IF(Element_Stiffness!$C$41,IF(Element_Stiffness!$C$40=3,IF(0=Element_Stiffness!$C$40,Element_Stiffness!U63,IF(0=Element_Stiffness!$E$40,Element_Stiffness!AA63,0)),IF(Element_Stiffness!$E$40=3,IF(0=Element_Stiffness!$C$40,Element_Stiffness!U69,IF(0=Element_Stiffness!$E$40,Element_Stiffness!AA69,0)),0)),0)+IF(Element_Stiffness!$C$76,IF(Element_Stiffness!$C$75=3,IF(0=Element_Stiffness!$C$75,Element_Stiffness!U98,IF(0=Element_Stiffness!$E$75,Element_Stiffness!AA98,0)),IF(Element_Stiffness!$E$75=3,IF(0=Element_Stiffness!$C$75,Element_Stiffness!U104,IF(0=Element_Stiffness!$E$75,Element_Stiffness!AA104,0)),0)),0)+IF(Element_Stiffness!$C$111,IF(Element_Stiffness!$C$110=3,IF(0=Element_Stiffness!$C$110,Element_Stiffness!U133,IF(0=Element_Stiffness!$E$110,Element_Stiffness!AA133,0)),IF(Element_Stiffness!$E$110=3,IF(0=Element_Stiffness!$C$110,Element_Stiffness!U139,IF(0=Element_Stiffness!$E$110,Element_Stiffness!AA139,0)),0)),0)+IF(Element_Stiffness!$C$146,IF(Element_Stiffness!$C$145=3,IF(0=Element_Stiffness!$C$145,Element_Stiffness!U168,IF(0=Element_Stiffness!$E$145,Element_Stiffness!AA168,0)),IF(Element_Stiffness!$E$145=3,IF(0=Element_Stiffness!$C$145,Element_Stiffness!U174,IF(0=Element_Stiffness!$E$145,Element_Stiffness!AA174,0)),0)),0)+IF(Element_Stiffness!$C$181,IF(Element_Stiffness!$C$180=3,IF(0=Element_Stiffness!$C$180,Element_Stiffness!U203,IF(0=Element_Stiffness!$E$180,Element_Stiffness!AA203,0)),IF(Element_Stiffness!$E$180=3,IF(0=Element_Stiffness!$C$180,Element_Stiffness!U209,IF(0=Element_Stiffness!$E$180,Element_Stiffness!AA209,0)),0)),0)+IF(Element_Stiffness!$C$216,IF(Element_Stiffness!$C$215=3,IF(0=Element_Stiffness!$C$215,Element_Stiffness!U238,IF(0=Element_Stiffness!$E$215,Element_Stiffness!AA238,0)),IF(Element_Stiffness!$E$215=3,IF(0=Element_Stiffness!$C$215,Element_Stiffness!U244,IF(0=Element_Stiffness!$E$215,Element_Stiffness!AA244,0)),0)),0)</f>
        <v/>
      </c>
      <c r="I25" s="21">
        <f>IF(Element_Stiffness!$C$6,IF(Element_Stiffness!$C$5=3,IF(1=Element_Stiffness!$C$5,Element_Stiffness!P28,IF(1=Element_Stiffness!$E$5,Element_Stiffness!V28,0)),IF(Element_Stiffness!$E$5=3,IF(1=Element_Stiffness!$C$5,Element_Stiffness!P34,IF(1=Element_Stiffness!$E$5,Element_Stiffness!V34,0)),0)),0)+IF(Element_Stiffness!$C$41,IF(Element_Stiffness!$C$40=3,IF(1=Element_Stiffness!$C$40,Element_Stiffness!P63,IF(1=Element_Stiffness!$E$40,Element_Stiffness!V63,0)),IF(Element_Stiffness!$E$40=3,IF(1=Element_Stiffness!$C$40,Element_Stiffness!P69,IF(1=Element_Stiffness!$E$40,Element_Stiffness!V69,0)),0)),0)+IF(Element_Stiffness!$C$76,IF(Element_Stiffness!$C$75=3,IF(1=Element_Stiffness!$C$75,Element_Stiffness!P98,IF(1=Element_Stiffness!$E$75,Element_Stiffness!V98,0)),IF(Element_Stiffness!$E$75=3,IF(1=Element_Stiffness!$C$75,Element_Stiffness!P104,IF(1=Element_Stiffness!$E$75,Element_Stiffness!V104,0)),0)),0)+IF(Element_Stiffness!$C$111,IF(Element_Stiffness!$C$110=3,IF(1=Element_Stiffness!$C$110,Element_Stiffness!P133,IF(1=Element_Stiffness!$E$110,Element_Stiffness!V133,0)),IF(Element_Stiffness!$E$110=3,IF(1=Element_Stiffness!$C$110,Element_Stiffness!P139,IF(1=Element_Stiffness!$E$110,Element_Stiffness!V139,0)),0)),0)+IF(Element_Stiffness!$C$146,IF(Element_Stiffness!$C$145=3,IF(1=Element_Stiffness!$C$145,Element_Stiffness!P168,IF(1=Element_Stiffness!$E$145,Element_Stiffness!V168,0)),IF(Element_Stiffness!$E$145=3,IF(1=Element_Stiffness!$C$145,Element_Stiffness!P174,IF(1=Element_Stiffness!$E$145,Element_Stiffness!V174,0)),0)),0)+IF(Element_Stiffness!$C$181,IF(Element_Stiffness!$C$180=3,IF(1=Element_Stiffness!$C$180,Element_Stiffness!P203,IF(1=Element_Stiffness!$E$180,Element_Stiffness!V203,0)),IF(Element_Stiffness!$E$180=3,IF(1=Element_Stiffness!$C$180,Element_Stiffness!P209,IF(1=Element_Stiffness!$E$180,Element_Stiffness!V209,0)),0)),0)+IF(Element_Stiffness!$C$216,IF(Element_Stiffness!$C$215=3,IF(1=Element_Stiffness!$C$215,Element_Stiffness!P238,IF(1=Element_Stiffness!$E$215,Element_Stiffness!V238,0)),IF(Element_Stiffness!$E$215=3,IF(1=Element_Stiffness!$C$215,Element_Stiffness!P244,IF(1=Element_Stiffness!$E$215,Element_Stiffness!V244,0)),0)),0)</f>
        <v/>
      </c>
      <c r="J25" s="21">
        <f>IF(Element_Stiffness!$C$6,IF(Element_Stiffness!$C$5=3,IF(1=Element_Stiffness!$C$5,Element_Stiffness!Q28,IF(1=Element_Stiffness!$E$5,Element_Stiffness!W28,0)),IF(Element_Stiffness!$E$5=3,IF(1=Element_Stiffness!$C$5,Element_Stiffness!Q34,IF(1=Element_Stiffness!$E$5,Element_Stiffness!W34,0)),0)),0)+IF(Element_Stiffness!$C$41,IF(Element_Stiffness!$C$40=3,IF(1=Element_Stiffness!$C$40,Element_Stiffness!Q63,IF(1=Element_Stiffness!$E$40,Element_Stiffness!W63,0)),IF(Element_Stiffness!$E$40=3,IF(1=Element_Stiffness!$C$40,Element_Stiffness!Q69,IF(1=Element_Stiffness!$E$40,Element_Stiffness!W69,0)),0)),0)+IF(Element_Stiffness!$C$76,IF(Element_Stiffness!$C$75=3,IF(1=Element_Stiffness!$C$75,Element_Stiffness!Q98,IF(1=Element_Stiffness!$E$75,Element_Stiffness!W98,0)),IF(Element_Stiffness!$E$75=3,IF(1=Element_Stiffness!$C$75,Element_Stiffness!Q104,IF(1=Element_Stiffness!$E$75,Element_Stiffness!W104,0)),0)),0)+IF(Element_Stiffness!$C$111,IF(Element_Stiffness!$C$110=3,IF(1=Element_Stiffness!$C$110,Element_Stiffness!Q133,IF(1=Element_Stiffness!$E$110,Element_Stiffness!W133,0)),IF(Element_Stiffness!$E$110=3,IF(1=Element_Stiffness!$C$110,Element_Stiffness!Q139,IF(1=Element_Stiffness!$E$110,Element_Stiffness!W139,0)),0)),0)+IF(Element_Stiffness!$C$146,IF(Element_Stiffness!$C$145=3,IF(1=Element_Stiffness!$C$145,Element_Stiffness!Q168,IF(1=Element_Stiffness!$E$145,Element_Stiffness!W168,0)),IF(Element_Stiffness!$E$145=3,IF(1=Element_Stiffness!$C$145,Element_Stiffness!Q174,IF(1=Element_Stiffness!$E$145,Element_Stiffness!W174,0)),0)),0)+IF(Element_Stiffness!$C$181,IF(Element_Stiffness!$C$180=3,IF(1=Element_Stiffness!$C$180,Element_Stiffness!Q203,IF(1=Element_Stiffness!$E$180,Element_Stiffness!W203,0)),IF(Element_Stiffness!$E$180=3,IF(1=Element_Stiffness!$C$180,Element_Stiffness!Q209,IF(1=Element_Stiffness!$E$180,Element_Stiffness!W209,0)),0)),0)+IF(Element_Stiffness!$C$216,IF(Element_Stiffness!$C$215=3,IF(1=Element_Stiffness!$C$215,Element_Stiffness!Q238,IF(1=Element_Stiffness!$E$215,Element_Stiffness!W238,0)),IF(Element_Stiffness!$E$215=3,IF(1=Element_Stiffness!$C$215,Element_Stiffness!Q244,IF(1=Element_Stiffness!$E$215,Element_Stiffness!W244,0)),0)),0)</f>
        <v/>
      </c>
      <c r="K25" s="21">
        <f>IF(Element_Stiffness!$C$6,IF(Element_Stiffness!$C$5=3,IF(1=Element_Stiffness!$C$5,Element_Stiffness!R28,IF(1=Element_Stiffness!$E$5,Element_Stiffness!X28,0)),IF(Element_Stiffness!$E$5=3,IF(1=Element_Stiffness!$C$5,Element_Stiffness!R34,IF(1=Element_Stiffness!$E$5,Element_Stiffness!X34,0)),0)),0)+IF(Element_Stiffness!$C$41,IF(Element_Stiffness!$C$40=3,IF(1=Element_Stiffness!$C$40,Element_Stiffness!R63,IF(1=Element_Stiffness!$E$40,Element_Stiffness!X63,0)),IF(Element_Stiffness!$E$40=3,IF(1=Element_Stiffness!$C$40,Element_Stiffness!R69,IF(1=Element_Stiffness!$E$40,Element_Stiffness!X69,0)),0)),0)+IF(Element_Stiffness!$C$76,IF(Element_Stiffness!$C$75=3,IF(1=Element_Stiffness!$C$75,Element_Stiffness!R98,IF(1=Element_Stiffness!$E$75,Element_Stiffness!X98,0)),IF(Element_Stiffness!$E$75=3,IF(1=Element_Stiffness!$C$75,Element_Stiffness!R104,IF(1=Element_Stiffness!$E$75,Element_Stiffness!X104,0)),0)),0)+IF(Element_Stiffness!$C$111,IF(Element_Stiffness!$C$110=3,IF(1=Element_Stiffness!$C$110,Element_Stiffness!R133,IF(1=Element_Stiffness!$E$110,Element_Stiffness!X133,0)),IF(Element_Stiffness!$E$110=3,IF(1=Element_Stiffness!$C$110,Element_Stiffness!R139,IF(1=Element_Stiffness!$E$110,Element_Stiffness!X139,0)),0)),0)+IF(Element_Stiffness!$C$146,IF(Element_Stiffness!$C$145=3,IF(1=Element_Stiffness!$C$145,Element_Stiffness!R168,IF(1=Element_Stiffness!$E$145,Element_Stiffness!X168,0)),IF(Element_Stiffness!$E$145=3,IF(1=Element_Stiffness!$C$145,Element_Stiffness!R174,IF(1=Element_Stiffness!$E$145,Element_Stiffness!X174,0)),0)),0)+IF(Element_Stiffness!$C$181,IF(Element_Stiffness!$C$180=3,IF(1=Element_Stiffness!$C$180,Element_Stiffness!R203,IF(1=Element_Stiffness!$E$180,Element_Stiffness!X203,0)),IF(Element_Stiffness!$E$180=3,IF(1=Element_Stiffness!$C$180,Element_Stiffness!R209,IF(1=Element_Stiffness!$E$180,Element_Stiffness!X209,0)),0)),0)+IF(Element_Stiffness!$C$216,IF(Element_Stiffness!$C$215=3,IF(1=Element_Stiffness!$C$215,Element_Stiffness!R238,IF(1=Element_Stiffness!$E$215,Element_Stiffness!X238,0)),IF(Element_Stiffness!$E$215=3,IF(1=Element_Stiffness!$C$215,Element_Stiffness!R244,IF(1=Element_Stiffness!$E$215,Element_Stiffness!X244,0)),0)),0)</f>
        <v/>
      </c>
      <c r="L25" s="21">
        <f>IF(Element_Stiffness!$C$6,IF(Element_Stiffness!$C$5=3,IF(1=Element_Stiffness!$C$5,Element_Stiffness!S28,IF(1=Element_Stiffness!$E$5,Element_Stiffness!Y28,0)),IF(Element_Stiffness!$E$5=3,IF(1=Element_Stiffness!$C$5,Element_Stiffness!S34,IF(1=Element_Stiffness!$E$5,Element_Stiffness!Y34,0)),0)),0)+IF(Element_Stiffness!$C$41,IF(Element_Stiffness!$C$40=3,IF(1=Element_Stiffness!$C$40,Element_Stiffness!S63,IF(1=Element_Stiffness!$E$40,Element_Stiffness!Y63,0)),IF(Element_Stiffness!$E$40=3,IF(1=Element_Stiffness!$C$40,Element_Stiffness!S69,IF(1=Element_Stiffness!$E$40,Element_Stiffness!Y69,0)),0)),0)+IF(Element_Stiffness!$C$76,IF(Element_Stiffness!$C$75=3,IF(1=Element_Stiffness!$C$75,Element_Stiffness!S98,IF(1=Element_Stiffness!$E$75,Element_Stiffness!Y98,0)),IF(Element_Stiffness!$E$75=3,IF(1=Element_Stiffness!$C$75,Element_Stiffness!S104,IF(1=Element_Stiffness!$E$75,Element_Stiffness!Y104,0)),0)),0)+IF(Element_Stiffness!$C$111,IF(Element_Stiffness!$C$110=3,IF(1=Element_Stiffness!$C$110,Element_Stiffness!S133,IF(1=Element_Stiffness!$E$110,Element_Stiffness!Y133,0)),IF(Element_Stiffness!$E$110=3,IF(1=Element_Stiffness!$C$110,Element_Stiffness!S139,IF(1=Element_Stiffness!$E$110,Element_Stiffness!Y139,0)),0)),0)+IF(Element_Stiffness!$C$146,IF(Element_Stiffness!$C$145=3,IF(1=Element_Stiffness!$C$145,Element_Stiffness!S168,IF(1=Element_Stiffness!$E$145,Element_Stiffness!Y168,0)),IF(Element_Stiffness!$E$145=3,IF(1=Element_Stiffness!$C$145,Element_Stiffness!S174,IF(1=Element_Stiffness!$E$145,Element_Stiffness!Y174,0)),0)),0)+IF(Element_Stiffness!$C$181,IF(Element_Stiffness!$C$180=3,IF(1=Element_Stiffness!$C$180,Element_Stiffness!S203,IF(1=Element_Stiffness!$E$180,Element_Stiffness!Y203,0)),IF(Element_Stiffness!$E$180=3,IF(1=Element_Stiffness!$C$180,Element_Stiffness!S209,IF(1=Element_Stiffness!$E$180,Element_Stiffness!Y209,0)),0)),0)+IF(Element_Stiffness!$C$216,IF(Element_Stiffness!$C$215=3,IF(1=Element_Stiffness!$C$215,Element_Stiffness!S238,IF(1=Element_Stiffness!$E$215,Element_Stiffness!Y238,0)),IF(Element_Stiffness!$E$215=3,IF(1=Element_Stiffness!$C$215,Element_Stiffness!S244,IF(1=Element_Stiffness!$E$215,Element_Stiffness!Y244,0)),0)),0)</f>
        <v/>
      </c>
      <c r="M25" s="21">
        <f>IF(Element_Stiffness!$C$6,IF(Element_Stiffness!$C$5=3,IF(1=Element_Stiffness!$C$5,Element_Stiffness!T28,IF(1=Element_Stiffness!$E$5,Element_Stiffness!Z28,0)),IF(Element_Stiffness!$E$5=3,IF(1=Element_Stiffness!$C$5,Element_Stiffness!T34,IF(1=Element_Stiffness!$E$5,Element_Stiffness!Z34,0)),0)),0)+IF(Element_Stiffness!$C$41,IF(Element_Stiffness!$C$40=3,IF(1=Element_Stiffness!$C$40,Element_Stiffness!T63,IF(1=Element_Stiffness!$E$40,Element_Stiffness!Z63,0)),IF(Element_Stiffness!$E$40=3,IF(1=Element_Stiffness!$C$40,Element_Stiffness!T69,IF(1=Element_Stiffness!$E$40,Element_Stiffness!Z69,0)),0)),0)+IF(Element_Stiffness!$C$76,IF(Element_Stiffness!$C$75=3,IF(1=Element_Stiffness!$C$75,Element_Stiffness!T98,IF(1=Element_Stiffness!$E$75,Element_Stiffness!Z98,0)),IF(Element_Stiffness!$E$75=3,IF(1=Element_Stiffness!$C$75,Element_Stiffness!T104,IF(1=Element_Stiffness!$E$75,Element_Stiffness!Z104,0)),0)),0)+IF(Element_Stiffness!$C$111,IF(Element_Stiffness!$C$110=3,IF(1=Element_Stiffness!$C$110,Element_Stiffness!T133,IF(1=Element_Stiffness!$E$110,Element_Stiffness!Z133,0)),IF(Element_Stiffness!$E$110=3,IF(1=Element_Stiffness!$C$110,Element_Stiffness!T139,IF(1=Element_Stiffness!$E$110,Element_Stiffness!Z139,0)),0)),0)+IF(Element_Stiffness!$C$146,IF(Element_Stiffness!$C$145=3,IF(1=Element_Stiffness!$C$145,Element_Stiffness!T168,IF(1=Element_Stiffness!$E$145,Element_Stiffness!Z168,0)),IF(Element_Stiffness!$E$145=3,IF(1=Element_Stiffness!$C$145,Element_Stiffness!T174,IF(1=Element_Stiffness!$E$145,Element_Stiffness!Z174,0)),0)),0)+IF(Element_Stiffness!$C$181,IF(Element_Stiffness!$C$180=3,IF(1=Element_Stiffness!$C$180,Element_Stiffness!T203,IF(1=Element_Stiffness!$E$180,Element_Stiffness!Z203,0)),IF(Element_Stiffness!$E$180=3,IF(1=Element_Stiffness!$C$180,Element_Stiffness!T209,IF(1=Element_Stiffness!$E$180,Element_Stiffness!Z209,0)),0)),0)+IF(Element_Stiffness!$C$216,IF(Element_Stiffness!$C$215=3,IF(1=Element_Stiffness!$C$215,Element_Stiffness!T238,IF(1=Element_Stiffness!$E$215,Element_Stiffness!Z238,0)),IF(Element_Stiffness!$E$215=3,IF(1=Element_Stiffness!$C$215,Element_Stiffness!T244,IF(1=Element_Stiffness!$E$215,Element_Stiffness!Z244,0)),0)),0)</f>
        <v/>
      </c>
      <c r="N25" s="21">
        <f>IF(Element_Stiffness!$C$6,IF(Element_Stiffness!$C$5=3,IF(1=Element_Stiffness!$C$5,Element_Stiffness!U28,IF(1=Element_Stiffness!$E$5,Element_Stiffness!AA28,0)),IF(Element_Stiffness!$E$5=3,IF(1=Element_Stiffness!$C$5,Element_Stiffness!U34,IF(1=Element_Stiffness!$E$5,Element_Stiffness!AA34,0)),0)),0)+IF(Element_Stiffness!$C$41,IF(Element_Stiffness!$C$40=3,IF(1=Element_Stiffness!$C$40,Element_Stiffness!U63,IF(1=Element_Stiffness!$E$40,Element_Stiffness!AA63,0)),IF(Element_Stiffness!$E$40=3,IF(1=Element_Stiffness!$C$40,Element_Stiffness!U69,IF(1=Element_Stiffness!$E$40,Element_Stiffness!AA69,0)),0)),0)+IF(Element_Stiffness!$C$76,IF(Element_Stiffness!$C$75=3,IF(1=Element_Stiffness!$C$75,Element_Stiffness!U98,IF(1=Element_Stiffness!$E$75,Element_Stiffness!AA98,0)),IF(Element_Stiffness!$E$75=3,IF(1=Element_Stiffness!$C$75,Element_Stiffness!U104,IF(1=Element_Stiffness!$E$75,Element_Stiffness!AA104,0)),0)),0)+IF(Element_Stiffness!$C$111,IF(Element_Stiffness!$C$110=3,IF(1=Element_Stiffness!$C$110,Element_Stiffness!U133,IF(1=Element_Stiffness!$E$110,Element_Stiffness!AA133,0)),IF(Element_Stiffness!$E$110=3,IF(1=Element_Stiffness!$C$110,Element_Stiffness!U139,IF(1=Element_Stiffness!$E$110,Element_Stiffness!AA139,0)),0)),0)+IF(Element_Stiffness!$C$146,IF(Element_Stiffness!$C$145=3,IF(1=Element_Stiffness!$C$145,Element_Stiffness!U168,IF(1=Element_Stiffness!$E$145,Element_Stiffness!AA168,0)),IF(Element_Stiffness!$E$145=3,IF(1=Element_Stiffness!$C$145,Element_Stiffness!U174,IF(1=Element_Stiffness!$E$145,Element_Stiffness!AA174,0)),0)),0)+IF(Element_Stiffness!$C$181,IF(Element_Stiffness!$C$180=3,IF(1=Element_Stiffness!$C$180,Element_Stiffness!U203,IF(1=Element_Stiffness!$E$180,Element_Stiffness!AA203,0)),IF(Element_Stiffness!$E$180=3,IF(1=Element_Stiffness!$C$180,Element_Stiffness!U209,IF(1=Element_Stiffness!$E$180,Element_Stiffness!AA209,0)),0)),0)+IF(Element_Stiffness!$C$216,IF(Element_Stiffness!$C$215=3,IF(1=Element_Stiffness!$C$215,Element_Stiffness!U238,IF(1=Element_Stiffness!$E$215,Element_Stiffness!AA238,0)),IF(Element_Stiffness!$E$215=3,IF(1=Element_Stiffness!$C$215,Element_Stiffness!U244,IF(1=Element_Stiffness!$E$215,Element_Stiffness!AA244,0)),0)),0)</f>
        <v/>
      </c>
      <c r="O25" s="21">
        <f>IF(Element_Stiffness!$C$6,IF(Element_Stiffness!$C$5=3,IF(2=Element_Stiffness!$C$5,Element_Stiffness!P28,IF(2=Element_Stiffness!$E$5,Element_Stiffness!V28,0)),IF(Element_Stiffness!$E$5=3,IF(2=Element_Stiffness!$C$5,Element_Stiffness!P34,IF(2=Element_Stiffness!$E$5,Element_Stiffness!V34,0)),0)),0)+IF(Element_Stiffness!$C$41,IF(Element_Stiffness!$C$40=3,IF(2=Element_Stiffness!$C$40,Element_Stiffness!P63,IF(2=Element_Stiffness!$E$40,Element_Stiffness!V63,0)),IF(Element_Stiffness!$E$40=3,IF(2=Element_Stiffness!$C$40,Element_Stiffness!P69,IF(2=Element_Stiffness!$E$40,Element_Stiffness!V69,0)),0)),0)+IF(Element_Stiffness!$C$76,IF(Element_Stiffness!$C$75=3,IF(2=Element_Stiffness!$C$75,Element_Stiffness!P98,IF(2=Element_Stiffness!$E$75,Element_Stiffness!V98,0)),IF(Element_Stiffness!$E$75=3,IF(2=Element_Stiffness!$C$75,Element_Stiffness!P104,IF(2=Element_Stiffness!$E$75,Element_Stiffness!V104,0)),0)),0)+IF(Element_Stiffness!$C$111,IF(Element_Stiffness!$C$110=3,IF(2=Element_Stiffness!$C$110,Element_Stiffness!P133,IF(2=Element_Stiffness!$E$110,Element_Stiffness!V133,0)),IF(Element_Stiffness!$E$110=3,IF(2=Element_Stiffness!$C$110,Element_Stiffness!P139,IF(2=Element_Stiffness!$E$110,Element_Stiffness!V139,0)),0)),0)+IF(Element_Stiffness!$C$146,IF(Element_Stiffness!$C$145=3,IF(2=Element_Stiffness!$C$145,Element_Stiffness!P168,IF(2=Element_Stiffness!$E$145,Element_Stiffness!V168,0)),IF(Element_Stiffness!$E$145=3,IF(2=Element_Stiffness!$C$145,Element_Stiffness!P174,IF(2=Element_Stiffness!$E$145,Element_Stiffness!V174,0)),0)),0)+IF(Element_Stiffness!$C$181,IF(Element_Stiffness!$C$180=3,IF(2=Element_Stiffness!$C$180,Element_Stiffness!P203,IF(2=Element_Stiffness!$E$180,Element_Stiffness!V203,0)),IF(Element_Stiffness!$E$180=3,IF(2=Element_Stiffness!$C$180,Element_Stiffness!P209,IF(2=Element_Stiffness!$E$180,Element_Stiffness!V209,0)),0)),0)+IF(Element_Stiffness!$C$216,IF(Element_Stiffness!$C$215=3,IF(2=Element_Stiffness!$C$215,Element_Stiffness!P238,IF(2=Element_Stiffness!$E$215,Element_Stiffness!V238,0)),IF(Element_Stiffness!$E$215=3,IF(2=Element_Stiffness!$C$215,Element_Stiffness!P244,IF(2=Element_Stiffness!$E$215,Element_Stiffness!V244,0)),0)),0)</f>
        <v/>
      </c>
      <c r="P25" s="21">
        <f>IF(Element_Stiffness!$C$6,IF(Element_Stiffness!$C$5=3,IF(2=Element_Stiffness!$C$5,Element_Stiffness!Q28,IF(2=Element_Stiffness!$E$5,Element_Stiffness!W28,0)),IF(Element_Stiffness!$E$5=3,IF(2=Element_Stiffness!$C$5,Element_Stiffness!Q34,IF(2=Element_Stiffness!$E$5,Element_Stiffness!W34,0)),0)),0)+IF(Element_Stiffness!$C$41,IF(Element_Stiffness!$C$40=3,IF(2=Element_Stiffness!$C$40,Element_Stiffness!Q63,IF(2=Element_Stiffness!$E$40,Element_Stiffness!W63,0)),IF(Element_Stiffness!$E$40=3,IF(2=Element_Stiffness!$C$40,Element_Stiffness!Q69,IF(2=Element_Stiffness!$E$40,Element_Stiffness!W69,0)),0)),0)+IF(Element_Stiffness!$C$76,IF(Element_Stiffness!$C$75=3,IF(2=Element_Stiffness!$C$75,Element_Stiffness!Q98,IF(2=Element_Stiffness!$E$75,Element_Stiffness!W98,0)),IF(Element_Stiffness!$E$75=3,IF(2=Element_Stiffness!$C$75,Element_Stiffness!Q104,IF(2=Element_Stiffness!$E$75,Element_Stiffness!W104,0)),0)),0)+IF(Element_Stiffness!$C$111,IF(Element_Stiffness!$C$110=3,IF(2=Element_Stiffness!$C$110,Element_Stiffness!Q133,IF(2=Element_Stiffness!$E$110,Element_Stiffness!W133,0)),IF(Element_Stiffness!$E$110=3,IF(2=Element_Stiffness!$C$110,Element_Stiffness!Q139,IF(2=Element_Stiffness!$E$110,Element_Stiffness!W139,0)),0)),0)+IF(Element_Stiffness!$C$146,IF(Element_Stiffness!$C$145=3,IF(2=Element_Stiffness!$C$145,Element_Stiffness!Q168,IF(2=Element_Stiffness!$E$145,Element_Stiffness!W168,0)),IF(Element_Stiffness!$E$145=3,IF(2=Element_Stiffness!$C$145,Element_Stiffness!Q174,IF(2=Element_Stiffness!$E$145,Element_Stiffness!W174,0)),0)),0)+IF(Element_Stiffness!$C$181,IF(Element_Stiffness!$C$180=3,IF(2=Element_Stiffness!$C$180,Element_Stiffness!Q203,IF(2=Element_Stiffness!$E$180,Element_Stiffness!W203,0)),IF(Element_Stiffness!$E$180=3,IF(2=Element_Stiffness!$C$180,Element_Stiffness!Q209,IF(2=Element_Stiffness!$E$180,Element_Stiffness!W209,0)),0)),0)+IF(Element_Stiffness!$C$216,IF(Element_Stiffness!$C$215=3,IF(2=Element_Stiffness!$C$215,Element_Stiffness!Q238,IF(2=Element_Stiffness!$E$215,Element_Stiffness!W238,0)),IF(Element_Stiffness!$E$215=3,IF(2=Element_Stiffness!$C$215,Element_Stiffness!Q244,IF(2=Element_Stiffness!$E$215,Element_Stiffness!W244,0)),0)),0)</f>
        <v/>
      </c>
      <c r="Q25" s="21">
        <f>IF(Element_Stiffness!$C$6,IF(Element_Stiffness!$C$5=3,IF(2=Element_Stiffness!$C$5,Element_Stiffness!R28,IF(2=Element_Stiffness!$E$5,Element_Stiffness!X28,0)),IF(Element_Stiffness!$E$5=3,IF(2=Element_Stiffness!$C$5,Element_Stiffness!R34,IF(2=Element_Stiffness!$E$5,Element_Stiffness!X34,0)),0)),0)+IF(Element_Stiffness!$C$41,IF(Element_Stiffness!$C$40=3,IF(2=Element_Stiffness!$C$40,Element_Stiffness!R63,IF(2=Element_Stiffness!$E$40,Element_Stiffness!X63,0)),IF(Element_Stiffness!$E$40=3,IF(2=Element_Stiffness!$C$40,Element_Stiffness!R69,IF(2=Element_Stiffness!$E$40,Element_Stiffness!X69,0)),0)),0)+IF(Element_Stiffness!$C$76,IF(Element_Stiffness!$C$75=3,IF(2=Element_Stiffness!$C$75,Element_Stiffness!R98,IF(2=Element_Stiffness!$E$75,Element_Stiffness!X98,0)),IF(Element_Stiffness!$E$75=3,IF(2=Element_Stiffness!$C$75,Element_Stiffness!R104,IF(2=Element_Stiffness!$E$75,Element_Stiffness!X104,0)),0)),0)+IF(Element_Stiffness!$C$111,IF(Element_Stiffness!$C$110=3,IF(2=Element_Stiffness!$C$110,Element_Stiffness!R133,IF(2=Element_Stiffness!$E$110,Element_Stiffness!X133,0)),IF(Element_Stiffness!$E$110=3,IF(2=Element_Stiffness!$C$110,Element_Stiffness!R139,IF(2=Element_Stiffness!$E$110,Element_Stiffness!X139,0)),0)),0)+IF(Element_Stiffness!$C$146,IF(Element_Stiffness!$C$145=3,IF(2=Element_Stiffness!$C$145,Element_Stiffness!R168,IF(2=Element_Stiffness!$E$145,Element_Stiffness!X168,0)),IF(Element_Stiffness!$E$145=3,IF(2=Element_Stiffness!$C$145,Element_Stiffness!R174,IF(2=Element_Stiffness!$E$145,Element_Stiffness!X174,0)),0)),0)+IF(Element_Stiffness!$C$181,IF(Element_Stiffness!$C$180=3,IF(2=Element_Stiffness!$C$180,Element_Stiffness!R203,IF(2=Element_Stiffness!$E$180,Element_Stiffness!X203,0)),IF(Element_Stiffness!$E$180=3,IF(2=Element_Stiffness!$C$180,Element_Stiffness!R209,IF(2=Element_Stiffness!$E$180,Element_Stiffness!X209,0)),0)),0)+IF(Element_Stiffness!$C$216,IF(Element_Stiffness!$C$215=3,IF(2=Element_Stiffness!$C$215,Element_Stiffness!R238,IF(2=Element_Stiffness!$E$215,Element_Stiffness!X238,0)),IF(Element_Stiffness!$E$215=3,IF(2=Element_Stiffness!$C$215,Element_Stiffness!R244,IF(2=Element_Stiffness!$E$215,Element_Stiffness!X244,0)),0)),0)</f>
        <v/>
      </c>
      <c r="R25" s="21">
        <f>IF(Element_Stiffness!$C$6,IF(Element_Stiffness!$C$5=3,IF(2=Element_Stiffness!$C$5,Element_Stiffness!S28,IF(2=Element_Stiffness!$E$5,Element_Stiffness!Y28,0)),IF(Element_Stiffness!$E$5=3,IF(2=Element_Stiffness!$C$5,Element_Stiffness!S34,IF(2=Element_Stiffness!$E$5,Element_Stiffness!Y34,0)),0)),0)+IF(Element_Stiffness!$C$41,IF(Element_Stiffness!$C$40=3,IF(2=Element_Stiffness!$C$40,Element_Stiffness!S63,IF(2=Element_Stiffness!$E$40,Element_Stiffness!Y63,0)),IF(Element_Stiffness!$E$40=3,IF(2=Element_Stiffness!$C$40,Element_Stiffness!S69,IF(2=Element_Stiffness!$E$40,Element_Stiffness!Y69,0)),0)),0)+IF(Element_Stiffness!$C$76,IF(Element_Stiffness!$C$75=3,IF(2=Element_Stiffness!$C$75,Element_Stiffness!S98,IF(2=Element_Stiffness!$E$75,Element_Stiffness!Y98,0)),IF(Element_Stiffness!$E$75=3,IF(2=Element_Stiffness!$C$75,Element_Stiffness!S104,IF(2=Element_Stiffness!$E$75,Element_Stiffness!Y104,0)),0)),0)+IF(Element_Stiffness!$C$111,IF(Element_Stiffness!$C$110=3,IF(2=Element_Stiffness!$C$110,Element_Stiffness!S133,IF(2=Element_Stiffness!$E$110,Element_Stiffness!Y133,0)),IF(Element_Stiffness!$E$110=3,IF(2=Element_Stiffness!$C$110,Element_Stiffness!S139,IF(2=Element_Stiffness!$E$110,Element_Stiffness!Y139,0)),0)),0)+IF(Element_Stiffness!$C$146,IF(Element_Stiffness!$C$145=3,IF(2=Element_Stiffness!$C$145,Element_Stiffness!S168,IF(2=Element_Stiffness!$E$145,Element_Stiffness!Y168,0)),IF(Element_Stiffness!$E$145=3,IF(2=Element_Stiffness!$C$145,Element_Stiffness!S174,IF(2=Element_Stiffness!$E$145,Element_Stiffness!Y174,0)),0)),0)+IF(Element_Stiffness!$C$181,IF(Element_Stiffness!$C$180=3,IF(2=Element_Stiffness!$C$180,Element_Stiffness!S203,IF(2=Element_Stiffness!$E$180,Element_Stiffness!Y203,0)),IF(Element_Stiffness!$E$180=3,IF(2=Element_Stiffness!$C$180,Element_Stiffness!S209,IF(2=Element_Stiffness!$E$180,Element_Stiffness!Y209,0)),0)),0)+IF(Element_Stiffness!$C$216,IF(Element_Stiffness!$C$215=3,IF(2=Element_Stiffness!$C$215,Element_Stiffness!S238,IF(2=Element_Stiffness!$E$215,Element_Stiffness!Y238,0)),IF(Element_Stiffness!$E$215=3,IF(2=Element_Stiffness!$C$215,Element_Stiffness!S244,IF(2=Element_Stiffness!$E$215,Element_Stiffness!Y244,0)),0)),0)</f>
        <v/>
      </c>
      <c r="S25" s="21">
        <f>IF(Element_Stiffness!$C$6,IF(Element_Stiffness!$C$5=3,IF(2=Element_Stiffness!$C$5,Element_Stiffness!T28,IF(2=Element_Stiffness!$E$5,Element_Stiffness!Z28,0)),IF(Element_Stiffness!$E$5=3,IF(2=Element_Stiffness!$C$5,Element_Stiffness!T34,IF(2=Element_Stiffness!$E$5,Element_Stiffness!Z34,0)),0)),0)+IF(Element_Stiffness!$C$41,IF(Element_Stiffness!$C$40=3,IF(2=Element_Stiffness!$C$40,Element_Stiffness!T63,IF(2=Element_Stiffness!$E$40,Element_Stiffness!Z63,0)),IF(Element_Stiffness!$E$40=3,IF(2=Element_Stiffness!$C$40,Element_Stiffness!T69,IF(2=Element_Stiffness!$E$40,Element_Stiffness!Z69,0)),0)),0)+IF(Element_Stiffness!$C$76,IF(Element_Stiffness!$C$75=3,IF(2=Element_Stiffness!$C$75,Element_Stiffness!T98,IF(2=Element_Stiffness!$E$75,Element_Stiffness!Z98,0)),IF(Element_Stiffness!$E$75=3,IF(2=Element_Stiffness!$C$75,Element_Stiffness!T104,IF(2=Element_Stiffness!$E$75,Element_Stiffness!Z104,0)),0)),0)+IF(Element_Stiffness!$C$111,IF(Element_Stiffness!$C$110=3,IF(2=Element_Stiffness!$C$110,Element_Stiffness!T133,IF(2=Element_Stiffness!$E$110,Element_Stiffness!Z133,0)),IF(Element_Stiffness!$E$110=3,IF(2=Element_Stiffness!$C$110,Element_Stiffness!T139,IF(2=Element_Stiffness!$E$110,Element_Stiffness!Z139,0)),0)),0)+IF(Element_Stiffness!$C$146,IF(Element_Stiffness!$C$145=3,IF(2=Element_Stiffness!$C$145,Element_Stiffness!T168,IF(2=Element_Stiffness!$E$145,Element_Stiffness!Z168,0)),IF(Element_Stiffness!$E$145=3,IF(2=Element_Stiffness!$C$145,Element_Stiffness!T174,IF(2=Element_Stiffness!$E$145,Element_Stiffness!Z174,0)),0)),0)+IF(Element_Stiffness!$C$181,IF(Element_Stiffness!$C$180=3,IF(2=Element_Stiffness!$C$180,Element_Stiffness!T203,IF(2=Element_Stiffness!$E$180,Element_Stiffness!Z203,0)),IF(Element_Stiffness!$E$180=3,IF(2=Element_Stiffness!$C$180,Element_Stiffness!T209,IF(2=Element_Stiffness!$E$180,Element_Stiffness!Z209,0)),0)),0)+IF(Element_Stiffness!$C$216,IF(Element_Stiffness!$C$215=3,IF(2=Element_Stiffness!$C$215,Element_Stiffness!T238,IF(2=Element_Stiffness!$E$215,Element_Stiffness!Z238,0)),IF(Element_Stiffness!$E$215=3,IF(2=Element_Stiffness!$C$215,Element_Stiffness!T244,IF(2=Element_Stiffness!$E$215,Element_Stiffness!Z244,0)),0)),0)</f>
        <v/>
      </c>
      <c r="T25" s="21">
        <f>IF(Element_Stiffness!$C$6,IF(Element_Stiffness!$C$5=3,IF(2=Element_Stiffness!$C$5,Element_Stiffness!U28,IF(2=Element_Stiffness!$E$5,Element_Stiffness!AA28,0)),IF(Element_Stiffness!$E$5=3,IF(2=Element_Stiffness!$C$5,Element_Stiffness!U34,IF(2=Element_Stiffness!$E$5,Element_Stiffness!AA34,0)),0)),0)+IF(Element_Stiffness!$C$41,IF(Element_Stiffness!$C$40=3,IF(2=Element_Stiffness!$C$40,Element_Stiffness!U63,IF(2=Element_Stiffness!$E$40,Element_Stiffness!AA63,0)),IF(Element_Stiffness!$E$40=3,IF(2=Element_Stiffness!$C$40,Element_Stiffness!U69,IF(2=Element_Stiffness!$E$40,Element_Stiffness!AA69,0)),0)),0)+IF(Element_Stiffness!$C$76,IF(Element_Stiffness!$C$75=3,IF(2=Element_Stiffness!$C$75,Element_Stiffness!U98,IF(2=Element_Stiffness!$E$75,Element_Stiffness!AA98,0)),IF(Element_Stiffness!$E$75=3,IF(2=Element_Stiffness!$C$75,Element_Stiffness!U104,IF(2=Element_Stiffness!$E$75,Element_Stiffness!AA104,0)),0)),0)+IF(Element_Stiffness!$C$111,IF(Element_Stiffness!$C$110=3,IF(2=Element_Stiffness!$C$110,Element_Stiffness!U133,IF(2=Element_Stiffness!$E$110,Element_Stiffness!AA133,0)),IF(Element_Stiffness!$E$110=3,IF(2=Element_Stiffness!$C$110,Element_Stiffness!U139,IF(2=Element_Stiffness!$E$110,Element_Stiffness!AA139,0)),0)),0)+IF(Element_Stiffness!$C$146,IF(Element_Stiffness!$C$145=3,IF(2=Element_Stiffness!$C$145,Element_Stiffness!U168,IF(2=Element_Stiffness!$E$145,Element_Stiffness!AA168,0)),IF(Element_Stiffness!$E$145=3,IF(2=Element_Stiffness!$C$145,Element_Stiffness!U174,IF(2=Element_Stiffness!$E$145,Element_Stiffness!AA174,0)),0)),0)+IF(Element_Stiffness!$C$181,IF(Element_Stiffness!$C$180=3,IF(2=Element_Stiffness!$C$180,Element_Stiffness!U203,IF(2=Element_Stiffness!$E$180,Element_Stiffness!AA203,0)),IF(Element_Stiffness!$E$180=3,IF(2=Element_Stiffness!$C$180,Element_Stiffness!U209,IF(2=Element_Stiffness!$E$180,Element_Stiffness!AA209,0)),0)),0)+IF(Element_Stiffness!$C$216,IF(Element_Stiffness!$C$215=3,IF(2=Element_Stiffness!$C$215,Element_Stiffness!U238,IF(2=Element_Stiffness!$E$215,Element_Stiffness!AA238,0)),IF(Element_Stiffness!$E$215=3,IF(2=Element_Stiffness!$C$215,Element_Stiffness!U244,IF(2=Element_Stiffness!$E$215,Element_Stiffness!AA244,0)),0)),0)</f>
        <v/>
      </c>
      <c r="U25" s="21">
        <f>IF(Element_Stiffness!$C$6,IF(Element_Stiffness!$C$5=3,IF(3=Element_Stiffness!$C$5,Element_Stiffness!P28,IF(3=Element_Stiffness!$E$5,Element_Stiffness!V28,0)),IF(Element_Stiffness!$E$5=3,IF(3=Element_Stiffness!$C$5,Element_Stiffness!P34,IF(3=Element_Stiffness!$E$5,Element_Stiffness!V34,0)),0)),0)+IF(Element_Stiffness!$C$41,IF(Element_Stiffness!$C$40=3,IF(3=Element_Stiffness!$C$40,Element_Stiffness!P63,IF(3=Element_Stiffness!$E$40,Element_Stiffness!V63,0)),IF(Element_Stiffness!$E$40=3,IF(3=Element_Stiffness!$C$40,Element_Stiffness!P69,IF(3=Element_Stiffness!$E$40,Element_Stiffness!V69,0)),0)),0)+IF(Element_Stiffness!$C$76,IF(Element_Stiffness!$C$75=3,IF(3=Element_Stiffness!$C$75,Element_Stiffness!P98,IF(3=Element_Stiffness!$E$75,Element_Stiffness!V98,0)),IF(Element_Stiffness!$E$75=3,IF(3=Element_Stiffness!$C$75,Element_Stiffness!P104,IF(3=Element_Stiffness!$E$75,Element_Stiffness!V104,0)),0)),0)+IF(Element_Stiffness!$C$111,IF(Element_Stiffness!$C$110=3,IF(3=Element_Stiffness!$C$110,Element_Stiffness!P133,IF(3=Element_Stiffness!$E$110,Element_Stiffness!V133,0)),IF(Element_Stiffness!$E$110=3,IF(3=Element_Stiffness!$C$110,Element_Stiffness!P139,IF(3=Element_Stiffness!$E$110,Element_Stiffness!V139,0)),0)),0)+IF(Element_Stiffness!$C$146,IF(Element_Stiffness!$C$145=3,IF(3=Element_Stiffness!$C$145,Element_Stiffness!P168,IF(3=Element_Stiffness!$E$145,Element_Stiffness!V168,0)),IF(Element_Stiffness!$E$145=3,IF(3=Element_Stiffness!$C$145,Element_Stiffness!P174,IF(3=Element_Stiffness!$E$145,Element_Stiffness!V174,0)),0)),0)+IF(Element_Stiffness!$C$181,IF(Element_Stiffness!$C$180=3,IF(3=Element_Stiffness!$C$180,Element_Stiffness!P203,IF(3=Element_Stiffness!$E$180,Element_Stiffness!V203,0)),IF(Element_Stiffness!$E$180=3,IF(3=Element_Stiffness!$C$180,Element_Stiffness!P209,IF(3=Element_Stiffness!$E$180,Element_Stiffness!V209,0)),0)),0)+IF(Element_Stiffness!$C$216,IF(Element_Stiffness!$C$215=3,IF(3=Element_Stiffness!$C$215,Element_Stiffness!P238,IF(3=Element_Stiffness!$E$215,Element_Stiffness!V238,0)),IF(Element_Stiffness!$E$215=3,IF(3=Element_Stiffness!$C$215,Element_Stiffness!P244,IF(3=Element_Stiffness!$E$215,Element_Stiffness!V244,0)),0)),0)</f>
        <v/>
      </c>
      <c r="V25" s="21">
        <f>IF(Element_Stiffness!$C$6,IF(Element_Stiffness!$C$5=3,IF(3=Element_Stiffness!$C$5,Element_Stiffness!Q28,IF(3=Element_Stiffness!$E$5,Element_Stiffness!W28,0)),IF(Element_Stiffness!$E$5=3,IF(3=Element_Stiffness!$C$5,Element_Stiffness!Q34,IF(3=Element_Stiffness!$E$5,Element_Stiffness!W34,0)),0)),0)+IF(Element_Stiffness!$C$41,IF(Element_Stiffness!$C$40=3,IF(3=Element_Stiffness!$C$40,Element_Stiffness!Q63,IF(3=Element_Stiffness!$E$40,Element_Stiffness!W63,0)),IF(Element_Stiffness!$E$40=3,IF(3=Element_Stiffness!$C$40,Element_Stiffness!Q69,IF(3=Element_Stiffness!$E$40,Element_Stiffness!W69,0)),0)),0)+IF(Element_Stiffness!$C$76,IF(Element_Stiffness!$C$75=3,IF(3=Element_Stiffness!$C$75,Element_Stiffness!Q98,IF(3=Element_Stiffness!$E$75,Element_Stiffness!W98,0)),IF(Element_Stiffness!$E$75=3,IF(3=Element_Stiffness!$C$75,Element_Stiffness!Q104,IF(3=Element_Stiffness!$E$75,Element_Stiffness!W104,0)),0)),0)+IF(Element_Stiffness!$C$111,IF(Element_Stiffness!$C$110=3,IF(3=Element_Stiffness!$C$110,Element_Stiffness!Q133,IF(3=Element_Stiffness!$E$110,Element_Stiffness!W133,0)),IF(Element_Stiffness!$E$110=3,IF(3=Element_Stiffness!$C$110,Element_Stiffness!Q139,IF(3=Element_Stiffness!$E$110,Element_Stiffness!W139,0)),0)),0)+IF(Element_Stiffness!$C$146,IF(Element_Stiffness!$C$145=3,IF(3=Element_Stiffness!$C$145,Element_Stiffness!Q168,IF(3=Element_Stiffness!$E$145,Element_Stiffness!W168,0)),IF(Element_Stiffness!$E$145=3,IF(3=Element_Stiffness!$C$145,Element_Stiffness!Q174,IF(3=Element_Stiffness!$E$145,Element_Stiffness!W174,0)),0)),0)+IF(Element_Stiffness!$C$181,IF(Element_Stiffness!$C$180=3,IF(3=Element_Stiffness!$C$180,Element_Stiffness!Q203,IF(3=Element_Stiffness!$E$180,Element_Stiffness!W203,0)),IF(Element_Stiffness!$E$180=3,IF(3=Element_Stiffness!$C$180,Element_Stiffness!Q209,IF(3=Element_Stiffness!$E$180,Element_Stiffness!W209,0)),0)),0)+IF(Element_Stiffness!$C$216,IF(Element_Stiffness!$C$215=3,IF(3=Element_Stiffness!$C$215,Element_Stiffness!Q238,IF(3=Element_Stiffness!$E$215,Element_Stiffness!W238,0)),IF(Element_Stiffness!$E$215=3,IF(3=Element_Stiffness!$C$215,Element_Stiffness!Q244,IF(3=Element_Stiffness!$E$215,Element_Stiffness!W244,0)),0)),0)</f>
        <v/>
      </c>
      <c r="W25" s="21">
        <f>IF(Element_Stiffness!$C$6,IF(Element_Stiffness!$C$5=3,IF(3=Element_Stiffness!$C$5,Element_Stiffness!R28,IF(3=Element_Stiffness!$E$5,Element_Stiffness!X28,0)),IF(Element_Stiffness!$E$5=3,IF(3=Element_Stiffness!$C$5,Element_Stiffness!R34,IF(3=Element_Stiffness!$E$5,Element_Stiffness!X34,0)),0)),0)+IF(Element_Stiffness!$C$41,IF(Element_Stiffness!$C$40=3,IF(3=Element_Stiffness!$C$40,Element_Stiffness!R63,IF(3=Element_Stiffness!$E$40,Element_Stiffness!X63,0)),IF(Element_Stiffness!$E$40=3,IF(3=Element_Stiffness!$C$40,Element_Stiffness!R69,IF(3=Element_Stiffness!$E$40,Element_Stiffness!X69,0)),0)),0)+IF(Element_Stiffness!$C$76,IF(Element_Stiffness!$C$75=3,IF(3=Element_Stiffness!$C$75,Element_Stiffness!R98,IF(3=Element_Stiffness!$E$75,Element_Stiffness!X98,0)),IF(Element_Stiffness!$E$75=3,IF(3=Element_Stiffness!$C$75,Element_Stiffness!R104,IF(3=Element_Stiffness!$E$75,Element_Stiffness!X104,0)),0)),0)+IF(Element_Stiffness!$C$111,IF(Element_Stiffness!$C$110=3,IF(3=Element_Stiffness!$C$110,Element_Stiffness!R133,IF(3=Element_Stiffness!$E$110,Element_Stiffness!X133,0)),IF(Element_Stiffness!$E$110=3,IF(3=Element_Stiffness!$C$110,Element_Stiffness!R139,IF(3=Element_Stiffness!$E$110,Element_Stiffness!X139,0)),0)),0)+IF(Element_Stiffness!$C$146,IF(Element_Stiffness!$C$145=3,IF(3=Element_Stiffness!$C$145,Element_Stiffness!R168,IF(3=Element_Stiffness!$E$145,Element_Stiffness!X168,0)),IF(Element_Stiffness!$E$145=3,IF(3=Element_Stiffness!$C$145,Element_Stiffness!R174,IF(3=Element_Stiffness!$E$145,Element_Stiffness!X174,0)),0)),0)+IF(Element_Stiffness!$C$181,IF(Element_Stiffness!$C$180=3,IF(3=Element_Stiffness!$C$180,Element_Stiffness!R203,IF(3=Element_Stiffness!$E$180,Element_Stiffness!X203,0)),IF(Element_Stiffness!$E$180=3,IF(3=Element_Stiffness!$C$180,Element_Stiffness!R209,IF(3=Element_Stiffness!$E$180,Element_Stiffness!X209,0)),0)),0)+IF(Element_Stiffness!$C$216,IF(Element_Stiffness!$C$215=3,IF(3=Element_Stiffness!$C$215,Element_Stiffness!R238,IF(3=Element_Stiffness!$E$215,Element_Stiffness!X238,0)),IF(Element_Stiffness!$E$215=3,IF(3=Element_Stiffness!$C$215,Element_Stiffness!R244,IF(3=Element_Stiffness!$E$215,Element_Stiffness!X244,0)),0)),0)+IF(Inputs!E43=TRUE,1E15,IF(ISNUMBER(Inputs!E43),Inputs!E43,0))</f>
        <v/>
      </c>
      <c r="X25" s="21">
        <f>IF(Element_Stiffness!$C$6,IF(Element_Stiffness!$C$5=3,IF(3=Element_Stiffness!$C$5,Element_Stiffness!S28,IF(3=Element_Stiffness!$E$5,Element_Stiffness!Y28,0)),IF(Element_Stiffness!$E$5=3,IF(3=Element_Stiffness!$C$5,Element_Stiffness!S34,IF(3=Element_Stiffness!$E$5,Element_Stiffness!Y34,0)),0)),0)+IF(Element_Stiffness!$C$41,IF(Element_Stiffness!$C$40=3,IF(3=Element_Stiffness!$C$40,Element_Stiffness!S63,IF(3=Element_Stiffness!$E$40,Element_Stiffness!Y63,0)),IF(Element_Stiffness!$E$40=3,IF(3=Element_Stiffness!$C$40,Element_Stiffness!S69,IF(3=Element_Stiffness!$E$40,Element_Stiffness!Y69,0)),0)),0)+IF(Element_Stiffness!$C$76,IF(Element_Stiffness!$C$75=3,IF(3=Element_Stiffness!$C$75,Element_Stiffness!S98,IF(3=Element_Stiffness!$E$75,Element_Stiffness!Y98,0)),IF(Element_Stiffness!$E$75=3,IF(3=Element_Stiffness!$C$75,Element_Stiffness!S104,IF(3=Element_Stiffness!$E$75,Element_Stiffness!Y104,0)),0)),0)+IF(Element_Stiffness!$C$111,IF(Element_Stiffness!$C$110=3,IF(3=Element_Stiffness!$C$110,Element_Stiffness!S133,IF(3=Element_Stiffness!$E$110,Element_Stiffness!Y133,0)),IF(Element_Stiffness!$E$110=3,IF(3=Element_Stiffness!$C$110,Element_Stiffness!S139,IF(3=Element_Stiffness!$E$110,Element_Stiffness!Y139,0)),0)),0)+IF(Element_Stiffness!$C$146,IF(Element_Stiffness!$C$145=3,IF(3=Element_Stiffness!$C$145,Element_Stiffness!S168,IF(3=Element_Stiffness!$E$145,Element_Stiffness!Y168,0)),IF(Element_Stiffness!$E$145=3,IF(3=Element_Stiffness!$C$145,Element_Stiffness!S174,IF(3=Element_Stiffness!$E$145,Element_Stiffness!Y174,0)),0)),0)+IF(Element_Stiffness!$C$181,IF(Element_Stiffness!$C$180=3,IF(3=Element_Stiffness!$C$180,Element_Stiffness!S203,IF(3=Element_Stiffness!$E$180,Element_Stiffness!Y203,0)),IF(Element_Stiffness!$E$180=3,IF(3=Element_Stiffness!$C$180,Element_Stiffness!S209,IF(3=Element_Stiffness!$E$180,Element_Stiffness!Y209,0)),0)),0)+IF(Element_Stiffness!$C$216,IF(Element_Stiffness!$C$215=3,IF(3=Element_Stiffness!$C$215,Element_Stiffness!S238,IF(3=Element_Stiffness!$E$215,Element_Stiffness!Y238,0)),IF(Element_Stiffness!$E$215=3,IF(3=Element_Stiffness!$C$215,Element_Stiffness!S244,IF(3=Element_Stiffness!$E$215,Element_Stiffness!Y244,0)),0)),0)</f>
        <v/>
      </c>
      <c r="Y25" s="21">
        <f>IF(Element_Stiffness!$C$6,IF(Element_Stiffness!$C$5=3,IF(3=Element_Stiffness!$C$5,Element_Stiffness!T28,IF(3=Element_Stiffness!$E$5,Element_Stiffness!Z28,0)),IF(Element_Stiffness!$E$5=3,IF(3=Element_Stiffness!$C$5,Element_Stiffness!T34,IF(3=Element_Stiffness!$E$5,Element_Stiffness!Z34,0)),0)),0)+IF(Element_Stiffness!$C$41,IF(Element_Stiffness!$C$40=3,IF(3=Element_Stiffness!$C$40,Element_Stiffness!T63,IF(3=Element_Stiffness!$E$40,Element_Stiffness!Z63,0)),IF(Element_Stiffness!$E$40=3,IF(3=Element_Stiffness!$C$40,Element_Stiffness!T69,IF(3=Element_Stiffness!$E$40,Element_Stiffness!Z69,0)),0)),0)+IF(Element_Stiffness!$C$76,IF(Element_Stiffness!$C$75=3,IF(3=Element_Stiffness!$C$75,Element_Stiffness!T98,IF(3=Element_Stiffness!$E$75,Element_Stiffness!Z98,0)),IF(Element_Stiffness!$E$75=3,IF(3=Element_Stiffness!$C$75,Element_Stiffness!T104,IF(3=Element_Stiffness!$E$75,Element_Stiffness!Z104,0)),0)),0)+IF(Element_Stiffness!$C$111,IF(Element_Stiffness!$C$110=3,IF(3=Element_Stiffness!$C$110,Element_Stiffness!T133,IF(3=Element_Stiffness!$E$110,Element_Stiffness!Z133,0)),IF(Element_Stiffness!$E$110=3,IF(3=Element_Stiffness!$C$110,Element_Stiffness!T139,IF(3=Element_Stiffness!$E$110,Element_Stiffness!Z139,0)),0)),0)+IF(Element_Stiffness!$C$146,IF(Element_Stiffness!$C$145=3,IF(3=Element_Stiffness!$C$145,Element_Stiffness!T168,IF(3=Element_Stiffness!$E$145,Element_Stiffness!Z168,0)),IF(Element_Stiffness!$E$145=3,IF(3=Element_Stiffness!$C$145,Element_Stiffness!T174,IF(3=Element_Stiffness!$E$145,Element_Stiffness!Z174,0)),0)),0)+IF(Element_Stiffness!$C$181,IF(Element_Stiffness!$C$180=3,IF(3=Element_Stiffness!$C$180,Element_Stiffness!T203,IF(3=Element_Stiffness!$E$180,Element_Stiffness!Z203,0)),IF(Element_Stiffness!$E$180=3,IF(3=Element_Stiffness!$C$180,Element_Stiffness!T209,IF(3=Element_Stiffness!$E$180,Element_Stiffness!Z209,0)),0)),0)+IF(Element_Stiffness!$C$216,IF(Element_Stiffness!$C$215=3,IF(3=Element_Stiffness!$C$215,Element_Stiffness!T238,IF(3=Element_Stiffness!$E$215,Element_Stiffness!Z238,0)),IF(Element_Stiffness!$E$215=3,IF(3=Element_Stiffness!$C$215,Element_Stiffness!T244,IF(3=Element_Stiffness!$E$215,Element_Stiffness!Z244,0)),0)),0)</f>
        <v/>
      </c>
      <c r="Z25" s="21">
        <f>IF(Element_Stiffness!$C$6,IF(Element_Stiffness!$C$5=3,IF(3=Element_Stiffness!$C$5,Element_Stiffness!U28,IF(3=Element_Stiffness!$E$5,Element_Stiffness!AA28,0)),IF(Element_Stiffness!$E$5=3,IF(3=Element_Stiffness!$C$5,Element_Stiffness!U34,IF(3=Element_Stiffness!$E$5,Element_Stiffness!AA34,0)),0)),0)+IF(Element_Stiffness!$C$41,IF(Element_Stiffness!$C$40=3,IF(3=Element_Stiffness!$C$40,Element_Stiffness!U63,IF(3=Element_Stiffness!$E$40,Element_Stiffness!AA63,0)),IF(Element_Stiffness!$E$40=3,IF(3=Element_Stiffness!$C$40,Element_Stiffness!U69,IF(3=Element_Stiffness!$E$40,Element_Stiffness!AA69,0)),0)),0)+IF(Element_Stiffness!$C$76,IF(Element_Stiffness!$C$75=3,IF(3=Element_Stiffness!$C$75,Element_Stiffness!U98,IF(3=Element_Stiffness!$E$75,Element_Stiffness!AA98,0)),IF(Element_Stiffness!$E$75=3,IF(3=Element_Stiffness!$C$75,Element_Stiffness!U104,IF(3=Element_Stiffness!$E$75,Element_Stiffness!AA104,0)),0)),0)+IF(Element_Stiffness!$C$111,IF(Element_Stiffness!$C$110=3,IF(3=Element_Stiffness!$C$110,Element_Stiffness!U133,IF(3=Element_Stiffness!$E$110,Element_Stiffness!AA133,0)),IF(Element_Stiffness!$E$110=3,IF(3=Element_Stiffness!$C$110,Element_Stiffness!U139,IF(3=Element_Stiffness!$E$110,Element_Stiffness!AA139,0)),0)),0)+IF(Element_Stiffness!$C$146,IF(Element_Stiffness!$C$145=3,IF(3=Element_Stiffness!$C$145,Element_Stiffness!U168,IF(3=Element_Stiffness!$E$145,Element_Stiffness!AA168,0)),IF(Element_Stiffness!$E$145=3,IF(3=Element_Stiffness!$C$145,Element_Stiffness!U174,IF(3=Element_Stiffness!$E$145,Element_Stiffness!AA174,0)),0)),0)+IF(Element_Stiffness!$C$181,IF(Element_Stiffness!$C$180=3,IF(3=Element_Stiffness!$C$180,Element_Stiffness!U203,IF(3=Element_Stiffness!$E$180,Element_Stiffness!AA203,0)),IF(Element_Stiffness!$E$180=3,IF(3=Element_Stiffness!$C$180,Element_Stiffness!U209,IF(3=Element_Stiffness!$E$180,Element_Stiffness!AA209,0)),0)),0)+IF(Element_Stiffness!$C$216,IF(Element_Stiffness!$C$215=3,IF(3=Element_Stiffness!$C$215,Element_Stiffness!U238,IF(3=Element_Stiffness!$E$215,Element_Stiffness!AA238,0)),IF(Element_Stiffness!$E$215=3,IF(3=Element_Stiffness!$C$215,Element_Stiffness!U244,IF(3=Element_Stiffness!$E$215,Element_Stiffness!AA244,0)),0)),0)</f>
        <v/>
      </c>
      <c r="AA25" s="21">
        <f>IF(Element_Stiffness!$C$6,IF(Element_Stiffness!$C$5=3,IF(4=Element_Stiffness!$C$5,Element_Stiffness!P28,IF(4=Element_Stiffness!$E$5,Element_Stiffness!V28,0)),IF(Element_Stiffness!$E$5=3,IF(4=Element_Stiffness!$C$5,Element_Stiffness!P34,IF(4=Element_Stiffness!$E$5,Element_Stiffness!V34,0)),0)),0)+IF(Element_Stiffness!$C$41,IF(Element_Stiffness!$C$40=3,IF(4=Element_Stiffness!$C$40,Element_Stiffness!P63,IF(4=Element_Stiffness!$E$40,Element_Stiffness!V63,0)),IF(Element_Stiffness!$E$40=3,IF(4=Element_Stiffness!$C$40,Element_Stiffness!P69,IF(4=Element_Stiffness!$E$40,Element_Stiffness!V69,0)),0)),0)+IF(Element_Stiffness!$C$76,IF(Element_Stiffness!$C$75=3,IF(4=Element_Stiffness!$C$75,Element_Stiffness!P98,IF(4=Element_Stiffness!$E$75,Element_Stiffness!V98,0)),IF(Element_Stiffness!$E$75=3,IF(4=Element_Stiffness!$C$75,Element_Stiffness!P104,IF(4=Element_Stiffness!$E$75,Element_Stiffness!V104,0)),0)),0)+IF(Element_Stiffness!$C$111,IF(Element_Stiffness!$C$110=3,IF(4=Element_Stiffness!$C$110,Element_Stiffness!P133,IF(4=Element_Stiffness!$E$110,Element_Stiffness!V133,0)),IF(Element_Stiffness!$E$110=3,IF(4=Element_Stiffness!$C$110,Element_Stiffness!P139,IF(4=Element_Stiffness!$E$110,Element_Stiffness!V139,0)),0)),0)+IF(Element_Stiffness!$C$146,IF(Element_Stiffness!$C$145=3,IF(4=Element_Stiffness!$C$145,Element_Stiffness!P168,IF(4=Element_Stiffness!$E$145,Element_Stiffness!V168,0)),IF(Element_Stiffness!$E$145=3,IF(4=Element_Stiffness!$C$145,Element_Stiffness!P174,IF(4=Element_Stiffness!$E$145,Element_Stiffness!V174,0)),0)),0)+IF(Element_Stiffness!$C$181,IF(Element_Stiffness!$C$180=3,IF(4=Element_Stiffness!$C$180,Element_Stiffness!P203,IF(4=Element_Stiffness!$E$180,Element_Stiffness!V203,0)),IF(Element_Stiffness!$E$180=3,IF(4=Element_Stiffness!$C$180,Element_Stiffness!P209,IF(4=Element_Stiffness!$E$180,Element_Stiffness!V209,0)),0)),0)+IF(Element_Stiffness!$C$216,IF(Element_Stiffness!$C$215=3,IF(4=Element_Stiffness!$C$215,Element_Stiffness!P238,IF(4=Element_Stiffness!$E$215,Element_Stiffness!V238,0)),IF(Element_Stiffness!$E$215=3,IF(4=Element_Stiffness!$C$215,Element_Stiffness!P244,IF(4=Element_Stiffness!$E$215,Element_Stiffness!V244,0)),0)),0)</f>
        <v/>
      </c>
      <c r="AB25" s="21">
        <f>IF(Element_Stiffness!$C$6,IF(Element_Stiffness!$C$5=3,IF(4=Element_Stiffness!$C$5,Element_Stiffness!Q28,IF(4=Element_Stiffness!$E$5,Element_Stiffness!W28,0)),IF(Element_Stiffness!$E$5=3,IF(4=Element_Stiffness!$C$5,Element_Stiffness!Q34,IF(4=Element_Stiffness!$E$5,Element_Stiffness!W34,0)),0)),0)+IF(Element_Stiffness!$C$41,IF(Element_Stiffness!$C$40=3,IF(4=Element_Stiffness!$C$40,Element_Stiffness!Q63,IF(4=Element_Stiffness!$E$40,Element_Stiffness!W63,0)),IF(Element_Stiffness!$E$40=3,IF(4=Element_Stiffness!$C$40,Element_Stiffness!Q69,IF(4=Element_Stiffness!$E$40,Element_Stiffness!W69,0)),0)),0)+IF(Element_Stiffness!$C$76,IF(Element_Stiffness!$C$75=3,IF(4=Element_Stiffness!$C$75,Element_Stiffness!Q98,IF(4=Element_Stiffness!$E$75,Element_Stiffness!W98,0)),IF(Element_Stiffness!$E$75=3,IF(4=Element_Stiffness!$C$75,Element_Stiffness!Q104,IF(4=Element_Stiffness!$E$75,Element_Stiffness!W104,0)),0)),0)+IF(Element_Stiffness!$C$111,IF(Element_Stiffness!$C$110=3,IF(4=Element_Stiffness!$C$110,Element_Stiffness!Q133,IF(4=Element_Stiffness!$E$110,Element_Stiffness!W133,0)),IF(Element_Stiffness!$E$110=3,IF(4=Element_Stiffness!$C$110,Element_Stiffness!Q139,IF(4=Element_Stiffness!$E$110,Element_Stiffness!W139,0)),0)),0)+IF(Element_Stiffness!$C$146,IF(Element_Stiffness!$C$145=3,IF(4=Element_Stiffness!$C$145,Element_Stiffness!Q168,IF(4=Element_Stiffness!$E$145,Element_Stiffness!W168,0)),IF(Element_Stiffness!$E$145=3,IF(4=Element_Stiffness!$C$145,Element_Stiffness!Q174,IF(4=Element_Stiffness!$E$145,Element_Stiffness!W174,0)),0)),0)+IF(Element_Stiffness!$C$181,IF(Element_Stiffness!$C$180=3,IF(4=Element_Stiffness!$C$180,Element_Stiffness!Q203,IF(4=Element_Stiffness!$E$180,Element_Stiffness!W203,0)),IF(Element_Stiffness!$E$180=3,IF(4=Element_Stiffness!$C$180,Element_Stiffness!Q209,IF(4=Element_Stiffness!$E$180,Element_Stiffness!W209,0)),0)),0)+IF(Element_Stiffness!$C$216,IF(Element_Stiffness!$C$215=3,IF(4=Element_Stiffness!$C$215,Element_Stiffness!Q238,IF(4=Element_Stiffness!$E$215,Element_Stiffness!W238,0)),IF(Element_Stiffness!$E$215=3,IF(4=Element_Stiffness!$C$215,Element_Stiffness!Q244,IF(4=Element_Stiffness!$E$215,Element_Stiffness!W244,0)),0)),0)</f>
        <v/>
      </c>
      <c r="AC25" s="21">
        <f>IF(Element_Stiffness!$C$6,IF(Element_Stiffness!$C$5=3,IF(4=Element_Stiffness!$C$5,Element_Stiffness!R28,IF(4=Element_Stiffness!$E$5,Element_Stiffness!X28,0)),IF(Element_Stiffness!$E$5=3,IF(4=Element_Stiffness!$C$5,Element_Stiffness!R34,IF(4=Element_Stiffness!$E$5,Element_Stiffness!X34,0)),0)),0)+IF(Element_Stiffness!$C$41,IF(Element_Stiffness!$C$40=3,IF(4=Element_Stiffness!$C$40,Element_Stiffness!R63,IF(4=Element_Stiffness!$E$40,Element_Stiffness!X63,0)),IF(Element_Stiffness!$E$40=3,IF(4=Element_Stiffness!$C$40,Element_Stiffness!R69,IF(4=Element_Stiffness!$E$40,Element_Stiffness!X69,0)),0)),0)+IF(Element_Stiffness!$C$76,IF(Element_Stiffness!$C$75=3,IF(4=Element_Stiffness!$C$75,Element_Stiffness!R98,IF(4=Element_Stiffness!$E$75,Element_Stiffness!X98,0)),IF(Element_Stiffness!$E$75=3,IF(4=Element_Stiffness!$C$75,Element_Stiffness!R104,IF(4=Element_Stiffness!$E$75,Element_Stiffness!X104,0)),0)),0)+IF(Element_Stiffness!$C$111,IF(Element_Stiffness!$C$110=3,IF(4=Element_Stiffness!$C$110,Element_Stiffness!R133,IF(4=Element_Stiffness!$E$110,Element_Stiffness!X133,0)),IF(Element_Stiffness!$E$110=3,IF(4=Element_Stiffness!$C$110,Element_Stiffness!R139,IF(4=Element_Stiffness!$E$110,Element_Stiffness!X139,0)),0)),0)+IF(Element_Stiffness!$C$146,IF(Element_Stiffness!$C$145=3,IF(4=Element_Stiffness!$C$145,Element_Stiffness!R168,IF(4=Element_Stiffness!$E$145,Element_Stiffness!X168,0)),IF(Element_Stiffness!$E$145=3,IF(4=Element_Stiffness!$C$145,Element_Stiffness!R174,IF(4=Element_Stiffness!$E$145,Element_Stiffness!X174,0)),0)),0)+IF(Element_Stiffness!$C$181,IF(Element_Stiffness!$C$180=3,IF(4=Element_Stiffness!$C$180,Element_Stiffness!R203,IF(4=Element_Stiffness!$E$180,Element_Stiffness!X203,0)),IF(Element_Stiffness!$E$180=3,IF(4=Element_Stiffness!$C$180,Element_Stiffness!R209,IF(4=Element_Stiffness!$E$180,Element_Stiffness!X209,0)),0)),0)+IF(Element_Stiffness!$C$216,IF(Element_Stiffness!$C$215=3,IF(4=Element_Stiffness!$C$215,Element_Stiffness!R238,IF(4=Element_Stiffness!$E$215,Element_Stiffness!X238,0)),IF(Element_Stiffness!$E$215=3,IF(4=Element_Stiffness!$C$215,Element_Stiffness!R244,IF(4=Element_Stiffness!$E$215,Element_Stiffness!X244,0)),0)),0)</f>
        <v/>
      </c>
      <c r="AD25" s="21">
        <f>IF(Element_Stiffness!$C$6,IF(Element_Stiffness!$C$5=3,IF(4=Element_Stiffness!$C$5,Element_Stiffness!S28,IF(4=Element_Stiffness!$E$5,Element_Stiffness!Y28,0)),IF(Element_Stiffness!$E$5=3,IF(4=Element_Stiffness!$C$5,Element_Stiffness!S34,IF(4=Element_Stiffness!$E$5,Element_Stiffness!Y34,0)),0)),0)+IF(Element_Stiffness!$C$41,IF(Element_Stiffness!$C$40=3,IF(4=Element_Stiffness!$C$40,Element_Stiffness!S63,IF(4=Element_Stiffness!$E$40,Element_Stiffness!Y63,0)),IF(Element_Stiffness!$E$40=3,IF(4=Element_Stiffness!$C$40,Element_Stiffness!S69,IF(4=Element_Stiffness!$E$40,Element_Stiffness!Y69,0)),0)),0)+IF(Element_Stiffness!$C$76,IF(Element_Stiffness!$C$75=3,IF(4=Element_Stiffness!$C$75,Element_Stiffness!S98,IF(4=Element_Stiffness!$E$75,Element_Stiffness!Y98,0)),IF(Element_Stiffness!$E$75=3,IF(4=Element_Stiffness!$C$75,Element_Stiffness!S104,IF(4=Element_Stiffness!$E$75,Element_Stiffness!Y104,0)),0)),0)+IF(Element_Stiffness!$C$111,IF(Element_Stiffness!$C$110=3,IF(4=Element_Stiffness!$C$110,Element_Stiffness!S133,IF(4=Element_Stiffness!$E$110,Element_Stiffness!Y133,0)),IF(Element_Stiffness!$E$110=3,IF(4=Element_Stiffness!$C$110,Element_Stiffness!S139,IF(4=Element_Stiffness!$E$110,Element_Stiffness!Y139,0)),0)),0)+IF(Element_Stiffness!$C$146,IF(Element_Stiffness!$C$145=3,IF(4=Element_Stiffness!$C$145,Element_Stiffness!S168,IF(4=Element_Stiffness!$E$145,Element_Stiffness!Y168,0)),IF(Element_Stiffness!$E$145=3,IF(4=Element_Stiffness!$C$145,Element_Stiffness!S174,IF(4=Element_Stiffness!$E$145,Element_Stiffness!Y174,0)),0)),0)+IF(Element_Stiffness!$C$181,IF(Element_Stiffness!$C$180=3,IF(4=Element_Stiffness!$C$180,Element_Stiffness!S203,IF(4=Element_Stiffness!$E$180,Element_Stiffness!Y203,0)),IF(Element_Stiffness!$E$180=3,IF(4=Element_Stiffness!$C$180,Element_Stiffness!S209,IF(4=Element_Stiffness!$E$180,Element_Stiffness!Y209,0)),0)),0)+IF(Element_Stiffness!$C$216,IF(Element_Stiffness!$C$215=3,IF(4=Element_Stiffness!$C$215,Element_Stiffness!S238,IF(4=Element_Stiffness!$E$215,Element_Stiffness!Y238,0)),IF(Element_Stiffness!$E$215=3,IF(4=Element_Stiffness!$C$215,Element_Stiffness!S244,IF(4=Element_Stiffness!$E$215,Element_Stiffness!Y244,0)),0)),0)</f>
        <v/>
      </c>
      <c r="AE25" s="21">
        <f>IF(Element_Stiffness!$C$6,IF(Element_Stiffness!$C$5=3,IF(4=Element_Stiffness!$C$5,Element_Stiffness!T28,IF(4=Element_Stiffness!$E$5,Element_Stiffness!Z28,0)),IF(Element_Stiffness!$E$5=3,IF(4=Element_Stiffness!$C$5,Element_Stiffness!T34,IF(4=Element_Stiffness!$E$5,Element_Stiffness!Z34,0)),0)),0)+IF(Element_Stiffness!$C$41,IF(Element_Stiffness!$C$40=3,IF(4=Element_Stiffness!$C$40,Element_Stiffness!T63,IF(4=Element_Stiffness!$E$40,Element_Stiffness!Z63,0)),IF(Element_Stiffness!$E$40=3,IF(4=Element_Stiffness!$C$40,Element_Stiffness!T69,IF(4=Element_Stiffness!$E$40,Element_Stiffness!Z69,0)),0)),0)+IF(Element_Stiffness!$C$76,IF(Element_Stiffness!$C$75=3,IF(4=Element_Stiffness!$C$75,Element_Stiffness!T98,IF(4=Element_Stiffness!$E$75,Element_Stiffness!Z98,0)),IF(Element_Stiffness!$E$75=3,IF(4=Element_Stiffness!$C$75,Element_Stiffness!T104,IF(4=Element_Stiffness!$E$75,Element_Stiffness!Z104,0)),0)),0)+IF(Element_Stiffness!$C$111,IF(Element_Stiffness!$C$110=3,IF(4=Element_Stiffness!$C$110,Element_Stiffness!T133,IF(4=Element_Stiffness!$E$110,Element_Stiffness!Z133,0)),IF(Element_Stiffness!$E$110=3,IF(4=Element_Stiffness!$C$110,Element_Stiffness!T139,IF(4=Element_Stiffness!$E$110,Element_Stiffness!Z139,0)),0)),0)+IF(Element_Stiffness!$C$146,IF(Element_Stiffness!$C$145=3,IF(4=Element_Stiffness!$C$145,Element_Stiffness!T168,IF(4=Element_Stiffness!$E$145,Element_Stiffness!Z168,0)),IF(Element_Stiffness!$E$145=3,IF(4=Element_Stiffness!$C$145,Element_Stiffness!T174,IF(4=Element_Stiffness!$E$145,Element_Stiffness!Z174,0)),0)),0)+IF(Element_Stiffness!$C$181,IF(Element_Stiffness!$C$180=3,IF(4=Element_Stiffness!$C$180,Element_Stiffness!T203,IF(4=Element_Stiffness!$E$180,Element_Stiffness!Z203,0)),IF(Element_Stiffness!$E$180=3,IF(4=Element_Stiffness!$C$180,Element_Stiffness!T209,IF(4=Element_Stiffness!$E$180,Element_Stiffness!Z209,0)),0)),0)+IF(Element_Stiffness!$C$216,IF(Element_Stiffness!$C$215=3,IF(4=Element_Stiffness!$C$215,Element_Stiffness!T238,IF(4=Element_Stiffness!$E$215,Element_Stiffness!Z238,0)),IF(Element_Stiffness!$E$215=3,IF(4=Element_Stiffness!$C$215,Element_Stiffness!T244,IF(4=Element_Stiffness!$E$215,Element_Stiffness!Z244,0)),0)),0)</f>
        <v/>
      </c>
      <c r="AF25" s="21">
        <f>IF(Element_Stiffness!$C$6,IF(Element_Stiffness!$C$5=3,IF(4=Element_Stiffness!$C$5,Element_Stiffness!U28,IF(4=Element_Stiffness!$E$5,Element_Stiffness!AA28,0)),IF(Element_Stiffness!$E$5=3,IF(4=Element_Stiffness!$C$5,Element_Stiffness!U34,IF(4=Element_Stiffness!$E$5,Element_Stiffness!AA34,0)),0)),0)+IF(Element_Stiffness!$C$41,IF(Element_Stiffness!$C$40=3,IF(4=Element_Stiffness!$C$40,Element_Stiffness!U63,IF(4=Element_Stiffness!$E$40,Element_Stiffness!AA63,0)),IF(Element_Stiffness!$E$40=3,IF(4=Element_Stiffness!$C$40,Element_Stiffness!U69,IF(4=Element_Stiffness!$E$40,Element_Stiffness!AA69,0)),0)),0)+IF(Element_Stiffness!$C$76,IF(Element_Stiffness!$C$75=3,IF(4=Element_Stiffness!$C$75,Element_Stiffness!U98,IF(4=Element_Stiffness!$E$75,Element_Stiffness!AA98,0)),IF(Element_Stiffness!$E$75=3,IF(4=Element_Stiffness!$C$75,Element_Stiffness!U104,IF(4=Element_Stiffness!$E$75,Element_Stiffness!AA104,0)),0)),0)+IF(Element_Stiffness!$C$111,IF(Element_Stiffness!$C$110=3,IF(4=Element_Stiffness!$C$110,Element_Stiffness!U133,IF(4=Element_Stiffness!$E$110,Element_Stiffness!AA133,0)),IF(Element_Stiffness!$E$110=3,IF(4=Element_Stiffness!$C$110,Element_Stiffness!U139,IF(4=Element_Stiffness!$E$110,Element_Stiffness!AA139,0)),0)),0)+IF(Element_Stiffness!$C$146,IF(Element_Stiffness!$C$145=3,IF(4=Element_Stiffness!$C$145,Element_Stiffness!U168,IF(4=Element_Stiffness!$E$145,Element_Stiffness!AA168,0)),IF(Element_Stiffness!$E$145=3,IF(4=Element_Stiffness!$C$145,Element_Stiffness!U174,IF(4=Element_Stiffness!$E$145,Element_Stiffness!AA174,0)),0)),0)+IF(Element_Stiffness!$C$181,IF(Element_Stiffness!$C$180=3,IF(4=Element_Stiffness!$C$180,Element_Stiffness!U203,IF(4=Element_Stiffness!$E$180,Element_Stiffness!AA203,0)),IF(Element_Stiffness!$E$180=3,IF(4=Element_Stiffness!$C$180,Element_Stiffness!U209,IF(4=Element_Stiffness!$E$180,Element_Stiffness!AA209,0)),0)),0)+IF(Element_Stiffness!$C$216,IF(Element_Stiffness!$C$215=3,IF(4=Element_Stiffness!$C$215,Element_Stiffness!U238,IF(4=Element_Stiffness!$E$215,Element_Stiffness!AA238,0)),IF(Element_Stiffness!$E$215=3,IF(4=Element_Stiffness!$C$215,Element_Stiffness!U244,IF(4=Element_Stiffness!$E$215,Element_Stiffness!AA244,0)),0)),0)</f>
        <v/>
      </c>
      <c r="AG25" s="21">
        <f>IF(Element_Stiffness!$C$6,IF(Element_Stiffness!$C$5=3,IF(5=Element_Stiffness!$C$5,Element_Stiffness!P28,IF(5=Element_Stiffness!$E$5,Element_Stiffness!V28,0)),IF(Element_Stiffness!$E$5=3,IF(5=Element_Stiffness!$C$5,Element_Stiffness!P34,IF(5=Element_Stiffness!$E$5,Element_Stiffness!V34,0)),0)),0)+IF(Element_Stiffness!$C$41,IF(Element_Stiffness!$C$40=3,IF(5=Element_Stiffness!$C$40,Element_Stiffness!P63,IF(5=Element_Stiffness!$E$40,Element_Stiffness!V63,0)),IF(Element_Stiffness!$E$40=3,IF(5=Element_Stiffness!$C$40,Element_Stiffness!P69,IF(5=Element_Stiffness!$E$40,Element_Stiffness!V69,0)),0)),0)+IF(Element_Stiffness!$C$76,IF(Element_Stiffness!$C$75=3,IF(5=Element_Stiffness!$C$75,Element_Stiffness!P98,IF(5=Element_Stiffness!$E$75,Element_Stiffness!V98,0)),IF(Element_Stiffness!$E$75=3,IF(5=Element_Stiffness!$C$75,Element_Stiffness!P104,IF(5=Element_Stiffness!$E$75,Element_Stiffness!V104,0)),0)),0)+IF(Element_Stiffness!$C$111,IF(Element_Stiffness!$C$110=3,IF(5=Element_Stiffness!$C$110,Element_Stiffness!P133,IF(5=Element_Stiffness!$E$110,Element_Stiffness!V133,0)),IF(Element_Stiffness!$E$110=3,IF(5=Element_Stiffness!$C$110,Element_Stiffness!P139,IF(5=Element_Stiffness!$E$110,Element_Stiffness!V139,0)),0)),0)+IF(Element_Stiffness!$C$146,IF(Element_Stiffness!$C$145=3,IF(5=Element_Stiffness!$C$145,Element_Stiffness!P168,IF(5=Element_Stiffness!$E$145,Element_Stiffness!V168,0)),IF(Element_Stiffness!$E$145=3,IF(5=Element_Stiffness!$C$145,Element_Stiffness!P174,IF(5=Element_Stiffness!$E$145,Element_Stiffness!V174,0)),0)),0)+IF(Element_Stiffness!$C$181,IF(Element_Stiffness!$C$180=3,IF(5=Element_Stiffness!$C$180,Element_Stiffness!P203,IF(5=Element_Stiffness!$E$180,Element_Stiffness!V203,0)),IF(Element_Stiffness!$E$180=3,IF(5=Element_Stiffness!$C$180,Element_Stiffness!P209,IF(5=Element_Stiffness!$E$180,Element_Stiffness!V209,0)),0)),0)+IF(Element_Stiffness!$C$216,IF(Element_Stiffness!$C$215=3,IF(5=Element_Stiffness!$C$215,Element_Stiffness!P238,IF(5=Element_Stiffness!$E$215,Element_Stiffness!V238,0)),IF(Element_Stiffness!$E$215=3,IF(5=Element_Stiffness!$C$215,Element_Stiffness!P244,IF(5=Element_Stiffness!$E$215,Element_Stiffness!V244,0)),0)),0)</f>
        <v/>
      </c>
      <c r="AH25" s="21">
        <f>IF(Element_Stiffness!$C$6,IF(Element_Stiffness!$C$5=3,IF(5=Element_Stiffness!$C$5,Element_Stiffness!Q28,IF(5=Element_Stiffness!$E$5,Element_Stiffness!W28,0)),IF(Element_Stiffness!$E$5=3,IF(5=Element_Stiffness!$C$5,Element_Stiffness!Q34,IF(5=Element_Stiffness!$E$5,Element_Stiffness!W34,0)),0)),0)+IF(Element_Stiffness!$C$41,IF(Element_Stiffness!$C$40=3,IF(5=Element_Stiffness!$C$40,Element_Stiffness!Q63,IF(5=Element_Stiffness!$E$40,Element_Stiffness!W63,0)),IF(Element_Stiffness!$E$40=3,IF(5=Element_Stiffness!$C$40,Element_Stiffness!Q69,IF(5=Element_Stiffness!$E$40,Element_Stiffness!W69,0)),0)),0)+IF(Element_Stiffness!$C$76,IF(Element_Stiffness!$C$75=3,IF(5=Element_Stiffness!$C$75,Element_Stiffness!Q98,IF(5=Element_Stiffness!$E$75,Element_Stiffness!W98,0)),IF(Element_Stiffness!$E$75=3,IF(5=Element_Stiffness!$C$75,Element_Stiffness!Q104,IF(5=Element_Stiffness!$E$75,Element_Stiffness!W104,0)),0)),0)+IF(Element_Stiffness!$C$111,IF(Element_Stiffness!$C$110=3,IF(5=Element_Stiffness!$C$110,Element_Stiffness!Q133,IF(5=Element_Stiffness!$E$110,Element_Stiffness!W133,0)),IF(Element_Stiffness!$E$110=3,IF(5=Element_Stiffness!$C$110,Element_Stiffness!Q139,IF(5=Element_Stiffness!$E$110,Element_Stiffness!W139,0)),0)),0)+IF(Element_Stiffness!$C$146,IF(Element_Stiffness!$C$145=3,IF(5=Element_Stiffness!$C$145,Element_Stiffness!Q168,IF(5=Element_Stiffness!$E$145,Element_Stiffness!W168,0)),IF(Element_Stiffness!$E$145=3,IF(5=Element_Stiffness!$C$145,Element_Stiffness!Q174,IF(5=Element_Stiffness!$E$145,Element_Stiffness!W174,0)),0)),0)+IF(Element_Stiffness!$C$181,IF(Element_Stiffness!$C$180=3,IF(5=Element_Stiffness!$C$180,Element_Stiffness!Q203,IF(5=Element_Stiffness!$E$180,Element_Stiffness!W203,0)),IF(Element_Stiffness!$E$180=3,IF(5=Element_Stiffness!$C$180,Element_Stiffness!Q209,IF(5=Element_Stiffness!$E$180,Element_Stiffness!W209,0)),0)),0)+IF(Element_Stiffness!$C$216,IF(Element_Stiffness!$C$215=3,IF(5=Element_Stiffness!$C$215,Element_Stiffness!Q238,IF(5=Element_Stiffness!$E$215,Element_Stiffness!W238,0)),IF(Element_Stiffness!$E$215=3,IF(5=Element_Stiffness!$C$215,Element_Stiffness!Q244,IF(5=Element_Stiffness!$E$215,Element_Stiffness!W244,0)),0)),0)</f>
        <v/>
      </c>
      <c r="AI25" s="21">
        <f>IF(Element_Stiffness!$C$6,IF(Element_Stiffness!$C$5=3,IF(5=Element_Stiffness!$C$5,Element_Stiffness!R28,IF(5=Element_Stiffness!$E$5,Element_Stiffness!X28,0)),IF(Element_Stiffness!$E$5=3,IF(5=Element_Stiffness!$C$5,Element_Stiffness!R34,IF(5=Element_Stiffness!$E$5,Element_Stiffness!X34,0)),0)),0)+IF(Element_Stiffness!$C$41,IF(Element_Stiffness!$C$40=3,IF(5=Element_Stiffness!$C$40,Element_Stiffness!R63,IF(5=Element_Stiffness!$E$40,Element_Stiffness!X63,0)),IF(Element_Stiffness!$E$40=3,IF(5=Element_Stiffness!$C$40,Element_Stiffness!R69,IF(5=Element_Stiffness!$E$40,Element_Stiffness!X69,0)),0)),0)+IF(Element_Stiffness!$C$76,IF(Element_Stiffness!$C$75=3,IF(5=Element_Stiffness!$C$75,Element_Stiffness!R98,IF(5=Element_Stiffness!$E$75,Element_Stiffness!X98,0)),IF(Element_Stiffness!$E$75=3,IF(5=Element_Stiffness!$C$75,Element_Stiffness!R104,IF(5=Element_Stiffness!$E$75,Element_Stiffness!X104,0)),0)),0)+IF(Element_Stiffness!$C$111,IF(Element_Stiffness!$C$110=3,IF(5=Element_Stiffness!$C$110,Element_Stiffness!R133,IF(5=Element_Stiffness!$E$110,Element_Stiffness!X133,0)),IF(Element_Stiffness!$E$110=3,IF(5=Element_Stiffness!$C$110,Element_Stiffness!R139,IF(5=Element_Stiffness!$E$110,Element_Stiffness!X139,0)),0)),0)+IF(Element_Stiffness!$C$146,IF(Element_Stiffness!$C$145=3,IF(5=Element_Stiffness!$C$145,Element_Stiffness!R168,IF(5=Element_Stiffness!$E$145,Element_Stiffness!X168,0)),IF(Element_Stiffness!$E$145=3,IF(5=Element_Stiffness!$C$145,Element_Stiffness!R174,IF(5=Element_Stiffness!$E$145,Element_Stiffness!X174,0)),0)),0)+IF(Element_Stiffness!$C$181,IF(Element_Stiffness!$C$180=3,IF(5=Element_Stiffness!$C$180,Element_Stiffness!R203,IF(5=Element_Stiffness!$E$180,Element_Stiffness!X203,0)),IF(Element_Stiffness!$E$180=3,IF(5=Element_Stiffness!$C$180,Element_Stiffness!R209,IF(5=Element_Stiffness!$E$180,Element_Stiffness!X209,0)),0)),0)+IF(Element_Stiffness!$C$216,IF(Element_Stiffness!$C$215=3,IF(5=Element_Stiffness!$C$215,Element_Stiffness!R238,IF(5=Element_Stiffness!$E$215,Element_Stiffness!X238,0)),IF(Element_Stiffness!$E$215=3,IF(5=Element_Stiffness!$C$215,Element_Stiffness!R244,IF(5=Element_Stiffness!$E$215,Element_Stiffness!X244,0)),0)),0)</f>
        <v/>
      </c>
      <c r="AJ25" s="21">
        <f>IF(Element_Stiffness!$C$6,IF(Element_Stiffness!$C$5=3,IF(5=Element_Stiffness!$C$5,Element_Stiffness!S28,IF(5=Element_Stiffness!$E$5,Element_Stiffness!Y28,0)),IF(Element_Stiffness!$E$5=3,IF(5=Element_Stiffness!$C$5,Element_Stiffness!S34,IF(5=Element_Stiffness!$E$5,Element_Stiffness!Y34,0)),0)),0)+IF(Element_Stiffness!$C$41,IF(Element_Stiffness!$C$40=3,IF(5=Element_Stiffness!$C$40,Element_Stiffness!S63,IF(5=Element_Stiffness!$E$40,Element_Stiffness!Y63,0)),IF(Element_Stiffness!$E$40=3,IF(5=Element_Stiffness!$C$40,Element_Stiffness!S69,IF(5=Element_Stiffness!$E$40,Element_Stiffness!Y69,0)),0)),0)+IF(Element_Stiffness!$C$76,IF(Element_Stiffness!$C$75=3,IF(5=Element_Stiffness!$C$75,Element_Stiffness!S98,IF(5=Element_Stiffness!$E$75,Element_Stiffness!Y98,0)),IF(Element_Stiffness!$E$75=3,IF(5=Element_Stiffness!$C$75,Element_Stiffness!S104,IF(5=Element_Stiffness!$E$75,Element_Stiffness!Y104,0)),0)),0)+IF(Element_Stiffness!$C$111,IF(Element_Stiffness!$C$110=3,IF(5=Element_Stiffness!$C$110,Element_Stiffness!S133,IF(5=Element_Stiffness!$E$110,Element_Stiffness!Y133,0)),IF(Element_Stiffness!$E$110=3,IF(5=Element_Stiffness!$C$110,Element_Stiffness!S139,IF(5=Element_Stiffness!$E$110,Element_Stiffness!Y139,0)),0)),0)+IF(Element_Stiffness!$C$146,IF(Element_Stiffness!$C$145=3,IF(5=Element_Stiffness!$C$145,Element_Stiffness!S168,IF(5=Element_Stiffness!$E$145,Element_Stiffness!Y168,0)),IF(Element_Stiffness!$E$145=3,IF(5=Element_Stiffness!$C$145,Element_Stiffness!S174,IF(5=Element_Stiffness!$E$145,Element_Stiffness!Y174,0)),0)),0)+IF(Element_Stiffness!$C$181,IF(Element_Stiffness!$C$180=3,IF(5=Element_Stiffness!$C$180,Element_Stiffness!S203,IF(5=Element_Stiffness!$E$180,Element_Stiffness!Y203,0)),IF(Element_Stiffness!$E$180=3,IF(5=Element_Stiffness!$C$180,Element_Stiffness!S209,IF(5=Element_Stiffness!$E$180,Element_Stiffness!Y209,0)),0)),0)+IF(Element_Stiffness!$C$216,IF(Element_Stiffness!$C$215=3,IF(5=Element_Stiffness!$C$215,Element_Stiffness!S238,IF(5=Element_Stiffness!$E$215,Element_Stiffness!Y238,0)),IF(Element_Stiffness!$E$215=3,IF(5=Element_Stiffness!$C$215,Element_Stiffness!S244,IF(5=Element_Stiffness!$E$215,Element_Stiffness!Y244,0)),0)),0)</f>
        <v/>
      </c>
      <c r="AK25" s="21">
        <f>IF(Element_Stiffness!$C$6,IF(Element_Stiffness!$C$5=3,IF(5=Element_Stiffness!$C$5,Element_Stiffness!T28,IF(5=Element_Stiffness!$E$5,Element_Stiffness!Z28,0)),IF(Element_Stiffness!$E$5=3,IF(5=Element_Stiffness!$C$5,Element_Stiffness!T34,IF(5=Element_Stiffness!$E$5,Element_Stiffness!Z34,0)),0)),0)+IF(Element_Stiffness!$C$41,IF(Element_Stiffness!$C$40=3,IF(5=Element_Stiffness!$C$40,Element_Stiffness!T63,IF(5=Element_Stiffness!$E$40,Element_Stiffness!Z63,0)),IF(Element_Stiffness!$E$40=3,IF(5=Element_Stiffness!$C$40,Element_Stiffness!T69,IF(5=Element_Stiffness!$E$40,Element_Stiffness!Z69,0)),0)),0)+IF(Element_Stiffness!$C$76,IF(Element_Stiffness!$C$75=3,IF(5=Element_Stiffness!$C$75,Element_Stiffness!T98,IF(5=Element_Stiffness!$E$75,Element_Stiffness!Z98,0)),IF(Element_Stiffness!$E$75=3,IF(5=Element_Stiffness!$C$75,Element_Stiffness!T104,IF(5=Element_Stiffness!$E$75,Element_Stiffness!Z104,0)),0)),0)+IF(Element_Stiffness!$C$111,IF(Element_Stiffness!$C$110=3,IF(5=Element_Stiffness!$C$110,Element_Stiffness!T133,IF(5=Element_Stiffness!$E$110,Element_Stiffness!Z133,0)),IF(Element_Stiffness!$E$110=3,IF(5=Element_Stiffness!$C$110,Element_Stiffness!T139,IF(5=Element_Stiffness!$E$110,Element_Stiffness!Z139,0)),0)),0)+IF(Element_Stiffness!$C$146,IF(Element_Stiffness!$C$145=3,IF(5=Element_Stiffness!$C$145,Element_Stiffness!T168,IF(5=Element_Stiffness!$E$145,Element_Stiffness!Z168,0)),IF(Element_Stiffness!$E$145=3,IF(5=Element_Stiffness!$C$145,Element_Stiffness!T174,IF(5=Element_Stiffness!$E$145,Element_Stiffness!Z174,0)),0)),0)+IF(Element_Stiffness!$C$181,IF(Element_Stiffness!$C$180=3,IF(5=Element_Stiffness!$C$180,Element_Stiffness!T203,IF(5=Element_Stiffness!$E$180,Element_Stiffness!Z203,0)),IF(Element_Stiffness!$E$180=3,IF(5=Element_Stiffness!$C$180,Element_Stiffness!T209,IF(5=Element_Stiffness!$E$180,Element_Stiffness!Z209,0)),0)),0)+IF(Element_Stiffness!$C$216,IF(Element_Stiffness!$C$215=3,IF(5=Element_Stiffness!$C$215,Element_Stiffness!T238,IF(5=Element_Stiffness!$E$215,Element_Stiffness!Z238,0)),IF(Element_Stiffness!$E$215=3,IF(5=Element_Stiffness!$C$215,Element_Stiffness!T244,IF(5=Element_Stiffness!$E$215,Element_Stiffness!Z244,0)),0)),0)</f>
        <v/>
      </c>
      <c r="AL25" s="21">
        <f>IF(Element_Stiffness!$C$6,IF(Element_Stiffness!$C$5=3,IF(5=Element_Stiffness!$C$5,Element_Stiffness!U28,IF(5=Element_Stiffness!$E$5,Element_Stiffness!AA28,0)),IF(Element_Stiffness!$E$5=3,IF(5=Element_Stiffness!$C$5,Element_Stiffness!U34,IF(5=Element_Stiffness!$E$5,Element_Stiffness!AA34,0)),0)),0)+IF(Element_Stiffness!$C$41,IF(Element_Stiffness!$C$40=3,IF(5=Element_Stiffness!$C$40,Element_Stiffness!U63,IF(5=Element_Stiffness!$E$40,Element_Stiffness!AA63,0)),IF(Element_Stiffness!$E$40=3,IF(5=Element_Stiffness!$C$40,Element_Stiffness!U69,IF(5=Element_Stiffness!$E$40,Element_Stiffness!AA69,0)),0)),0)+IF(Element_Stiffness!$C$76,IF(Element_Stiffness!$C$75=3,IF(5=Element_Stiffness!$C$75,Element_Stiffness!U98,IF(5=Element_Stiffness!$E$75,Element_Stiffness!AA98,0)),IF(Element_Stiffness!$E$75=3,IF(5=Element_Stiffness!$C$75,Element_Stiffness!U104,IF(5=Element_Stiffness!$E$75,Element_Stiffness!AA104,0)),0)),0)+IF(Element_Stiffness!$C$111,IF(Element_Stiffness!$C$110=3,IF(5=Element_Stiffness!$C$110,Element_Stiffness!U133,IF(5=Element_Stiffness!$E$110,Element_Stiffness!AA133,0)),IF(Element_Stiffness!$E$110=3,IF(5=Element_Stiffness!$C$110,Element_Stiffness!U139,IF(5=Element_Stiffness!$E$110,Element_Stiffness!AA139,0)),0)),0)+IF(Element_Stiffness!$C$146,IF(Element_Stiffness!$C$145=3,IF(5=Element_Stiffness!$C$145,Element_Stiffness!U168,IF(5=Element_Stiffness!$E$145,Element_Stiffness!AA168,0)),IF(Element_Stiffness!$E$145=3,IF(5=Element_Stiffness!$C$145,Element_Stiffness!U174,IF(5=Element_Stiffness!$E$145,Element_Stiffness!AA174,0)),0)),0)+IF(Element_Stiffness!$C$181,IF(Element_Stiffness!$C$180=3,IF(5=Element_Stiffness!$C$180,Element_Stiffness!U203,IF(5=Element_Stiffness!$E$180,Element_Stiffness!AA203,0)),IF(Element_Stiffness!$E$180=3,IF(5=Element_Stiffness!$C$180,Element_Stiffness!U209,IF(5=Element_Stiffness!$E$180,Element_Stiffness!AA209,0)),0)),0)+IF(Element_Stiffness!$C$216,IF(Element_Stiffness!$C$215=3,IF(5=Element_Stiffness!$C$215,Element_Stiffness!U238,IF(5=Element_Stiffness!$E$215,Element_Stiffness!AA238,0)),IF(Element_Stiffness!$E$215=3,IF(5=Element_Stiffness!$C$215,Element_Stiffness!U244,IF(5=Element_Stiffness!$E$215,Element_Stiffness!AA244,0)),0)),0)</f>
        <v/>
      </c>
      <c r="AM25" s="21">
        <f>IF(Element_Stiffness!$C$6,IF(Element_Stiffness!$C$5=3,IF(6=Element_Stiffness!$C$5,Element_Stiffness!P28,IF(6=Element_Stiffness!$E$5,Element_Stiffness!V28,0)),IF(Element_Stiffness!$E$5=3,IF(6=Element_Stiffness!$C$5,Element_Stiffness!P34,IF(6=Element_Stiffness!$E$5,Element_Stiffness!V34,0)),0)),0)+IF(Element_Stiffness!$C$41,IF(Element_Stiffness!$C$40=3,IF(6=Element_Stiffness!$C$40,Element_Stiffness!P63,IF(6=Element_Stiffness!$E$40,Element_Stiffness!V63,0)),IF(Element_Stiffness!$E$40=3,IF(6=Element_Stiffness!$C$40,Element_Stiffness!P69,IF(6=Element_Stiffness!$E$40,Element_Stiffness!V69,0)),0)),0)+IF(Element_Stiffness!$C$76,IF(Element_Stiffness!$C$75=3,IF(6=Element_Stiffness!$C$75,Element_Stiffness!P98,IF(6=Element_Stiffness!$E$75,Element_Stiffness!V98,0)),IF(Element_Stiffness!$E$75=3,IF(6=Element_Stiffness!$C$75,Element_Stiffness!P104,IF(6=Element_Stiffness!$E$75,Element_Stiffness!V104,0)),0)),0)+IF(Element_Stiffness!$C$111,IF(Element_Stiffness!$C$110=3,IF(6=Element_Stiffness!$C$110,Element_Stiffness!P133,IF(6=Element_Stiffness!$E$110,Element_Stiffness!V133,0)),IF(Element_Stiffness!$E$110=3,IF(6=Element_Stiffness!$C$110,Element_Stiffness!P139,IF(6=Element_Stiffness!$E$110,Element_Stiffness!V139,0)),0)),0)+IF(Element_Stiffness!$C$146,IF(Element_Stiffness!$C$145=3,IF(6=Element_Stiffness!$C$145,Element_Stiffness!P168,IF(6=Element_Stiffness!$E$145,Element_Stiffness!V168,0)),IF(Element_Stiffness!$E$145=3,IF(6=Element_Stiffness!$C$145,Element_Stiffness!P174,IF(6=Element_Stiffness!$E$145,Element_Stiffness!V174,0)),0)),0)+IF(Element_Stiffness!$C$181,IF(Element_Stiffness!$C$180=3,IF(6=Element_Stiffness!$C$180,Element_Stiffness!P203,IF(6=Element_Stiffness!$E$180,Element_Stiffness!V203,0)),IF(Element_Stiffness!$E$180=3,IF(6=Element_Stiffness!$C$180,Element_Stiffness!P209,IF(6=Element_Stiffness!$E$180,Element_Stiffness!V209,0)),0)),0)+IF(Element_Stiffness!$C$216,IF(Element_Stiffness!$C$215=3,IF(6=Element_Stiffness!$C$215,Element_Stiffness!P238,IF(6=Element_Stiffness!$E$215,Element_Stiffness!V238,0)),IF(Element_Stiffness!$E$215=3,IF(6=Element_Stiffness!$C$215,Element_Stiffness!P244,IF(6=Element_Stiffness!$E$215,Element_Stiffness!V244,0)),0)),0)</f>
        <v/>
      </c>
      <c r="AN25" s="21">
        <f>IF(Element_Stiffness!$C$6,IF(Element_Stiffness!$C$5=3,IF(6=Element_Stiffness!$C$5,Element_Stiffness!Q28,IF(6=Element_Stiffness!$E$5,Element_Stiffness!W28,0)),IF(Element_Stiffness!$E$5=3,IF(6=Element_Stiffness!$C$5,Element_Stiffness!Q34,IF(6=Element_Stiffness!$E$5,Element_Stiffness!W34,0)),0)),0)+IF(Element_Stiffness!$C$41,IF(Element_Stiffness!$C$40=3,IF(6=Element_Stiffness!$C$40,Element_Stiffness!Q63,IF(6=Element_Stiffness!$E$40,Element_Stiffness!W63,0)),IF(Element_Stiffness!$E$40=3,IF(6=Element_Stiffness!$C$40,Element_Stiffness!Q69,IF(6=Element_Stiffness!$E$40,Element_Stiffness!W69,0)),0)),0)+IF(Element_Stiffness!$C$76,IF(Element_Stiffness!$C$75=3,IF(6=Element_Stiffness!$C$75,Element_Stiffness!Q98,IF(6=Element_Stiffness!$E$75,Element_Stiffness!W98,0)),IF(Element_Stiffness!$E$75=3,IF(6=Element_Stiffness!$C$75,Element_Stiffness!Q104,IF(6=Element_Stiffness!$E$75,Element_Stiffness!W104,0)),0)),0)+IF(Element_Stiffness!$C$111,IF(Element_Stiffness!$C$110=3,IF(6=Element_Stiffness!$C$110,Element_Stiffness!Q133,IF(6=Element_Stiffness!$E$110,Element_Stiffness!W133,0)),IF(Element_Stiffness!$E$110=3,IF(6=Element_Stiffness!$C$110,Element_Stiffness!Q139,IF(6=Element_Stiffness!$E$110,Element_Stiffness!W139,0)),0)),0)+IF(Element_Stiffness!$C$146,IF(Element_Stiffness!$C$145=3,IF(6=Element_Stiffness!$C$145,Element_Stiffness!Q168,IF(6=Element_Stiffness!$E$145,Element_Stiffness!W168,0)),IF(Element_Stiffness!$E$145=3,IF(6=Element_Stiffness!$C$145,Element_Stiffness!Q174,IF(6=Element_Stiffness!$E$145,Element_Stiffness!W174,0)),0)),0)+IF(Element_Stiffness!$C$181,IF(Element_Stiffness!$C$180=3,IF(6=Element_Stiffness!$C$180,Element_Stiffness!Q203,IF(6=Element_Stiffness!$E$180,Element_Stiffness!W203,0)),IF(Element_Stiffness!$E$180=3,IF(6=Element_Stiffness!$C$180,Element_Stiffness!Q209,IF(6=Element_Stiffness!$E$180,Element_Stiffness!W209,0)),0)),0)+IF(Element_Stiffness!$C$216,IF(Element_Stiffness!$C$215=3,IF(6=Element_Stiffness!$C$215,Element_Stiffness!Q238,IF(6=Element_Stiffness!$E$215,Element_Stiffness!W238,0)),IF(Element_Stiffness!$E$215=3,IF(6=Element_Stiffness!$C$215,Element_Stiffness!Q244,IF(6=Element_Stiffness!$E$215,Element_Stiffness!W244,0)),0)),0)</f>
        <v/>
      </c>
      <c r="AO25" s="21">
        <f>IF(Element_Stiffness!$C$6,IF(Element_Stiffness!$C$5=3,IF(6=Element_Stiffness!$C$5,Element_Stiffness!R28,IF(6=Element_Stiffness!$E$5,Element_Stiffness!X28,0)),IF(Element_Stiffness!$E$5=3,IF(6=Element_Stiffness!$C$5,Element_Stiffness!R34,IF(6=Element_Stiffness!$E$5,Element_Stiffness!X34,0)),0)),0)+IF(Element_Stiffness!$C$41,IF(Element_Stiffness!$C$40=3,IF(6=Element_Stiffness!$C$40,Element_Stiffness!R63,IF(6=Element_Stiffness!$E$40,Element_Stiffness!X63,0)),IF(Element_Stiffness!$E$40=3,IF(6=Element_Stiffness!$C$40,Element_Stiffness!R69,IF(6=Element_Stiffness!$E$40,Element_Stiffness!X69,0)),0)),0)+IF(Element_Stiffness!$C$76,IF(Element_Stiffness!$C$75=3,IF(6=Element_Stiffness!$C$75,Element_Stiffness!R98,IF(6=Element_Stiffness!$E$75,Element_Stiffness!X98,0)),IF(Element_Stiffness!$E$75=3,IF(6=Element_Stiffness!$C$75,Element_Stiffness!R104,IF(6=Element_Stiffness!$E$75,Element_Stiffness!X104,0)),0)),0)+IF(Element_Stiffness!$C$111,IF(Element_Stiffness!$C$110=3,IF(6=Element_Stiffness!$C$110,Element_Stiffness!R133,IF(6=Element_Stiffness!$E$110,Element_Stiffness!X133,0)),IF(Element_Stiffness!$E$110=3,IF(6=Element_Stiffness!$C$110,Element_Stiffness!R139,IF(6=Element_Stiffness!$E$110,Element_Stiffness!X139,0)),0)),0)+IF(Element_Stiffness!$C$146,IF(Element_Stiffness!$C$145=3,IF(6=Element_Stiffness!$C$145,Element_Stiffness!R168,IF(6=Element_Stiffness!$E$145,Element_Stiffness!X168,0)),IF(Element_Stiffness!$E$145=3,IF(6=Element_Stiffness!$C$145,Element_Stiffness!R174,IF(6=Element_Stiffness!$E$145,Element_Stiffness!X174,0)),0)),0)+IF(Element_Stiffness!$C$181,IF(Element_Stiffness!$C$180=3,IF(6=Element_Stiffness!$C$180,Element_Stiffness!R203,IF(6=Element_Stiffness!$E$180,Element_Stiffness!X203,0)),IF(Element_Stiffness!$E$180=3,IF(6=Element_Stiffness!$C$180,Element_Stiffness!R209,IF(6=Element_Stiffness!$E$180,Element_Stiffness!X209,0)),0)),0)+IF(Element_Stiffness!$C$216,IF(Element_Stiffness!$C$215=3,IF(6=Element_Stiffness!$C$215,Element_Stiffness!R238,IF(6=Element_Stiffness!$E$215,Element_Stiffness!X238,0)),IF(Element_Stiffness!$E$215=3,IF(6=Element_Stiffness!$C$215,Element_Stiffness!R244,IF(6=Element_Stiffness!$E$215,Element_Stiffness!X244,0)),0)),0)</f>
        <v/>
      </c>
      <c r="AP25" s="21">
        <f>IF(Element_Stiffness!$C$6,IF(Element_Stiffness!$C$5=3,IF(6=Element_Stiffness!$C$5,Element_Stiffness!S28,IF(6=Element_Stiffness!$E$5,Element_Stiffness!Y28,0)),IF(Element_Stiffness!$E$5=3,IF(6=Element_Stiffness!$C$5,Element_Stiffness!S34,IF(6=Element_Stiffness!$E$5,Element_Stiffness!Y34,0)),0)),0)+IF(Element_Stiffness!$C$41,IF(Element_Stiffness!$C$40=3,IF(6=Element_Stiffness!$C$40,Element_Stiffness!S63,IF(6=Element_Stiffness!$E$40,Element_Stiffness!Y63,0)),IF(Element_Stiffness!$E$40=3,IF(6=Element_Stiffness!$C$40,Element_Stiffness!S69,IF(6=Element_Stiffness!$E$40,Element_Stiffness!Y69,0)),0)),0)+IF(Element_Stiffness!$C$76,IF(Element_Stiffness!$C$75=3,IF(6=Element_Stiffness!$C$75,Element_Stiffness!S98,IF(6=Element_Stiffness!$E$75,Element_Stiffness!Y98,0)),IF(Element_Stiffness!$E$75=3,IF(6=Element_Stiffness!$C$75,Element_Stiffness!S104,IF(6=Element_Stiffness!$E$75,Element_Stiffness!Y104,0)),0)),0)+IF(Element_Stiffness!$C$111,IF(Element_Stiffness!$C$110=3,IF(6=Element_Stiffness!$C$110,Element_Stiffness!S133,IF(6=Element_Stiffness!$E$110,Element_Stiffness!Y133,0)),IF(Element_Stiffness!$E$110=3,IF(6=Element_Stiffness!$C$110,Element_Stiffness!S139,IF(6=Element_Stiffness!$E$110,Element_Stiffness!Y139,0)),0)),0)+IF(Element_Stiffness!$C$146,IF(Element_Stiffness!$C$145=3,IF(6=Element_Stiffness!$C$145,Element_Stiffness!S168,IF(6=Element_Stiffness!$E$145,Element_Stiffness!Y168,0)),IF(Element_Stiffness!$E$145=3,IF(6=Element_Stiffness!$C$145,Element_Stiffness!S174,IF(6=Element_Stiffness!$E$145,Element_Stiffness!Y174,0)),0)),0)+IF(Element_Stiffness!$C$181,IF(Element_Stiffness!$C$180=3,IF(6=Element_Stiffness!$C$180,Element_Stiffness!S203,IF(6=Element_Stiffness!$E$180,Element_Stiffness!Y203,0)),IF(Element_Stiffness!$E$180=3,IF(6=Element_Stiffness!$C$180,Element_Stiffness!S209,IF(6=Element_Stiffness!$E$180,Element_Stiffness!Y209,0)),0)),0)+IF(Element_Stiffness!$C$216,IF(Element_Stiffness!$C$215=3,IF(6=Element_Stiffness!$C$215,Element_Stiffness!S238,IF(6=Element_Stiffness!$E$215,Element_Stiffness!Y238,0)),IF(Element_Stiffness!$E$215=3,IF(6=Element_Stiffness!$C$215,Element_Stiffness!S244,IF(6=Element_Stiffness!$E$215,Element_Stiffness!Y244,0)),0)),0)</f>
        <v/>
      </c>
      <c r="AQ25" s="21">
        <f>IF(Element_Stiffness!$C$6,IF(Element_Stiffness!$C$5=3,IF(6=Element_Stiffness!$C$5,Element_Stiffness!T28,IF(6=Element_Stiffness!$E$5,Element_Stiffness!Z28,0)),IF(Element_Stiffness!$E$5=3,IF(6=Element_Stiffness!$C$5,Element_Stiffness!T34,IF(6=Element_Stiffness!$E$5,Element_Stiffness!Z34,0)),0)),0)+IF(Element_Stiffness!$C$41,IF(Element_Stiffness!$C$40=3,IF(6=Element_Stiffness!$C$40,Element_Stiffness!T63,IF(6=Element_Stiffness!$E$40,Element_Stiffness!Z63,0)),IF(Element_Stiffness!$E$40=3,IF(6=Element_Stiffness!$C$40,Element_Stiffness!T69,IF(6=Element_Stiffness!$E$40,Element_Stiffness!Z69,0)),0)),0)+IF(Element_Stiffness!$C$76,IF(Element_Stiffness!$C$75=3,IF(6=Element_Stiffness!$C$75,Element_Stiffness!T98,IF(6=Element_Stiffness!$E$75,Element_Stiffness!Z98,0)),IF(Element_Stiffness!$E$75=3,IF(6=Element_Stiffness!$C$75,Element_Stiffness!T104,IF(6=Element_Stiffness!$E$75,Element_Stiffness!Z104,0)),0)),0)+IF(Element_Stiffness!$C$111,IF(Element_Stiffness!$C$110=3,IF(6=Element_Stiffness!$C$110,Element_Stiffness!T133,IF(6=Element_Stiffness!$E$110,Element_Stiffness!Z133,0)),IF(Element_Stiffness!$E$110=3,IF(6=Element_Stiffness!$C$110,Element_Stiffness!T139,IF(6=Element_Stiffness!$E$110,Element_Stiffness!Z139,0)),0)),0)+IF(Element_Stiffness!$C$146,IF(Element_Stiffness!$C$145=3,IF(6=Element_Stiffness!$C$145,Element_Stiffness!T168,IF(6=Element_Stiffness!$E$145,Element_Stiffness!Z168,0)),IF(Element_Stiffness!$E$145=3,IF(6=Element_Stiffness!$C$145,Element_Stiffness!T174,IF(6=Element_Stiffness!$E$145,Element_Stiffness!Z174,0)),0)),0)+IF(Element_Stiffness!$C$181,IF(Element_Stiffness!$C$180=3,IF(6=Element_Stiffness!$C$180,Element_Stiffness!T203,IF(6=Element_Stiffness!$E$180,Element_Stiffness!Z203,0)),IF(Element_Stiffness!$E$180=3,IF(6=Element_Stiffness!$C$180,Element_Stiffness!T209,IF(6=Element_Stiffness!$E$180,Element_Stiffness!Z209,0)),0)),0)+IF(Element_Stiffness!$C$216,IF(Element_Stiffness!$C$215=3,IF(6=Element_Stiffness!$C$215,Element_Stiffness!T238,IF(6=Element_Stiffness!$E$215,Element_Stiffness!Z238,0)),IF(Element_Stiffness!$E$215=3,IF(6=Element_Stiffness!$C$215,Element_Stiffness!T244,IF(6=Element_Stiffness!$E$215,Element_Stiffness!Z244,0)),0)),0)</f>
        <v/>
      </c>
      <c r="AR25" s="21">
        <f>IF(Element_Stiffness!$C$6,IF(Element_Stiffness!$C$5=3,IF(6=Element_Stiffness!$C$5,Element_Stiffness!U28,IF(6=Element_Stiffness!$E$5,Element_Stiffness!AA28,0)),IF(Element_Stiffness!$E$5=3,IF(6=Element_Stiffness!$C$5,Element_Stiffness!U34,IF(6=Element_Stiffness!$E$5,Element_Stiffness!AA34,0)),0)),0)+IF(Element_Stiffness!$C$41,IF(Element_Stiffness!$C$40=3,IF(6=Element_Stiffness!$C$40,Element_Stiffness!U63,IF(6=Element_Stiffness!$E$40,Element_Stiffness!AA63,0)),IF(Element_Stiffness!$E$40=3,IF(6=Element_Stiffness!$C$40,Element_Stiffness!U69,IF(6=Element_Stiffness!$E$40,Element_Stiffness!AA69,0)),0)),0)+IF(Element_Stiffness!$C$76,IF(Element_Stiffness!$C$75=3,IF(6=Element_Stiffness!$C$75,Element_Stiffness!U98,IF(6=Element_Stiffness!$E$75,Element_Stiffness!AA98,0)),IF(Element_Stiffness!$E$75=3,IF(6=Element_Stiffness!$C$75,Element_Stiffness!U104,IF(6=Element_Stiffness!$E$75,Element_Stiffness!AA104,0)),0)),0)+IF(Element_Stiffness!$C$111,IF(Element_Stiffness!$C$110=3,IF(6=Element_Stiffness!$C$110,Element_Stiffness!U133,IF(6=Element_Stiffness!$E$110,Element_Stiffness!AA133,0)),IF(Element_Stiffness!$E$110=3,IF(6=Element_Stiffness!$C$110,Element_Stiffness!U139,IF(6=Element_Stiffness!$E$110,Element_Stiffness!AA139,0)),0)),0)+IF(Element_Stiffness!$C$146,IF(Element_Stiffness!$C$145=3,IF(6=Element_Stiffness!$C$145,Element_Stiffness!U168,IF(6=Element_Stiffness!$E$145,Element_Stiffness!AA168,0)),IF(Element_Stiffness!$E$145=3,IF(6=Element_Stiffness!$C$145,Element_Stiffness!U174,IF(6=Element_Stiffness!$E$145,Element_Stiffness!AA174,0)),0)),0)+IF(Element_Stiffness!$C$181,IF(Element_Stiffness!$C$180=3,IF(6=Element_Stiffness!$C$180,Element_Stiffness!U203,IF(6=Element_Stiffness!$E$180,Element_Stiffness!AA203,0)),IF(Element_Stiffness!$E$180=3,IF(6=Element_Stiffness!$C$180,Element_Stiffness!U209,IF(6=Element_Stiffness!$E$180,Element_Stiffness!AA209,0)),0)),0)+IF(Element_Stiffness!$C$216,IF(Element_Stiffness!$C$215=3,IF(6=Element_Stiffness!$C$215,Element_Stiffness!U238,IF(6=Element_Stiffness!$E$215,Element_Stiffness!AA238,0)),IF(Element_Stiffness!$E$215=3,IF(6=Element_Stiffness!$C$215,Element_Stiffness!U244,IF(6=Element_Stiffness!$E$215,Element_Stiffness!AA244,0)),0)),0)</f>
        <v/>
      </c>
      <c r="AS25" s="21">
        <f>IF(Element_Stiffness!$C$6,IF(Element_Stiffness!$C$5=3,IF(7=Element_Stiffness!$C$5,Element_Stiffness!P28,IF(7=Element_Stiffness!$E$5,Element_Stiffness!V28,0)),IF(Element_Stiffness!$E$5=3,IF(7=Element_Stiffness!$C$5,Element_Stiffness!P34,IF(7=Element_Stiffness!$E$5,Element_Stiffness!V34,0)),0)),0)+IF(Element_Stiffness!$C$41,IF(Element_Stiffness!$C$40=3,IF(7=Element_Stiffness!$C$40,Element_Stiffness!P63,IF(7=Element_Stiffness!$E$40,Element_Stiffness!V63,0)),IF(Element_Stiffness!$E$40=3,IF(7=Element_Stiffness!$C$40,Element_Stiffness!P69,IF(7=Element_Stiffness!$E$40,Element_Stiffness!V69,0)),0)),0)+IF(Element_Stiffness!$C$76,IF(Element_Stiffness!$C$75=3,IF(7=Element_Stiffness!$C$75,Element_Stiffness!P98,IF(7=Element_Stiffness!$E$75,Element_Stiffness!V98,0)),IF(Element_Stiffness!$E$75=3,IF(7=Element_Stiffness!$C$75,Element_Stiffness!P104,IF(7=Element_Stiffness!$E$75,Element_Stiffness!V104,0)),0)),0)+IF(Element_Stiffness!$C$111,IF(Element_Stiffness!$C$110=3,IF(7=Element_Stiffness!$C$110,Element_Stiffness!P133,IF(7=Element_Stiffness!$E$110,Element_Stiffness!V133,0)),IF(Element_Stiffness!$E$110=3,IF(7=Element_Stiffness!$C$110,Element_Stiffness!P139,IF(7=Element_Stiffness!$E$110,Element_Stiffness!V139,0)),0)),0)+IF(Element_Stiffness!$C$146,IF(Element_Stiffness!$C$145=3,IF(7=Element_Stiffness!$C$145,Element_Stiffness!P168,IF(7=Element_Stiffness!$E$145,Element_Stiffness!V168,0)),IF(Element_Stiffness!$E$145=3,IF(7=Element_Stiffness!$C$145,Element_Stiffness!P174,IF(7=Element_Stiffness!$E$145,Element_Stiffness!V174,0)),0)),0)+IF(Element_Stiffness!$C$181,IF(Element_Stiffness!$C$180=3,IF(7=Element_Stiffness!$C$180,Element_Stiffness!P203,IF(7=Element_Stiffness!$E$180,Element_Stiffness!V203,0)),IF(Element_Stiffness!$E$180=3,IF(7=Element_Stiffness!$C$180,Element_Stiffness!P209,IF(7=Element_Stiffness!$E$180,Element_Stiffness!V209,0)),0)),0)+IF(Element_Stiffness!$C$216,IF(Element_Stiffness!$C$215=3,IF(7=Element_Stiffness!$C$215,Element_Stiffness!P238,IF(7=Element_Stiffness!$E$215,Element_Stiffness!V238,0)),IF(Element_Stiffness!$E$215=3,IF(7=Element_Stiffness!$C$215,Element_Stiffness!P244,IF(7=Element_Stiffness!$E$215,Element_Stiffness!V244,0)),0)),0)</f>
        <v/>
      </c>
      <c r="AT25" s="21">
        <f>IF(Element_Stiffness!$C$6,IF(Element_Stiffness!$C$5=3,IF(7=Element_Stiffness!$C$5,Element_Stiffness!Q28,IF(7=Element_Stiffness!$E$5,Element_Stiffness!W28,0)),IF(Element_Stiffness!$E$5=3,IF(7=Element_Stiffness!$C$5,Element_Stiffness!Q34,IF(7=Element_Stiffness!$E$5,Element_Stiffness!W34,0)),0)),0)+IF(Element_Stiffness!$C$41,IF(Element_Stiffness!$C$40=3,IF(7=Element_Stiffness!$C$40,Element_Stiffness!Q63,IF(7=Element_Stiffness!$E$40,Element_Stiffness!W63,0)),IF(Element_Stiffness!$E$40=3,IF(7=Element_Stiffness!$C$40,Element_Stiffness!Q69,IF(7=Element_Stiffness!$E$40,Element_Stiffness!W69,0)),0)),0)+IF(Element_Stiffness!$C$76,IF(Element_Stiffness!$C$75=3,IF(7=Element_Stiffness!$C$75,Element_Stiffness!Q98,IF(7=Element_Stiffness!$E$75,Element_Stiffness!W98,0)),IF(Element_Stiffness!$E$75=3,IF(7=Element_Stiffness!$C$75,Element_Stiffness!Q104,IF(7=Element_Stiffness!$E$75,Element_Stiffness!W104,0)),0)),0)+IF(Element_Stiffness!$C$111,IF(Element_Stiffness!$C$110=3,IF(7=Element_Stiffness!$C$110,Element_Stiffness!Q133,IF(7=Element_Stiffness!$E$110,Element_Stiffness!W133,0)),IF(Element_Stiffness!$E$110=3,IF(7=Element_Stiffness!$C$110,Element_Stiffness!Q139,IF(7=Element_Stiffness!$E$110,Element_Stiffness!W139,0)),0)),0)+IF(Element_Stiffness!$C$146,IF(Element_Stiffness!$C$145=3,IF(7=Element_Stiffness!$C$145,Element_Stiffness!Q168,IF(7=Element_Stiffness!$E$145,Element_Stiffness!W168,0)),IF(Element_Stiffness!$E$145=3,IF(7=Element_Stiffness!$C$145,Element_Stiffness!Q174,IF(7=Element_Stiffness!$E$145,Element_Stiffness!W174,0)),0)),0)+IF(Element_Stiffness!$C$181,IF(Element_Stiffness!$C$180=3,IF(7=Element_Stiffness!$C$180,Element_Stiffness!Q203,IF(7=Element_Stiffness!$E$180,Element_Stiffness!W203,0)),IF(Element_Stiffness!$E$180=3,IF(7=Element_Stiffness!$C$180,Element_Stiffness!Q209,IF(7=Element_Stiffness!$E$180,Element_Stiffness!W209,0)),0)),0)+IF(Element_Stiffness!$C$216,IF(Element_Stiffness!$C$215=3,IF(7=Element_Stiffness!$C$215,Element_Stiffness!Q238,IF(7=Element_Stiffness!$E$215,Element_Stiffness!W238,0)),IF(Element_Stiffness!$E$215=3,IF(7=Element_Stiffness!$C$215,Element_Stiffness!Q244,IF(7=Element_Stiffness!$E$215,Element_Stiffness!W244,0)),0)),0)</f>
        <v/>
      </c>
      <c r="AU25" s="21">
        <f>IF(Element_Stiffness!$C$6,IF(Element_Stiffness!$C$5=3,IF(7=Element_Stiffness!$C$5,Element_Stiffness!R28,IF(7=Element_Stiffness!$E$5,Element_Stiffness!X28,0)),IF(Element_Stiffness!$E$5=3,IF(7=Element_Stiffness!$C$5,Element_Stiffness!R34,IF(7=Element_Stiffness!$E$5,Element_Stiffness!X34,0)),0)),0)+IF(Element_Stiffness!$C$41,IF(Element_Stiffness!$C$40=3,IF(7=Element_Stiffness!$C$40,Element_Stiffness!R63,IF(7=Element_Stiffness!$E$40,Element_Stiffness!X63,0)),IF(Element_Stiffness!$E$40=3,IF(7=Element_Stiffness!$C$40,Element_Stiffness!R69,IF(7=Element_Stiffness!$E$40,Element_Stiffness!X69,0)),0)),0)+IF(Element_Stiffness!$C$76,IF(Element_Stiffness!$C$75=3,IF(7=Element_Stiffness!$C$75,Element_Stiffness!R98,IF(7=Element_Stiffness!$E$75,Element_Stiffness!X98,0)),IF(Element_Stiffness!$E$75=3,IF(7=Element_Stiffness!$C$75,Element_Stiffness!R104,IF(7=Element_Stiffness!$E$75,Element_Stiffness!X104,0)),0)),0)+IF(Element_Stiffness!$C$111,IF(Element_Stiffness!$C$110=3,IF(7=Element_Stiffness!$C$110,Element_Stiffness!R133,IF(7=Element_Stiffness!$E$110,Element_Stiffness!X133,0)),IF(Element_Stiffness!$E$110=3,IF(7=Element_Stiffness!$C$110,Element_Stiffness!R139,IF(7=Element_Stiffness!$E$110,Element_Stiffness!X139,0)),0)),0)+IF(Element_Stiffness!$C$146,IF(Element_Stiffness!$C$145=3,IF(7=Element_Stiffness!$C$145,Element_Stiffness!R168,IF(7=Element_Stiffness!$E$145,Element_Stiffness!X168,0)),IF(Element_Stiffness!$E$145=3,IF(7=Element_Stiffness!$C$145,Element_Stiffness!R174,IF(7=Element_Stiffness!$E$145,Element_Stiffness!X174,0)),0)),0)+IF(Element_Stiffness!$C$181,IF(Element_Stiffness!$C$180=3,IF(7=Element_Stiffness!$C$180,Element_Stiffness!R203,IF(7=Element_Stiffness!$E$180,Element_Stiffness!X203,0)),IF(Element_Stiffness!$E$180=3,IF(7=Element_Stiffness!$C$180,Element_Stiffness!R209,IF(7=Element_Stiffness!$E$180,Element_Stiffness!X209,0)),0)),0)+IF(Element_Stiffness!$C$216,IF(Element_Stiffness!$C$215=3,IF(7=Element_Stiffness!$C$215,Element_Stiffness!R238,IF(7=Element_Stiffness!$E$215,Element_Stiffness!X238,0)),IF(Element_Stiffness!$E$215=3,IF(7=Element_Stiffness!$C$215,Element_Stiffness!R244,IF(7=Element_Stiffness!$E$215,Element_Stiffness!X244,0)),0)),0)</f>
        <v/>
      </c>
      <c r="AV25" s="21">
        <f>IF(Element_Stiffness!$C$6,IF(Element_Stiffness!$C$5=3,IF(7=Element_Stiffness!$C$5,Element_Stiffness!S28,IF(7=Element_Stiffness!$E$5,Element_Stiffness!Y28,0)),IF(Element_Stiffness!$E$5=3,IF(7=Element_Stiffness!$C$5,Element_Stiffness!S34,IF(7=Element_Stiffness!$E$5,Element_Stiffness!Y34,0)),0)),0)+IF(Element_Stiffness!$C$41,IF(Element_Stiffness!$C$40=3,IF(7=Element_Stiffness!$C$40,Element_Stiffness!S63,IF(7=Element_Stiffness!$E$40,Element_Stiffness!Y63,0)),IF(Element_Stiffness!$E$40=3,IF(7=Element_Stiffness!$C$40,Element_Stiffness!S69,IF(7=Element_Stiffness!$E$40,Element_Stiffness!Y69,0)),0)),0)+IF(Element_Stiffness!$C$76,IF(Element_Stiffness!$C$75=3,IF(7=Element_Stiffness!$C$75,Element_Stiffness!S98,IF(7=Element_Stiffness!$E$75,Element_Stiffness!Y98,0)),IF(Element_Stiffness!$E$75=3,IF(7=Element_Stiffness!$C$75,Element_Stiffness!S104,IF(7=Element_Stiffness!$E$75,Element_Stiffness!Y104,0)),0)),0)+IF(Element_Stiffness!$C$111,IF(Element_Stiffness!$C$110=3,IF(7=Element_Stiffness!$C$110,Element_Stiffness!S133,IF(7=Element_Stiffness!$E$110,Element_Stiffness!Y133,0)),IF(Element_Stiffness!$E$110=3,IF(7=Element_Stiffness!$C$110,Element_Stiffness!S139,IF(7=Element_Stiffness!$E$110,Element_Stiffness!Y139,0)),0)),0)+IF(Element_Stiffness!$C$146,IF(Element_Stiffness!$C$145=3,IF(7=Element_Stiffness!$C$145,Element_Stiffness!S168,IF(7=Element_Stiffness!$E$145,Element_Stiffness!Y168,0)),IF(Element_Stiffness!$E$145=3,IF(7=Element_Stiffness!$C$145,Element_Stiffness!S174,IF(7=Element_Stiffness!$E$145,Element_Stiffness!Y174,0)),0)),0)+IF(Element_Stiffness!$C$181,IF(Element_Stiffness!$C$180=3,IF(7=Element_Stiffness!$C$180,Element_Stiffness!S203,IF(7=Element_Stiffness!$E$180,Element_Stiffness!Y203,0)),IF(Element_Stiffness!$E$180=3,IF(7=Element_Stiffness!$C$180,Element_Stiffness!S209,IF(7=Element_Stiffness!$E$180,Element_Stiffness!Y209,0)),0)),0)+IF(Element_Stiffness!$C$216,IF(Element_Stiffness!$C$215=3,IF(7=Element_Stiffness!$C$215,Element_Stiffness!S238,IF(7=Element_Stiffness!$E$215,Element_Stiffness!Y238,0)),IF(Element_Stiffness!$E$215=3,IF(7=Element_Stiffness!$C$215,Element_Stiffness!S244,IF(7=Element_Stiffness!$E$215,Element_Stiffness!Y244,0)),0)),0)</f>
        <v/>
      </c>
      <c r="AW25" s="21">
        <f>IF(Element_Stiffness!$C$6,IF(Element_Stiffness!$C$5=3,IF(7=Element_Stiffness!$C$5,Element_Stiffness!T28,IF(7=Element_Stiffness!$E$5,Element_Stiffness!Z28,0)),IF(Element_Stiffness!$E$5=3,IF(7=Element_Stiffness!$C$5,Element_Stiffness!T34,IF(7=Element_Stiffness!$E$5,Element_Stiffness!Z34,0)),0)),0)+IF(Element_Stiffness!$C$41,IF(Element_Stiffness!$C$40=3,IF(7=Element_Stiffness!$C$40,Element_Stiffness!T63,IF(7=Element_Stiffness!$E$40,Element_Stiffness!Z63,0)),IF(Element_Stiffness!$E$40=3,IF(7=Element_Stiffness!$C$40,Element_Stiffness!T69,IF(7=Element_Stiffness!$E$40,Element_Stiffness!Z69,0)),0)),0)+IF(Element_Stiffness!$C$76,IF(Element_Stiffness!$C$75=3,IF(7=Element_Stiffness!$C$75,Element_Stiffness!T98,IF(7=Element_Stiffness!$E$75,Element_Stiffness!Z98,0)),IF(Element_Stiffness!$E$75=3,IF(7=Element_Stiffness!$C$75,Element_Stiffness!T104,IF(7=Element_Stiffness!$E$75,Element_Stiffness!Z104,0)),0)),0)+IF(Element_Stiffness!$C$111,IF(Element_Stiffness!$C$110=3,IF(7=Element_Stiffness!$C$110,Element_Stiffness!T133,IF(7=Element_Stiffness!$E$110,Element_Stiffness!Z133,0)),IF(Element_Stiffness!$E$110=3,IF(7=Element_Stiffness!$C$110,Element_Stiffness!T139,IF(7=Element_Stiffness!$E$110,Element_Stiffness!Z139,0)),0)),0)+IF(Element_Stiffness!$C$146,IF(Element_Stiffness!$C$145=3,IF(7=Element_Stiffness!$C$145,Element_Stiffness!T168,IF(7=Element_Stiffness!$E$145,Element_Stiffness!Z168,0)),IF(Element_Stiffness!$E$145=3,IF(7=Element_Stiffness!$C$145,Element_Stiffness!T174,IF(7=Element_Stiffness!$E$145,Element_Stiffness!Z174,0)),0)),0)+IF(Element_Stiffness!$C$181,IF(Element_Stiffness!$C$180=3,IF(7=Element_Stiffness!$C$180,Element_Stiffness!T203,IF(7=Element_Stiffness!$E$180,Element_Stiffness!Z203,0)),IF(Element_Stiffness!$E$180=3,IF(7=Element_Stiffness!$C$180,Element_Stiffness!T209,IF(7=Element_Stiffness!$E$180,Element_Stiffness!Z209,0)),0)),0)+IF(Element_Stiffness!$C$216,IF(Element_Stiffness!$C$215=3,IF(7=Element_Stiffness!$C$215,Element_Stiffness!T238,IF(7=Element_Stiffness!$E$215,Element_Stiffness!Z238,0)),IF(Element_Stiffness!$E$215=3,IF(7=Element_Stiffness!$C$215,Element_Stiffness!T244,IF(7=Element_Stiffness!$E$215,Element_Stiffness!Z244,0)),0)),0)</f>
        <v/>
      </c>
      <c r="AX25" s="21">
        <f>IF(Element_Stiffness!$C$6,IF(Element_Stiffness!$C$5=3,IF(7=Element_Stiffness!$C$5,Element_Stiffness!U28,IF(7=Element_Stiffness!$E$5,Element_Stiffness!AA28,0)),IF(Element_Stiffness!$E$5=3,IF(7=Element_Stiffness!$C$5,Element_Stiffness!U34,IF(7=Element_Stiffness!$E$5,Element_Stiffness!AA34,0)),0)),0)+IF(Element_Stiffness!$C$41,IF(Element_Stiffness!$C$40=3,IF(7=Element_Stiffness!$C$40,Element_Stiffness!U63,IF(7=Element_Stiffness!$E$40,Element_Stiffness!AA63,0)),IF(Element_Stiffness!$E$40=3,IF(7=Element_Stiffness!$C$40,Element_Stiffness!U69,IF(7=Element_Stiffness!$E$40,Element_Stiffness!AA69,0)),0)),0)+IF(Element_Stiffness!$C$76,IF(Element_Stiffness!$C$75=3,IF(7=Element_Stiffness!$C$75,Element_Stiffness!U98,IF(7=Element_Stiffness!$E$75,Element_Stiffness!AA98,0)),IF(Element_Stiffness!$E$75=3,IF(7=Element_Stiffness!$C$75,Element_Stiffness!U104,IF(7=Element_Stiffness!$E$75,Element_Stiffness!AA104,0)),0)),0)+IF(Element_Stiffness!$C$111,IF(Element_Stiffness!$C$110=3,IF(7=Element_Stiffness!$C$110,Element_Stiffness!U133,IF(7=Element_Stiffness!$E$110,Element_Stiffness!AA133,0)),IF(Element_Stiffness!$E$110=3,IF(7=Element_Stiffness!$C$110,Element_Stiffness!U139,IF(7=Element_Stiffness!$E$110,Element_Stiffness!AA139,0)),0)),0)+IF(Element_Stiffness!$C$146,IF(Element_Stiffness!$C$145=3,IF(7=Element_Stiffness!$C$145,Element_Stiffness!U168,IF(7=Element_Stiffness!$E$145,Element_Stiffness!AA168,0)),IF(Element_Stiffness!$E$145=3,IF(7=Element_Stiffness!$C$145,Element_Stiffness!U174,IF(7=Element_Stiffness!$E$145,Element_Stiffness!AA174,0)),0)),0)+IF(Element_Stiffness!$C$181,IF(Element_Stiffness!$C$180=3,IF(7=Element_Stiffness!$C$180,Element_Stiffness!U203,IF(7=Element_Stiffness!$E$180,Element_Stiffness!AA203,0)),IF(Element_Stiffness!$E$180=3,IF(7=Element_Stiffness!$C$180,Element_Stiffness!U209,IF(7=Element_Stiffness!$E$180,Element_Stiffness!AA209,0)),0)),0)+IF(Element_Stiffness!$C$216,IF(Element_Stiffness!$C$215=3,IF(7=Element_Stiffness!$C$215,Element_Stiffness!U238,IF(7=Element_Stiffness!$E$215,Element_Stiffness!AA238,0)),IF(Element_Stiffness!$E$215=3,IF(7=Element_Stiffness!$C$215,Element_Stiffness!U244,IF(7=Element_Stiffness!$E$215,Element_Stiffness!AA244,0)),0)),0)</f>
        <v/>
      </c>
      <c r="AY25" s="21" t="n">
        <v>0</v>
      </c>
      <c r="AZ25" s="21">
        <f>IF(Element_Stiffness!$C$6,IF(Element_Stiffness!$C$5=3,Element_Stiffness!C28,IF(Element_Stiffness!$E$5=3,Element_Stiffness!C34,0)),0)+IF(Element_Stiffness!$C$41,IF(Element_Stiffness!$C$40=3,Element_Stiffness!C63,IF(Element_Stiffness!$E$40=3,Element_Stiffness!C69,0)),0)+IF(Element_Stiffness!$C$76,IF(Element_Stiffness!$C$75=3,Element_Stiffness!C98,IF(Element_Stiffness!$E$75=3,Element_Stiffness!C104,0)),0)+IF(Element_Stiffness!$C$111,IF(Element_Stiffness!$C$110=3,Element_Stiffness!C133,IF(Element_Stiffness!$E$110=3,Element_Stiffness!C139,0)),0)+IF(Element_Stiffness!$C$146,IF(Element_Stiffness!$C$145=3,Element_Stiffness!C168,IF(Element_Stiffness!$E$145=3,Element_Stiffness!C174,0)),0)+IF(Element_Stiffness!$C$181,IF(Element_Stiffness!$C$180=3,Element_Stiffness!C203,IF(Element_Stiffness!$E$180=3,Element_Stiffness!C209,0)),0)+IF(Element_Stiffness!$C$216,IF(Element_Stiffness!$C$215=3,Element_Stiffness!C238,IF(Element_Stiffness!$E$215=3,Element_Stiffness!C244,0)),0)</f>
        <v/>
      </c>
      <c r="BB25" s="28">
        <f>INDEX(MMULT(MINVERSE(C5:AX52), AY5:AY52), 21, 1)</f>
        <v/>
      </c>
      <c r="BC25" s="28">
        <f>INDEX(MMULT(MINVERSE(C5:AX52), AZ5:AZ52), 21, 1)</f>
        <v/>
      </c>
    </row>
    <row r="26">
      <c r="B26" s="27" t="inlineStr">
        <is>
          <t>N3_rx</t>
        </is>
      </c>
      <c r="C26" s="21">
        <f>IF(Element_Stiffness!$C$6,IF(Element_Stiffness!$C$5=3,IF(0=Element_Stiffness!$C$5,Element_Stiffness!P29,IF(0=Element_Stiffness!$E$5,Element_Stiffness!V29,0)),IF(Element_Stiffness!$E$5=3,IF(0=Element_Stiffness!$C$5,Element_Stiffness!P35,IF(0=Element_Stiffness!$E$5,Element_Stiffness!V35,0)),0)),0)+IF(Element_Stiffness!$C$41,IF(Element_Stiffness!$C$40=3,IF(0=Element_Stiffness!$C$40,Element_Stiffness!P64,IF(0=Element_Stiffness!$E$40,Element_Stiffness!V64,0)),IF(Element_Stiffness!$E$40=3,IF(0=Element_Stiffness!$C$40,Element_Stiffness!P70,IF(0=Element_Stiffness!$E$40,Element_Stiffness!V70,0)),0)),0)+IF(Element_Stiffness!$C$76,IF(Element_Stiffness!$C$75=3,IF(0=Element_Stiffness!$C$75,Element_Stiffness!P99,IF(0=Element_Stiffness!$E$75,Element_Stiffness!V99,0)),IF(Element_Stiffness!$E$75=3,IF(0=Element_Stiffness!$C$75,Element_Stiffness!P105,IF(0=Element_Stiffness!$E$75,Element_Stiffness!V105,0)),0)),0)+IF(Element_Stiffness!$C$111,IF(Element_Stiffness!$C$110=3,IF(0=Element_Stiffness!$C$110,Element_Stiffness!P134,IF(0=Element_Stiffness!$E$110,Element_Stiffness!V134,0)),IF(Element_Stiffness!$E$110=3,IF(0=Element_Stiffness!$C$110,Element_Stiffness!P140,IF(0=Element_Stiffness!$E$110,Element_Stiffness!V140,0)),0)),0)+IF(Element_Stiffness!$C$146,IF(Element_Stiffness!$C$145=3,IF(0=Element_Stiffness!$C$145,Element_Stiffness!P169,IF(0=Element_Stiffness!$E$145,Element_Stiffness!V169,0)),IF(Element_Stiffness!$E$145=3,IF(0=Element_Stiffness!$C$145,Element_Stiffness!P175,IF(0=Element_Stiffness!$E$145,Element_Stiffness!V175,0)),0)),0)+IF(Element_Stiffness!$C$181,IF(Element_Stiffness!$C$180=3,IF(0=Element_Stiffness!$C$180,Element_Stiffness!P204,IF(0=Element_Stiffness!$E$180,Element_Stiffness!V204,0)),IF(Element_Stiffness!$E$180=3,IF(0=Element_Stiffness!$C$180,Element_Stiffness!P210,IF(0=Element_Stiffness!$E$180,Element_Stiffness!V210,0)),0)),0)+IF(Element_Stiffness!$C$216,IF(Element_Stiffness!$C$215=3,IF(0=Element_Stiffness!$C$215,Element_Stiffness!P239,IF(0=Element_Stiffness!$E$215,Element_Stiffness!V239,0)),IF(Element_Stiffness!$E$215=3,IF(0=Element_Stiffness!$C$215,Element_Stiffness!P245,IF(0=Element_Stiffness!$E$215,Element_Stiffness!V245,0)),0)),0)</f>
        <v/>
      </c>
      <c r="D26" s="21">
        <f>IF(Element_Stiffness!$C$6,IF(Element_Stiffness!$C$5=3,IF(0=Element_Stiffness!$C$5,Element_Stiffness!Q29,IF(0=Element_Stiffness!$E$5,Element_Stiffness!W29,0)),IF(Element_Stiffness!$E$5=3,IF(0=Element_Stiffness!$C$5,Element_Stiffness!Q35,IF(0=Element_Stiffness!$E$5,Element_Stiffness!W35,0)),0)),0)+IF(Element_Stiffness!$C$41,IF(Element_Stiffness!$C$40=3,IF(0=Element_Stiffness!$C$40,Element_Stiffness!Q64,IF(0=Element_Stiffness!$E$40,Element_Stiffness!W64,0)),IF(Element_Stiffness!$E$40=3,IF(0=Element_Stiffness!$C$40,Element_Stiffness!Q70,IF(0=Element_Stiffness!$E$40,Element_Stiffness!W70,0)),0)),0)+IF(Element_Stiffness!$C$76,IF(Element_Stiffness!$C$75=3,IF(0=Element_Stiffness!$C$75,Element_Stiffness!Q99,IF(0=Element_Stiffness!$E$75,Element_Stiffness!W99,0)),IF(Element_Stiffness!$E$75=3,IF(0=Element_Stiffness!$C$75,Element_Stiffness!Q105,IF(0=Element_Stiffness!$E$75,Element_Stiffness!W105,0)),0)),0)+IF(Element_Stiffness!$C$111,IF(Element_Stiffness!$C$110=3,IF(0=Element_Stiffness!$C$110,Element_Stiffness!Q134,IF(0=Element_Stiffness!$E$110,Element_Stiffness!W134,0)),IF(Element_Stiffness!$E$110=3,IF(0=Element_Stiffness!$C$110,Element_Stiffness!Q140,IF(0=Element_Stiffness!$E$110,Element_Stiffness!W140,0)),0)),0)+IF(Element_Stiffness!$C$146,IF(Element_Stiffness!$C$145=3,IF(0=Element_Stiffness!$C$145,Element_Stiffness!Q169,IF(0=Element_Stiffness!$E$145,Element_Stiffness!W169,0)),IF(Element_Stiffness!$E$145=3,IF(0=Element_Stiffness!$C$145,Element_Stiffness!Q175,IF(0=Element_Stiffness!$E$145,Element_Stiffness!W175,0)),0)),0)+IF(Element_Stiffness!$C$181,IF(Element_Stiffness!$C$180=3,IF(0=Element_Stiffness!$C$180,Element_Stiffness!Q204,IF(0=Element_Stiffness!$E$180,Element_Stiffness!W204,0)),IF(Element_Stiffness!$E$180=3,IF(0=Element_Stiffness!$C$180,Element_Stiffness!Q210,IF(0=Element_Stiffness!$E$180,Element_Stiffness!W210,0)),0)),0)+IF(Element_Stiffness!$C$216,IF(Element_Stiffness!$C$215=3,IF(0=Element_Stiffness!$C$215,Element_Stiffness!Q239,IF(0=Element_Stiffness!$E$215,Element_Stiffness!W239,0)),IF(Element_Stiffness!$E$215=3,IF(0=Element_Stiffness!$C$215,Element_Stiffness!Q245,IF(0=Element_Stiffness!$E$215,Element_Stiffness!W245,0)),0)),0)</f>
        <v/>
      </c>
      <c r="E26" s="21">
        <f>IF(Element_Stiffness!$C$6,IF(Element_Stiffness!$C$5=3,IF(0=Element_Stiffness!$C$5,Element_Stiffness!R29,IF(0=Element_Stiffness!$E$5,Element_Stiffness!X29,0)),IF(Element_Stiffness!$E$5=3,IF(0=Element_Stiffness!$C$5,Element_Stiffness!R35,IF(0=Element_Stiffness!$E$5,Element_Stiffness!X35,0)),0)),0)+IF(Element_Stiffness!$C$41,IF(Element_Stiffness!$C$40=3,IF(0=Element_Stiffness!$C$40,Element_Stiffness!R64,IF(0=Element_Stiffness!$E$40,Element_Stiffness!X64,0)),IF(Element_Stiffness!$E$40=3,IF(0=Element_Stiffness!$C$40,Element_Stiffness!R70,IF(0=Element_Stiffness!$E$40,Element_Stiffness!X70,0)),0)),0)+IF(Element_Stiffness!$C$76,IF(Element_Stiffness!$C$75=3,IF(0=Element_Stiffness!$C$75,Element_Stiffness!R99,IF(0=Element_Stiffness!$E$75,Element_Stiffness!X99,0)),IF(Element_Stiffness!$E$75=3,IF(0=Element_Stiffness!$C$75,Element_Stiffness!R105,IF(0=Element_Stiffness!$E$75,Element_Stiffness!X105,0)),0)),0)+IF(Element_Stiffness!$C$111,IF(Element_Stiffness!$C$110=3,IF(0=Element_Stiffness!$C$110,Element_Stiffness!R134,IF(0=Element_Stiffness!$E$110,Element_Stiffness!X134,0)),IF(Element_Stiffness!$E$110=3,IF(0=Element_Stiffness!$C$110,Element_Stiffness!R140,IF(0=Element_Stiffness!$E$110,Element_Stiffness!X140,0)),0)),0)+IF(Element_Stiffness!$C$146,IF(Element_Stiffness!$C$145=3,IF(0=Element_Stiffness!$C$145,Element_Stiffness!R169,IF(0=Element_Stiffness!$E$145,Element_Stiffness!X169,0)),IF(Element_Stiffness!$E$145=3,IF(0=Element_Stiffness!$C$145,Element_Stiffness!R175,IF(0=Element_Stiffness!$E$145,Element_Stiffness!X175,0)),0)),0)+IF(Element_Stiffness!$C$181,IF(Element_Stiffness!$C$180=3,IF(0=Element_Stiffness!$C$180,Element_Stiffness!R204,IF(0=Element_Stiffness!$E$180,Element_Stiffness!X204,0)),IF(Element_Stiffness!$E$180=3,IF(0=Element_Stiffness!$C$180,Element_Stiffness!R210,IF(0=Element_Stiffness!$E$180,Element_Stiffness!X210,0)),0)),0)+IF(Element_Stiffness!$C$216,IF(Element_Stiffness!$C$215=3,IF(0=Element_Stiffness!$C$215,Element_Stiffness!R239,IF(0=Element_Stiffness!$E$215,Element_Stiffness!X239,0)),IF(Element_Stiffness!$E$215=3,IF(0=Element_Stiffness!$C$215,Element_Stiffness!R245,IF(0=Element_Stiffness!$E$215,Element_Stiffness!X245,0)),0)),0)</f>
        <v/>
      </c>
      <c r="F26" s="21">
        <f>IF(Element_Stiffness!$C$6,IF(Element_Stiffness!$C$5=3,IF(0=Element_Stiffness!$C$5,Element_Stiffness!S29,IF(0=Element_Stiffness!$E$5,Element_Stiffness!Y29,0)),IF(Element_Stiffness!$E$5=3,IF(0=Element_Stiffness!$C$5,Element_Stiffness!S35,IF(0=Element_Stiffness!$E$5,Element_Stiffness!Y35,0)),0)),0)+IF(Element_Stiffness!$C$41,IF(Element_Stiffness!$C$40=3,IF(0=Element_Stiffness!$C$40,Element_Stiffness!S64,IF(0=Element_Stiffness!$E$40,Element_Stiffness!Y64,0)),IF(Element_Stiffness!$E$40=3,IF(0=Element_Stiffness!$C$40,Element_Stiffness!S70,IF(0=Element_Stiffness!$E$40,Element_Stiffness!Y70,0)),0)),0)+IF(Element_Stiffness!$C$76,IF(Element_Stiffness!$C$75=3,IF(0=Element_Stiffness!$C$75,Element_Stiffness!S99,IF(0=Element_Stiffness!$E$75,Element_Stiffness!Y99,0)),IF(Element_Stiffness!$E$75=3,IF(0=Element_Stiffness!$C$75,Element_Stiffness!S105,IF(0=Element_Stiffness!$E$75,Element_Stiffness!Y105,0)),0)),0)+IF(Element_Stiffness!$C$111,IF(Element_Stiffness!$C$110=3,IF(0=Element_Stiffness!$C$110,Element_Stiffness!S134,IF(0=Element_Stiffness!$E$110,Element_Stiffness!Y134,0)),IF(Element_Stiffness!$E$110=3,IF(0=Element_Stiffness!$C$110,Element_Stiffness!S140,IF(0=Element_Stiffness!$E$110,Element_Stiffness!Y140,0)),0)),0)+IF(Element_Stiffness!$C$146,IF(Element_Stiffness!$C$145=3,IF(0=Element_Stiffness!$C$145,Element_Stiffness!S169,IF(0=Element_Stiffness!$E$145,Element_Stiffness!Y169,0)),IF(Element_Stiffness!$E$145=3,IF(0=Element_Stiffness!$C$145,Element_Stiffness!S175,IF(0=Element_Stiffness!$E$145,Element_Stiffness!Y175,0)),0)),0)+IF(Element_Stiffness!$C$181,IF(Element_Stiffness!$C$180=3,IF(0=Element_Stiffness!$C$180,Element_Stiffness!S204,IF(0=Element_Stiffness!$E$180,Element_Stiffness!Y204,0)),IF(Element_Stiffness!$E$180=3,IF(0=Element_Stiffness!$C$180,Element_Stiffness!S210,IF(0=Element_Stiffness!$E$180,Element_Stiffness!Y210,0)),0)),0)+IF(Element_Stiffness!$C$216,IF(Element_Stiffness!$C$215=3,IF(0=Element_Stiffness!$C$215,Element_Stiffness!S239,IF(0=Element_Stiffness!$E$215,Element_Stiffness!Y239,0)),IF(Element_Stiffness!$E$215=3,IF(0=Element_Stiffness!$C$215,Element_Stiffness!S245,IF(0=Element_Stiffness!$E$215,Element_Stiffness!Y245,0)),0)),0)</f>
        <v/>
      </c>
      <c r="G26" s="21">
        <f>IF(Element_Stiffness!$C$6,IF(Element_Stiffness!$C$5=3,IF(0=Element_Stiffness!$C$5,Element_Stiffness!T29,IF(0=Element_Stiffness!$E$5,Element_Stiffness!Z29,0)),IF(Element_Stiffness!$E$5=3,IF(0=Element_Stiffness!$C$5,Element_Stiffness!T35,IF(0=Element_Stiffness!$E$5,Element_Stiffness!Z35,0)),0)),0)+IF(Element_Stiffness!$C$41,IF(Element_Stiffness!$C$40=3,IF(0=Element_Stiffness!$C$40,Element_Stiffness!T64,IF(0=Element_Stiffness!$E$40,Element_Stiffness!Z64,0)),IF(Element_Stiffness!$E$40=3,IF(0=Element_Stiffness!$C$40,Element_Stiffness!T70,IF(0=Element_Stiffness!$E$40,Element_Stiffness!Z70,0)),0)),0)+IF(Element_Stiffness!$C$76,IF(Element_Stiffness!$C$75=3,IF(0=Element_Stiffness!$C$75,Element_Stiffness!T99,IF(0=Element_Stiffness!$E$75,Element_Stiffness!Z99,0)),IF(Element_Stiffness!$E$75=3,IF(0=Element_Stiffness!$C$75,Element_Stiffness!T105,IF(0=Element_Stiffness!$E$75,Element_Stiffness!Z105,0)),0)),0)+IF(Element_Stiffness!$C$111,IF(Element_Stiffness!$C$110=3,IF(0=Element_Stiffness!$C$110,Element_Stiffness!T134,IF(0=Element_Stiffness!$E$110,Element_Stiffness!Z134,0)),IF(Element_Stiffness!$E$110=3,IF(0=Element_Stiffness!$C$110,Element_Stiffness!T140,IF(0=Element_Stiffness!$E$110,Element_Stiffness!Z140,0)),0)),0)+IF(Element_Stiffness!$C$146,IF(Element_Stiffness!$C$145=3,IF(0=Element_Stiffness!$C$145,Element_Stiffness!T169,IF(0=Element_Stiffness!$E$145,Element_Stiffness!Z169,0)),IF(Element_Stiffness!$E$145=3,IF(0=Element_Stiffness!$C$145,Element_Stiffness!T175,IF(0=Element_Stiffness!$E$145,Element_Stiffness!Z175,0)),0)),0)+IF(Element_Stiffness!$C$181,IF(Element_Stiffness!$C$180=3,IF(0=Element_Stiffness!$C$180,Element_Stiffness!T204,IF(0=Element_Stiffness!$E$180,Element_Stiffness!Z204,0)),IF(Element_Stiffness!$E$180=3,IF(0=Element_Stiffness!$C$180,Element_Stiffness!T210,IF(0=Element_Stiffness!$E$180,Element_Stiffness!Z210,0)),0)),0)+IF(Element_Stiffness!$C$216,IF(Element_Stiffness!$C$215=3,IF(0=Element_Stiffness!$C$215,Element_Stiffness!T239,IF(0=Element_Stiffness!$E$215,Element_Stiffness!Z239,0)),IF(Element_Stiffness!$E$215=3,IF(0=Element_Stiffness!$C$215,Element_Stiffness!T245,IF(0=Element_Stiffness!$E$215,Element_Stiffness!Z245,0)),0)),0)</f>
        <v/>
      </c>
      <c r="H26" s="21">
        <f>IF(Element_Stiffness!$C$6,IF(Element_Stiffness!$C$5=3,IF(0=Element_Stiffness!$C$5,Element_Stiffness!U29,IF(0=Element_Stiffness!$E$5,Element_Stiffness!AA29,0)),IF(Element_Stiffness!$E$5=3,IF(0=Element_Stiffness!$C$5,Element_Stiffness!U35,IF(0=Element_Stiffness!$E$5,Element_Stiffness!AA35,0)),0)),0)+IF(Element_Stiffness!$C$41,IF(Element_Stiffness!$C$40=3,IF(0=Element_Stiffness!$C$40,Element_Stiffness!U64,IF(0=Element_Stiffness!$E$40,Element_Stiffness!AA64,0)),IF(Element_Stiffness!$E$40=3,IF(0=Element_Stiffness!$C$40,Element_Stiffness!U70,IF(0=Element_Stiffness!$E$40,Element_Stiffness!AA70,0)),0)),0)+IF(Element_Stiffness!$C$76,IF(Element_Stiffness!$C$75=3,IF(0=Element_Stiffness!$C$75,Element_Stiffness!U99,IF(0=Element_Stiffness!$E$75,Element_Stiffness!AA99,0)),IF(Element_Stiffness!$E$75=3,IF(0=Element_Stiffness!$C$75,Element_Stiffness!U105,IF(0=Element_Stiffness!$E$75,Element_Stiffness!AA105,0)),0)),0)+IF(Element_Stiffness!$C$111,IF(Element_Stiffness!$C$110=3,IF(0=Element_Stiffness!$C$110,Element_Stiffness!U134,IF(0=Element_Stiffness!$E$110,Element_Stiffness!AA134,0)),IF(Element_Stiffness!$E$110=3,IF(0=Element_Stiffness!$C$110,Element_Stiffness!U140,IF(0=Element_Stiffness!$E$110,Element_Stiffness!AA140,0)),0)),0)+IF(Element_Stiffness!$C$146,IF(Element_Stiffness!$C$145=3,IF(0=Element_Stiffness!$C$145,Element_Stiffness!U169,IF(0=Element_Stiffness!$E$145,Element_Stiffness!AA169,0)),IF(Element_Stiffness!$E$145=3,IF(0=Element_Stiffness!$C$145,Element_Stiffness!U175,IF(0=Element_Stiffness!$E$145,Element_Stiffness!AA175,0)),0)),0)+IF(Element_Stiffness!$C$181,IF(Element_Stiffness!$C$180=3,IF(0=Element_Stiffness!$C$180,Element_Stiffness!U204,IF(0=Element_Stiffness!$E$180,Element_Stiffness!AA204,0)),IF(Element_Stiffness!$E$180=3,IF(0=Element_Stiffness!$C$180,Element_Stiffness!U210,IF(0=Element_Stiffness!$E$180,Element_Stiffness!AA210,0)),0)),0)+IF(Element_Stiffness!$C$216,IF(Element_Stiffness!$C$215=3,IF(0=Element_Stiffness!$C$215,Element_Stiffness!U239,IF(0=Element_Stiffness!$E$215,Element_Stiffness!AA239,0)),IF(Element_Stiffness!$E$215=3,IF(0=Element_Stiffness!$C$215,Element_Stiffness!U245,IF(0=Element_Stiffness!$E$215,Element_Stiffness!AA245,0)),0)),0)</f>
        <v/>
      </c>
      <c r="I26" s="21">
        <f>IF(Element_Stiffness!$C$6,IF(Element_Stiffness!$C$5=3,IF(1=Element_Stiffness!$C$5,Element_Stiffness!P29,IF(1=Element_Stiffness!$E$5,Element_Stiffness!V29,0)),IF(Element_Stiffness!$E$5=3,IF(1=Element_Stiffness!$C$5,Element_Stiffness!P35,IF(1=Element_Stiffness!$E$5,Element_Stiffness!V35,0)),0)),0)+IF(Element_Stiffness!$C$41,IF(Element_Stiffness!$C$40=3,IF(1=Element_Stiffness!$C$40,Element_Stiffness!P64,IF(1=Element_Stiffness!$E$40,Element_Stiffness!V64,0)),IF(Element_Stiffness!$E$40=3,IF(1=Element_Stiffness!$C$40,Element_Stiffness!P70,IF(1=Element_Stiffness!$E$40,Element_Stiffness!V70,0)),0)),0)+IF(Element_Stiffness!$C$76,IF(Element_Stiffness!$C$75=3,IF(1=Element_Stiffness!$C$75,Element_Stiffness!P99,IF(1=Element_Stiffness!$E$75,Element_Stiffness!V99,0)),IF(Element_Stiffness!$E$75=3,IF(1=Element_Stiffness!$C$75,Element_Stiffness!P105,IF(1=Element_Stiffness!$E$75,Element_Stiffness!V105,0)),0)),0)+IF(Element_Stiffness!$C$111,IF(Element_Stiffness!$C$110=3,IF(1=Element_Stiffness!$C$110,Element_Stiffness!P134,IF(1=Element_Stiffness!$E$110,Element_Stiffness!V134,0)),IF(Element_Stiffness!$E$110=3,IF(1=Element_Stiffness!$C$110,Element_Stiffness!P140,IF(1=Element_Stiffness!$E$110,Element_Stiffness!V140,0)),0)),0)+IF(Element_Stiffness!$C$146,IF(Element_Stiffness!$C$145=3,IF(1=Element_Stiffness!$C$145,Element_Stiffness!P169,IF(1=Element_Stiffness!$E$145,Element_Stiffness!V169,0)),IF(Element_Stiffness!$E$145=3,IF(1=Element_Stiffness!$C$145,Element_Stiffness!P175,IF(1=Element_Stiffness!$E$145,Element_Stiffness!V175,0)),0)),0)+IF(Element_Stiffness!$C$181,IF(Element_Stiffness!$C$180=3,IF(1=Element_Stiffness!$C$180,Element_Stiffness!P204,IF(1=Element_Stiffness!$E$180,Element_Stiffness!V204,0)),IF(Element_Stiffness!$E$180=3,IF(1=Element_Stiffness!$C$180,Element_Stiffness!P210,IF(1=Element_Stiffness!$E$180,Element_Stiffness!V210,0)),0)),0)+IF(Element_Stiffness!$C$216,IF(Element_Stiffness!$C$215=3,IF(1=Element_Stiffness!$C$215,Element_Stiffness!P239,IF(1=Element_Stiffness!$E$215,Element_Stiffness!V239,0)),IF(Element_Stiffness!$E$215=3,IF(1=Element_Stiffness!$C$215,Element_Stiffness!P245,IF(1=Element_Stiffness!$E$215,Element_Stiffness!V245,0)),0)),0)</f>
        <v/>
      </c>
      <c r="J26" s="21">
        <f>IF(Element_Stiffness!$C$6,IF(Element_Stiffness!$C$5=3,IF(1=Element_Stiffness!$C$5,Element_Stiffness!Q29,IF(1=Element_Stiffness!$E$5,Element_Stiffness!W29,0)),IF(Element_Stiffness!$E$5=3,IF(1=Element_Stiffness!$C$5,Element_Stiffness!Q35,IF(1=Element_Stiffness!$E$5,Element_Stiffness!W35,0)),0)),0)+IF(Element_Stiffness!$C$41,IF(Element_Stiffness!$C$40=3,IF(1=Element_Stiffness!$C$40,Element_Stiffness!Q64,IF(1=Element_Stiffness!$E$40,Element_Stiffness!W64,0)),IF(Element_Stiffness!$E$40=3,IF(1=Element_Stiffness!$C$40,Element_Stiffness!Q70,IF(1=Element_Stiffness!$E$40,Element_Stiffness!W70,0)),0)),0)+IF(Element_Stiffness!$C$76,IF(Element_Stiffness!$C$75=3,IF(1=Element_Stiffness!$C$75,Element_Stiffness!Q99,IF(1=Element_Stiffness!$E$75,Element_Stiffness!W99,0)),IF(Element_Stiffness!$E$75=3,IF(1=Element_Stiffness!$C$75,Element_Stiffness!Q105,IF(1=Element_Stiffness!$E$75,Element_Stiffness!W105,0)),0)),0)+IF(Element_Stiffness!$C$111,IF(Element_Stiffness!$C$110=3,IF(1=Element_Stiffness!$C$110,Element_Stiffness!Q134,IF(1=Element_Stiffness!$E$110,Element_Stiffness!W134,0)),IF(Element_Stiffness!$E$110=3,IF(1=Element_Stiffness!$C$110,Element_Stiffness!Q140,IF(1=Element_Stiffness!$E$110,Element_Stiffness!W140,0)),0)),0)+IF(Element_Stiffness!$C$146,IF(Element_Stiffness!$C$145=3,IF(1=Element_Stiffness!$C$145,Element_Stiffness!Q169,IF(1=Element_Stiffness!$E$145,Element_Stiffness!W169,0)),IF(Element_Stiffness!$E$145=3,IF(1=Element_Stiffness!$C$145,Element_Stiffness!Q175,IF(1=Element_Stiffness!$E$145,Element_Stiffness!W175,0)),0)),0)+IF(Element_Stiffness!$C$181,IF(Element_Stiffness!$C$180=3,IF(1=Element_Stiffness!$C$180,Element_Stiffness!Q204,IF(1=Element_Stiffness!$E$180,Element_Stiffness!W204,0)),IF(Element_Stiffness!$E$180=3,IF(1=Element_Stiffness!$C$180,Element_Stiffness!Q210,IF(1=Element_Stiffness!$E$180,Element_Stiffness!W210,0)),0)),0)+IF(Element_Stiffness!$C$216,IF(Element_Stiffness!$C$215=3,IF(1=Element_Stiffness!$C$215,Element_Stiffness!Q239,IF(1=Element_Stiffness!$E$215,Element_Stiffness!W239,0)),IF(Element_Stiffness!$E$215=3,IF(1=Element_Stiffness!$C$215,Element_Stiffness!Q245,IF(1=Element_Stiffness!$E$215,Element_Stiffness!W245,0)),0)),0)</f>
        <v/>
      </c>
      <c r="K26" s="21">
        <f>IF(Element_Stiffness!$C$6,IF(Element_Stiffness!$C$5=3,IF(1=Element_Stiffness!$C$5,Element_Stiffness!R29,IF(1=Element_Stiffness!$E$5,Element_Stiffness!X29,0)),IF(Element_Stiffness!$E$5=3,IF(1=Element_Stiffness!$C$5,Element_Stiffness!R35,IF(1=Element_Stiffness!$E$5,Element_Stiffness!X35,0)),0)),0)+IF(Element_Stiffness!$C$41,IF(Element_Stiffness!$C$40=3,IF(1=Element_Stiffness!$C$40,Element_Stiffness!R64,IF(1=Element_Stiffness!$E$40,Element_Stiffness!X64,0)),IF(Element_Stiffness!$E$40=3,IF(1=Element_Stiffness!$C$40,Element_Stiffness!R70,IF(1=Element_Stiffness!$E$40,Element_Stiffness!X70,0)),0)),0)+IF(Element_Stiffness!$C$76,IF(Element_Stiffness!$C$75=3,IF(1=Element_Stiffness!$C$75,Element_Stiffness!R99,IF(1=Element_Stiffness!$E$75,Element_Stiffness!X99,0)),IF(Element_Stiffness!$E$75=3,IF(1=Element_Stiffness!$C$75,Element_Stiffness!R105,IF(1=Element_Stiffness!$E$75,Element_Stiffness!X105,0)),0)),0)+IF(Element_Stiffness!$C$111,IF(Element_Stiffness!$C$110=3,IF(1=Element_Stiffness!$C$110,Element_Stiffness!R134,IF(1=Element_Stiffness!$E$110,Element_Stiffness!X134,0)),IF(Element_Stiffness!$E$110=3,IF(1=Element_Stiffness!$C$110,Element_Stiffness!R140,IF(1=Element_Stiffness!$E$110,Element_Stiffness!X140,0)),0)),0)+IF(Element_Stiffness!$C$146,IF(Element_Stiffness!$C$145=3,IF(1=Element_Stiffness!$C$145,Element_Stiffness!R169,IF(1=Element_Stiffness!$E$145,Element_Stiffness!X169,0)),IF(Element_Stiffness!$E$145=3,IF(1=Element_Stiffness!$C$145,Element_Stiffness!R175,IF(1=Element_Stiffness!$E$145,Element_Stiffness!X175,0)),0)),0)+IF(Element_Stiffness!$C$181,IF(Element_Stiffness!$C$180=3,IF(1=Element_Stiffness!$C$180,Element_Stiffness!R204,IF(1=Element_Stiffness!$E$180,Element_Stiffness!X204,0)),IF(Element_Stiffness!$E$180=3,IF(1=Element_Stiffness!$C$180,Element_Stiffness!R210,IF(1=Element_Stiffness!$E$180,Element_Stiffness!X210,0)),0)),0)+IF(Element_Stiffness!$C$216,IF(Element_Stiffness!$C$215=3,IF(1=Element_Stiffness!$C$215,Element_Stiffness!R239,IF(1=Element_Stiffness!$E$215,Element_Stiffness!X239,0)),IF(Element_Stiffness!$E$215=3,IF(1=Element_Stiffness!$C$215,Element_Stiffness!R245,IF(1=Element_Stiffness!$E$215,Element_Stiffness!X245,0)),0)),0)</f>
        <v/>
      </c>
      <c r="L26" s="21">
        <f>IF(Element_Stiffness!$C$6,IF(Element_Stiffness!$C$5=3,IF(1=Element_Stiffness!$C$5,Element_Stiffness!S29,IF(1=Element_Stiffness!$E$5,Element_Stiffness!Y29,0)),IF(Element_Stiffness!$E$5=3,IF(1=Element_Stiffness!$C$5,Element_Stiffness!S35,IF(1=Element_Stiffness!$E$5,Element_Stiffness!Y35,0)),0)),0)+IF(Element_Stiffness!$C$41,IF(Element_Stiffness!$C$40=3,IF(1=Element_Stiffness!$C$40,Element_Stiffness!S64,IF(1=Element_Stiffness!$E$40,Element_Stiffness!Y64,0)),IF(Element_Stiffness!$E$40=3,IF(1=Element_Stiffness!$C$40,Element_Stiffness!S70,IF(1=Element_Stiffness!$E$40,Element_Stiffness!Y70,0)),0)),0)+IF(Element_Stiffness!$C$76,IF(Element_Stiffness!$C$75=3,IF(1=Element_Stiffness!$C$75,Element_Stiffness!S99,IF(1=Element_Stiffness!$E$75,Element_Stiffness!Y99,0)),IF(Element_Stiffness!$E$75=3,IF(1=Element_Stiffness!$C$75,Element_Stiffness!S105,IF(1=Element_Stiffness!$E$75,Element_Stiffness!Y105,0)),0)),0)+IF(Element_Stiffness!$C$111,IF(Element_Stiffness!$C$110=3,IF(1=Element_Stiffness!$C$110,Element_Stiffness!S134,IF(1=Element_Stiffness!$E$110,Element_Stiffness!Y134,0)),IF(Element_Stiffness!$E$110=3,IF(1=Element_Stiffness!$C$110,Element_Stiffness!S140,IF(1=Element_Stiffness!$E$110,Element_Stiffness!Y140,0)),0)),0)+IF(Element_Stiffness!$C$146,IF(Element_Stiffness!$C$145=3,IF(1=Element_Stiffness!$C$145,Element_Stiffness!S169,IF(1=Element_Stiffness!$E$145,Element_Stiffness!Y169,0)),IF(Element_Stiffness!$E$145=3,IF(1=Element_Stiffness!$C$145,Element_Stiffness!S175,IF(1=Element_Stiffness!$E$145,Element_Stiffness!Y175,0)),0)),0)+IF(Element_Stiffness!$C$181,IF(Element_Stiffness!$C$180=3,IF(1=Element_Stiffness!$C$180,Element_Stiffness!S204,IF(1=Element_Stiffness!$E$180,Element_Stiffness!Y204,0)),IF(Element_Stiffness!$E$180=3,IF(1=Element_Stiffness!$C$180,Element_Stiffness!S210,IF(1=Element_Stiffness!$E$180,Element_Stiffness!Y210,0)),0)),0)+IF(Element_Stiffness!$C$216,IF(Element_Stiffness!$C$215=3,IF(1=Element_Stiffness!$C$215,Element_Stiffness!S239,IF(1=Element_Stiffness!$E$215,Element_Stiffness!Y239,0)),IF(Element_Stiffness!$E$215=3,IF(1=Element_Stiffness!$C$215,Element_Stiffness!S245,IF(1=Element_Stiffness!$E$215,Element_Stiffness!Y245,0)),0)),0)</f>
        <v/>
      </c>
      <c r="M26" s="21">
        <f>IF(Element_Stiffness!$C$6,IF(Element_Stiffness!$C$5=3,IF(1=Element_Stiffness!$C$5,Element_Stiffness!T29,IF(1=Element_Stiffness!$E$5,Element_Stiffness!Z29,0)),IF(Element_Stiffness!$E$5=3,IF(1=Element_Stiffness!$C$5,Element_Stiffness!T35,IF(1=Element_Stiffness!$E$5,Element_Stiffness!Z35,0)),0)),0)+IF(Element_Stiffness!$C$41,IF(Element_Stiffness!$C$40=3,IF(1=Element_Stiffness!$C$40,Element_Stiffness!T64,IF(1=Element_Stiffness!$E$40,Element_Stiffness!Z64,0)),IF(Element_Stiffness!$E$40=3,IF(1=Element_Stiffness!$C$40,Element_Stiffness!T70,IF(1=Element_Stiffness!$E$40,Element_Stiffness!Z70,0)),0)),0)+IF(Element_Stiffness!$C$76,IF(Element_Stiffness!$C$75=3,IF(1=Element_Stiffness!$C$75,Element_Stiffness!T99,IF(1=Element_Stiffness!$E$75,Element_Stiffness!Z99,0)),IF(Element_Stiffness!$E$75=3,IF(1=Element_Stiffness!$C$75,Element_Stiffness!T105,IF(1=Element_Stiffness!$E$75,Element_Stiffness!Z105,0)),0)),0)+IF(Element_Stiffness!$C$111,IF(Element_Stiffness!$C$110=3,IF(1=Element_Stiffness!$C$110,Element_Stiffness!T134,IF(1=Element_Stiffness!$E$110,Element_Stiffness!Z134,0)),IF(Element_Stiffness!$E$110=3,IF(1=Element_Stiffness!$C$110,Element_Stiffness!T140,IF(1=Element_Stiffness!$E$110,Element_Stiffness!Z140,0)),0)),0)+IF(Element_Stiffness!$C$146,IF(Element_Stiffness!$C$145=3,IF(1=Element_Stiffness!$C$145,Element_Stiffness!T169,IF(1=Element_Stiffness!$E$145,Element_Stiffness!Z169,0)),IF(Element_Stiffness!$E$145=3,IF(1=Element_Stiffness!$C$145,Element_Stiffness!T175,IF(1=Element_Stiffness!$E$145,Element_Stiffness!Z175,0)),0)),0)+IF(Element_Stiffness!$C$181,IF(Element_Stiffness!$C$180=3,IF(1=Element_Stiffness!$C$180,Element_Stiffness!T204,IF(1=Element_Stiffness!$E$180,Element_Stiffness!Z204,0)),IF(Element_Stiffness!$E$180=3,IF(1=Element_Stiffness!$C$180,Element_Stiffness!T210,IF(1=Element_Stiffness!$E$180,Element_Stiffness!Z210,0)),0)),0)+IF(Element_Stiffness!$C$216,IF(Element_Stiffness!$C$215=3,IF(1=Element_Stiffness!$C$215,Element_Stiffness!T239,IF(1=Element_Stiffness!$E$215,Element_Stiffness!Z239,0)),IF(Element_Stiffness!$E$215=3,IF(1=Element_Stiffness!$C$215,Element_Stiffness!T245,IF(1=Element_Stiffness!$E$215,Element_Stiffness!Z245,0)),0)),0)</f>
        <v/>
      </c>
      <c r="N26" s="21">
        <f>IF(Element_Stiffness!$C$6,IF(Element_Stiffness!$C$5=3,IF(1=Element_Stiffness!$C$5,Element_Stiffness!U29,IF(1=Element_Stiffness!$E$5,Element_Stiffness!AA29,0)),IF(Element_Stiffness!$E$5=3,IF(1=Element_Stiffness!$C$5,Element_Stiffness!U35,IF(1=Element_Stiffness!$E$5,Element_Stiffness!AA35,0)),0)),0)+IF(Element_Stiffness!$C$41,IF(Element_Stiffness!$C$40=3,IF(1=Element_Stiffness!$C$40,Element_Stiffness!U64,IF(1=Element_Stiffness!$E$40,Element_Stiffness!AA64,0)),IF(Element_Stiffness!$E$40=3,IF(1=Element_Stiffness!$C$40,Element_Stiffness!U70,IF(1=Element_Stiffness!$E$40,Element_Stiffness!AA70,0)),0)),0)+IF(Element_Stiffness!$C$76,IF(Element_Stiffness!$C$75=3,IF(1=Element_Stiffness!$C$75,Element_Stiffness!U99,IF(1=Element_Stiffness!$E$75,Element_Stiffness!AA99,0)),IF(Element_Stiffness!$E$75=3,IF(1=Element_Stiffness!$C$75,Element_Stiffness!U105,IF(1=Element_Stiffness!$E$75,Element_Stiffness!AA105,0)),0)),0)+IF(Element_Stiffness!$C$111,IF(Element_Stiffness!$C$110=3,IF(1=Element_Stiffness!$C$110,Element_Stiffness!U134,IF(1=Element_Stiffness!$E$110,Element_Stiffness!AA134,0)),IF(Element_Stiffness!$E$110=3,IF(1=Element_Stiffness!$C$110,Element_Stiffness!U140,IF(1=Element_Stiffness!$E$110,Element_Stiffness!AA140,0)),0)),0)+IF(Element_Stiffness!$C$146,IF(Element_Stiffness!$C$145=3,IF(1=Element_Stiffness!$C$145,Element_Stiffness!U169,IF(1=Element_Stiffness!$E$145,Element_Stiffness!AA169,0)),IF(Element_Stiffness!$E$145=3,IF(1=Element_Stiffness!$C$145,Element_Stiffness!U175,IF(1=Element_Stiffness!$E$145,Element_Stiffness!AA175,0)),0)),0)+IF(Element_Stiffness!$C$181,IF(Element_Stiffness!$C$180=3,IF(1=Element_Stiffness!$C$180,Element_Stiffness!U204,IF(1=Element_Stiffness!$E$180,Element_Stiffness!AA204,0)),IF(Element_Stiffness!$E$180=3,IF(1=Element_Stiffness!$C$180,Element_Stiffness!U210,IF(1=Element_Stiffness!$E$180,Element_Stiffness!AA210,0)),0)),0)+IF(Element_Stiffness!$C$216,IF(Element_Stiffness!$C$215=3,IF(1=Element_Stiffness!$C$215,Element_Stiffness!U239,IF(1=Element_Stiffness!$E$215,Element_Stiffness!AA239,0)),IF(Element_Stiffness!$E$215=3,IF(1=Element_Stiffness!$C$215,Element_Stiffness!U245,IF(1=Element_Stiffness!$E$215,Element_Stiffness!AA245,0)),0)),0)</f>
        <v/>
      </c>
      <c r="O26" s="21">
        <f>IF(Element_Stiffness!$C$6,IF(Element_Stiffness!$C$5=3,IF(2=Element_Stiffness!$C$5,Element_Stiffness!P29,IF(2=Element_Stiffness!$E$5,Element_Stiffness!V29,0)),IF(Element_Stiffness!$E$5=3,IF(2=Element_Stiffness!$C$5,Element_Stiffness!P35,IF(2=Element_Stiffness!$E$5,Element_Stiffness!V35,0)),0)),0)+IF(Element_Stiffness!$C$41,IF(Element_Stiffness!$C$40=3,IF(2=Element_Stiffness!$C$40,Element_Stiffness!P64,IF(2=Element_Stiffness!$E$40,Element_Stiffness!V64,0)),IF(Element_Stiffness!$E$40=3,IF(2=Element_Stiffness!$C$40,Element_Stiffness!P70,IF(2=Element_Stiffness!$E$40,Element_Stiffness!V70,0)),0)),0)+IF(Element_Stiffness!$C$76,IF(Element_Stiffness!$C$75=3,IF(2=Element_Stiffness!$C$75,Element_Stiffness!P99,IF(2=Element_Stiffness!$E$75,Element_Stiffness!V99,0)),IF(Element_Stiffness!$E$75=3,IF(2=Element_Stiffness!$C$75,Element_Stiffness!P105,IF(2=Element_Stiffness!$E$75,Element_Stiffness!V105,0)),0)),0)+IF(Element_Stiffness!$C$111,IF(Element_Stiffness!$C$110=3,IF(2=Element_Stiffness!$C$110,Element_Stiffness!P134,IF(2=Element_Stiffness!$E$110,Element_Stiffness!V134,0)),IF(Element_Stiffness!$E$110=3,IF(2=Element_Stiffness!$C$110,Element_Stiffness!P140,IF(2=Element_Stiffness!$E$110,Element_Stiffness!V140,0)),0)),0)+IF(Element_Stiffness!$C$146,IF(Element_Stiffness!$C$145=3,IF(2=Element_Stiffness!$C$145,Element_Stiffness!P169,IF(2=Element_Stiffness!$E$145,Element_Stiffness!V169,0)),IF(Element_Stiffness!$E$145=3,IF(2=Element_Stiffness!$C$145,Element_Stiffness!P175,IF(2=Element_Stiffness!$E$145,Element_Stiffness!V175,0)),0)),0)+IF(Element_Stiffness!$C$181,IF(Element_Stiffness!$C$180=3,IF(2=Element_Stiffness!$C$180,Element_Stiffness!P204,IF(2=Element_Stiffness!$E$180,Element_Stiffness!V204,0)),IF(Element_Stiffness!$E$180=3,IF(2=Element_Stiffness!$C$180,Element_Stiffness!P210,IF(2=Element_Stiffness!$E$180,Element_Stiffness!V210,0)),0)),0)+IF(Element_Stiffness!$C$216,IF(Element_Stiffness!$C$215=3,IF(2=Element_Stiffness!$C$215,Element_Stiffness!P239,IF(2=Element_Stiffness!$E$215,Element_Stiffness!V239,0)),IF(Element_Stiffness!$E$215=3,IF(2=Element_Stiffness!$C$215,Element_Stiffness!P245,IF(2=Element_Stiffness!$E$215,Element_Stiffness!V245,0)),0)),0)</f>
        <v/>
      </c>
      <c r="P26" s="21">
        <f>IF(Element_Stiffness!$C$6,IF(Element_Stiffness!$C$5=3,IF(2=Element_Stiffness!$C$5,Element_Stiffness!Q29,IF(2=Element_Stiffness!$E$5,Element_Stiffness!W29,0)),IF(Element_Stiffness!$E$5=3,IF(2=Element_Stiffness!$C$5,Element_Stiffness!Q35,IF(2=Element_Stiffness!$E$5,Element_Stiffness!W35,0)),0)),0)+IF(Element_Stiffness!$C$41,IF(Element_Stiffness!$C$40=3,IF(2=Element_Stiffness!$C$40,Element_Stiffness!Q64,IF(2=Element_Stiffness!$E$40,Element_Stiffness!W64,0)),IF(Element_Stiffness!$E$40=3,IF(2=Element_Stiffness!$C$40,Element_Stiffness!Q70,IF(2=Element_Stiffness!$E$40,Element_Stiffness!W70,0)),0)),0)+IF(Element_Stiffness!$C$76,IF(Element_Stiffness!$C$75=3,IF(2=Element_Stiffness!$C$75,Element_Stiffness!Q99,IF(2=Element_Stiffness!$E$75,Element_Stiffness!W99,0)),IF(Element_Stiffness!$E$75=3,IF(2=Element_Stiffness!$C$75,Element_Stiffness!Q105,IF(2=Element_Stiffness!$E$75,Element_Stiffness!W105,0)),0)),0)+IF(Element_Stiffness!$C$111,IF(Element_Stiffness!$C$110=3,IF(2=Element_Stiffness!$C$110,Element_Stiffness!Q134,IF(2=Element_Stiffness!$E$110,Element_Stiffness!W134,0)),IF(Element_Stiffness!$E$110=3,IF(2=Element_Stiffness!$C$110,Element_Stiffness!Q140,IF(2=Element_Stiffness!$E$110,Element_Stiffness!W140,0)),0)),0)+IF(Element_Stiffness!$C$146,IF(Element_Stiffness!$C$145=3,IF(2=Element_Stiffness!$C$145,Element_Stiffness!Q169,IF(2=Element_Stiffness!$E$145,Element_Stiffness!W169,0)),IF(Element_Stiffness!$E$145=3,IF(2=Element_Stiffness!$C$145,Element_Stiffness!Q175,IF(2=Element_Stiffness!$E$145,Element_Stiffness!W175,0)),0)),0)+IF(Element_Stiffness!$C$181,IF(Element_Stiffness!$C$180=3,IF(2=Element_Stiffness!$C$180,Element_Stiffness!Q204,IF(2=Element_Stiffness!$E$180,Element_Stiffness!W204,0)),IF(Element_Stiffness!$E$180=3,IF(2=Element_Stiffness!$C$180,Element_Stiffness!Q210,IF(2=Element_Stiffness!$E$180,Element_Stiffness!W210,0)),0)),0)+IF(Element_Stiffness!$C$216,IF(Element_Stiffness!$C$215=3,IF(2=Element_Stiffness!$C$215,Element_Stiffness!Q239,IF(2=Element_Stiffness!$E$215,Element_Stiffness!W239,0)),IF(Element_Stiffness!$E$215=3,IF(2=Element_Stiffness!$C$215,Element_Stiffness!Q245,IF(2=Element_Stiffness!$E$215,Element_Stiffness!W245,0)),0)),0)</f>
        <v/>
      </c>
      <c r="Q26" s="21">
        <f>IF(Element_Stiffness!$C$6,IF(Element_Stiffness!$C$5=3,IF(2=Element_Stiffness!$C$5,Element_Stiffness!R29,IF(2=Element_Stiffness!$E$5,Element_Stiffness!X29,0)),IF(Element_Stiffness!$E$5=3,IF(2=Element_Stiffness!$C$5,Element_Stiffness!R35,IF(2=Element_Stiffness!$E$5,Element_Stiffness!X35,0)),0)),0)+IF(Element_Stiffness!$C$41,IF(Element_Stiffness!$C$40=3,IF(2=Element_Stiffness!$C$40,Element_Stiffness!R64,IF(2=Element_Stiffness!$E$40,Element_Stiffness!X64,0)),IF(Element_Stiffness!$E$40=3,IF(2=Element_Stiffness!$C$40,Element_Stiffness!R70,IF(2=Element_Stiffness!$E$40,Element_Stiffness!X70,0)),0)),0)+IF(Element_Stiffness!$C$76,IF(Element_Stiffness!$C$75=3,IF(2=Element_Stiffness!$C$75,Element_Stiffness!R99,IF(2=Element_Stiffness!$E$75,Element_Stiffness!X99,0)),IF(Element_Stiffness!$E$75=3,IF(2=Element_Stiffness!$C$75,Element_Stiffness!R105,IF(2=Element_Stiffness!$E$75,Element_Stiffness!X105,0)),0)),0)+IF(Element_Stiffness!$C$111,IF(Element_Stiffness!$C$110=3,IF(2=Element_Stiffness!$C$110,Element_Stiffness!R134,IF(2=Element_Stiffness!$E$110,Element_Stiffness!X134,0)),IF(Element_Stiffness!$E$110=3,IF(2=Element_Stiffness!$C$110,Element_Stiffness!R140,IF(2=Element_Stiffness!$E$110,Element_Stiffness!X140,0)),0)),0)+IF(Element_Stiffness!$C$146,IF(Element_Stiffness!$C$145=3,IF(2=Element_Stiffness!$C$145,Element_Stiffness!R169,IF(2=Element_Stiffness!$E$145,Element_Stiffness!X169,0)),IF(Element_Stiffness!$E$145=3,IF(2=Element_Stiffness!$C$145,Element_Stiffness!R175,IF(2=Element_Stiffness!$E$145,Element_Stiffness!X175,0)),0)),0)+IF(Element_Stiffness!$C$181,IF(Element_Stiffness!$C$180=3,IF(2=Element_Stiffness!$C$180,Element_Stiffness!R204,IF(2=Element_Stiffness!$E$180,Element_Stiffness!X204,0)),IF(Element_Stiffness!$E$180=3,IF(2=Element_Stiffness!$C$180,Element_Stiffness!R210,IF(2=Element_Stiffness!$E$180,Element_Stiffness!X210,0)),0)),0)+IF(Element_Stiffness!$C$216,IF(Element_Stiffness!$C$215=3,IF(2=Element_Stiffness!$C$215,Element_Stiffness!R239,IF(2=Element_Stiffness!$E$215,Element_Stiffness!X239,0)),IF(Element_Stiffness!$E$215=3,IF(2=Element_Stiffness!$C$215,Element_Stiffness!R245,IF(2=Element_Stiffness!$E$215,Element_Stiffness!X245,0)),0)),0)</f>
        <v/>
      </c>
      <c r="R26" s="21">
        <f>IF(Element_Stiffness!$C$6,IF(Element_Stiffness!$C$5=3,IF(2=Element_Stiffness!$C$5,Element_Stiffness!S29,IF(2=Element_Stiffness!$E$5,Element_Stiffness!Y29,0)),IF(Element_Stiffness!$E$5=3,IF(2=Element_Stiffness!$C$5,Element_Stiffness!S35,IF(2=Element_Stiffness!$E$5,Element_Stiffness!Y35,0)),0)),0)+IF(Element_Stiffness!$C$41,IF(Element_Stiffness!$C$40=3,IF(2=Element_Stiffness!$C$40,Element_Stiffness!S64,IF(2=Element_Stiffness!$E$40,Element_Stiffness!Y64,0)),IF(Element_Stiffness!$E$40=3,IF(2=Element_Stiffness!$C$40,Element_Stiffness!S70,IF(2=Element_Stiffness!$E$40,Element_Stiffness!Y70,0)),0)),0)+IF(Element_Stiffness!$C$76,IF(Element_Stiffness!$C$75=3,IF(2=Element_Stiffness!$C$75,Element_Stiffness!S99,IF(2=Element_Stiffness!$E$75,Element_Stiffness!Y99,0)),IF(Element_Stiffness!$E$75=3,IF(2=Element_Stiffness!$C$75,Element_Stiffness!S105,IF(2=Element_Stiffness!$E$75,Element_Stiffness!Y105,0)),0)),0)+IF(Element_Stiffness!$C$111,IF(Element_Stiffness!$C$110=3,IF(2=Element_Stiffness!$C$110,Element_Stiffness!S134,IF(2=Element_Stiffness!$E$110,Element_Stiffness!Y134,0)),IF(Element_Stiffness!$E$110=3,IF(2=Element_Stiffness!$C$110,Element_Stiffness!S140,IF(2=Element_Stiffness!$E$110,Element_Stiffness!Y140,0)),0)),0)+IF(Element_Stiffness!$C$146,IF(Element_Stiffness!$C$145=3,IF(2=Element_Stiffness!$C$145,Element_Stiffness!S169,IF(2=Element_Stiffness!$E$145,Element_Stiffness!Y169,0)),IF(Element_Stiffness!$E$145=3,IF(2=Element_Stiffness!$C$145,Element_Stiffness!S175,IF(2=Element_Stiffness!$E$145,Element_Stiffness!Y175,0)),0)),0)+IF(Element_Stiffness!$C$181,IF(Element_Stiffness!$C$180=3,IF(2=Element_Stiffness!$C$180,Element_Stiffness!S204,IF(2=Element_Stiffness!$E$180,Element_Stiffness!Y204,0)),IF(Element_Stiffness!$E$180=3,IF(2=Element_Stiffness!$C$180,Element_Stiffness!S210,IF(2=Element_Stiffness!$E$180,Element_Stiffness!Y210,0)),0)),0)+IF(Element_Stiffness!$C$216,IF(Element_Stiffness!$C$215=3,IF(2=Element_Stiffness!$C$215,Element_Stiffness!S239,IF(2=Element_Stiffness!$E$215,Element_Stiffness!Y239,0)),IF(Element_Stiffness!$E$215=3,IF(2=Element_Stiffness!$C$215,Element_Stiffness!S245,IF(2=Element_Stiffness!$E$215,Element_Stiffness!Y245,0)),0)),0)</f>
        <v/>
      </c>
      <c r="S26" s="21">
        <f>IF(Element_Stiffness!$C$6,IF(Element_Stiffness!$C$5=3,IF(2=Element_Stiffness!$C$5,Element_Stiffness!T29,IF(2=Element_Stiffness!$E$5,Element_Stiffness!Z29,0)),IF(Element_Stiffness!$E$5=3,IF(2=Element_Stiffness!$C$5,Element_Stiffness!T35,IF(2=Element_Stiffness!$E$5,Element_Stiffness!Z35,0)),0)),0)+IF(Element_Stiffness!$C$41,IF(Element_Stiffness!$C$40=3,IF(2=Element_Stiffness!$C$40,Element_Stiffness!T64,IF(2=Element_Stiffness!$E$40,Element_Stiffness!Z64,0)),IF(Element_Stiffness!$E$40=3,IF(2=Element_Stiffness!$C$40,Element_Stiffness!T70,IF(2=Element_Stiffness!$E$40,Element_Stiffness!Z70,0)),0)),0)+IF(Element_Stiffness!$C$76,IF(Element_Stiffness!$C$75=3,IF(2=Element_Stiffness!$C$75,Element_Stiffness!T99,IF(2=Element_Stiffness!$E$75,Element_Stiffness!Z99,0)),IF(Element_Stiffness!$E$75=3,IF(2=Element_Stiffness!$C$75,Element_Stiffness!T105,IF(2=Element_Stiffness!$E$75,Element_Stiffness!Z105,0)),0)),0)+IF(Element_Stiffness!$C$111,IF(Element_Stiffness!$C$110=3,IF(2=Element_Stiffness!$C$110,Element_Stiffness!T134,IF(2=Element_Stiffness!$E$110,Element_Stiffness!Z134,0)),IF(Element_Stiffness!$E$110=3,IF(2=Element_Stiffness!$C$110,Element_Stiffness!T140,IF(2=Element_Stiffness!$E$110,Element_Stiffness!Z140,0)),0)),0)+IF(Element_Stiffness!$C$146,IF(Element_Stiffness!$C$145=3,IF(2=Element_Stiffness!$C$145,Element_Stiffness!T169,IF(2=Element_Stiffness!$E$145,Element_Stiffness!Z169,0)),IF(Element_Stiffness!$E$145=3,IF(2=Element_Stiffness!$C$145,Element_Stiffness!T175,IF(2=Element_Stiffness!$E$145,Element_Stiffness!Z175,0)),0)),0)+IF(Element_Stiffness!$C$181,IF(Element_Stiffness!$C$180=3,IF(2=Element_Stiffness!$C$180,Element_Stiffness!T204,IF(2=Element_Stiffness!$E$180,Element_Stiffness!Z204,0)),IF(Element_Stiffness!$E$180=3,IF(2=Element_Stiffness!$C$180,Element_Stiffness!T210,IF(2=Element_Stiffness!$E$180,Element_Stiffness!Z210,0)),0)),0)+IF(Element_Stiffness!$C$216,IF(Element_Stiffness!$C$215=3,IF(2=Element_Stiffness!$C$215,Element_Stiffness!T239,IF(2=Element_Stiffness!$E$215,Element_Stiffness!Z239,0)),IF(Element_Stiffness!$E$215=3,IF(2=Element_Stiffness!$C$215,Element_Stiffness!T245,IF(2=Element_Stiffness!$E$215,Element_Stiffness!Z245,0)),0)),0)</f>
        <v/>
      </c>
      <c r="T26" s="21">
        <f>IF(Element_Stiffness!$C$6,IF(Element_Stiffness!$C$5=3,IF(2=Element_Stiffness!$C$5,Element_Stiffness!U29,IF(2=Element_Stiffness!$E$5,Element_Stiffness!AA29,0)),IF(Element_Stiffness!$E$5=3,IF(2=Element_Stiffness!$C$5,Element_Stiffness!U35,IF(2=Element_Stiffness!$E$5,Element_Stiffness!AA35,0)),0)),0)+IF(Element_Stiffness!$C$41,IF(Element_Stiffness!$C$40=3,IF(2=Element_Stiffness!$C$40,Element_Stiffness!U64,IF(2=Element_Stiffness!$E$40,Element_Stiffness!AA64,0)),IF(Element_Stiffness!$E$40=3,IF(2=Element_Stiffness!$C$40,Element_Stiffness!U70,IF(2=Element_Stiffness!$E$40,Element_Stiffness!AA70,0)),0)),0)+IF(Element_Stiffness!$C$76,IF(Element_Stiffness!$C$75=3,IF(2=Element_Stiffness!$C$75,Element_Stiffness!U99,IF(2=Element_Stiffness!$E$75,Element_Stiffness!AA99,0)),IF(Element_Stiffness!$E$75=3,IF(2=Element_Stiffness!$C$75,Element_Stiffness!U105,IF(2=Element_Stiffness!$E$75,Element_Stiffness!AA105,0)),0)),0)+IF(Element_Stiffness!$C$111,IF(Element_Stiffness!$C$110=3,IF(2=Element_Stiffness!$C$110,Element_Stiffness!U134,IF(2=Element_Stiffness!$E$110,Element_Stiffness!AA134,0)),IF(Element_Stiffness!$E$110=3,IF(2=Element_Stiffness!$C$110,Element_Stiffness!U140,IF(2=Element_Stiffness!$E$110,Element_Stiffness!AA140,0)),0)),0)+IF(Element_Stiffness!$C$146,IF(Element_Stiffness!$C$145=3,IF(2=Element_Stiffness!$C$145,Element_Stiffness!U169,IF(2=Element_Stiffness!$E$145,Element_Stiffness!AA169,0)),IF(Element_Stiffness!$E$145=3,IF(2=Element_Stiffness!$C$145,Element_Stiffness!U175,IF(2=Element_Stiffness!$E$145,Element_Stiffness!AA175,0)),0)),0)+IF(Element_Stiffness!$C$181,IF(Element_Stiffness!$C$180=3,IF(2=Element_Stiffness!$C$180,Element_Stiffness!U204,IF(2=Element_Stiffness!$E$180,Element_Stiffness!AA204,0)),IF(Element_Stiffness!$E$180=3,IF(2=Element_Stiffness!$C$180,Element_Stiffness!U210,IF(2=Element_Stiffness!$E$180,Element_Stiffness!AA210,0)),0)),0)+IF(Element_Stiffness!$C$216,IF(Element_Stiffness!$C$215=3,IF(2=Element_Stiffness!$C$215,Element_Stiffness!U239,IF(2=Element_Stiffness!$E$215,Element_Stiffness!AA239,0)),IF(Element_Stiffness!$E$215=3,IF(2=Element_Stiffness!$C$215,Element_Stiffness!U245,IF(2=Element_Stiffness!$E$215,Element_Stiffness!AA245,0)),0)),0)</f>
        <v/>
      </c>
      <c r="U26" s="21">
        <f>IF(Element_Stiffness!$C$6,IF(Element_Stiffness!$C$5=3,IF(3=Element_Stiffness!$C$5,Element_Stiffness!P29,IF(3=Element_Stiffness!$E$5,Element_Stiffness!V29,0)),IF(Element_Stiffness!$E$5=3,IF(3=Element_Stiffness!$C$5,Element_Stiffness!P35,IF(3=Element_Stiffness!$E$5,Element_Stiffness!V35,0)),0)),0)+IF(Element_Stiffness!$C$41,IF(Element_Stiffness!$C$40=3,IF(3=Element_Stiffness!$C$40,Element_Stiffness!P64,IF(3=Element_Stiffness!$E$40,Element_Stiffness!V64,0)),IF(Element_Stiffness!$E$40=3,IF(3=Element_Stiffness!$C$40,Element_Stiffness!P70,IF(3=Element_Stiffness!$E$40,Element_Stiffness!V70,0)),0)),0)+IF(Element_Stiffness!$C$76,IF(Element_Stiffness!$C$75=3,IF(3=Element_Stiffness!$C$75,Element_Stiffness!P99,IF(3=Element_Stiffness!$E$75,Element_Stiffness!V99,0)),IF(Element_Stiffness!$E$75=3,IF(3=Element_Stiffness!$C$75,Element_Stiffness!P105,IF(3=Element_Stiffness!$E$75,Element_Stiffness!V105,0)),0)),0)+IF(Element_Stiffness!$C$111,IF(Element_Stiffness!$C$110=3,IF(3=Element_Stiffness!$C$110,Element_Stiffness!P134,IF(3=Element_Stiffness!$E$110,Element_Stiffness!V134,0)),IF(Element_Stiffness!$E$110=3,IF(3=Element_Stiffness!$C$110,Element_Stiffness!P140,IF(3=Element_Stiffness!$E$110,Element_Stiffness!V140,0)),0)),0)+IF(Element_Stiffness!$C$146,IF(Element_Stiffness!$C$145=3,IF(3=Element_Stiffness!$C$145,Element_Stiffness!P169,IF(3=Element_Stiffness!$E$145,Element_Stiffness!V169,0)),IF(Element_Stiffness!$E$145=3,IF(3=Element_Stiffness!$C$145,Element_Stiffness!P175,IF(3=Element_Stiffness!$E$145,Element_Stiffness!V175,0)),0)),0)+IF(Element_Stiffness!$C$181,IF(Element_Stiffness!$C$180=3,IF(3=Element_Stiffness!$C$180,Element_Stiffness!P204,IF(3=Element_Stiffness!$E$180,Element_Stiffness!V204,0)),IF(Element_Stiffness!$E$180=3,IF(3=Element_Stiffness!$C$180,Element_Stiffness!P210,IF(3=Element_Stiffness!$E$180,Element_Stiffness!V210,0)),0)),0)+IF(Element_Stiffness!$C$216,IF(Element_Stiffness!$C$215=3,IF(3=Element_Stiffness!$C$215,Element_Stiffness!P239,IF(3=Element_Stiffness!$E$215,Element_Stiffness!V239,0)),IF(Element_Stiffness!$E$215=3,IF(3=Element_Stiffness!$C$215,Element_Stiffness!P245,IF(3=Element_Stiffness!$E$215,Element_Stiffness!V245,0)),0)),0)</f>
        <v/>
      </c>
      <c r="V26" s="21">
        <f>IF(Element_Stiffness!$C$6,IF(Element_Stiffness!$C$5=3,IF(3=Element_Stiffness!$C$5,Element_Stiffness!Q29,IF(3=Element_Stiffness!$E$5,Element_Stiffness!W29,0)),IF(Element_Stiffness!$E$5=3,IF(3=Element_Stiffness!$C$5,Element_Stiffness!Q35,IF(3=Element_Stiffness!$E$5,Element_Stiffness!W35,0)),0)),0)+IF(Element_Stiffness!$C$41,IF(Element_Stiffness!$C$40=3,IF(3=Element_Stiffness!$C$40,Element_Stiffness!Q64,IF(3=Element_Stiffness!$E$40,Element_Stiffness!W64,0)),IF(Element_Stiffness!$E$40=3,IF(3=Element_Stiffness!$C$40,Element_Stiffness!Q70,IF(3=Element_Stiffness!$E$40,Element_Stiffness!W70,0)),0)),0)+IF(Element_Stiffness!$C$76,IF(Element_Stiffness!$C$75=3,IF(3=Element_Stiffness!$C$75,Element_Stiffness!Q99,IF(3=Element_Stiffness!$E$75,Element_Stiffness!W99,0)),IF(Element_Stiffness!$E$75=3,IF(3=Element_Stiffness!$C$75,Element_Stiffness!Q105,IF(3=Element_Stiffness!$E$75,Element_Stiffness!W105,0)),0)),0)+IF(Element_Stiffness!$C$111,IF(Element_Stiffness!$C$110=3,IF(3=Element_Stiffness!$C$110,Element_Stiffness!Q134,IF(3=Element_Stiffness!$E$110,Element_Stiffness!W134,0)),IF(Element_Stiffness!$E$110=3,IF(3=Element_Stiffness!$C$110,Element_Stiffness!Q140,IF(3=Element_Stiffness!$E$110,Element_Stiffness!W140,0)),0)),0)+IF(Element_Stiffness!$C$146,IF(Element_Stiffness!$C$145=3,IF(3=Element_Stiffness!$C$145,Element_Stiffness!Q169,IF(3=Element_Stiffness!$E$145,Element_Stiffness!W169,0)),IF(Element_Stiffness!$E$145=3,IF(3=Element_Stiffness!$C$145,Element_Stiffness!Q175,IF(3=Element_Stiffness!$E$145,Element_Stiffness!W175,0)),0)),0)+IF(Element_Stiffness!$C$181,IF(Element_Stiffness!$C$180=3,IF(3=Element_Stiffness!$C$180,Element_Stiffness!Q204,IF(3=Element_Stiffness!$E$180,Element_Stiffness!W204,0)),IF(Element_Stiffness!$E$180=3,IF(3=Element_Stiffness!$C$180,Element_Stiffness!Q210,IF(3=Element_Stiffness!$E$180,Element_Stiffness!W210,0)),0)),0)+IF(Element_Stiffness!$C$216,IF(Element_Stiffness!$C$215=3,IF(3=Element_Stiffness!$C$215,Element_Stiffness!Q239,IF(3=Element_Stiffness!$E$215,Element_Stiffness!W239,0)),IF(Element_Stiffness!$E$215=3,IF(3=Element_Stiffness!$C$215,Element_Stiffness!Q245,IF(3=Element_Stiffness!$E$215,Element_Stiffness!W245,0)),0)),0)</f>
        <v/>
      </c>
      <c r="W26" s="21">
        <f>IF(Element_Stiffness!$C$6,IF(Element_Stiffness!$C$5=3,IF(3=Element_Stiffness!$C$5,Element_Stiffness!R29,IF(3=Element_Stiffness!$E$5,Element_Stiffness!X29,0)),IF(Element_Stiffness!$E$5=3,IF(3=Element_Stiffness!$C$5,Element_Stiffness!R35,IF(3=Element_Stiffness!$E$5,Element_Stiffness!X35,0)),0)),0)+IF(Element_Stiffness!$C$41,IF(Element_Stiffness!$C$40=3,IF(3=Element_Stiffness!$C$40,Element_Stiffness!R64,IF(3=Element_Stiffness!$E$40,Element_Stiffness!X64,0)),IF(Element_Stiffness!$E$40=3,IF(3=Element_Stiffness!$C$40,Element_Stiffness!R70,IF(3=Element_Stiffness!$E$40,Element_Stiffness!X70,0)),0)),0)+IF(Element_Stiffness!$C$76,IF(Element_Stiffness!$C$75=3,IF(3=Element_Stiffness!$C$75,Element_Stiffness!R99,IF(3=Element_Stiffness!$E$75,Element_Stiffness!X99,0)),IF(Element_Stiffness!$E$75=3,IF(3=Element_Stiffness!$C$75,Element_Stiffness!R105,IF(3=Element_Stiffness!$E$75,Element_Stiffness!X105,0)),0)),0)+IF(Element_Stiffness!$C$111,IF(Element_Stiffness!$C$110=3,IF(3=Element_Stiffness!$C$110,Element_Stiffness!R134,IF(3=Element_Stiffness!$E$110,Element_Stiffness!X134,0)),IF(Element_Stiffness!$E$110=3,IF(3=Element_Stiffness!$C$110,Element_Stiffness!R140,IF(3=Element_Stiffness!$E$110,Element_Stiffness!X140,0)),0)),0)+IF(Element_Stiffness!$C$146,IF(Element_Stiffness!$C$145=3,IF(3=Element_Stiffness!$C$145,Element_Stiffness!R169,IF(3=Element_Stiffness!$E$145,Element_Stiffness!X169,0)),IF(Element_Stiffness!$E$145=3,IF(3=Element_Stiffness!$C$145,Element_Stiffness!R175,IF(3=Element_Stiffness!$E$145,Element_Stiffness!X175,0)),0)),0)+IF(Element_Stiffness!$C$181,IF(Element_Stiffness!$C$180=3,IF(3=Element_Stiffness!$C$180,Element_Stiffness!R204,IF(3=Element_Stiffness!$E$180,Element_Stiffness!X204,0)),IF(Element_Stiffness!$E$180=3,IF(3=Element_Stiffness!$C$180,Element_Stiffness!R210,IF(3=Element_Stiffness!$E$180,Element_Stiffness!X210,0)),0)),0)+IF(Element_Stiffness!$C$216,IF(Element_Stiffness!$C$215=3,IF(3=Element_Stiffness!$C$215,Element_Stiffness!R239,IF(3=Element_Stiffness!$E$215,Element_Stiffness!X239,0)),IF(Element_Stiffness!$E$215=3,IF(3=Element_Stiffness!$C$215,Element_Stiffness!R245,IF(3=Element_Stiffness!$E$215,Element_Stiffness!X245,0)),0)),0)</f>
        <v/>
      </c>
      <c r="X26" s="21">
        <f>IF(Element_Stiffness!$C$6,IF(Element_Stiffness!$C$5=3,IF(3=Element_Stiffness!$C$5,Element_Stiffness!S29,IF(3=Element_Stiffness!$E$5,Element_Stiffness!Y29,0)),IF(Element_Stiffness!$E$5=3,IF(3=Element_Stiffness!$C$5,Element_Stiffness!S35,IF(3=Element_Stiffness!$E$5,Element_Stiffness!Y35,0)),0)),0)+IF(Element_Stiffness!$C$41,IF(Element_Stiffness!$C$40=3,IF(3=Element_Stiffness!$C$40,Element_Stiffness!S64,IF(3=Element_Stiffness!$E$40,Element_Stiffness!Y64,0)),IF(Element_Stiffness!$E$40=3,IF(3=Element_Stiffness!$C$40,Element_Stiffness!S70,IF(3=Element_Stiffness!$E$40,Element_Stiffness!Y70,0)),0)),0)+IF(Element_Stiffness!$C$76,IF(Element_Stiffness!$C$75=3,IF(3=Element_Stiffness!$C$75,Element_Stiffness!S99,IF(3=Element_Stiffness!$E$75,Element_Stiffness!Y99,0)),IF(Element_Stiffness!$E$75=3,IF(3=Element_Stiffness!$C$75,Element_Stiffness!S105,IF(3=Element_Stiffness!$E$75,Element_Stiffness!Y105,0)),0)),0)+IF(Element_Stiffness!$C$111,IF(Element_Stiffness!$C$110=3,IF(3=Element_Stiffness!$C$110,Element_Stiffness!S134,IF(3=Element_Stiffness!$E$110,Element_Stiffness!Y134,0)),IF(Element_Stiffness!$E$110=3,IF(3=Element_Stiffness!$C$110,Element_Stiffness!S140,IF(3=Element_Stiffness!$E$110,Element_Stiffness!Y140,0)),0)),0)+IF(Element_Stiffness!$C$146,IF(Element_Stiffness!$C$145=3,IF(3=Element_Stiffness!$C$145,Element_Stiffness!S169,IF(3=Element_Stiffness!$E$145,Element_Stiffness!Y169,0)),IF(Element_Stiffness!$E$145=3,IF(3=Element_Stiffness!$C$145,Element_Stiffness!S175,IF(3=Element_Stiffness!$E$145,Element_Stiffness!Y175,0)),0)),0)+IF(Element_Stiffness!$C$181,IF(Element_Stiffness!$C$180=3,IF(3=Element_Stiffness!$C$180,Element_Stiffness!S204,IF(3=Element_Stiffness!$E$180,Element_Stiffness!Y204,0)),IF(Element_Stiffness!$E$180=3,IF(3=Element_Stiffness!$C$180,Element_Stiffness!S210,IF(3=Element_Stiffness!$E$180,Element_Stiffness!Y210,0)),0)),0)+IF(Element_Stiffness!$C$216,IF(Element_Stiffness!$C$215=3,IF(3=Element_Stiffness!$C$215,Element_Stiffness!S239,IF(3=Element_Stiffness!$E$215,Element_Stiffness!Y239,0)),IF(Element_Stiffness!$E$215=3,IF(3=Element_Stiffness!$C$215,Element_Stiffness!S245,IF(3=Element_Stiffness!$E$215,Element_Stiffness!Y245,0)),0)),0)+IF(Inputs!F43=TRUE,1E15,IF(ISNUMBER(Inputs!F43),Inputs!F43,0))</f>
        <v/>
      </c>
      <c r="Y26" s="21">
        <f>IF(Element_Stiffness!$C$6,IF(Element_Stiffness!$C$5=3,IF(3=Element_Stiffness!$C$5,Element_Stiffness!T29,IF(3=Element_Stiffness!$E$5,Element_Stiffness!Z29,0)),IF(Element_Stiffness!$E$5=3,IF(3=Element_Stiffness!$C$5,Element_Stiffness!T35,IF(3=Element_Stiffness!$E$5,Element_Stiffness!Z35,0)),0)),0)+IF(Element_Stiffness!$C$41,IF(Element_Stiffness!$C$40=3,IF(3=Element_Stiffness!$C$40,Element_Stiffness!T64,IF(3=Element_Stiffness!$E$40,Element_Stiffness!Z64,0)),IF(Element_Stiffness!$E$40=3,IF(3=Element_Stiffness!$C$40,Element_Stiffness!T70,IF(3=Element_Stiffness!$E$40,Element_Stiffness!Z70,0)),0)),0)+IF(Element_Stiffness!$C$76,IF(Element_Stiffness!$C$75=3,IF(3=Element_Stiffness!$C$75,Element_Stiffness!T99,IF(3=Element_Stiffness!$E$75,Element_Stiffness!Z99,0)),IF(Element_Stiffness!$E$75=3,IF(3=Element_Stiffness!$C$75,Element_Stiffness!T105,IF(3=Element_Stiffness!$E$75,Element_Stiffness!Z105,0)),0)),0)+IF(Element_Stiffness!$C$111,IF(Element_Stiffness!$C$110=3,IF(3=Element_Stiffness!$C$110,Element_Stiffness!T134,IF(3=Element_Stiffness!$E$110,Element_Stiffness!Z134,0)),IF(Element_Stiffness!$E$110=3,IF(3=Element_Stiffness!$C$110,Element_Stiffness!T140,IF(3=Element_Stiffness!$E$110,Element_Stiffness!Z140,0)),0)),0)+IF(Element_Stiffness!$C$146,IF(Element_Stiffness!$C$145=3,IF(3=Element_Stiffness!$C$145,Element_Stiffness!T169,IF(3=Element_Stiffness!$E$145,Element_Stiffness!Z169,0)),IF(Element_Stiffness!$E$145=3,IF(3=Element_Stiffness!$C$145,Element_Stiffness!T175,IF(3=Element_Stiffness!$E$145,Element_Stiffness!Z175,0)),0)),0)+IF(Element_Stiffness!$C$181,IF(Element_Stiffness!$C$180=3,IF(3=Element_Stiffness!$C$180,Element_Stiffness!T204,IF(3=Element_Stiffness!$E$180,Element_Stiffness!Z204,0)),IF(Element_Stiffness!$E$180=3,IF(3=Element_Stiffness!$C$180,Element_Stiffness!T210,IF(3=Element_Stiffness!$E$180,Element_Stiffness!Z210,0)),0)),0)+IF(Element_Stiffness!$C$216,IF(Element_Stiffness!$C$215=3,IF(3=Element_Stiffness!$C$215,Element_Stiffness!T239,IF(3=Element_Stiffness!$E$215,Element_Stiffness!Z239,0)),IF(Element_Stiffness!$E$215=3,IF(3=Element_Stiffness!$C$215,Element_Stiffness!T245,IF(3=Element_Stiffness!$E$215,Element_Stiffness!Z245,0)),0)),0)</f>
        <v/>
      </c>
      <c r="Z26" s="21">
        <f>IF(Element_Stiffness!$C$6,IF(Element_Stiffness!$C$5=3,IF(3=Element_Stiffness!$C$5,Element_Stiffness!U29,IF(3=Element_Stiffness!$E$5,Element_Stiffness!AA29,0)),IF(Element_Stiffness!$E$5=3,IF(3=Element_Stiffness!$C$5,Element_Stiffness!U35,IF(3=Element_Stiffness!$E$5,Element_Stiffness!AA35,0)),0)),0)+IF(Element_Stiffness!$C$41,IF(Element_Stiffness!$C$40=3,IF(3=Element_Stiffness!$C$40,Element_Stiffness!U64,IF(3=Element_Stiffness!$E$40,Element_Stiffness!AA64,0)),IF(Element_Stiffness!$E$40=3,IF(3=Element_Stiffness!$C$40,Element_Stiffness!U70,IF(3=Element_Stiffness!$E$40,Element_Stiffness!AA70,0)),0)),0)+IF(Element_Stiffness!$C$76,IF(Element_Stiffness!$C$75=3,IF(3=Element_Stiffness!$C$75,Element_Stiffness!U99,IF(3=Element_Stiffness!$E$75,Element_Stiffness!AA99,0)),IF(Element_Stiffness!$E$75=3,IF(3=Element_Stiffness!$C$75,Element_Stiffness!U105,IF(3=Element_Stiffness!$E$75,Element_Stiffness!AA105,0)),0)),0)+IF(Element_Stiffness!$C$111,IF(Element_Stiffness!$C$110=3,IF(3=Element_Stiffness!$C$110,Element_Stiffness!U134,IF(3=Element_Stiffness!$E$110,Element_Stiffness!AA134,0)),IF(Element_Stiffness!$E$110=3,IF(3=Element_Stiffness!$C$110,Element_Stiffness!U140,IF(3=Element_Stiffness!$E$110,Element_Stiffness!AA140,0)),0)),0)+IF(Element_Stiffness!$C$146,IF(Element_Stiffness!$C$145=3,IF(3=Element_Stiffness!$C$145,Element_Stiffness!U169,IF(3=Element_Stiffness!$E$145,Element_Stiffness!AA169,0)),IF(Element_Stiffness!$E$145=3,IF(3=Element_Stiffness!$C$145,Element_Stiffness!U175,IF(3=Element_Stiffness!$E$145,Element_Stiffness!AA175,0)),0)),0)+IF(Element_Stiffness!$C$181,IF(Element_Stiffness!$C$180=3,IF(3=Element_Stiffness!$C$180,Element_Stiffness!U204,IF(3=Element_Stiffness!$E$180,Element_Stiffness!AA204,0)),IF(Element_Stiffness!$E$180=3,IF(3=Element_Stiffness!$C$180,Element_Stiffness!U210,IF(3=Element_Stiffness!$E$180,Element_Stiffness!AA210,0)),0)),0)+IF(Element_Stiffness!$C$216,IF(Element_Stiffness!$C$215=3,IF(3=Element_Stiffness!$C$215,Element_Stiffness!U239,IF(3=Element_Stiffness!$E$215,Element_Stiffness!AA239,0)),IF(Element_Stiffness!$E$215=3,IF(3=Element_Stiffness!$C$215,Element_Stiffness!U245,IF(3=Element_Stiffness!$E$215,Element_Stiffness!AA245,0)),0)),0)</f>
        <v/>
      </c>
      <c r="AA26" s="21">
        <f>IF(Element_Stiffness!$C$6,IF(Element_Stiffness!$C$5=3,IF(4=Element_Stiffness!$C$5,Element_Stiffness!P29,IF(4=Element_Stiffness!$E$5,Element_Stiffness!V29,0)),IF(Element_Stiffness!$E$5=3,IF(4=Element_Stiffness!$C$5,Element_Stiffness!P35,IF(4=Element_Stiffness!$E$5,Element_Stiffness!V35,0)),0)),0)+IF(Element_Stiffness!$C$41,IF(Element_Stiffness!$C$40=3,IF(4=Element_Stiffness!$C$40,Element_Stiffness!P64,IF(4=Element_Stiffness!$E$40,Element_Stiffness!V64,0)),IF(Element_Stiffness!$E$40=3,IF(4=Element_Stiffness!$C$40,Element_Stiffness!P70,IF(4=Element_Stiffness!$E$40,Element_Stiffness!V70,0)),0)),0)+IF(Element_Stiffness!$C$76,IF(Element_Stiffness!$C$75=3,IF(4=Element_Stiffness!$C$75,Element_Stiffness!P99,IF(4=Element_Stiffness!$E$75,Element_Stiffness!V99,0)),IF(Element_Stiffness!$E$75=3,IF(4=Element_Stiffness!$C$75,Element_Stiffness!P105,IF(4=Element_Stiffness!$E$75,Element_Stiffness!V105,0)),0)),0)+IF(Element_Stiffness!$C$111,IF(Element_Stiffness!$C$110=3,IF(4=Element_Stiffness!$C$110,Element_Stiffness!P134,IF(4=Element_Stiffness!$E$110,Element_Stiffness!V134,0)),IF(Element_Stiffness!$E$110=3,IF(4=Element_Stiffness!$C$110,Element_Stiffness!P140,IF(4=Element_Stiffness!$E$110,Element_Stiffness!V140,0)),0)),0)+IF(Element_Stiffness!$C$146,IF(Element_Stiffness!$C$145=3,IF(4=Element_Stiffness!$C$145,Element_Stiffness!P169,IF(4=Element_Stiffness!$E$145,Element_Stiffness!V169,0)),IF(Element_Stiffness!$E$145=3,IF(4=Element_Stiffness!$C$145,Element_Stiffness!P175,IF(4=Element_Stiffness!$E$145,Element_Stiffness!V175,0)),0)),0)+IF(Element_Stiffness!$C$181,IF(Element_Stiffness!$C$180=3,IF(4=Element_Stiffness!$C$180,Element_Stiffness!P204,IF(4=Element_Stiffness!$E$180,Element_Stiffness!V204,0)),IF(Element_Stiffness!$E$180=3,IF(4=Element_Stiffness!$C$180,Element_Stiffness!P210,IF(4=Element_Stiffness!$E$180,Element_Stiffness!V210,0)),0)),0)+IF(Element_Stiffness!$C$216,IF(Element_Stiffness!$C$215=3,IF(4=Element_Stiffness!$C$215,Element_Stiffness!P239,IF(4=Element_Stiffness!$E$215,Element_Stiffness!V239,0)),IF(Element_Stiffness!$E$215=3,IF(4=Element_Stiffness!$C$215,Element_Stiffness!P245,IF(4=Element_Stiffness!$E$215,Element_Stiffness!V245,0)),0)),0)</f>
        <v/>
      </c>
      <c r="AB26" s="21">
        <f>IF(Element_Stiffness!$C$6,IF(Element_Stiffness!$C$5=3,IF(4=Element_Stiffness!$C$5,Element_Stiffness!Q29,IF(4=Element_Stiffness!$E$5,Element_Stiffness!W29,0)),IF(Element_Stiffness!$E$5=3,IF(4=Element_Stiffness!$C$5,Element_Stiffness!Q35,IF(4=Element_Stiffness!$E$5,Element_Stiffness!W35,0)),0)),0)+IF(Element_Stiffness!$C$41,IF(Element_Stiffness!$C$40=3,IF(4=Element_Stiffness!$C$40,Element_Stiffness!Q64,IF(4=Element_Stiffness!$E$40,Element_Stiffness!W64,0)),IF(Element_Stiffness!$E$40=3,IF(4=Element_Stiffness!$C$40,Element_Stiffness!Q70,IF(4=Element_Stiffness!$E$40,Element_Stiffness!W70,0)),0)),0)+IF(Element_Stiffness!$C$76,IF(Element_Stiffness!$C$75=3,IF(4=Element_Stiffness!$C$75,Element_Stiffness!Q99,IF(4=Element_Stiffness!$E$75,Element_Stiffness!W99,0)),IF(Element_Stiffness!$E$75=3,IF(4=Element_Stiffness!$C$75,Element_Stiffness!Q105,IF(4=Element_Stiffness!$E$75,Element_Stiffness!W105,0)),0)),0)+IF(Element_Stiffness!$C$111,IF(Element_Stiffness!$C$110=3,IF(4=Element_Stiffness!$C$110,Element_Stiffness!Q134,IF(4=Element_Stiffness!$E$110,Element_Stiffness!W134,0)),IF(Element_Stiffness!$E$110=3,IF(4=Element_Stiffness!$C$110,Element_Stiffness!Q140,IF(4=Element_Stiffness!$E$110,Element_Stiffness!W140,0)),0)),0)+IF(Element_Stiffness!$C$146,IF(Element_Stiffness!$C$145=3,IF(4=Element_Stiffness!$C$145,Element_Stiffness!Q169,IF(4=Element_Stiffness!$E$145,Element_Stiffness!W169,0)),IF(Element_Stiffness!$E$145=3,IF(4=Element_Stiffness!$C$145,Element_Stiffness!Q175,IF(4=Element_Stiffness!$E$145,Element_Stiffness!W175,0)),0)),0)+IF(Element_Stiffness!$C$181,IF(Element_Stiffness!$C$180=3,IF(4=Element_Stiffness!$C$180,Element_Stiffness!Q204,IF(4=Element_Stiffness!$E$180,Element_Stiffness!W204,0)),IF(Element_Stiffness!$E$180=3,IF(4=Element_Stiffness!$C$180,Element_Stiffness!Q210,IF(4=Element_Stiffness!$E$180,Element_Stiffness!W210,0)),0)),0)+IF(Element_Stiffness!$C$216,IF(Element_Stiffness!$C$215=3,IF(4=Element_Stiffness!$C$215,Element_Stiffness!Q239,IF(4=Element_Stiffness!$E$215,Element_Stiffness!W239,0)),IF(Element_Stiffness!$E$215=3,IF(4=Element_Stiffness!$C$215,Element_Stiffness!Q245,IF(4=Element_Stiffness!$E$215,Element_Stiffness!W245,0)),0)),0)</f>
        <v/>
      </c>
      <c r="AC26" s="21">
        <f>IF(Element_Stiffness!$C$6,IF(Element_Stiffness!$C$5=3,IF(4=Element_Stiffness!$C$5,Element_Stiffness!R29,IF(4=Element_Stiffness!$E$5,Element_Stiffness!X29,0)),IF(Element_Stiffness!$E$5=3,IF(4=Element_Stiffness!$C$5,Element_Stiffness!R35,IF(4=Element_Stiffness!$E$5,Element_Stiffness!X35,0)),0)),0)+IF(Element_Stiffness!$C$41,IF(Element_Stiffness!$C$40=3,IF(4=Element_Stiffness!$C$40,Element_Stiffness!R64,IF(4=Element_Stiffness!$E$40,Element_Stiffness!X64,0)),IF(Element_Stiffness!$E$40=3,IF(4=Element_Stiffness!$C$40,Element_Stiffness!R70,IF(4=Element_Stiffness!$E$40,Element_Stiffness!X70,0)),0)),0)+IF(Element_Stiffness!$C$76,IF(Element_Stiffness!$C$75=3,IF(4=Element_Stiffness!$C$75,Element_Stiffness!R99,IF(4=Element_Stiffness!$E$75,Element_Stiffness!X99,0)),IF(Element_Stiffness!$E$75=3,IF(4=Element_Stiffness!$C$75,Element_Stiffness!R105,IF(4=Element_Stiffness!$E$75,Element_Stiffness!X105,0)),0)),0)+IF(Element_Stiffness!$C$111,IF(Element_Stiffness!$C$110=3,IF(4=Element_Stiffness!$C$110,Element_Stiffness!R134,IF(4=Element_Stiffness!$E$110,Element_Stiffness!X134,0)),IF(Element_Stiffness!$E$110=3,IF(4=Element_Stiffness!$C$110,Element_Stiffness!R140,IF(4=Element_Stiffness!$E$110,Element_Stiffness!X140,0)),0)),0)+IF(Element_Stiffness!$C$146,IF(Element_Stiffness!$C$145=3,IF(4=Element_Stiffness!$C$145,Element_Stiffness!R169,IF(4=Element_Stiffness!$E$145,Element_Stiffness!X169,0)),IF(Element_Stiffness!$E$145=3,IF(4=Element_Stiffness!$C$145,Element_Stiffness!R175,IF(4=Element_Stiffness!$E$145,Element_Stiffness!X175,0)),0)),0)+IF(Element_Stiffness!$C$181,IF(Element_Stiffness!$C$180=3,IF(4=Element_Stiffness!$C$180,Element_Stiffness!R204,IF(4=Element_Stiffness!$E$180,Element_Stiffness!X204,0)),IF(Element_Stiffness!$E$180=3,IF(4=Element_Stiffness!$C$180,Element_Stiffness!R210,IF(4=Element_Stiffness!$E$180,Element_Stiffness!X210,0)),0)),0)+IF(Element_Stiffness!$C$216,IF(Element_Stiffness!$C$215=3,IF(4=Element_Stiffness!$C$215,Element_Stiffness!R239,IF(4=Element_Stiffness!$E$215,Element_Stiffness!X239,0)),IF(Element_Stiffness!$E$215=3,IF(4=Element_Stiffness!$C$215,Element_Stiffness!R245,IF(4=Element_Stiffness!$E$215,Element_Stiffness!X245,0)),0)),0)</f>
        <v/>
      </c>
      <c r="AD26" s="21">
        <f>IF(Element_Stiffness!$C$6,IF(Element_Stiffness!$C$5=3,IF(4=Element_Stiffness!$C$5,Element_Stiffness!S29,IF(4=Element_Stiffness!$E$5,Element_Stiffness!Y29,0)),IF(Element_Stiffness!$E$5=3,IF(4=Element_Stiffness!$C$5,Element_Stiffness!S35,IF(4=Element_Stiffness!$E$5,Element_Stiffness!Y35,0)),0)),0)+IF(Element_Stiffness!$C$41,IF(Element_Stiffness!$C$40=3,IF(4=Element_Stiffness!$C$40,Element_Stiffness!S64,IF(4=Element_Stiffness!$E$40,Element_Stiffness!Y64,0)),IF(Element_Stiffness!$E$40=3,IF(4=Element_Stiffness!$C$40,Element_Stiffness!S70,IF(4=Element_Stiffness!$E$40,Element_Stiffness!Y70,0)),0)),0)+IF(Element_Stiffness!$C$76,IF(Element_Stiffness!$C$75=3,IF(4=Element_Stiffness!$C$75,Element_Stiffness!S99,IF(4=Element_Stiffness!$E$75,Element_Stiffness!Y99,0)),IF(Element_Stiffness!$E$75=3,IF(4=Element_Stiffness!$C$75,Element_Stiffness!S105,IF(4=Element_Stiffness!$E$75,Element_Stiffness!Y105,0)),0)),0)+IF(Element_Stiffness!$C$111,IF(Element_Stiffness!$C$110=3,IF(4=Element_Stiffness!$C$110,Element_Stiffness!S134,IF(4=Element_Stiffness!$E$110,Element_Stiffness!Y134,0)),IF(Element_Stiffness!$E$110=3,IF(4=Element_Stiffness!$C$110,Element_Stiffness!S140,IF(4=Element_Stiffness!$E$110,Element_Stiffness!Y140,0)),0)),0)+IF(Element_Stiffness!$C$146,IF(Element_Stiffness!$C$145=3,IF(4=Element_Stiffness!$C$145,Element_Stiffness!S169,IF(4=Element_Stiffness!$E$145,Element_Stiffness!Y169,0)),IF(Element_Stiffness!$E$145=3,IF(4=Element_Stiffness!$C$145,Element_Stiffness!S175,IF(4=Element_Stiffness!$E$145,Element_Stiffness!Y175,0)),0)),0)+IF(Element_Stiffness!$C$181,IF(Element_Stiffness!$C$180=3,IF(4=Element_Stiffness!$C$180,Element_Stiffness!S204,IF(4=Element_Stiffness!$E$180,Element_Stiffness!Y204,0)),IF(Element_Stiffness!$E$180=3,IF(4=Element_Stiffness!$C$180,Element_Stiffness!S210,IF(4=Element_Stiffness!$E$180,Element_Stiffness!Y210,0)),0)),0)+IF(Element_Stiffness!$C$216,IF(Element_Stiffness!$C$215=3,IF(4=Element_Stiffness!$C$215,Element_Stiffness!S239,IF(4=Element_Stiffness!$E$215,Element_Stiffness!Y239,0)),IF(Element_Stiffness!$E$215=3,IF(4=Element_Stiffness!$C$215,Element_Stiffness!S245,IF(4=Element_Stiffness!$E$215,Element_Stiffness!Y245,0)),0)),0)</f>
        <v/>
      </c>
      <c r="AE26" s="21">
        <f>IF(Element_Stiffness!$C$6,IF(Element_Stiffness!$C$5=3,IF(4=Element_Stiffness!$C$5,Element_Stiffness!T29,IF(4=Element_Stiffness!$E$5,Element_Stiffness!Z29,0)),IF(Element_Stiffness!$E$5=3,IF(4=Element_Stiffness!$C$5,Element_Stiffness!T35,IF(4=Element_Stiffness!$E$5,Element_Stiffness!Z35,0)),0)),0)+IF(Element_Stiffness!$C$41,IF(Element_Stiffness!$C$40=3,IF(4=Element_Stiffness!$C$40,Element_Stiffness!T64,IF(4=Element_Stiffness!$E$40,Element_Stiffness!Z64,0)),IF(Element_Stiffness!$E$40=3,IF(4=Element_Stiffness!$C$40,Element_Stiffness!T70,IF(4=Element_Stiffness!$E$40,Element_Stiffness!Z70,0)),0)),0)+IF(Element_Stiffness!$C$76,IF(Element_Stiffness!$C$75=3,IF(4=Element_Stiffness!$C$75,Element_Stiffness!T99,IF(4=Element_Stiffness!$E$75,Element_Stiffness!Z99,0)),IF(Element_Stiffness!$E$75=3,IF(4=Element_Stiffness!$C$75,Element_Stiffness!T105,IF(4=Element_Stiffness!$E$75,Element_Stiffness!Z105,0)),0)),0)+IF(Element_Stiffness!$C$111,IF(Element_Stiffness!$C$110=3,IF(4=Element_Stiffness!$C$110,Element_Stiffness!T134,IF(4=Element_Stiffness!$E$110,Element_Stiffness!Z134,0)),IF(Element_Stiffness!$E$110=3,IF(4=Element_Stiffness!$C$110,Element_Stiffness!T140,IF(4=Element_Stiffness!$E$110,Element_Stiffness!Z140,0)),0)),0)+IF(Element_Stiffness!$C$146,IF(Element_Stiffness!$C$145=3,IF(4=Element_Stiffness!$C$145,Element_Stiffness!T169,IF(4=Element_Stiffness!$E$145,Element_Stiffness!Z169,0)),IF(Element_Stiffness!$E$145=3,IF(4=Element_Stiffness!$C$145,Element_Stiffness!T175,IF(4=Element_Stiffness!$E$145,Element_Stiffness!Z175,0)),0)),0)+IF(Element_Stiffness!$C$181,IF(Element_Stiffness!$C$180=3,IF(4=Element_Stiffness!$C$180,Element_Stiffness!T204,IF(4=Element_Stiffness!$E$180,Element_Stiffness!Z204,0)),IF(Element_Stiffness!$E$180=3,IF(4=Element_Stiffness!$C$180,Element_Stiffness!T210,IF(4=Element_Stiffness!$E$180,Element_Stiffness!Z210,0)),0)),0)+IF(Element_Stiffness!$C$216,IF(Element_Stiffness!$C$215=3,IF(4=Element_Stiffness!$C$215,Element_Stiffness!T239,IF(4=Element_Stiffness!$E$215,Element_Stiffness!Z239,0)),IF(Element_Stiffness!$E$215=3,IF(4=Element_Stiffness!$C$215,Element_Stiffness!T245,IF(4=Element_Stiffness!$E$215,Element_Stiffness!Z245,0)),0)),0)</f>
        <v/>
      </c>
      <c r="AF26" s="21">
        <f>IF(Element_Stiffness!$C$6,IF(Element_Stiffness!$C$5=3,IF(4=Element_Stiffness!$C$5,Element_Stiffness!U29,IF(4=Element_Stiffness!$E$5,Element_Stiffness!AA29,0)),IF(Element_Stiffness!$E$5=3,IF(4=Element_Stiffness!$C$5,Element_Stiffness!U35,IF(4=Element_Stiffness!$E$5,Element_Stiffness!AA35,0)),0)),0)+IF(Element_Stiffness!$C$41,IF(Element_Stiffness!$C$40=3,IF(4=Element_Stiffness!$C$40,Element_Stiffness!U64,IF(4=Element_Stiffness!$E$40,Element_Stiffness!AA64,0)),IF(Element_Stiffness!$E$40=3,IF(4=Element_Stiffness!$C$40,Element_Stiffness!U70,IF(4=Element_Stiffness!$E$40,Element_Stiffness!AA70,0)),0)),0)+IF(Element_Stiffness!$C$76,IF(Element_Stiffness!$C$75=3,IF(4=Element_Stiffness!$C$75,Element_Stiffness!U99,IF(4=Element_Stiffness!$E$75,Element_Stiffness!AA99,0)),IF(Element_Stiffness!$E$75=3,IF(4=Element_Stiffness!$C$75,Element_Stiffness!U105,IF(4=Element_Stiffness!$E$75,Element_Stiffness!AA105,0)),0)),0)+IF(Element_Stiffness!$C$111,IF(Element_Stiffness!$C$110=3,IF(4=Element_Stiffness!$C$110,Element_Stiffness!U134,IF(4=Element_Stiffness!$E$110,Element_Stiffness!AA134,0)),IF(Element_Stiffness!$E$110=3,IF(4=Element_Stiffness!$C$110,Element_Stiffness!U140,IF(4=Element_Stiffness!$E$110,Element_Stiffness!AA140,0)),0)),0)+IF(Element_Stiffness!$C$146,IF(Element_Stiffness!$C$145=3,IF(4=Element_Stiffness!$C$145,Element_Stiffness!U169,IF(4=Element_Stiffness!$E$145,Element_Stiffness!AA169,0)),IF(Element_Stiffness!$E$145=3,IF(4=Element_Stiffness!$C$145,Element_Stiffness!U175,IF(4=Element_Stiffness!$E$145,Element_Stiffness!AA175,0)),0)),0)+IF(Element_Stiffness!$C$181,IF(Element_Stiffness!$C$180=3,IF(4=Element_Stiffness!$C$180,Element_Stiffness!U204,IF(4=Element_Stiffness!$E$180,Element_Stiffness!AA204,0)),IF(Element_Stiffness!$E$180=3,IF(4=Element_Stiffness!$C$180,Element_Stiffness!U210,IF(4=Element_Stiffness!$E$180,Element_Stiffness!AA210,0)),0)),0)+IF(Element_Stiffness!$C$216,IF(Element_Stiffness!$C$215=3,IF(4=Element_Stiffness!$C$215,Element_Stiffness!U239,IF(4=Element_Stiffness!$E$215,Element_Stiffness!AA239,0)),IF(Element_Stiffness!$E$215=3,IF(4=Element_Stiffness!$C$215,Element_Stiffness!U245,IF(4=Element_Stiffness!$E$215,Element_Stiffness!AA245,0)),0)),0)</f>
        <v/>
      </c>
      <c r="AG26" s="21">
        <f>IF(Element_Stiffness!$C$6,IF(Element_Stiffness!$C$5=3,IF(5=Element_Stiffness!$C$5,Element_Stiffness!P29,IF(5=Element_Stiffness!$E$5,Element_Stiffness!V29,0)),IF(Element_Stiffness!$E$5=3,IF(5=Element_Stiffness!$C$5,Element_Stiffness!P35,IF(5=Element_Stiffness!$E$5,Element_Stiffness!V35,0)),0)),0)+IF(Element_Stiffness!$C$41,IF(Element_Stiffness!$C$40=3,IF(5=Element_Stiffness!$C$40,Element_Stiffness!P64,IF(5=Element_Stiffness!$E$40,Element_Stiffness!V64,0)),IF(Element_Stiffness!$E$40=3,IF(5=Element_Stiffness!$C$40,Element_Stiffness!P70,IF(5=Element_Stiffness!$E$40,Element_Stiffness!V70,0)),0)),0)+IF(Element_Stiffness!$C$76,IF(Element_Stiffness!$C$75=3,IF(5=Element_Stiffness!$C$75,Element_Stiffness!P99,IF(5=Element_Stiffness!$E$75,Element_Stiffness!V99,0)),IF(Element_Stiffness!$E$75=3,IF(5=Element_Stiffness!$C$75,Element_Stiffness!P105,IF(5=Element_Stiffness!$E$75,Element_Stiffness!V105,0)),0)),0)+IF(Element_Stiffness!$C$111,IF(Element_Stiffness!$C$110=3,IF(5=Element_Stiffness!$C$110,Element_Stiffness!P134,IF(5=Element_Stiffness!$E$110,Element_Stiffness!V134,0)),IF(Element_Stiffness!$E$110=3,IF(5=Element_Stiffness!$C$110,Element_Stiffness!P140,IF(5=Element_Stiffness!$E$110,Element_Stiffness!V140,0)),0)),0)+IF(Element_Stiffness!$C$146,IF(Element_Stiffness!$C$145=3,IF(5=Element_Stiffness!$C$145,Element_Stiffness!P169,IF(5=Element_Stiffness!$E$145,Element_Stiffness!V169,0)),IF(Element_Stiffness!$E$145=3,IF(5=Element_Stiffness!$C$145,Element_Stiffness!P175,IF(5=Element_Stiffness!$E$145,Element_Stiffness!V175,0)),0)),0)+IF(Element_Stiffness!$C$181,IF(Element_Stiffness!$C$180=3,IF(5=Element_Stiffness!$C$180,Element_Stiffness!P204,IF(5=Element_Stiffness!$E$180,Element_Stiffness!V204,0)),IF(Element_Stiffness!$E$180=3,IF(5=Element_Stiffness!$C$180,Element_Stiffness!P210,IF(5=Element_Stiffness!$E$180,Element_Stiffness!V210,0)),0)),0)+IF(Element_Stiffness!$C$216,IF(Element_Stiffness!$C$215=3,IF(5=Element_Stiffness!$C$215,Element_Stiffness!P239,IF(5=Element_Stiffness!$E$215,Element_Stiffness!V239,0)),IF(Element_Stiffness!$E$215=3,IF(5=Element_Stiffness!$C$215,Element_Stiffness!P245,IF(5=Element_Stiffness!$E$215,Element_Stiffness!V245,0)),0)),0)</f>
        <v/>
      </c>
      <c r="AH26" s="21">
        <f>IF(Element_Stiffness!$C$6,IF(Element_Stiffness!$C$5=3,IF(5=Element_Stiffness!$C$5,Element_Stiffness!Q29,IF(5=Element_Stiffness!$E$5,Element_Stiffness!W29,0)),IF(Element_Stiffness!$E$5=3,IF(5=Element_Stiffness!$C$5,Element_Stiffness!Q35,IF(5=Element_Stiffness!$E$5,Element_Stiffness!W35,0)),0)),0)+IF(Element_Stiffness!$C$41,IF(Element_Stiffness!$C$40=3,IF(5=Element_Stiffness!$C$40,Element_Stiffness!Q64,IF(5=Element_Stiffness!$E$40,Element_Stiffness!W64,0)),IF(Element_Stiffness!$E$40=3,IF(5=Element_Stiffness!$C$40,Element_Stiffness!Q70,IF(5=Element_Stiffness!$E$40,Element_Stiffness!W70,0)),0)),0)+IF(Element_Stiffness!$C$76,IF(Element_Stiffness!$C$75=3,IF(5=Element_Stiffness!$C$75,Element_Stiffness!Q99,IF(5=Element_Stiffness!$E$75,Element_Stiffness!W99,0)),IF(Element_Stiffness!$E$75=3,IF(5=Element_Stiffness!$C$75,Element_Stiffness!Q105,IF(5=Element_Stiffness!$E$75,Element_Stiffness!W105,0)),0)),0)+IF(Element_Stiffness!$C$111,IF(Element_Stiffness!$C$110=3,IF(5=Element_Stiffness!$C$110,Element_Stiffness!Q134,IF(5=Element_Stiffness!$E$110,Element_Stiffness!W134,0)),IF(Element_Stiffness!$E$110=3,IF(5=Element_Stiffness!$C$110,Element_Stiffness!Q140,IF(5=Element_Stiffness!$E$110,Element_Stiffness!W140,0)),0)),0)+IF(Element_Stiffness!$C$146,IF(Element_Stiffness!$C$145=3,IF(5=Element_Stiffness!$C$145,Element_Stiffness!Q169,IF(5=Element_Stiffness!$E$145,Element_Stiffness!W169,0)),IF(Element_Stiffness!$E$145=3,IF(5=Element_Stiffness!$C$145,Element_Stiffness!Q175,IF(5=Element_Stiffness!$E$145,Element_Stiffness!W175,0)),0)),0)+IF(Element_Stiffness!$C$181,IF(Element_Stiffness!$C$180=3,IF(5=Element_Stiffness!$C$180,Element_Stiffness!Q204,IF(5=Element_Stiffness!$E$180,Element_Stiffness!W204,0)),IF(Element_Stiffness!$E$180=3,IF(5=Element_Stiffness!$C$180,Element_Stiffness!Q210,IF(5=Element_Stiffness!$E$180,Element_Stiffness!W210,0)),0)),0)+IF(Element_Stiffness!$C$216,IF(Element_Stiffness!$C$215=3,IF(5=Element_Stiffness!$C$215,Element_Stiffness!Q239,IF(5=Element_Stiffness!$E$215,Element_Stiffness!W239,0)),IF(Element_Stiffness!$E$215=3,IF(5=Element_Stiffness!$C$215,Element_Stiffness!Q245,IF(5=Element_Stiffness!$E$215,Element_Stiffness!W245,0)),0)),0)</f>
        <v/>
      </c>
      <c r="AI26" s="21">
        <f>IF(Element_Stiffness!$C$6,IF(Element_Stiffness!$C$5=3,IF(5=Element_Stiffness!$C$5,Element_Stiffness!R29,IF(5=Element_Stiffness!$E$5,Element_Stiffness!X29,0)),IF(Element_Stiffness!$E$5=3,IF(5=Element_Stiffness!$C$5,Element_Stiffness!R35,IF(5=Element_Stiffness!$E$5,Element_Stiffness!X35,0)),0)),0)+IF(Element_Stiffness!$C$41,IF(Element_Stiffness!$C$40=3,IF(5=Element_Stiffness!$C$40,Element_Stiffness!R64,IF(5=Element_Stiffness!$E$40,Element_Stiffness!X64,0)),IF(Element_Stiffness!$E$40=3,IF(5=Element_Stiffness!$C$40,Element_Stiffness!R70,IF(5=Element_Stiffness!$E$40,Element_Stiffness!X70,0)),0)),0)+IF(Element_Stiffness!$C$76,IF(Element_Stiffness!$C$75=3,IF(5=Element_Stiffness!$C$75,Element_Stiffness!R99,IF(5=Element_Stiffness!$E$75,Element_Stiffness!X99,0)),IF(Element_Stiffness!$E$75=3,IF(5=Element_Stiffness!$C$75,Element_Stiffness!R105,IF(5=Element_Stiffness!$E$75,Element_Stiffness!X105,0)),0)),0)+IF(Element_Stiffness!$C$111,IF(Element_Stiffness!$C$110=3,IF(5=Element_Stiffness!$C$110,Element_Stiffness!R134,IF(5=Element_Stiffness!$E$110,Element_Stiffness!X134,0)),IF(Element_Stiffness!$E$110=3,IF(5=Element_Stiffness!$C$110,Element_Stiffness!R140,IF(5=Element_Stiffness!$E$110,Element_Stiffness!X140,0)),0)),0)+IF(Element_Stiffness!$C$146,IF(Element_Stiffness!$C$145=3,IF(5=Element_Stiffness!$C$145,Element_Stiffness!R169,IF(5=Element_Stiffness!$E$145,Element_Stiffness!X169,0)),IF(Element_Stiffness!$E$145=3,IF(5=Element_Stiffness!$C$145,Element_Stiffness!R175,IF(5=Element_Stiffness!$E$145,Element_Stiffness!X175,0)),0)),0)+IF(Element_Stiffness!$C$181,IF(Element_Stiffness!$C$180=3,IF(5=Element_Stiffness!$C$180,Element_Stiffness!R204,IF(5=Element_Stiffness!$E$180,Element_Stiffness!X204,0)),IF(Element_Stiffness!$E$180=3,IF(5=Element_Stiffness!$C$180,Element_Stiffness!R210,IF(5=Element_Stiffness!$E$180,Element_Stiffness!X210,0)),0)),0)+IF(Element_Stiffness!$C$216,IF(Element_Stiffness!$C$215=3,IF(5=Element_Stiffness!$C$215,Element_Stiffness!R239,IF(5=Element_Stiffness!$E$215,Element_Stiffness!X239,0)),IF(Element_Stiffness!$E$215=3,IF(5=Element_Stiffness!$C$215,Element_Stiffness!R245,IF(5=Element_Stiffness!$E$215,Element_Stiffness!X245,0)),0)),0)</f>
        <v/>
      </c>
      <c r="AJ26" s="21">
        <f>IF(Element_Stiffness!$C$6,IF(Element_Stiffness!$C$5=3,IF(5=Element_Stiffness!$C$5,Element_Stiffness!S29,IF(5=Element_Stiffness!$E$5,Element_Stiffness!Y29,0)),IF(Element_Stiffness!$E$5=3,IF(5=Element_Stiffness!$C$5,Element_Stiffness!S35,IF(5=Element_Stiffness!$E$5,Element_Stiffness!Y35,0)),0)),0)+IF(Element_Stiffness!$C$41,IF(Element_Stiffness!$C$40=3,IF(5=Element_Stiffness!$C$40,Element_Stiffness!S64,IF(5=Element_Stiffness!$E$40,Element_Stiffness!Y64,0)),IF(Element_Stiffness!$E$40=3,IF(5=Element_Stiffness!$C$40,Element_Stiffness!S70,IF(5=Element_Stiffness!$E$40,Element_Stiffness!Y70,0)),0)),0)+IF(Element_Stiffness!$C$76,IF(Element_Stiffness!$C$75=3,IF(5=Element_Stiffness!$C$75,Element_Stiffness!S99,IF(5=Element_Stiffness!$E$75,Element_Stiffness!Y99,0)),IF(Element_Stiffness!$E$75=3,IF(5=Element_Stiffness!$C$75,Element_Stiffness!S105,IF(5=Element_Stiffness!$E$75,Element_Stiffness!Y105,0)),0)),0)+IF(Element_Stiffness!$C$111,IF(Element_Stiffness!$C$110=3,IF(5=Element_Stiffness!$C$110,Element_Stiffness!S134,IF(5=Element_Stiffness!$E$110,Element_Stiffness!Y134,0)),IF(Element_Stiffness!$E$110=3,IF(5=Element_Stiffness!$C$110,Element_Stiffness!S140,IF(5=Element_Stiffness!$E$110,Element_Stiffness!Y140,0)),0)),0)+IF(Element_Stiffness!$C$146,IF(Element_Stiffness!$C$145=3,IF(5=Element_Stiffness!$C$145,Element_Stiffness!S169,IF(5=Element_Stiffness!$E$145,Element_Stiffness!Y169,0)),IF(Element_Stiffness!$E$145=3,IF(5=Element_Stiffness!$C$145,Element_Stiffness!S175,IF(5=Element_Stiffness!$E$145,Element_Stiffness!Y175,0)),0)),0)+IF(Element_Stiffness!$C$181,IF(Element_Stiffness!$C$180=3,IF(5=Element_Stiffness!$C$180,Element_Stiffness!S204,IF(5=Element_Stiffness!$E$180,Element_Stiffness!Y204,0)),IF(Element_Stiffness!$E$180=3,IF(5=Element_Stiffness!$C$180,Element_Stiffness!S210,IF(5=Element_Stiffness!$E$180,Element_Stiffness!Y210,0)),0)),0)+IF(Element_Stiffness!$C$216,IF(Element_Stiffness!$C$215=3,IF(5=Element_Stiffness!$C$215,Element_Stiffness!S239,IF(5=Element_Stiffness!$E$215,Element_Stiffness!Y239,0)),IF(Element_Stiffness!$E$215=3,IF(5=Element_Stiffness!$C$215,Element_Stiffness!S245,IF(5=Element_Stiffness!$E$215,Element_Stiffness!Y245,0)),0)),0)</f>
        <v/>
      </c>
      <c r="AK26" s="21">
        <f>IF(Element_Stiffness!$C$6,IF(Element_Stiffness!$C$5=3,IF(5=Element_Stiffness!$C$5,Element_Stiffness!T29,IF(5=Element_Stiffness!$E$5,Element_Stiffness!Z29,0)),IF(Element_Stiffness!$E$5=3,IF(5=Element_Stiffness!$C$5,Element_Stiffness!T35,IF(5=Element_Stiffness!$E$5,Element_Stiffness!Z35,0)),0)),0)+IF(Element_Stiffness!$C$41,IF(Element_Stiffness!$C$40=3,IF(5=Element_Stiffness!$C$40,Element_Stiffness!T64,IF(5=Element_Stiffness!$E$40,Element_Stiffness!Z64,0)),IF(Element_Stiffness!$E$40=3,IF(5=Element_Stiffness!$C$40,Element_Stiffness!T70,IF(5=Element_Stiffness!$E$40,Element_Stiffness!Z70,0)),0)),0)+IF(Element_Stiffness!$C$76,IF(Element_Stiffness!$C$75=3,IF(5=Element_Stiffness!$C$75,Element_Stiffness!T99,IF(5=Element_Stiffness!$E$75,Element_Stiffness!Z99,0)),IF(Element_Stiffness!$E$75=3,IF(5=Element_Stiffness!$C$75,Element_Stiffness!T105,IF(5=Element_Stiffness!$E$75,Element_Stiffness!Z105,0)),0)),0)+IF(Element_Stiffness!$C$111,IF(Element_Stiffness!$C$110=3,IF(5=Element_Stiffness!$C$110,Element_Stiffness!T134,IF(5=Element_Stiffness!$E$110,Element_Stiffness!Z134,0)),IF(Element_Stiffness!$E$110=3,IF(5=Element_Stiffness!$C$110,Element_Stiffness!T140,IF(5=Element_Stiffness!$E$110,Element_Stiffness!Z140,0)),0)),0)+IF(Element_Stiffness!$C$146,IF(Element_Stiffness!$C$145=3,IF(5=Element_Stiffness!$C$145,Element_Stiffness!T169,IF(5=Element_Stiffness!$E$145,Element_Stiffness!Z169,0)),IF(Element_Stiffness!$E$145=3,IF(5=Element_Stiffness!$C$145,Element_Stiffness!T175,IF(5=Element_Stiffness!$E$145,Element_Stiffness!Z175,0)),0)),0)+IF(Element_Stiffness!$C$181,IF(Element_Stiffness!$C$180=3,IF(5=Element_Stiffness!$C$180,Element_Stiffness!T204,IF(5=Element_Stiffness!$E$180,Element_Stiffness!Z204,0)),IF(Element_Stiffness!$E$180=3,IF(5=Element_Stiffness!$C$180,Element_Stiffness!T210,IF(5=Element_Stiffness!$E$180,Element_Stiffness!Z210,0)),0)),0)+IF(Element_Stiffness!$C$216,IF(Element_Stiffness!$C$215=3,IF(5=Element_Stiffness!$C$215,Element_Stiffness!T239,IF(5=Element_Stiffness!$E$215,Element_Stiffness!Z239,0)),IF(Element_Stiffness!$E$215=3,IF(5=Element_Stiffness!$C$215,Element_Stiffness!T245,IF(5=Element_Stiffness!$E$215,Element_Stiffness!Z245,0)),0)),0)</f>
        <v/>
      </c>
      <c r="AL26" s="21">
        <f>IF(Element_Stiffness!$C$6,IF(Element_Stiffness!$C$5=3,IF(5=Element_Stiffness!$C$5,Element_Stiffness!U29,IF(5=Element_Stiffness!$E$5,Element_Stiffness!AA29,0)),IF(Element_Stiffness!$E$5=3,IF(5=Element_Stiffness!$C$5,Element_Stiffness!U35,IF(5=Element_Stiffness!$E$5,Element_Stiffness!AA35,0)),0)),0)+IF(Element_Stiffness!$C$41,IF(Element_Stiffness!$C$40=3,IF(5=Element_Stiffness!$C$40,Element_Stiffness!U64,IF(5=Element_Stiffness!$E$40,Element_Stiffness!AA64,0)),IF(Element_Stiffness!$E$40=3,IF(5=Element_Stiffness!$C$40,Element_Stiffness!U70,IF(5=Element_Stiffness!$E$40,Element_Stiffness!AA70,0)),0)),0)+IF(Element_Stiffness!$C$76,IF(Element_Stiffness!$C$75=3,IF(5=Element_Stiffness!$C$75,Element_Stiffness!U99,IF(5=Element_Stiffness!$E$75,Element_Stiffness!AA99,0)),IF(Element_Stiffness!$E$75=3,IF(5=Element_Stiffness!$C$75,Element_Stiffness!U105,IF(5=Element_Stiffness!$E$75,Element_Stiffness!AA105,0)),0)),0)+IF(Element_Stiffness!$C$111,IF(Element_Stiffness!$C$110=3,IF(5=Element_Stiffness!$C$110,Element_Stiffness!U134,IF(5=Element_Stiffness!$E$110,Element_Stiffness!AA134,0)),IF(Element_Stiffness!$E$110=3,IF(5=Element_Stiffness!$C$110,Element_Stiffness!U140,IF(5=Element_Stiffness!$E$110,Element_Stiffness!AA140,0)),0)),0)+IF(Element_Stiffness!$C$146,IF(Element_Stiffness!$C$145=3,IF(5=Element_Stiffness!$C$145,Element_Stiffness!U169,IF(5=Element_Stiffness!$E$145,Element_Stiffness!AA169,0)),IF(Element_Stiffness!$E$145=3,IF(5=Element_Stiffness!$C$145,Element_Stiffness!U175,IF(5=Element_Stiffness!$E$145,Element_Stiffness!AA175,0)),0)),0)+IF(Element_Stiffness!$C$181,IF(Element_Stiffness!$C$180=3,IF(5=Element_Stiffness!$C$180,Element_Stiffness!U204,IF(5=Element_Stiffness!$E$180,Element_Stiffness!AA204,0)),IF(Element_Stiffness!$E$180=3,IF(5=Element_Stiffness!$C$180,Element_Stiffness!U210,IF(5=Element_Stiffness!$E$180,Element_Stiffness!AA210,0)),0)),0)+IF(Element_Stiffness!$C$216,IF(Element_Stiffness!$C$215=3,IF(5=Element_Stiffness!$C$215,Element_Stiffness!U239,IF(5=Element_Stiffness!$E$215,Element_Stiffness!AA239,0)),IF(Element_Stiffness!$E$215=3,IF(5=Element_Stiffness!$C$215,Element_Stiffness!U245,IF(5=Element_Stiffness!$E$215,Element_Stiffness!AA245,0)),0)),0)</f>
        <v/>
      </c>
      <c r="AM26" s="21">
        <f>IF(Element_Stiffness!$C$6,IF(Element_Stiffness!$C$5=3,IF(6=Element_Stiffness!$C$5,Element_Stiffness!P29,IF(6=Element_Stiffness!$E$5,Element_Stiffness!V29,0)),IF(Element_Stiffness!$E$5=3,IF(6=Element_Stiffness!$C$5,Element_Stiffness!P35,IF(6=Element_Stiffness!$E$5,Element_Stiffness!V35,0)),0)),0)+IF(Element_Stiffness!$C$41,IF(Element_Stiffness!$C$40=3,IF(6=Element_Stiffness!$C$40,Element_Stiffness!P64,IF(6=Element_Stiffness!$E$40,Element_Stiffness!V64,0)),IF(Element_Stiffness!$E$40=3,IF(6=Element_Stiffness!$C$40,Element_Stiffness!P70,IF(6=Element_Stiffness!$E$40,Element_Stiffness!V70,0)),0)),0)+IF(Element_Stiffness!$C$76,IF(Element_Stiffness!$C$75=3,IF(6=Element_Stiffness!$C$75,Element_Stiffness!P99,IF(6=Element_Stiffness!$E$75,Element_Stiffness!V99,0)),IF(Element_Stiffness!$E$75=3,IF(6=Element_Stiffness!$C$75,Element_Stiffness!P105,IF(6=Element_Stiffness!$E$75,Element_Stiffness!V105,0)),0)),0)+IF(Element_Stiffness!$C$111,IF(Element_Stiffness!$C$110=3,IF(6=Element_Stiffness!$C$110,Element_Stiffness!P134,IF(6=Element_Stiffness!$E$110,Element_Stiffness!V134,0)),IF(Element_Stiffness!$E$110=3,IF(6=Element_Stiffness!$C$110,Element_Stiffness!P140,IF(6=Element_Stiffness!$E$110,Element_Stiffness!V140,0)),0)),0)+IF(Element_Stiffness!$C$146,IF(Element_Stiffness!$C$145=3,IF(6=Element_Stiffness!$C$145,Element_Stiffness!P169,IF(6=Element_Stiffness!$E$145,Element_Stiffness!V169,0)),IF(Element_Stiffness!$E$145=3,IF(6=Element_Stiffness!$C$145,Element_Stiffness!P175,IF(6=Element_Stiffness!$E$145,Element_Stiffness!V175,0)),0)),0)+IF(Element_Stiffness!$C$181,IF(Element_Stiffness!$C$180=3,IF(6=Element_Stiffness!$C$180,Element_Stiffness!P204,IF(6=Element_Stiffness!$E$180,Element_Stiffness!V204,0)),IF(Element_Stiffness!$E$180=3,IF(6=Element_Stiffness!$C$180,Element_Stiffness!P210,IF(6=Element_Stiffness!$E$180,Element_Stiffness!V210,0)),0)),0)+IF(Element_Stiffness!$C$216,IF(Element_Stiffness!$C$215=3,IF(6=Element_Stiffness!$C$215,Element_Stiffness!P239,IF(6=Element_Stiffness!$E$215,Element_Stiffness!V239,0)),IF(Element_Stiffness!$E$215=3,IF(6=Element_Stiffness!$C$215,Element_Stiffness!P245,IF(6=Element_Stiffness!$E$215,Element_Stiffness!V245,0)),0)),0)</f>
        <v/>
      </c>
      <c r="AN26" s="21">
        <f>IF(Element_Stiffness!$C$6,IF(Element_Stiffness!$C$5=3,IF(6=Element_Stiffness!$C$5,Element_Stiffness!Q29,IF(6=Element_Stiffness!$E$5,Element_Stiffness!W29,0)),IF(Element_Stiffness!$E$5=3,IF(6=Element_Stiffness!$C$5,Element_Stiffness!Q35,IF(6=Element_Stiffness!$E$5,Element_Stiffness!W35,0)),0)),0)+IF(Element_Stiffness!$C$41,IF(Element_Stiffness!$C$40=3,IF(6=Element_Stiffness!$C$40,Element_Stiffness!Q64,IF(6=Element_Stiffness!$E$40,Element_Stiffness!W64,0)),IF(Element_Stiffness!$E$40=3,IF(6=Element_Stiffness!$C$40,Element_Stiffness!Q70,IF(6=Element_Stiffness!$E$40,Element_Stiffness!W70,0)),0)),0)+IF(Element_Stiffness!$C$76,IF(Element_Stiffness!$C$75=3,IF(6=Element_Stiffness!$C$75,Element_Stiffness!Q99,IF(6=Element_Stiffness!$E$75,Element_Stiffness!W99,0)),IF(Element_Stiffness!$E$75=3,IF(6=Element_Stiffness!$C$75,Element_Stiffness!Q105,IF(6=Element_Stiffness!$E$75,Element_Stiffness!W105,0)),0)),0)+IF(Element_Stiffness!$C$111,IF(Element_Stiffness!$C$110=3,IF(6=Element_Stiffness!$C$110,Element_Stiffness!Q134,IF(6=Element_Stiffness!$E$110,Element_Stiffness!W134,0)),IF(Element_Stiffness!$E$110=3,IF(6=Element_Stiffness!$C$110,Element_Stiffness!Q140,IF(6=Element_Stiffness!$E$110,Element_Stiffness!W140,0)),0)),0)+IF(Element_Stiffness!$C$146,IF(Element_Stiffness!$C$145=3,IF(6=Element_Stiffness!$C$145,Element_Stiffness!Q169,IF(6=Element_Stiffness!$E$145,Element_Stiffness!W169,0)),IF(Element_Stiffness!$E$145=3,IF(6=Element_Stiffness!$C$145,Element_Stiffness!Q175,IF(6=Element_Stiffness!$E$145,Element_Stiffness!W175,0)),0)),0)+IF(Element_Stiffness!$C$181,IF(Element_Stiffness!$C$180=3,IF(6=Element_Stiffness!$C$180,Element_Stiffness!Q204,IF(6=Element_Stiffness!$E$180,Element_Stiffness!W204,0)),IF(Element_Stiffness!$E$180=3,IF(6=Element_Stiffness!$C$180,Element_Stiffness!Q210,IF(6=Element_Stiffness!$E$180,Element_Stiffness!W210,0)),0)),0)+IF(Element_Stiffness!$C$216,IF(Element_Stiffness!$C$215=3,IF(6=Element_Stiffness!$C$215,Element_Stiffness!Q239,IF(6=Element_Stiffness!$E$215,Element_Stiffness!W239,0)),IF(Element_Stiffness!$E$215=3,IF(6=Element_Stiffness!$C$215,Element_Stiffness!Q245,IF(6=Element_Stiffness!$E$215,Element_Stiffness!W245,0)),0)),0)</f>
        <v/>
      </c>
      <c r="AO26" s="21">
        <f>IF(Element_Stiffness!$C$6,IF(Element_Stiffness!$C$5=3,IF(6=Element_Stiffness!$C$5,Element_Stiffness!R29,IF(6=Element_Stiffness!$E$5,Element_Stiffness!X29,0)),IF(Element_Stiffness!$E$5=3,IF(6=Element_Stiffness!$C$5,Element_Stiffness!R35,IF(6=Element_Stiffness!$E$5,Element_Stiffness!X35,0)),0)),0)+IF(Element_Stiffness!$C$41,IF(Element_Stiffness!$C$40=3,IF(6=Element_Stiffness!$C$40,Element_Stiffness!R64,IF(6=Element_Stiffness!$E$40,Element_Stiffness!X64,0)),IF(Element_Stiffness!$E$40=3,IF(6=Element_Stiffness!$C$40,Element_Stiffness!R70,IF(6=Element_Stiffness!$E$40,Element_Stiffness!X70,0)),0)),0)+IF(Element_Stiffness!$C$76,IF(Element_Stiffness!$C$75=3,IF(6=Element_Stiffness!$C$75,Element_Stiffness!R99,IF(6=Element_Stiffness!$E$75,Element_Stiffness!X99,0)),IF(Element_Stiffness!$E$75=3,IF(6=Element_Stiffness!$C$75,Element_Stiffness!R105,IF(6=Element_Stiffness!$E$75,Element_Stiffness!X105,0)),0)),0)+IF(Element_Stiffness!$C$111,IF(Element_Stiffness!$C$110=3,IF(6=Element_Stiffness!$C$110,Element_Stiffness!R134,IF(6=Element_Stiffness!$E$110,Element_Stiffness!X134,0)),IF(Element_Stiffness!$E$110=3,IF(6=Element_Stiffness!$C$110,Element_Stiffness!R140,IF(6=Element_Stiffness!$E$110,Element_Stiffness!X140,0)),0)),0)+IF(Element_Stiffness!$C$146,IF(Element_Stiffness!$C$145=3,IF(6=Element_Stiffness!$C$145,Element_Stiffness!R169,IF(6=Element_Stiffness!$E$145,Element_Stiffness!X169,0)),IF(Element_Stiffness!$E$145=3,IF(6=Element_Stiffness!$C$145,Element_Stiffness!R175,IF(6=Element_Stiffness!$E$145,Element_Stiffness!X175,0)),0)),0)+IF(Element_Stiffness!$C$181,IF(Element_Stiffness!$C$180=3,IF(6=Element_Stiffness!$C$180,Element_Stiffness!R204,IF(6=Element_Stiffness!$E$180,Element_Stiffness!X204,0)),IF(Element_Stiffness!$E$180=3,IF(6=Element_Stiffness!$C$180,Element_Stiffness!R210,IF(6=Element_Stiffness!$E$180,Element_Stiffness!X210,0)),0)),0)+IF(Element_Stiffness!$C$216,IF(Element_Stiffness!$C$215=3,IF(6=Element_Stiffness!$C$215,Element_Stiffness!R239,IF(6=Element_Stiffness!$E$215,Element_Stiffness!X239,0)),IF(Element_Stiffness!$E$215=3,IF(6=Element_Stiffness!$C$215,Element_Stiffness!R245,IF(6=Element_Stiffness!$E$215,Element_Stiffness!X245,0)),0)),0)</f>
        <v/>
      </c>
      <c r="AP26" s="21">
        <f>IF(Element_Stiffness!$C$6,IF(Element_Stiffness!$C$5=3,IF(6=Element_Stiffness!$C$5,Element_Stiffness!S29,IF(6=Element_Stiffness!$E$5,Element_Stiffness!Y29,0)),IF(Element_Stiffness!$E$5=3,IF(6=Element_Stiffness!$C$5,Element_Stiffness!S35,IF(6=Element_Stiffness!$E$5,Element_Stiffness!Y35,0)),0)),0)+IF(Element_Stiffness!$C$41,IF(Element_Stiffness!$C$40=3,IF(6=Element_Stiffness!$C$40,Element_Stiffness!S64,IF(6=Element_Stiffness!$E$40,Element_Stiffness!Y64,0)),IF(Element_Stiffness!$E$40=3,IF(6=Element_Stiffness!$C$40,Element_Stiffness!S70,IF(6=Element_Stiffness!$E$40,Element_Stiffness!Y70,0)),0)),0)+IF(Element_Stiffness!$C$76,IF(Element_Stiffness!$C$75=3,IF(6=Element_Stiffness!$C$75,Element_Stiffness!S99,IF(6=Element_Stiffness!$E$75,Element_Stiffness!Y99,0)),IF(Element_Stiffness!$E$75=3,IF(6=Element_Stiffness!$C$75,Element_Stiffness!S105,IF(6=Element_Stiffness!$E$75,Element_Stiffness!Y105,0)),0)),0)+IF(Element_Stiffness!$C$111,IF(Element_Stiffness!$C$110=3,IF(6=Element_Stiffness!$C$110,Element_Stiffness!S134,IF(6=Element_Stiffness!$E$110,Element_Stiffness!Y134,0)),IF(Element_Stiffness!$E$110=3,IF(6=Element_Stiffness!$C$110,Element_Stiffness!S140,IF(6=Element_Stiffness!$E$110,Element_Stiffness!Y140,0)),0)),0)+IF(Element_Stiffness!$C$146,IF(Element_Stiffness!$C$145=3,IF(6=Element_Stiffness!$C$145,Element_Stiffness!S169,IF(6=Element_Stiffness!$E$145,Element_Stiffness!Y169,0)),IF(Element_Stiffness!$E$145=3,IF(6=Element_Stiffness!$C$145,Element_Stiffness!S175,IF(6=Element_Stiffness!$E$145,Element_Stiffness!Y175,0)),0)),0)+IF(Element_Stiffness!$C$181,IF(Element_Stiffness!$C$180=3,IF(6=Element_Stiffness!$C$180,Element_Stiffness!S204,IF(6=Element_Stiffness!$E$180,Element_Stiffness!Y204,0)),IF(Element_Stiffness!$E$180=3,IF(6=Element_Stiffness!$C$180,Element_Stiffness!S210,IF(6=Element_Stiffness!$E$180,Element_Stiffness!Y210,0)),0)),0)+IF(Element_Stiffness!$C$216,IF(Element_Stiffness!$C$215=3,IF(6=Element_Stiffness!$C$215,Element_Stiffness!S239,IF(6=Element_Stiffness!$E$215,Element_Stiffness!Y239,0)),IF(Element_Stiffness!$E$215=3,IF(6=Element_Stiffness!$C$215,Element_Stiffness!S245,IF(6=Element_Stiffness!$E$215,Element_Stiffness!Y245,0)),0)),0)</f>
        <v/>
      </c>
      <c r="AQ26" s="21">
        <f>IF(Element_Stiffness!$C$6,IF(Element_Stiffness!$C$5=3,IF(6=Element_Stiffness!$C$5,Element_Stiffness!T29,IF(6=Element_Stiffness!$E$5,Element_Stiffness!Z29,0)),IF(Element_Stiffness!$E$5=3,IF(6=Element_Stiffness!$C$5,Element_Stiffness!T35,IF(6=Element_Stiffness!$E$5,Element_Stiffness!Z35,0)),0)),0)+IF(Element_Stiffness!$C$41,IF(Element_Stiffness!$C$40=3,IF(6=Element_Stiffness!$C$40,Element_Stiffness!T64,IF(6=Element_Stiffness!$E$40,Element_Stiffness!Z64,0)),IF(Element_Stiffness!$E$40=3,IF(6=Element_Stiffness!$C$40,Element_Stiffness!T70,IF(6=Element_Stiffness!$E$40,Element_Stiffness!Z70,0)),0)),0)+IF(Element_Stiffness!$C$76,IF(Element_Stiffness!$C$75=3,IF(6=Element_Stiffness!$C$75,Element_Stiffness!T99,IF(6=Element_Stiffness!$E$75,Element_Stiffness!Z99,0)),IF(Element_Stiffness!$E$75=3,IF(6=Element_Stiffness!$C$75,Element_Stiffness!T105,IF(6=Element_Stiffness!$E$75,Element_Stiffness!Z105,0)),0)),0)+IF(Element_Stiffness!$C$111,IF(Element_Stiffness!$C$110=3,IF(6=Element_Stiffness!$C$110,Element_Stiffness!T134,IF(6=Element_Stiffness!$E$110,Element_Stiffness!Z134,0)),IF(Element_Stiffness!$E$110=3,IF(6=Element_Stiffness!$C$110,Element_Stiffness!T140,IF(6=Element_Stiffness!$E$110,Element_Stiffness!Z140,0)),0)),0)+IF(Element_Stiffness!$C$146,IF(Element_Stiffness!$C$145=3,IF(6=Element_Stiffness!$C$145,Element_Stiffness!T169,IF(6=Element_Stiffness!$E$145,Element_Stiffness!Z169,0)),IF(Element_Stiffness!$E$145=3,IF(6=Element_Stiffness!$C$145,Element_Stiffness!T175,IF(6=Element_Stiffness!$E$145,Element_Stiffness!Z175,0)),0)),0)+IF(Element_Stiffness!$C$181,IF(Element_Stiffness!$C$180=3,IF(6=Element_Stiffness!$C$180,Element_Stiffness!T204,IF(6=Element_Stiffness!$E$180,Element_Stiffness!Z204,0)),IF(Element_Stiffness!$E$180=3,IF(6=Element_Stiffness!$C$180,Element_Stiffness!T210,IF(6=Element_Stiffness!$E$180,Element_Stiffness!Z210,0)),0)),0)+IF(Element_Stiffness!$C$216,IF(Element_Stiffness!$C$215=3,IF(6=Element_Stiffness!$C$215,Element_Stiffness!T239,IF(6=Element_Stiffness!$E$215,Element_Stiffness!Z239,0)),IF(Element_Stiffness!$E$215=3,IF(6=Element_Stiffness!$C$215,Element_Stiffness!T245,IF(6=Element_Stiffness!$E$215,Element_Stiffness!Z245,0)),0)),0)</f>
        <v/>
      </c>
      <c r="AR26" s="21">
        <f>IF(Element_Stiffness!$C$6,IF(Element_Stiffness!$C$5=3,IF(6=Element_Stiffness!$C$5,Element_Stiffness!U29,IF(6=Element_Stiffness!$E$5,Element_Stiffness!AA29,0)),IF(Element_Stiffness!$E$5=3,IF(6=Element_Stiffness!$C$5,Element_Stiffness!U35,IF(6=Element_Stiffness!$E$5,Element_Stiffness!AA35,0)),0)),0)+IF(Element_Stiffness!$C$41,IF(Element_Stiffness!$C$40=3,IF(6=Element_Stiffness!$C$40,Element_Stiffness!U64,IF(6=Element_Stiffness!$E$40,Element_Stiffness!AA64,0)),IF(Element_Stiffness!$E$40=3,IF(6=Element_Stiffness!$C$40,Element_Stiffness!U70,IF(6=Element_Stiffness!$E$40,Element_Stiffness!AA70,0)),0)),0)+IF(Element_Stiffness!$C$76,IF(Element_Stiffness!$C$75=3,IF(6=Element_Stiffness!$C$75,Element_Stiffness!U99,IF(6=Element_Stiffness!$E$75,Element_Stiffness!AA99,0)),IF(Element_Stiffness!$E$75=3,IF(6=Element_Stiffness!$C$75,Element_Stiffness!U105,IF(6=Element_Stiffness!$E$75,Element_Stiffness!AA105,0)),0)),0)+IF(Element_Stiffness!$C$111,IF(Element_Stiffness!$C$110=3,IF(6=Element_Stiffness!$C$110,Element_Stiffness!U134,IF(6=Element_Stiffness!$E$110,Element_Stiffness!AA134,0)),IF(Element_Stiffness!$E$110=3,IF(6=Element_Stiffness!$C$110,Element_Stiffness!U140,IF(6=Element_Stiffness!$E$110,Element_Stiffness!AA140,0)),0)),0)+IF(Element_Stiffness!$C$146,IF(Element_Stiffness!$C$145=3,IF(6=Element_Stiffness!$C$145,Element_Stiffness!U169,IF(6=Element_Stiffness!$E$145,Element_Stiffness!AA169,0)),IF(Element_Stiffness!$E$145=3,IF(6=Element_Stiffness!$C$145,Element_Stiffness!U175,IF(6=Element_Stiffness!$E$145,Element_Stiffness!AA175,0)),0)),0)+IF(Element_Stiffness!$C$181,IF(Element_Stiffness!$C$180=3,IF(6=Element_Stiffness!$C$180,Element_Stiffness!U204,IF(6=Element_Stiffness!$E$180,Element_Stiffness!AA204,0)),IF(Element_Stiffness!$E$180=3,IF(6=Element_Stiffness!$C$180,Element_Stiffness!U210,IF(6=Element_Stiffness!$E$180,Element_Stiffness!AA210,0)),0)),0)+IF(Element_Stiffness!$C$216,IF(Element_Stiffness!$C$215=3,IF(6=Element_Stiffness!$C$215,Element_Stiffness!U239,IF(6=Element_Stiffness!$E$215,Element_Stiffness!AA239,0)),IF(Element_Stiffness!$E$215=3,IF(6=Element_Stiffness!$C$215,Element_Stiffness!U245,IF(6=Element_Stiffness!$E$215,Element_Stiffness!AA245,0)),0)),0)</f>
        <v/>
      </c>
      <c r="AS26" s="21">
        <f>IF(Element_Stiffness!$C$6,IF(Element_Stiffness!$C$5=3,IF(7=Element_Stiffness!$C$5,Element_Stiffness!P29,IF(7=Element_Stiffness!$E$5,Element_Stiffness!V29,0)),IF(Element_Stiffness!$E$5=3,IF(7=Element_Stiffness!$C$5,Element_Stiffness!P35,IF(7=Element_Stiffness!$E$5,Element_Stiffness!V35,0)),0)),0)+IF(Element_Stiffness!$C$41,IF(Element_Stiffness!$C$40=3,IF(7=Element_Stiffness!$C$40,Element_Stiffness!P64,IF(7=Element_Stiffness!$E$40,Element_Stiffness!V64,0)),IF(Element_Stiffness!$E$40=3,IF(7=Element_Stiffness!$C$40,Element_Stiffness!P70,IF(7=Element_Stiffness!$E$40,Element_Stiffness!V70,0)),0)),0)+IF(Element_Stiffness!$C$76,IF(Element_Stiffness!$C$75=3,IF(7=Element_Stiffness!$C$75,Element_Stiffness!P99,IF(7=Element_Stiffness!$E$75,Element_Stiffness!V99,0)),IF(Element_Stiffness!$E$75=3,IF(7=Element_Stiffness!$C$75,Element_Stiffness!P105,IF(7=Element_Stiffness!$E$75,Element_Stiffness!V105,0)),0)),0)+IF(Element_Stiffness!$C$111,IF(Element_Stiffness!$C$110=3,IF(7=Element_Stiffness!$C$110,Element_Stiffness!P134,IF(7=Element_Stiffness!$E$110,Element_Stiffness!V134,0)),IF(Element_Stiffness!$E$110=3,IF(7=Element_Stiffness!$C$110,Element_Stiffness!P140,IF(7=Element_Stiffness!$E$110,Element_Stiffness!V140,0)),0)),0)+IF(Element_Stiffness!$C$146,IF(Element_Stiffness!$C$145=3,IF(7=Element_Stiffness!$C$145,Element_Stiffness!P169,IF(7=Element_Stiffness!$E$145,Element_Stiffness!V169,0)),IF(Element_Stiffness!$E$145=3,IF(7=Element_Stiffness!$C$145,Element_Stiffness!P175,IF(7=Element_Stiffness!$E$145,Element_Stiffness!V175,0)),0)),0)+IF(Element_Stiffness!$C$181,IF(Element_Stiffness!$C$180=3,IF(7=Element_Stiffness!$C$180,Element_Stiffness!P204,IF(7=Element_Stiffness!$E$180,Element_Stiffness!V204,0)),IF(Element_Stiffness!$E$180=3,IF(7=Element_Stiffness!$C$180,Element_Stiffness!P210,IF(7=Element_Stiffness!$E$180,Element_Stiffness!V210,0)),0)),0)+IF(Element_Stiffness!$C$216,IF(Element_Stiffness!$C$215=3,IF(7=Element_Stiffness!$C$215,Element_Stiffness!P239,IF(7=Element_Stiffness!$E$215,Element_Stiffness!V239,0)),IF(Element_Stiffness!$E$215=3,IF(7=Element_Stiffness!$C$215,Element_Stiffness!P245,IF(7=Element_Stiffness!$E$215,Element_Stiffness!V245,0)),0)),0)</f>
        <v/>
      </c>
      <c r="AT26" s="21">
        <f>IF(Element_Stiffness!$C$6,IF(Element_Stiffness!$C$5=3,IF(7=Element_Stiffness!$C$5,Element_Stiffness!Q29,IF(7=Element_Stiffness!$E$5,Element_Stiffness!W29,0)),IF(Element_Stiffness!$E$5=3,IF(7=Element_Stiffness!$C$5,Element_Stiffness!Q35,IF(7=Element_Stiffness!$E$5,Element_Stiffness!W35,0)),0)),0)+IF(Element_Stiffness!$C$41,IF(Element_Stiffness!$C$40=3,IF(7=Element_Stiffness!$C$40,Element_Stiffness!Q64,IF(7=Element_Stiffness!$E$40,Element_Stiffness!W64,0)),IF(Element_Stiffness!$E$40=3,IF(7=Element_Stiffness!$C$40,Element_Stiffness!Q70,IF(7=Element_Stiffness!$E$40,Element_Stiffness!W70,0)),0)),0)+IF(Element_Stiffness!$C$76,IF(Element_Stiffness!$C$75=3,IF(7=Element_Stiffness!$C$75,Element_Stiffness!Q99,IF(7=Element_Stiffness!$E$75,Element_Stiffness!W99,0)),IF(Element_Stiffness!$E$75=3,IF(7=Element_Stiffness!$C$75,Element_Stiffness!Q105,IF(7=Element_Stiffness!$E$75,Element_Stiffness!W105,0)),0)),0)+IF(Element_Stiffness!$C$111,IF(Element_Stiffness!$C$110=3,IF(7=Element_Stiffness!$C$110,Element_Stiffness!Q134,IF(7=Element_Stiffness!$E$110,Element_Stiffness!W134,0)),IF(Element_Stiffness!$E$110=3,IF(7=Element_Stiffness!$C$110,Element_Stiffness!Q140,IF(7=Element_Stiffness!$E$110,Element_Stiffness!W140,0)),0)),0)+IF(Element_Stiffness!$C$146,IF(Element_Stiffness!$C$145=3,IF(7=Element_Stiffness!$C$145,Element_Stiffness!Q169,IF(7=Element_Stiffness!$E$145,Element_Stiffness!W169,0)),IF(Element_Stiffness!$E$145=3,IF(7=Element_Stiffness!$C$145,Element_Stiffness!Q175,IF(7=Element_Stiffness!$E$145,Element_Stiffness!W175,0)),0)),0)+IF(Element_Stiffness!$C$181,IF(Element_Stiffness!$C$180=3,IF(7=Element_Stiffness!$C$180,Element_Stiffness!Q204,IF(7=Element_Stiffness!$E$180,Element_Stiffness!W204,0)),IF(Element_Stiffness!$E$180=3,IF(7=Element_Stiffness!$C$180,Element_Stiffness!Q210,IF(7=Element_Stiffness!$E$180,Element_Stiffness!W210,0)),0)),0)+IF(Element_Stiffness!$C$216,IF(Element_Stiffness!$C$215=3,IF(7=Element_Stiffness!$C$215,Element_Stiffness!Q239,IF(7=Element_Stiffness!$E$215,Element_Stiffness!W239,0)),IF(Element_Stiffness!$E$215=3,IF(7=Element_Stiffness!$C$215,Element_Stiffness!Q245,IF(7=Element_Stiffness!$E$215,Element_Stiffness!W245,0)),0)),0)</f>
        <v/>
      </c>
      <c r="AU26" s="21">
        <f>IF(Element_Stiffness!$C$6,IF(Element_Stiffness!$C$5=3,IF(7=Element_Stiffness!$C$5,Element_Stiffness!R29,IF(7=Element_Stiffness!$E$5,Element_Stiffness!X29,0)),IF(Element_Stiffness!$E$5=3,IF(7=Element_Stiffness!$C$5,Element_Stiffness!R35,IF(7=Element_Stiffness!$E$5,Element_Stiffness!X35,0)),0)),0)+IF(Element_Stiffness!$C$41,IF(Element_Stiffness!$C$40=3,IF(7=Element_Stiffness!$C$40,Element_Stiffness!R64,IF(7=Element_Stiffness!$E$40,Element_Stiffness!X64,0)),IF(Element_Stiffness!$E$40=3,IF(7=Element_Stiffness!$C$40,Element_Stiffness!R70,IF(7=Element_Stiffness!$E$40,Element_Stiffness!X70,0)),0)),0)+IF(Element_Stiffness!$C$76,IF(Element_Stiffness!$C$75=3,IF(7=Element_Stiffness!$C$75,Element_Stiffness!R99,IF(7=Element_Stiffness!$E$75,Element_Stiffness!X99,0)),IF(Element_Stiffness!$E$75=3,IF(7=Element_Stiffness!$C$75,Element_Stiffness!R105,IF(7=Element_Stiffness!$E$75,Element_Stiffness!X105,0)),0)),0)+IF(Element_Stiffness!$C$111,IF(Element_Stiffness!$C$110=3,IF(7=Element_Stiffness!$C$110,Element_Stiffness!R134,IF(7=Element_Stiffness!$E$110,Element_Stiffness!X134,0)),IF(Element_Stiffness!$E$110=3,IF(7=Element_Stiffness!$C$110,Element_Stiffness!R140,IF(7=Element_Stiffness!$E$110,Element_Stiffness!X140,0)),0)),0)+IF(Element_Stiffness!$C$146,IF(Element_Stiffness!$C$145=3,IF(7=Element_Stiffness!$C$145,Element_Stiffness!R169,IF(7=Element_Stiffness!$E$145,Element_Stiffness!X169,0)),IF(Element_Stiffness!$E$145=3,IF(7=Element_Stiffness!$C$145,Element_Stiffness!R175,IF(7=Element_Stiffness!$E$145,Element_Stiffness!X175,0)),0)),0)+IF(Element_Stiffness!$C$181,IF(Element_Stiffness!$C$180=3,IF(7=Element_Stiffness!$C$180,Element_Stiffness!R204,IF(7=Element_Stiffness!$E$180,Element_Stiffness!X204,0)),IF(Element_Stiffness!$E$180=3,IF(7=Element_Stiffness!$C$180,Element_Stiffness!R210,IF(7=Element_Stiffness!$E$180,Element_Stiffness!X210,0)),0)),0)+IF(Element_Stiffness!$C$216,IF(Element_Stiffness!$C$215=3,IF(7=Element_Stiffness!$C$215,Element_Stiffness!R239,IF(7=Element_Stiffness!$E$215,Element_Stiffness!X239,0)),IF(Element_Stiffness!$E$215=3,IF(7=Element_Stiffness!$C$215,Element_Stiffness!R245,IF(7=Element_Stiffness!$E$215,Element_Stiffness!X245,0)),0)),0)</f>
        <v/>
      </c>
      <c r="AV26" s="21">
        <f>IF(Element_Stiffness!$C$6,IF(Element_Stiffness!$C$5=3,IF(7=Element_Stiffness!$C$5,Element_Stiffness!S29,IF(7=Element_Stiffness!$E$5,Element_Stiffness!Y29,0)),IF(Element_Stiffness!$E$5=3,IF(7=Element_Stiffness!$C$5,Element_Stiffness!S35,IF(7=Element_Stiffness!$E$5,Element_Stiffness!Y35,0)),0)),0)+IF(Element_Stiffness!$C$41,IF(Element_Stiffness!$C$40=3,IF(7=Element_Stiffness!$C$40,Element_Stiffness!S64,IF(7=Element_Stiffness!$E$40,Element_Stiffness!Y64,0)),IF(Element_Stiffness!$E$40=3,IF(7=Element_Stiffness!$C$40,Element_Stiffness!S70,IF(7=Element_Stiffness!$E$40,Element_Stiffness!Y70,0)),0)),0)+IF(Element_Stiffness!$C$76,IF(Element_Stiffness!$C$75=3,IF(7=Element_Stiffness!$C$75,Element_Stiffness!S99,IF(7=Element_Stiffness!$E$75,Element_Stiffness!Y99,0)),IF(Element_Stiffness!$E$75=3,IF(7=Element_Stiffness!$C$75,Element_Stiffness!S105,IF(7=Element_Stiffness!$E$75,Element_Stiffness!Y105,0)),0)),0)+IF(Element_Stiffness!$C$111,IF(Element_Stiffness!$C$110=3,IF(7=Element_Stiffness!$C$110,Element_Stiffness!S134,IF(7=Element_Stiffness!$E$110,Element_Stiffness!Y134,0)),IF(Element_Stiffness!$E$110=3,IF(7=Element_Stiffness!$C$110,Element_Stiffness!S140,IF(7=Element_Stiffness!$E$110,Element_Stiffness!Y140,0)),0)),0)+IF(Element_Stiffness!$C$146,IF(Element_Stiffness!$C$145=3,IF(7=Element_Stiffness!$C$145,Element_Stiffness!S169,IF(7=Element_Stiffness!$E$145,Element_Stiffness!Y169,0)),IF(Element_Stiffness!$E$145=3,IF(7=Element_Stiffness!$C$145,Element_Stiffness!S175,IF(7=Element_Stiffness!$E$145,Element_Stiffness!Y175,0)),0)),0)+IF(Element_Stiffness!$C$181,IF(Element_Stiffness!$C$180=3,IF(7=Element_Stiffness!$C$180,Element_Stiffness!S204,IF(7=Element_Stiffness!$E$180,Element_Stiffness!Y204,0)),IF(Element_Stiffness!$E$180=3,IF(7=Element_Stiffness!$C$180,Element_Stiffness!S210,IF(7=Element_Stiffness!$E$180,Element_Stiffness!Y210,0)),0)),0)+IF(Element_Stiffness!$C$216,IF(Element_Stiffness!$C$215=3,IF(7=Element_Stiffness!$C$215,Element_Stiffness!S239,IF(7=Element_Stiffness!$E$215,Element_Stiffness!Y239,0)),IF(Element_Stiffness!$E$215=3,IF(7=Element_Stiffness!$C$215,Element_Stiffness!S245,IF(7=Element_Stiffness!$E$215,Element_Stiffness!Y245,0)),0)),0)</f>
        <v/>
      </c>
      <c r="AW26" s="21">
        <f>IF(Element_Stiffness!$C$6,IF(Element_Stiffness!$C$5=3,IF(7=Element_Stiffness!$C$5,Element_Stiffness!T29,IF(7=Element_Stiffness!$E$5,Element_Stiffness!Z29,0)),IF(Element_Stiffness!$E$5=3,IF(7=Element_Stiffness!$C$5,Element_Stiffness!T35,IF(7=Element_Stiffness!$E$5,Element_Stiffness!Z35,0)),0)),0)+IF(Element_Stiffness!$C$41,IF(Element_Stiffness!$C$40=3,IF(7=Element_Stiffness!$C$40,Element_Stiffness!T64,IF(7=Element_Stiffness!$E$40,Element_Stiffness!Z64,0)),IF(Element_Stiffness!$E$40=3,IF(7=Element_Stiffness!$C$40,Element_Stiffness!T70,IF(7=Element_Stiffness!$E$40,Element_Stiffness!Z70,0)),0)),0)+IF(Element_Stiffness!$C$76,IF(Element_Stiffness!$C$75=3,IF(7=Element_Stiffness!$C$75,Element_Stiffness!T99,IF(7=Element_Stiffness!$E$75,Element_Stiffness!Z99,0)),IF(Element_Stiffness!$E$75=3,IF(7=Element_Stiffness!$C$75,Element_Stiffness!T105,IF(7=Element_Stiffness!$E$75,Element_Stiffness!Z105,0)),0)),0)+IF(Element_Stiffness!$C$111,IF(Element_Stiffness!$C$110=3,IF(7=Element_Stiffness!$C$110,Element_Stiffness!T134,IF(7=Element_Stiffness!$E$110,Element_Stiffness!Z134,0)),IF(Element_Stiffness!$E$110=3,IF(7=Element_Stiffness!$C$110,Element_Stiffness!T140,IF(7=Element_Stiffness!$E$110,Element_Stiffness!Z140,0)),0)),0)+IF(Element_Stiffness!$C$146,IF(Element_Stiffness!$C$145=3,IF(7=Element_Stiffness!$C$145,Element_Stiffness!T169,IF(7=Element_Stiffness!$E$145,Element_Stiffness!Z169,0)),IF(Element_Stiffness!$E$145=3,IF(7=Element_Stiffness!$C$145,Element_Stiffness!T175,IF(7=Element_Stiffness!$E$145,Element_Stiffness!Z175,0)),0)),0)+IF(Element_Stiffness!$C$181,IF(Element_Stiffness!$C$180=3,IF(7=Element_Stiffness!$C$180,Element_Stiffness!T204,IF(7=Element_Stiffness!$E$180,Element_Stiffness!Z204,0)),IF(Element_Stiffness!$E$180=3,IF(7=Element_Stiffness!$C$180,Element_Stiffness!T210,IF(7=Element_Stiffness!$E$180,Element_Stiffness!Z210,0)),0)),0)+IF(Element_Stiffness!$C$216,IF(Element_Stiffness!$C$215=3,IF(7=Element_Stiffness!$C$215,Element_Stiffness!T239,IF(7=Element_Stiffness!$E$215,Element_Stiffness!Z239,0)),IF(Element_Stiffness!$E$215=3,IF(7=Element_Stiffness!$C$215,Element_Stiffness!T245,IF(7=Element_Stiffness!$E$215,Element_Stiffness!Z245,0)),0)),0)</f>
        <v/>
      </c>
      <c r="AX26" s="21">
        <f>IF(Element_Stiffness!$C$6,IF(Element_Stiffness!$C$5=3,IF(7=Element_Stiffness!$C$5,Element_Stiffness!U29,IF(7=Element_Stiffness!$E$5,Element_Stiffness!AA29,0)),IF(Element_Stiffness!$E$5=3,IF(7=Element_Stiffness!$C$5,Element_Stiffness!U35,IF(7=Element_Stiffness!$E$5,Element_Stiffness!AA35,0)),0)),0)+IF(Element_Stiffness!$C$41,IF(Element_Stiffness!$C$40=3,IF(7=Element_Stiffness!$C$40,Element_Stiffness!U64,IF(7=Element_Stiffness!$E$40,Element_Stiffness!AA64,0)),IF(Element_Stiffness!$E$40=3,IF(7=Element_Stiffness!$C$40,Element_Stiffness!U70,IF(7=Element_Stiffness!$E$40,Element_Stiffness!AA70,0)),0)),0)+IF(Element_Stiffness!$C$76,IF(Element_Stiffness!$C$75=3,IF(7=Element_Stiffness!$C$75,Element_Stiffness!U99,IF(7=Element_Stiffness!$E$75,Element_Stiffness!AA99,0)),IF(Element_Stiffness!$E$75=3,IF(7=Element_Stiffness!$C$75,Element_Stiffness!U105,IF(7=Element_Stiffness!$E$75,Element_Stiffness!AA105,0)),0)),0)+IF(Element_Stiffness!$C$111,IF(Element_Stiffness!$C$110=3,IF(7=Element_Stiffness!$C$110,Element_Stiffness!U134,IF(7=Element_Stiffness!$E$110,Element_Stiffness!AA134,0)),IF(Element_Stiffness!$E$110=3,IF(7=Element_Stiffness!$C$110,Element_Stiffness!U140,IF(7=Element_Stiffness!$E$110,Element_Stiffness!AA140,0)),0)),0)+IF(Element_Stiffness!$C$146,IF(Element_Stiffness!$C$145=3,IF(7=Element_Stiffness!$C$145,Element_Stiffness!U169,IF(7=Element_Stiffness!$E$145,Element_Stiffness!AA169,0)),IF(Element_Stiffness!$E$145=3,IF(7=Element_Stiffness!$C$145,Element_Stiffness!U175,IF(7=Element_Stiffness!$E$145,Element_Stiffness!AA175,0)),0)),0)+IF(Element_Stiffness!$C$181,IF(Element_Stiffness!$C$180=3,IF(7=Element_Stiffness!$C$180,Element_Stiffness!U204,IF(7=Element_Stiffness!$E$180,Element_Stiffness!AA204,0)),IF(Element_Stiffness!$E$180=3,IF(7=Element_Stiffness!$C$180,Element_Stiffness!U210,IF(7=Element_Stiffness!$E$180,Element_Stiffness!AA210,0)),0)),0)+IF(Element_Stiffness!$C$216,IF(Element_Stiffness!$C$215=3,IF(7=Element_Stiffness!$C$215,Element_Stiffness!U239,IF(7=Element_Stiffness!$E$215,Element_Stiffness!AA239,0)),IF(Element_Stiffness!$E$215=3,IF(7=Element_Stiffness!$C$215,Element_Stiffness!U245,IF(7=Element_Stiffness!$E$215,Element_Stiffness!AA245,0)),0)),0)</f>
        <v/>
      </c>
      <c r="AY26" s="21" t="n">
        <v>0</v>
      </c>
      <c r="AZ26" s="21">
        <f>IF(Element_Stiffness!$C$6,IF(Element_Stiffness!$C$5=3,Element_Stiffness!C29,IF(Element_Stiffness!$E$5=3,Element_Stiffness!C35,0)),0)+IF(Element_Stiffness!$C$41,IF(Element_Stiffness!$C$40=3,Element_Stiffness!C64,IF(Element_Stiffness!$E$40=3,Element_Stiffness!C70,0)),0)+IF(Element_Stiffness!$C$76,IF(Element_Stiffness!$C$75=3,Element_Stiffness!C99,IF(Element_Stiffness!$E$75=3,Element_Stiffness!C105,0)),0)+IF(Element_Stiffness!$C$111,IF(Element_Stiffness!$C$110=3,Element_Stiffness!C134,IF(Element_Stiffness!$E$110=3,Element_Stiffness!C140,0)),0)+IF(Element_Stiffness!$C$146,IF(Element_Stiffness!$C$145=3,Element_Stiffness!C169,IF(Element_Stiffness!$E$145=3,Element_Stiffness!C175,0)),0)+IF(Element_Stiffness!$C$181,IF(Element_Stiffness!$C$180=3,Element_Stiffness!C204,IF(Element_Stiffness!$E$180=3,Element_Stiffness!C210,0)),0)+IF(Element_Stiffness!$C$216,IF(Element_Stiffness!$C$215=3,Element_Stiffness!C239,IF(Element_Stiffness!$E$215=3,Element_Stiffness!C245,0)),0)</f>
        <v/>
      </c>
      <c r="BB26" s="28">
        <f>INDEX(MMULT(MINVERSE(C5:AX52), AY5:AY52), 22, 1)</f>
        <v/>
      </c>
      <c r="BC26" s="28">
        <f>INDEX(MMULT(MINVERSE(C5:AX52), AZ5:AZ52), 22, 1)</f>
        <v/>
      </c>
    </row>
    <row r="27">
      <c r="B27" s="27" t="inlineStr">
        <is>
          <t>N3_ry</t>
        </is>
      </c>
      <c r="C27" s="21">
        <f>IF(Element_Stiffness!$C$6,IF(Element_Stiffness!$C$5=3,IF(0=Element_Stiffness!$C$5,Element_Stiffness!P30,IF(0=Element_Stiffness!$E$5,Element_Stiffness!V30,0)),IF(Element_Stiffness!$E$5=3,IF(0=Element_Stiffness!$C$5,Element_Stiffness!P36,IF(0=Element_Stiffness!$E$5,Element_Stiffness!V36,0)),0)),0)+IF(Element_Stiffness!$C$41,IF(Element_Stiffness!$C$40=3,IF(0=Element_Stiffness!$C$40,Element_Stiffness!P65,IF(0=Element_Stiffness!$E$40,Element_Stiffness!V65,0)),IF(Element_Stiffness!$E$40=3,IF(0=Element_Stiffness!$C$40,Element_Stiffness!P71,IF(0=Element_Stiffness!$E$40,Element_Stiffness!V71,0)),0)),0)+IF(Element_Stiffness!$C$76,IF(Element_Stiffness!$C$75=3,IF(0=Element_Stiffness!$C$75,Element_Stiffness!P100,IF(0=Element_Stiffness!$E$75,Element_Stiffness!V100,0)),IF(Element_Stiffness!$E$75=3,IF(0=Element_Stiffness!$C$75,Element_Stiffness!P106,IF(0=Element_Stiffness!$E$75,Element_Stiffness!V106,0)),0)),0)+IF(Element_Stiffness!$C$111,IF(Element_Stiffness!$C$110=3,IF(0=Element_Stiffness!$C$110,Element_Stiffness!P135,IF(0=Element_Stiffness!$E$110,Element_Stiffness!V135,0)),IF(Element_Stiffness!$E$110=3,IF(0=Element_Stiffness!$C$110,Element_Stiffness!P141,IF(0=Element_Stiffness!$E$110,Element_Stiffness!V141,0)),0)),0)+IF(Element_Stiffness!$C$146,IF(Element_Stiffness!$C$145=3,IF(0=Element_Stiffness!$C$145,Element_Stiffness!P170,IF(0=Element_Stiffness!$E$145,Element_Stiffness!V170,0)),IF(Element_Stiffness!$E$145=3,IF(0=Element_Stiffness!$C$145,Element_Stiffness!P176,IF(0=Element_Stiffness!$E$145,Element_Stiffness!V176,0)),0)),0)+IF(Element_Stiffness!$C$181,IF(Element_Stiffness!$C$180=3,IF(0=Element_Stiffness!$C$180,Element_Stiffness!P205,IF(0=Element_Stiffness!$E$180,Element_Stiffness!V205,0)),IF(Element_Stiffness!$E$180=3,IF(0=Element_Stiffness!$C$180,Element_Stiffness!P211,IF(0=Element_Stiffness!$E$180,Element_Stiffness!V211,0)),0)),0)+IF(Element_Stiffness!$C$216,IF(Element_Stiffness!$C$215=3,IF(0=Element_Stiffness!$C$215,Element_Stiffness!P240,IF(0=Element_Stiffness!$E$215,Element_Stiffness!V240,0)),IF(Element_Stiffness!$E$215=3,IF(0=Element_Stiffness!$C$215,Element_Stiffness!P246,IF(0=Element_Stiffness!$E$215,Element_Stiffness!V246,0)),0)),0)</f>
        <v/>
      </c>
      <c r="D27" s="21">
        <f>IF(Element_Stiffness!$C$6,IF(Element_Stiffness!$C$5=3,IF(0=Element_Stiffness!$C$5,Element_Stiffness!Q30,IF(0=Element_Stiffness!$E$5,Element_Stiffness!W30,0)),IF(Element_Stiffness!$E$5=3,IF(0=Element_Stiffness!$C$5,Element_Stiffness!Q36,IF(0=Element_Stiffness!$E$5,Element_Stiffness!W36,0)),0)),0)+IF(Element_Stiffness!$C$41,IF(Element_Stiffness!$C$40=3,IF(0=Element_Stiffness!$C$40,Element_Stiffness!Q65,IF(0=Element_Stiffness!$E$40,Element_Stiffness!W65,0)),IF(Element_Stiffness!$E$40=3,IF(0=Element_Stiffness!$C$40,Element_Stiffness!Q71,IF(0=Element_Stiffness!$E$40,Element_Stiffness!W71,0)),0)),0)+IF(Element_Stiffness!$C$76,IF(Element_Stiffness!$C$75=3,IF(0=Element_Stiffness!$C$75,Element_Stiffness!Q100,IF(0=Element_Stiffness!$E$75,Element_Stiffness!W100,0)),IF(Element_Stiffness!$E$75=3,IF(0=Element_Stiffness!$C$75,Element_Stiffness!Q106,IF(0=Element_Stiffness!$E$75,Element_Stiffness!W106,0)),0)),0)+IF(Element_Stiffness!$C$111,IF(Element_Stiffness!$C$110=3,IF(0=Element_Stiffness!$C$110,Element_Stiffness!Q135,IF(0=Element_Stiffness!$E$110,Element_Stiffness!W135,0)),IF(Element_Stiffness!$E$110=3,IF(0=Element_Stiffness!$C$110,Element_Stiffness!Q141,IF(0=Element_Stiffness!$E$110,Element_Stiffness!W141,0)),0)),0)+IF(Element_Stiffness!$C$146,IF(Element_Stiffness!$C$145=3,IF(0=Element_Stiffness!$C$145,Element_Stiffness!Q170,IF(0=Element_Stiffness!$E$145,Element_Stiffness!W170,0)),IF(Element_Stiffness!$E$145=3,IF(0=Element_Stiffness!$C$145,Element_Stiffness!Q176,IF(0=Element_Stiffness!$E$145,Element_Stiffness!W176,0)),0)),0)+IF(Element_Stiffness!$C$181,IF(Element_Stiffness!$C$180=3,IF(0=Element_Stiffness!$C$180,Element_Stiffness!Q205,IF(0=Element_Stiffness!$E$180,Element_Stiffness!W205,0)),IF(Element_Stiffness!$E$180=3,IF(0=Element_Stiffness!$C$180,Element_Stiffness!Q211,IF(0=Element_Stiffness!$E$180,Element_Stiffness!W211,0)),0)),0)+IF(Element_Stiffness!$C$216,IF(Element_Stiffness!$C$215=3,IF(0=Element_Stiffness!$C$215,Element_Stiffness!Q240,IF(0=Element_Stiffness!$E$215,Element_Stiffness!W240,0)),IF(Element_Stiffness!$E$215=3,IF(0=Element_Stiffness!$C$215,Element_Stiffness!Q246,IF(0=Element_Stiffness!$E$215,Element_Stiffness!W246,0)),0)),0)</f>
        <v/>
      </c>
      <c r="E27" s="21">
        <f>IF(Element_Stiffness!$C$6,IF(Element_Stiffness!$C$5=3,IF(0=Element_Stiffness!$C$5,Element_Stiffness!R30,IF(0=Element_Stiffness!$E$5,Element_Stiffness!X30,0)),IF(Element_Stiffness!$E$5=3,IF(0=Element_Stiffness!$C$5,Element_Stiffness!R36,IF(0=Element_Stiffness!$E$5,Element_Stiffness!X36,0)),0)),0)+IF(Element_Stiffness!$C$41,IF(Element_Stiffness!$C$40=3,IF(0=Element_Stiffness!$C$40,Element_Stiffness!R65,IF(0=Element_Stiffness!$E$40,Element_Stiffness!X65,0)),IF(Element_Stiffness!$E$40=3,IF(0=Element_Stiffness!$C$40,Element_Stiffness!R71,IF(0=Element_Stiffness!$E$40,Element_Stiffness!X71,0)),0)),0)+IF(Element_Stiffness!$C$76,IF(Element_Stiffness!$C$75=3,IF(0=Element_Stiffness!$C$75,Element_Stiffness!R100,IF(0=Element_Stiffness!$E$75,Element_Stiffness!X100,0)),IF(Element_Stiffness!$E$75=3,IF(0=Element_Stiffness!$C$75,Element_Stiffness!R106,IF(0=Element_Stiffness!$E$75,Element_Stiffness!X106,0)),0)),0)+IF(Element_Stiffness!$C$111,IF(Element_Stiffness!$C$110=3,IF(0=Element_Stiffness!$C$110,Element_Stiffness!R135,IF(0=Element_Stiffness!$E$110,Element_Stiffness!X135,0)),IF(Element_Stiffness!$E$110=3,IF(0=Element_Stiffness!$C$110,Element_Stiffness!R141,IF(0=Element_Stiffness!$E$110,Element_Stiffness!X141,0)),0)),0)+IF(Element_Stiffness!$C$146,IF(Element_Stiffness!$C$145=3,IF(0=Element_Stiffness!$C$145,Element_Stiffness!R170,IF(0=Element_Stiffness!$E$145,Element_Stiffness!X170,0)),IF(Element_Stiffness!$E$145=3,IF(0=Element_Stiffness!$C$145,Element_Stiffness!R176,IF(0=Element_Stiffness!$E$145,Element_Stiffness!X176,0)),0)),0)+IF(Element_Stiffness!$C$181,IF(Element_Stiffness!$C$180=3,IF(0=Element_Stiffness!$C$180,Element_Stiffness!R205,IF(0=Element_Stiffness!$E$180,Element_Stiffness!X205,0)),IF(Element_Stiffness!$E$180=3,IF(0=Element_Stiffness!$C$180,Element_Stiffness!R211,IF(0=Element_Stiffness!$E$180,Element_Stiffness!X211,0)),0)),0)+IF(Element_Stiffness!$C$216,IF(Element_Stiffness!$C$215=3,IF(0=Element_Stiffness!$C$215,Element_Stiffness!R240,IF(0=Element_Stiffness!$E$215,Element_Stiffness!X240,0)),IF(Element_Stiffness!$E$215=3,IF(0=Element_Stiffness!$C$215,Element_Stiffness!R246,IF(0=Element_Stiffness!$E$215,Element_Stiffness!X246,0)),0)),0)</f>
        <v/>
      </c>
      <c r="F27" s="21">
        <f>IF(Element_Stiffness!$C$6,IF(Element_Stiffness!$C$5=3,IF(0=Element_Stiffness!$C$5,Element_Stiffness!S30,IF(0=Element_Stiffness!$E$5,Element_Stiffness!Y30,0)),IF(Element_Stiffness!$E$5=3,IF(0=Element_Stiffness!$C$5,Element_Stiffness!S36,IF(0=Element_Stiffness!$E$5,Element_Stiffness!Y36,0)),0)),0)+IF(Element_Stiffness!$C$41,IF(Element_Stiffness!$C$40=3,IF(0=Element_Stiffness!$C$40,Element_Stiffness!S65,IF(0=Element_Stiffness!$E$40,Element_Stiffness!Y65,0)),IF(Element_Stiffness!$E$40=3,IF(0=Element_Stiffness!$C$40,Element_Stiffness!S71,IF(0=Element_Stiffness!$E$40,Element_Stiffness!Y71,0)),0)),0)+IF(Element_Stiffness!$C$76,IF(Element_Stiffness!$C$75=3,IF(0=Element_Stiffness!$C$75,Element_Stiffness!S100,IF(0=Element_Stiffness!$E$75,Element_Stiffness!Y100,0)),IF(Element_Stiffness!$E$75=3,IF(0=Element_Stiffness!$C$75,Element_Stiffness!S106,IF(0=Element_Stiffness!$E$75,Element_Stiffness!Y106,0)),0)),0)+IF(Element_Stiffness!$C$111,IF(Element_Stiffness!$C$110=3,IF(0=Element_Stiffness!$C$110,Element_Stiffness!S135,IF(0=Element_Stiffness!$E$110,Element_Stiffness!Y135,0)),IF(Element_Stiffness!$E$110=3,IF(0=Element_Stiffness!$C$110,Element_Stiffness!S141,IF(0=Element_Stiffness!$E$110,Element_Stiffness!Y141,0)),0)),0)+IF(Element_Stiffness!$C$146,IF(Element_Stiffness!$C$145=3,IF(0=Element_Stiffness!$C$145,Element_Stiffness!S170,IF(0=Element_Stiffness!$E$145,Element_Stiffness!Y170,0)),IF(Element_Stiffness!$E$145=3,IF(0=Element_Stiffness!$C$145,Element_Stiffness!S176,IF(0=Element_Stiffness!$E$145,Element_Stiffness!Y176,0)),0)),0)+IF(Element_Stiffness!$C$181,IF(Element_Stiffness!$C$180=3,IF(0=Element_Stiffness!$C$180,Element_Stiffness!S205,IF(0=Element_Stiffness!$E$180,Element_Stiffness!Y205,0)),IF(Element_Stiffness!$E$180=3,IF(0=Element_Stiffness!$C$180,Element_Stiffness!S211,IF(0=Element_Stiffness!$E$180,Element_Stiffness!Y211,0)),0)),0)+IF(Element_Stiffness!$C$216,IF(Element_Stiffness!$C$215=3,IF(0=Element_Stiffness!$C$215,Element_Stiffness!S240,IF(0=Element_Stiffness!$E$215,Element_Stiffness!Y240,0)),IF(Element_Stiffness!$E$215=3,IF(0=Element_Stiffness!$C$215,Element_Stiffness!S246,IF(0=Element_Stiffness!$E$215,Element_Stiffness!Y246,0)),0)),0)</f>
        <v/>
      </c>
      <c r="G27" s="21">
        <f>IF(Element_Stiffness!$C$6,IF(Element_Stiffness!$C$5=3,IF(0=Element_Stiffness!$C$5,Element_Stiffness!T30,IF(0=Element_Stiffness!$E$5,Element_Stiffness!Z30,0)),IF(Element_Stiffness!$E$5=3,IF(0=Element_Stiffness!$C$5,Element_Stiffness!T36,IF(0=Element_Stiffness!$E$5,Element_Stiffness!Z36,0)),0)),0)+IF(Element_Stiffness!$C$41,IF(Element_Stiffness!$C$40=3,IF(0=Element_Stiffness!$C$40,Element_Stiffness!T65,IF(0=Element_Stiffness!$E$40,Element_Stiffness!Z65,0)),IF(Element_Stiffness!$E$40=3,IF(0=Element_Stiffness!$C$40,Element_Stiffness!T71,IF(0=Element_Stiffness!$E$40,Element_Stiffness!Z71,0)),0)),0)+IF(Element_Stiffness!$C$76,IF(Element_Stiffness!$C$75=3,IF(0=Element_Stiffness!$C$75,Element_Stiffness!T100,IF(0=Element_Stiffness!$E$75,Element_Stiffness!Z100,0)),IF(Element_Stiffness!$E$75=3,IF(0=Element_Stiffness!$C$75,Element_Stiffness!T106,IF(0=Element_Stiffness!$E$75,Element_Stiffness!Z106,0)),0)),0)+IF(Element_Stiffness!$C$111,IF(Element_Stiffness!$C$110=3,IF(0=Element_Stiffness!$C$110,Element_Stiffness!T135,IF(0=Element_Stiffness!$E$110,Element_Stiffness!Z135,0)),IF(Element_Stiffness!$E$110=3,IF(0=Element_Stiffness!$C$110,Element_Stiffness!T141,IF(0=Element_Stiffness!$E$110,Element_Stiffness!Z141,0)),0)),0)+IF(Element_Stiffness!$C$146,IF(Element_Stiffness!$C$145=3,IF(0=Element_Stiffness!$C$145,Element_Stiffness!T170,IF(0=Element_Stiffness!$E$145,Element_Stiffness!Z170,0)),IF(Element_Stiffness!$E$145=3,IF(0=Element_Stiffness!$C$145,Element_Stiffness!T176,IF(0=Element_Stiffness!$E$145,Element_Stiffness!Z176,0)),0)),0)+IF(Element_Stiffness!$C$181,IF(Element_Stiffness!$C$180=3,IF(0=Element_Stiffness!$C$180,Element_Stiffness!T205,IF(0=Element_Stiffness!$E$180,Element_Stiffness!Z205,0)),IF(Element_Stiffness!$E$180=3,IF(0=Element_Stiffness!$C$180,Element_Stiffness!T211,IF(0=Element_Stiffness!$E$180,Element_Stiffness!Z211,0)),0)),0)+IF(Element_Stiffness!$C$216,IF(Element_Stiffness!$C$215=3,IF(0=Element_Stiffness!$C$215,Element_Stiffness!T240,IF(0=Element_Stiffness!$E$215,Element_Stiffness!Z240,0)),IF(Element_Stiffness!$E$215=3,IF(0=Element_Stiffness!$C$215,Element_Stiffness!T246,IF(0=Element_Stiffness!$E$215,Element_Stiffness!Z246,0)),0)),0)</f>
        <v/>
      </c>
      <c r="H27" s="21">
        <f>IF(Element_Stiffness!$C$6,IF(Element_Stiffness!$C$5=3,IF(0=Element_Stiffness!$C$5,Element_Stiffness!U30,IF(0=Element_Stiffness!$E$5,Element_Stiffness!AA30,0)),IF(Element_Stiffness!$E$5=3,IF(0=Element_Stiffness!$C$5,Element_Stiffness!U36,IF(0=Element_Stiffness!$E$5,Element_Stiffness!AA36,0)),0)),0)+IF(Element_Stiffness!$C$41,IF(Element_Stiffness!$C$40=3,IF(0=Element_Stiffness!$C$40,Element_Stiffness!U65,IF(0=Element_Stiffness!$E$40,Element_Stiffness!AA65,0)),IF(Element_Stiffness!$E$40=3,IF(0=Element_Stiffness!$C$40,Element_Stiffness!U71,IF(0=Element_Stiffness!$E$40,Element_Stiffness!AA71,0)),0)),0)+IF(Element_Stiffness!$C$76,IF(Element_Stiffness!$C$75=3,IF(0=Element_Stiffness!$C$75,Element_Stiffness!U100,IF(0=Element_Stiffness!$E$75,Element_Stiffness!AA100,0)),IF(Element_Stiffness!$E$75=3,IF(0=Element_Stiffness!$C$75,Element_Stiffness!U106,IF(0=Element_Stiffness!$E$75,Element_Stiffness!AA106,0)),0)),0)+IF(Element_Stiffness!$C$111,IF(Element_Stiffness!$C$110=3,IF(0=Element_Stiffness!$C$110,Element_Stiffness!U135,IF(0=Element_Stiffness!$E$110,Element_Stiffness!AA135,0)),IF(Element_Stiffness!$E$110=3,IF(0=Element_Stiffness!$C$110,Element_Stiffness!U141,IF(0=Element_Stiffness!$E$110,Element_Stiffness!AA141,0)),0)),0)+IF(Element_Stiffness!$C$146,IF(Element_Stiffness!$C$145=3,IF(0=Element_Stiffness!$C$145,Element_Stiffness!U170,IF(0=Element_Stiffness!$E$145,Element_Stiffness!AA170,0)),IF(Element_Stiffness!$E$145=3,IF(0=Element_Stiffness!$C$145,Element_Stiffness!U176,IF(0=Element_Stiffness!$E$145,Element_Stiffness!AA176,0)),0)),0)+IF(Element_Stiffness!$C$181,IF(Element_Stiffness!$C$180=3,IF(0=Element_Stiffness!$C$180,Element_Stiffness!U205,IF(0=Element_Stiffness!$E$180,Element_Stiffness!AA205,0)),IF(Element_Stiffness!$E$180=3,IF(0=Element_Stiffness!$C$180,Element_Stiffness!U211,IF(0=Element_Stiffness!$E$180,Element_Stiffness!AA211,0)),0)),0)+IF(Element_Stiffness!$C$216,IF(Element_Stiffness!$C$215=3,IF(0=Element_Stiffness!$C$215,Element_Stiffness!U240,IF(0=Element_Stiffness!$E$215,Element_Stiffness!AA240,0)),IF(Element_Stiffness!$E$215=3,IF(0=Element_Stiffness!$C$215,Element_Stiffness!U246,IF(0=Element_Stiffness!$E$215,Element_Stiffness!AA246,0)),0)),0)</f>
        <v/>
      </c>
      <c r="I27" s="21">
        <f>IF(Element_Stiffness!$C$6,IF(Element_Stiffness!$C$5=3,IF(1=Element_Stiffness!$C$5,Element_Stiffness!P30,IF(1=Element_Stiffness!$E$5,Element_Stiffness!V30,0)),IF(Element_Stiffness!$E$5=3,IF(1=Element_Stiffness!$C$5,Element_Stiffness!P36,IF(1=Element_Stiffness!$E$5,Element_Stiffness!V36,0)),0)),0)+IF(Element_Stiffness!$C$41,IF(Element_Stiffness!$C$40=3,IF(1=Element_Stiffness!$C$40,Element_Stiffness!P65,IF(1=Element_Stiffness!$E$40,Element_Stiffness!V65,0)),IF(Element_Stiffness!$E$40=3,IF(1=Element_Stiffness!$C$40,Element_Stiffness!P71,IF(1=Element_Stiffness!$E$40,Element_Stiffness!V71,0)),0)),0)+IF(Element_Stiffness!$C$76,IF(Element_Stiffness!$C$75=3,IF(1=Element_Stiffness!$C$75,Element_Stiffness!P100,IF(1=Element_Stiffness!$E$75,Element_Stiffness!V100,0)),IF(Element_Stiffness!$E$75=3,IF(1=Element_Stiffness!$C$75,Element_Stiffness!P106,IF(1=Element_Stiffness!$E$75,Element_Stiffness!V106,0)),0)),0)+IF(Element_Stiffness!$C$111,IF(Element_Stiffness!$C$110=3,IF(1=Element_Stiffness!$C$110,Element_Stiffness!P135,IF(1=Element_Stiffness!$E$110,Element_Stiffness!V135,0)),IF(Element_Stiffness!$E$110=3,IF(1=Element_Stiffness!$C$110,Element_Stiffness!P141,IF(1=Element_Stiffness!$E$110,Element_Stiffness!V141,0)),0)),0)+IF(Element_Stiffness!$C$146,IF(Element_Stiffness!$C$145=3,IF(1=Element_Stiffness!$C$145,Element_Stiffness!P170,IF(1=Element_Stiffness!$E$145,Element_Stiffness!V170,0)),IF(Element_Stiffness!$E$145=3,IF(1=Element_Stiffness!$C$145,Element_Stiffness!P176,IF(1=Element_Stiffness!$E$145,Element_Stiffness!V176,0)),0)),0)+IF(Element_Stiffness!$C$181,IF(Element_Stiffness!$C$180=3,IF(1=Element_Stiffness!$C$180,Element_Stiffness!P205,IF(1=Element_Stiffness!$E$180,Element_Stiffness!V205,0)),IF(Element_Stiffness!$E$180=3,IF(1=Element_Stiffness!$C$180,Element_Stiffness!P211,IF(1=Element_Stiffness!$E$180,Element_Stiffness!V211,0)),0)),0)+IF(Element_Stiffness!$C$216,IF(Element_Stiffness!$C$215=3,IF(1=Element_Stiffness!$C$215,Element_Stiffness!P240,IF(1=Element_Stiffness!$E$215,Element_Stiffness!V240,0)),IF(Element_Stiffness!$E$215=3,IF(1=Element_Stiffness!$C$215,Element_Stiffness!P246,IF(1=Element_Stiffness!$E$215,Element_Stiffness!V246,0)),0)),0)</f>
        <v/>
      </c>
      <c r="J27" s="21">
        <f>IF(Element_Stiffness!$C$6,IF(Element_Stiffness!$C$5=3,IF(1=Element_Stiffness!$C$5,Element_Stiffness!Q30,IF(1=Element_Stiffness!$E$5,Element_Stiffness!W30,0)),IF(Element_Stiffness!$E$5=3,IF(1=Element_Stiffness!$C$5,Element_Stiffness!Q36,IF(1=Element_Stiffness!$E$5,Element_Stiffness!W36,0)),0)),0)+IF(Element_Stiffness!$C$41,IF(Element_Stiffness!$C$40=3,IF(1=Element_Stiffness!$C$40,Element_Stiffness!Q65,IF(1=Element_Stiffness!$E$40,Element_Stiffness!W65,0)),IF(Element_Stiffness!$E$40=3,IF(1=Element_Stiffness!$C$40,Element_Stiffness!Q71,IF(1=Element_Stiffness!$E$40,Element_Stiffness!W71,0)),0)),0)+IF(Element_Stiffness!$C$76,IF(Element_Stiffness!$C$75=3,IF(1=Element_Stiffness!$C$75,Element_Stiffness!Q100,IF(1=Element_Stiffness!$E$75,Element_Stiffness!W100,0)),IF(Element_Stiffness!$E$75=3,IF(1=Element_Stiffness!$C$75,Element_Stiffness!Q106,IF(1=Element_Stiffness!$E$75,Element_Stiffness!W106,0)),0)),0)+IF(Element_Stiffness!$C$111,IF(Element_Stiffness!$C$110=3,IF(1=Element_Stiffness!$C$110,Element_Stiffness!Q135,IF(1=Element_Stiffness!$E$110,Element_Stiffness!W135,0)),IF(Element_Stiffness!$E$110=3,IF(1=Element_Stiffness!$C$110,Element_Stiffness!Q141,IF(1=Element_Stiffness!$E$110,Element_Stiffness!W141,0)),0)),0)+IF(Element_Stiffness!$C$146,IF(Element_Stiffness!$C$145=3,IF(1=Element_Stiffness!$C$145,Element_Stiffness!Q170,IF(1=Element_Stiffness!$E$145,Element_Stiffness!W170,0)),IF(Element_Stiffness!$E$145=3,IF(1=Element_Stiffness!$C$145,Element_Stiffness!Q176,IF(1=Element_Stiffness!$E$145,Element_Stiffness!W176,0)),0)),0)+IF(Element_Stiffness!$C$181,IF(Element_Stiffness!$C$180=3,IF(1=Element_Stiffness!$C$180,Element_Stiffness!Q205,IF(1=Element_Stiffness!$E$180,Element_Stiffness!W205,0)),IF(Element_Stiffness!$E$180=3,IF(1=Element_Stiffness!$C$180,Element_Stiffness!Q211,IF(1=Element_Stiffness!$E$180,Element_Stiffness!W211,0)),0)),0)+IF(Element_Stiffness!$C$216,IF(Element_Stiffness!$C$215=3,IF(1=Element_Stiffness!$C$215,Element_Stiffness!Q240,IF(1=Element_Stiffness!$E$215,Element_Stiffness!W240,0)),IF(Element_Stiffness!$E$215=3,IF(1=Element_Stiffness!$C$215,Element_Stiffness!Q246,IF(1=Element_Stiffness!$E$215,Element_Stiffness!W246,0)),0)),0)</f>
        <v/>
      </c>
      <c r="K27" s="21">
        <f>IF(Element_Stiffness!$C$6,IF(Element_Stiffness!$C$5=3,IF(1=Element_Stiffness!$C$5,Element_Stiffness!R30,IF(1=Element_Stiffness!$E$5,Element_Stiffness!X30,0)),IF(Element_Stiffness!$E$5=3,IF(1=Element_Stiffness!$C$5,Element_Stiffness!R36,IF(1=Element_Stiffness!$E$5,Element_Stiffness!X36,0)),0)),0)+IF(Element_Stiffness!$C$41,IF(Element_Stiffness!$C$40=3,IF(1=Element_Stiffness!$C$40,Element_Stiffness!R65,IF(1=Element_Stiffness!$E$40,Element_Stiffness!X65,0)),IF(Element_Stiffness!$E$40=3,IF(1=Element_Stiffness!$C$40,Element_Stiffness!R71,IF(1=Element_Stiffness!$E$40,Element_Stiffness!X71,0)),0)),0)+IF(Element_Stiffness!$C$76,IF(Element_Stiffness!$C$75=3,IF(1=Element_Stiffness!$C$75,Element_Stiffness!R100,IF(1=Element_Stiffness!$E$75,Element_Stiffness!X100,0)),IF(Element_Stiffness!$E$75=3,IF(1=Element_Stiffness!$C$75,Element_Stiffness!R106,IF(1=Element_Stiffness!$E$75,Element_Stiffness!X106,0)),0)),0)+IF(Element_Stiffness!$C$111,IF(Element_Stiffness!$C$110=3,IF(1=Element_Stiffness!$C$110,Element_Stiffness!R135,IF(1=Element_Stiffness!$E$110,Element_Stiffness!X135,0)),IF(Element_Stiffness!$E$110=3,IF(1=Element_Stiffness!$C$110,Element_Stiffness!R141,IF(1=Element_Stiffness!$E$110,Element_Stiffness!X141,0)),0)),0)+IF(Element_Stiffness!$C$146,IF(Element_Stiffness!$C$145=3,IF(1=Element_Stiffness!$C$145,Element_Stiffness!R170,IF(1=Element_Stiffness!$E$145,Element_Stiffness!X170,0)),IF(Element_Stiffness!$E$145=3,IF(1=Element_Stiffness!$C$145,Element_Stiffness!R176,IF(1=Element_Stiffness!$E$145,Element_Stiffness!X176,0)),0)),0)+IF(Element_Stiffness!$C$181,IF(Element_Stiffness!$C$180=3,IF(1=Element_Stiffness!$C$180,Element_Stiffness!R205,IF(1=Element_Stiffness!$E$180,Element_Stiffness!X205,0)),IF(Element_Stiffness!$E$180=3,IF(1=Element_Stiffness!$C$180,Element_Stiffness!R211,IF(1=Element_Stiffness!$E$180,Element_Stiffness!X211,0)),0)),0)+IF(Element_Stiffness!$C$216,IF(Element_Stiffness!$C$215=3,IF(1=Element_Stiffness!$C$215,Element_Stiffness!R240,IF(1=Element_Stiffness!$E$215,Element_Stiffness!X240,0)),IF(Element_Stiffness!$E$215=3,IF(1=Element_Stiffness!$C$215,Element_Stiffness!R246,IF(1=Element_Stiffness!$E$215,Element_Stiffness!X246,0)),0)),0)</f>
        <v/>
      </c>
      <c r="L27" s="21">
        <f>IF(Element_Stiffness!$C$6,IF(Element_Stiffness!$C$5=3,IF(1=Element_Stiffness!$C$5,Element_Stiffness!S30,IF(1=Element_Stiffness!$E$5,Element_Stiffness!Y30,0)),IF(Element_Stiffness!$E$5=3,IF(1=Element_Stiffness!$C$5,Element_Stiffness!S36,IF(1=Element_Stiffness!$E$5,Element_Stiffness!Y36,0)),0)),0)+IF(Element_Stiffness!$C$41,IF(Element_Stiffness!$C$40=3,IF(1=Element_Stiffness!$C$40,Element_Stiffness!S65,IF(1=Element_Stiffness!$E$40,Element_Stiffness!Y65,0)),IF(Element_Stiffness!$E$40=3,IF(1=Element_Stiffness!$C$40,Element_Stiffness!S71,IF(1=Element_Stiffness!$E$40,Element_Stiffness!Y71,0)),0)),0)+IF(Element_Stiffness!$C$76,IF(Element_Stiffness!$C$75=3,IF(1=Element_Stiffness!$C$75,Element_Stiffness!S100,IF(1=Element_Stiffness!$E$75,Element_Stiffness!Y100,0)),IF(Element_Stiffness!$E$75=3,IF(1=Element_Stiffness!$C$75,Element_Stiffness!S106,IF(1=Element_Stiffness!$E$75,Element_Stiffness!Y106,0)),0)),0)+IF(Element_Stiffness!$C$111,IF(Element_Stiffness!$C$110=3,IF(1=Element_Stiffness!$C$110,Element_Stiffness!S135,IF(1=Element_Stiffness!$E$110,Element_Stiffness!Y135,0)),IF(Element_Stiffness!$E$110=3,IF(1=Element_Stiffness!$C$110,Element_Stiffness!S141,IF(1=Element_Stiffness!$E$110,Element_Stiffness!Y141,0)),0)),0)+IF(Element_Stiffness!$C$146,IF(Element_Stiffness!$C$145=3,IF(1=Element_Stiffness!$C$145,Element_Stiffness!S170,IF(1=Element_Stiffness!$E$145,Element_Stiffness!Y170,0)),IF(Element_Stiffness!$E$145=3,IF(1=Element_Stiffness!$C$145,Element_Stiffness!S176,IF(1=Element_Stiffness!$E$145,Element_Stiffness!Y176,0)),0)),0)+IF(Element_Stiffness!$C$181,IF(Element_Stiffness!$C$180=3,IF(1=Element_Stiffness!$C$180,Element_Stiffness!S205,IF(1=Element_Stiffness!$E$180,Element_Stiffness!Y205,0)),IF(Element_Stiffness!$E$180=3,IF(1=Element_Stiffness!$C$180,Element_Stiffness!S211,IF(1=Element_Stiffness!$E$180,Element_Stiffness!Y211,0)),0)),0)+IF(Element_Stiffness!$C$216,IF(Element_Stiffness!$C$215=3,IF(1=Element_Stiffness!$C$215,Element_Stiffness!S240,IF(1=Element_Stiffness!$E$215,Element_Stiffness!Y240,0)),IF(Element_Stiffness!$E$215=3,IF(1=Element_Stiffness!$C$215,Element_Stiffness!S246,IF(1=Element_Stiffness!$E$215,Element_Stiffness!Y246,0)),0)),0)</f>
        <v/>
      </c>
      <c r="M27" s="21">
        <f>IF(Element_Stiffness!$C$6,IF(Element_Stiffness!$C$5=3,IF(1=Element_Stiffness!$C$5,Element_Stiffness!T30,IF(1=Element_Stiffness!$E$5,Element_Stiffness!Z30,0)),IF(Element_Stiffness!$E$5=3,IF(1=Element_Stiffness!$C$5,Element_Stiffness!T36,IF(1=Element_Stiffness!$E$5,Element_Stiffness!Z36,0)),0)),0)+IF(Element_Stiffness!$C$41,IF(Element_Stiffness!$C$40=3,IF(1=Element_Stiffness!$C$40,Element_Stiffness!T65,IF(1=Element_Stiffness!$E$40,Element_Stiffness!Z65,0)),IF(Element_Stiffness!$E$40=3,IF(1=Element_Stiffness!$C$40,Element_Stiffness!T71,IF(1=Element_Stiffness!$E$40,Element_Stiffness!Z71,0)),0)),0)+IF(Element_Stiffness!$C$76,IF(Element_Stiffness!$C$75=3,IF(1=Element_Stiffness!$C$75,Element_Stiffness!T100,IF(1=Element_Stiffness!$E$75,Element_Stiffness!Z100,0)),IF(Element_Stiffness!$E$75=3,IF(1=Element_Stiffness!$C$75,Element_Stiffness!T106,IF(1=Element_Stiffness!$E$75,Element_Stiffness!Z106,0)),0)),0)+IF(Element_Stiffness!$C$111,IF(Element_Stiffness!$C$110=3,IF(1=Element_Stiffness!$C$110,Element_Stiffness!T135,IF(1=Element_Stiffness!$E$110,Element_Stiffness!Z135,0)),IF(Element_Stiffness!$E$110=3,IF(1=Element_Stiffness!$C$110,Element_Stiffness!T141,IF(1=Element_Stiffness!$E$110,Element_Stiffness!Z141,0)),0)),0)+IF(Element_Stiffness!$C$146,IF(Element_Stiffness!$C$145=3,IF(1=Element_Stiffness!$C$145,Element_Stiffness!T170,IF(1=Element_Stiffness!$E$145,Element_Stiffness!Z170,0)),IF(Element_Stiffness!$E$145=3,IF(1=Element_Stiffness!$C$145,Element_Stiffness!T176,IF(1=Element_Stiffness!$E$145,Element_Stiffness!Z176,0)),0)),0)+IF(Element_Stiffness!$C$181,IF(Element_Stiffness!$C$180=3,IF(1=Element_Stiffness!$C$180,Element_Stiffness!T205,IF(1=Element_Stiffness!$E$180,Element_Stiffness!Z205,0)),IF(Element_Stiffness!$E$180=3,IF(1=Element_Stiffness!$C$180,Element_Stiffness!T211,IF(1=Element_Stiffness!$E$180,Element_Stiffness!Z211,0)),0)),0)+IF(Element_Stiffness!$C$216,IF(Element_Stiffness!$C$215=3,IF(1=Element_Stiffness!$C$215,Element_Stiffness!T240,IF(1=Element_Stiffness!$E$215,Element_Stiffness!Z240,0)),IF(Element_Stiffness!$E$215=3,IF(1=Element_Stiffness!$C$215,Element_Stiffness!T246,IF(1=Element_Stiffness!$E$215,Element_Stiffness!Z246,0)),0)),0)</f>
        <v/>
      </c>
      <c r="N27" s="21">
        <f>IF(Element_Stiffness!$C$6,IF(Element_Stiffness!$C$5=3,IF(1=Element_Stiffness!$C$5,Element_Stiffness!U30,IF(1=Element_Stiffness!$E$5,Element_Stiffness!AA30,0)),IF(Element_Stiffness!$E$5=3,IF(1=Element_Stiffness!$C$5,Element_Stiffness!U36,IF(1=Element_Stiffness!$E$5,Element_Stiffness!AA36,0)),0)),0)+IF(Element_Stiffness!$C$41,IF(Element_Stiffness!$C$40=3,IF(1=Element_Stiffness!$C$40,Element_Stiffness!U65,IF(1=Element_Stiffness!$E$40,Element_Stiffness!AA65,0)),IF(Element_Stiffness!$E$40=3,IF(1=Element_Stiffness!$C$40,Element_Stiffness!U71,IF(1=Element_Stiffness!$E$40,Element_Stiffness!AA71,0)),0)),0)+IF(Element_Stiffness!$C$76,IF(Element_Stiffness!$C$75=3,IF(1=Element_Stiffness!$C$75,Element_Stiffness!U100,IF(1=Element_Stiffness!$E$75,Element_Stiffness!AA100,0)),IF(Element_Stiffness!$E$75=3,IF(1=Element_Stiffness!$C$75,Element_Stiffness!U106,IF(1=Element_Stiffness!$E$75,Element_Stiffness!AA106,0)),0)),0)+IF(Element_Stiffness!$C$111,IF(Element_Stiffness!$C$110=3,IF(1=Element_Stiffness!$C$110,Element_Stiffness!U135,IF(1=Element_Stiffness!$E$110,Element_Stiffness!AA135,0)),IF(Element_Stiffness!$E$110=3,IF(1=Element_Stiffness!$C$110,Element_Stiffness!U141,IF(1=Element_Stiffness!$E$110,Element_Stiffness!AA141,0)),0)),0)+IF(Element_Stiffness!$C$146,IF(Element_Stiffness!$C$145=3,IF(1=Element_Stiffness!$C$145,Element_Stiffness!U170,IF(1=Element_Stiffness!$E$145,Element_Stiffness!AA170,0)),IF(Element_Stiffness!$E$145=3,IF(1=Element_Stiffness!$C$145,Element_Stiffness!U176,IF(1=Element_Stiffness!$E$145,Element_Stiffness!AA176,0)),0)),0)+IF(Element_Stiffness!$C$181,IF(Element_Stiffness!$C$180=3,IF(1=Element_Stiffness!$C$180,Element_Stiffness!U205,IF(1=Element_Stiffness!$E$180,Element_Stiffness!AA205,0)),IF(Element_Stiffness!$E$180=3,IF(1=Element_Stiffness!$C$180,Element_Stiffness!U211,IF(1=Element_Stiffness!$E$180,Element_Stiffness!AA211,0)),0)),0)+IF(Element_Stiffness!$C$216,IF(Element_Stiffness!$C$215=3,IF(1=Element_Stiffness!$C$215,Element_Stiffness!U240,IF(1=Element_Stiffness!$E$215,Element_Stiffness!AA240,0)),IF(Element_Stiffness!$E$215=3,IF(1=Element_Stiffness!$C$215,Element_Stiffness!U246,IF(1=Element_Stiffness!$E$215,Element_Stiffness!AA246,0)),0)),0)</f>
        <v/>
      </c>
      <c r="O27" s="21">
        <f>IF(Element_Stiffness!$C$6,IF(Element_Stiffness!$C$5=3,IF(2=Element_Stiffness!$C$5,Element_Stiffness!P30,IF(2=Element_Stiffness!$E$5,Element_Stiffness!V30,0)),IF(Element_Stiffness!$E$5=3,IF(2=Element_Stiffness!$C$5,Element_Stiffness!P36,IF(2=Element_Stiffness!$E$5,Element_Stiffness!V36,0)),0)),0)+IF(Element_Stiffness!$C$41,IF(Element_Stiffness!$C$40=3,IF(2=Element_Stiffness!$C$40,Element_Stiffness!P65,IF(2=Element_Stiffness!$E$40,Element_Stiffness!V65,0)),IF(Element_Stiffness!$E$40=3,IF(2=Element_Stiffness!$C$40,Element_Stiffness!P71,IF(2=Element_Stiffness!$E$40,Element_Stiffness!V71,0)),0)),0)+IF(Element_Stiffness!$C$76,IF(Element_Stiffness!$C$75=3,IF(2=Element_Stiffness!$C$75,Element_Stiffness!P100,IF(2=Element_Stiffness!$E$75,Element_Stiffness!V100,0)),IF(Element_Stiffness!$E$75=3,IF(2=Element_Stiffness!$C$75,Element_Stiffness!P106,IF(2=Element_Stiffness!$E$75,Element_Stiffness!V106,0)),0)),0)+IF(Element_Stiffness!$C$111,IF(Element_Stiffness!$C$110=3,IF(2=Element_Stiffness!$C$110,Element_Stiffness!P135,IF(2=Element_Stiffness!$E$110,Element_Stiffness!V135,0)),IF(Element_Stiffness!$E$110=3,IF(2=Element_Stiffness!$C$110,Element_Stiffness!P141,IF(2=Element_Stiffness!$E$110,Element_Stiffness!V141,0)),0)),0)+IF(Element_Stiffness!$C$146,IF(Element_Stiffness!$C$145=3,IF(2=Element_Stiffness!$C$145,Element_Stiffness!P170,IF(2=Element_Stiffness!$E$145,Element_Stiffness!V170,0)),IF(Element_Stiffness!$E$145=3,IF(2=Element_Stiffness!$C$145,Element_Stiffness!P176,IF(2=Element_Stiffness!$E$145,Element_Stiffness!V176,0)),0)),0)+IF(Element_Stiffness!$C$181,IF(Element_Stiffness!$C$180=3,IF(2=Element_Stiffness!$C$180,Element_Stiffness!P205,IF(2=Element_Stiffness!$E$180,Element_Stiffness!V205,0)),IF(Element_Stiffness!$E$180=3,IF(2=Element_Stiffness!$C$180,Element_Stiffness!P211,IF(2=Element_Stiffness!$E$180,Element_Stiffness!V211,0)),0)),0)+IF(Element_Stiffness!$C$216,IF(Element_Stiffness!$C$215=3,IF(2=Element_Stiffness!$C$215,Element_Stiffness!P240,IF(2=Element_Stiffness!$E$215,Element_Stiffness!V240,0)),IF(Element_Stiffness!$E$215=3,IF(2=Element_Stiffness!$C$215,Element_Stiffness!P246,IF(2=Element_Stiffness!$E$215,Element_Stiffness!V246,0)),0)),0)</f>
        <v/>
      </c>
      <c r="P27" s="21">
        <f>IF(Element_Stiffness!$C$6,IF(Element_Stiffness!$C$5=3,IF(2=Element_Stiffness!$C$5,Element_Stiffness!Q30,IF(2=Element_Stiffness!$E$5,Element_Stiffness!W30,0)),IF(Element_Stiffness!$E$5=3,IF(2=Element_Stiffness!$C$5,Element_Stiffness!Q36,IF(2=Element_Stiffness!$E$5,Element_Stiffness!W36,0)),0)),0)+IF(Element_Stiffness!$C$41,IF(Element_Stiffness!$C$40=3,IF(2=Element_Stiffness!$C$40,Element_Stiffness!Q65,IF(2=Element_Stiffness!$E$40,Element_Stiffness!W65,0)),IF(Element_Stiffness!$E$40=3,IF(2=Element_Stiffness!$C$40,Element_Stiffness!Q71,IF(2=Element_Stiffness!$E$40,Element_Stiffness!W71,0)),0)),0)+IF(Element_Stiffness!$C$76,IF(Element_Stiffness!$C$75=3,IF(2=Element_Stiffness!$C$75,Element_Stiffness!Q100,IF(2=Element_Stiffness!$E$75,Element_Stiffness!W100,0)),IF(Element_Stiffness!$E$75=3,IF(2=Element_Stiffness!$C$75,Element_Stiffness!Q106,IF(2=Element_Stiffness!$E$75,Element_Stiffness!W106,0)),0)),0)+IF(Element_Stiffness!$C$111,IF(Element_Stiffness!$C$110=3,IF(2=Element_Stiffness!$C$110,Element_Stiffness!Q135,IF(2=Element_Stiffness!$E$110,Element_Stiffness!W135,0)),IF(Element_Stiffness!$E$110=3,IF(2=Element_Stiffness!$C$110,Element_Stiffness!Q141,IF(2=Element_Stiffness!$E$110,Element_Stiffness!W141,0)),0)),0)+IF(Element_Stiffness!$C$146,IF(Element_Stiffness!$C$145=3,IF(2=Element_Stiffness!$C$145,Element_Stiffness!Q170,IF(2=Element_Stiffness!$E$145,Element_Stiffness!W170,0)),IF(Element_Stiffness!$E$145=3,IF(2=Element_Stiffness!$C$145,Element_Stiffness!Q176,IF(2=Element_Stiffness!$E$145,Element_Stiffness!W176,0)),0)),0)+IF(Element_Stiffness!$C$181,IF(Element_Stiffness!$C$180=3,IF(2=Element_Stiffness!$C$180,Element_Stiffness!Q205,IF(2=Element_Stiffness!$E$180,Element_Stiffness!W205,0)),IF(Element_Stiffness!$E$180=3,IF(2=Element_Stiffness!$C$180,Element_Stiffness!Q211,IF(2=Element_Stiffness!$E$180,Element_Stiffness!W211,0)),0)),0)+IF(Element_Stiffness!$C$216,IF(Element_Stiffness!$C$215=3,IF(2=Element_Stiffness!$C$215,Element_Stiffness!Q240,IF(2=Element_Stiffness!$E$215,Element_Stiffness!W240,0)),IF(Element_Stiffness!$E$215=3,IF(2=Element_Stiffness!$C$215,Element_Stiffness!Q246,IF(2=Element_Stiffness!$E$215,Element_Stiffness!W246,0)),0)),0)</f>
        <v/>
      </c>
      <c r="Q27" s="21">
        <f>IF(Element_Stiffness!$C$6,IF(Element_Stiffness!$C$5=3,IF(2=Element_Stiffness!$C$5,Element_Stiffness!R30,IF(2=Element_Stiffness!$E$5,Element_Stiffness!X30,0)),IF(Element_Stiffness!$E$5=3,IF(2=Element_Stiffness!$C$5,Element_Stiffness!R36,IF(2=Element_Stiffness!$E$5,Element_Stiffness!X36,0)),0)),0)+IF(Element_Stiffness!$C$41,IF(Element_Stiffness!$C$40=3,IF(2=Element_Stiffness!$C$40,Element_Stiffness!R65,IF(2=Element_Stiffness!$E$40,Element_Stiffness!X65,0)),IF(Element_Stiffness!$E$40=3,IF(2=Element_Stiffness!$C$40,Element_Stiffness!R71,IF(2=Element_Stiffness!$E$40,Element_Stiffness!X71,0)),0)),0)+IF(Element_Stiffness!$C$76,IF(Element_Stiffness!$C$75=3,IF(2=Element_Stiffness!$C$75,Element_Stiffness!R100,IF(2=Element_Stiffness!$E$75,Element_Stiffness!X100,0)),IF(Element_Stiffness!$E$75=3,IF(2=Element_Stiffness!$C$75,Element_Stiffness!R106,IF(2=Element_Stiffness!$E$75,Element_Stiffness!X106,0)),0)),0)+IF(Element_Stiffness!$C$111,IF(Element_Stiffness!$C$110=3,IF(2=Element_Stiffness!$C$110,Element_Stiffness!R135,IF(2=Element_Stiffness!$E$110,Element_Stiffness!X135,0)),IF(Element_Stiffness!$E$110=3,IF(2=Element_Stiffness!$C$110,Element_Stiffness!R141,IF(2=Element_Stiffness!$E$110,Element_Stiffness!X141,0)),0)),0)+IF(Element_Stiffness!$C$146,IF(Element_Stiffness!$C$145=3,IF(2=Element_Stiffness!$C$145,Element_Stiffness!R170,IF(2=Element_Stiffness!$E$145,Element_Stiffness!X170,0)),IF(Element_Stiffness!$E$145=3,IF(2=Element_Stiffness!$C$145,Element_Stiffness!R176,IF(2=Element_Stiffness!$E$145,Element_Stiffness!X176,0)),0)),0)+IF(Element_Stiffness!$C$181,IF(Element_Stiffness!$C$180=3,IF(2=Element_Stiffness!$C$180,Element_Stiffness!R205,IF(2=Element_Stiffness!$E$180,Element_Stiffness!X205,0)),IF(Element_Stiffness!$E$180=3,IF(2=Element_Stiffness!$C$180,Element_Stiffness!R211,IF(2=Element_Stiffness!$E$180,Element_Stiffness!X211,0)),0)),0)+IF(Element_Stiffness!$C$216,IF(Element_Stiffness!$C$215=3,IF(2=Element_Stiffness!$C$215,Element_Stiffness!R240,IF(2=Element_Stiffness!$E$215,Element_Stiffness!X240,0)),IF(Element_Stiffness!$E$215=3,IF(2=Element_Stiffness!$C$215,Element_Stiffness!R246,IF(2=Element_Stiffness!$E$215,Element_Stiffness!X246,0)),0)),0)</f>
        <v/>
      </c>
      <c r="R27" s="21">
        <f>IF(Element_Stiffness!$C$6,IF(Element_Stiffness!$C$5=3,IF(2=Element_Stiffness!$C$5,Element_Stiffness!S30,IF(2=Element_Stiffness!$E$5,Element_Stiffness!Y30,0)),IF(Element_Stiffness!$E$5=3,IF(2=Element_Stiffness!$C$5,Element_Stiffness!S36,IF(2=Element_Stiffness!$E$5,Element_Stiffness!Y36,0)),0)),0)+IF(Element_Stiffness!$C$41,IF(Element_Stiffness!$C$40=3,IF(2=Element_Stiffness!$C$40,Element_Stiffness!S65,IF(2=Element_Stiffness!$E$40,Element_Stiffness!Y65,0)),IF(Element_Stiffness!$E$40=3,IF(2=Element_Stiffness!$C$40,Element_Stiffness!S71,IF(2=Element_Stiffness!$E$40,Element_Stiffness!Y71,0)),0)),0)+IF(Element_Stiffness!$C$76,IF(Element_Stiffness!$C$75=3,IF(2=Element_Stiffness!$C$75,Element_Stiffness!S100,IF(2=Element_Stiffness!$E$75,Element_Stiffness!Y100,0)),IF(Element_Stiffness!$E$75=3,IF(2=Element_Stiffness!$C$75,Element_Stiffness!S106,IF(2=Element_Stiffness!$E$75,Element_Stiffness!Y106,0)),0)),0)+IF(Element_Stiffness!$C$111,IF(Element_Stiffness!$C$110=3,IF(2=Element_Stiffness!$C$110,Element_Stiffness!S135,IF(2=Element_Stiffness!$E$110,Element_Stiffness!Y135,0)),IF(Element_Stiffness!$E$110=3,IF(2=Element_Stiffness!$C$110,Element_Stiffness!S141,IF(2=Element_Stiffness!$E$110,Element_Stiffness!Y141,0)),0)),0)+IF(Element_Stiffness!$C$146,IF(Element_Stiffness!$C$145=3,IF(2=Element_Stiffness!$C$145,Element_Stiffness!S170,IF(2=Element_Stiffness!$E$145,Element_Stiffness!Y170,0)),IF(Element_Stiffness!$E$145=3,IF(2=Element_Stiffness!$C$145,Element_Stiffness!S176,IF(2=Element_Stiffness!$E$145,Element_Stiffness!Y176,0)),0)),0)+IF(Element_Stiffness!$C$181,IF(Element_Stiffness!$C$180=3,IF(2=Element_Stiffness!$C$180,Element_Stiffness!S205,IF(2=Element_Stiffness!$E$180,Element_Stiffness!Y205,0)),IF(Element_Stiffness!$E$180=3,IF(2=Element_Stiffness!$C$180,Element_Stiffness!S211,IF(2=Element_Stiffness!$E$180,Element_Stiffness!Y211,0)),0)),0)+IF(Element_Stiffness!$C$216,IF(Element_Stiffness!$C$215=3,IF(2=Element_Stiffness!$C$215,Element_Stiffness!S240,IF(2=Element_Stiffness!$E$215,Element_Stiffness!Y240,0)),IF(Element_Stiffness!$E$215=3,IF(2=Element_Stiffness!$C$215,Element_Stiffness!S246,IF(2=Element_Stiffness!$E$215,Element_Stiffness!Y246,0)),0)),0)</f>
        <v/>
      </c>
      <c r="S27" s="21">
        <f>IF(Element_Stiffness!$C$6,IF(Element_Stiffness!$C$5=3,IF(2=Element_Stiffness!$C$5,Element_Stiffness!T30,IF(2=Element_Stiffness!$E$5,Element_Stiffness!Z30,0)),IF(Element_Stiffness!$E$5=3,IF(2=Element_Stiffness!$C$5,Element_Stiffness!T36,IF(2=Element_Stiffness!$E$5,Element_Stiffness!Z36,0)),0)),0)+IF(Element_Stiffness!$C$41,IF(Element_Stiffness!$C$40=3,IF(2=Element_Stiffness!$C$40,Element_Stiffness!T65,IF(2=Element_Stiffness!$E$40,Element_Stiffness!Z65,0)),IF(Element_Stiffness!$E$40=3,IF(2=Element_Stiffness!$C$40,Element_Stiffness!T71,IF(2=Element_Stiffness!$E$40,Element_Stiffness!Z71,0)),0)),0)+IF(Element_Stiffness!$C$76,IF(Element_Stiffness!$C$75=3,IF(2=Element_Stiffness!$C$75,Element_Stiffness!T100,IF(2=Element_Stiffness!$E$75,Element_Stiffness!Z100,0)),IF(Element_Stiffness!$E$75=3,IF(2=Element_Stiffness!$C$75,Element_Stiffness!T106,IF(2=Element_Stiffness!$E$75,Element_Stiffness!Z106,0)),0)),0)+IF(Element_Stiffness!$C$111,IF(Element_Stiffness!$C$110=3,IF(2=Element_Stiffness!$C$110,Element_Stiffness!T135,IF(2=Element_Stiffness!$E$110,Element_Stiffness!Z135,0)),IF(Element_Stiffness!$E$110=3,IF(2=Element_Stiffness!$C$110,Element_Stiffness!T141,IF(2=Element_Stiffness!$E$110,Element_Stiffness!Z141,0)),0)),0)+IF(Element_Stiffness!$C$146,IF(Element_Stiffness!$C$145=3,IF(2=Element_Stiffness!$C$145,Element_Stiffness!T170,IF(2=Element_Stiffness!$E$145,Element_Stiffness!Z170,0)),IF(Element_Stiffness!$E$145=3,IF(2=Element_Stiffness!$C$145,Element_Stiffness!T176,IF(2=Element_Stiffness!$E$145,Element_Stiffness!Z176,0)),0)),0)+IF(Element_Stiffness!$C$181,IF(Element_Stiffness!$C$180=3,IF(2=Element_Stiffness!$C$180,Element_Stiffness!T205,IF(2=Element_Stiffness!$E$180,Element_Stiffness!Z205,0)),IF(Element_Stiffness!$E$180=3,IF(2=Element_Stiffness!$C$180,Element_Stiffness!T211,IF(2=Element_Stiffness!$E$180,Element_Stiffness!Z211,0)),0)),0)+IF(Element_Stiffness!$C$216,IF(Element_Stiffness!$C$215=3,IF(2=Element_Stiffness!$C$215,Element_Stiffness!T240,IF(2=Element_Stiffness!$E$215,Element_Stiffness!Z240,0)),IF(Element_Stiffness!$E$215=3,IF(2=Element_Stiffness!$C$215,Element_Stiffness!T246,IF(2=Element_Stiffness!$E$215,Element_Stiffness!Z246,0)),0)),0)</f>
        <v/>
      </c>
      <c r="T27" s="21">
        <f>IF(Element_Stiffness!$C$6,IF(Element_Stiffness!$C$5=3,IF(2=Element_Stiffness!$C$5,Element_Stiffness!U30,IF(2=Element_Stiffness!$E$5,Element_Stiffness!AA30,0)),IF(Element_Stiffness!$E$5=3,IF(2=Element_Stiffness!$C$5,Element_Stiffness!U36,IF(2=Element_Stiffness!$E$5,Element_Stiffness!AA36,0)),0)),0)+IF(Element_Stiffness!$C$41,IF(Element_Stiffness!$C$40=3,IF(2=Element_Stiffness!$C$40,Element_Stiffness!U65,IF(2=Element_Stiffness!$E$40,Element_Stiffness!AA65,0)),IF(Element_Stiffness!$E$40=3,IF(2=Element_Stiffness!$C$40,Element_Stiffness!U71,IF(2=Element_Stiffness!$E$40,Element_Stiffness!AA71,0)),0)),0)+IF(Element_Stiffness!$C$76,IF(Element_Stiffness!$C$75=3,IF(2=Element_Stiffness!$C$75,Element_Stiffness!U100,IF(2=Element_Stiffness!$E$75,Element_Stiffness!AA100,0)),IF(Element_Stiffness!$E$75=3,IF(2=Element_Stiffness!$C$75,Element_Stiffness!U106,IF(2=Element_Stiffness!$E$75,Element_Stiffness!AA106,0)),0)),0)+IF(Element_Stiffness!$C$111,IF(Element_Stiffness!$C$110=3,IF(2=Element_Stiffness!$C$110,Element_Stiffness!U135,IF(2=Element_Stiffness!$E$110,Element_Stiffness!AA135,0)),IF(Element_Stiffness!$E$110=3,IF(2=Element_Stiffness!$C$110,Element_Stiffness!U141,IF(2=Element_Stiffness!$E$110,Element_Stiffness!AA141,0)),0)),0)+IF(Element_Stiffness!$C$146,IF(Element_Stiffness!$C$145=3,IF(2=Element_Stiffness!$C$145,Element_Stiffness!U170,IF(2=Element_Stiffness!$E$145,Element_Stiffness!AA170,0)),IF(Element_Stiffness!$E$145=3,IF(2=Element_Stiffness!$C$145,Element_Stiffness!U176,IF(2=Element_Stiffness!$E$145,Element_Stiffness!AA176,0)),0)),0)+IF(Element_Stiffness!$C$181,IF(Element_Stiffness!$C$180=3,IF(2=Element_Stiffness!$C$180,Element_Stiffness!U205,IF(2=Element_Stiffness!$E$180,Element_Stiffness!AA205,0)),IF(Element_Stiffness!$E$180=3,IF(2=Element_Stiffness!$C$180,Element_Stiffness!U211,IF(2=Element_Stiffness!$E$180,Element_Stiffness!AA211,0)),0)),0)+IF(Element_Stiffness!$C$216,IF(Element_Stiffness!$C$215=3,IF(2=Element_Stiffness!$C$215,Element_Stiffness!U240,IF(2=Element_Stiffness!$E$215,Element_Stiffness!AA240,0)),IF(Element_Stiffness!$E$215=3,IF(2=Element_Stiffness!$C$215,Element_Stiffness!U246,IF(2=Element_Stiffness!$E$215,Element_Stiffness!AA246,0)),0)),0)</f>
        <v/>
      </c>
      <c r="U27" s="21">
        <f>IF(Element_Stiffness!$C$6,IF(Element_Stiffness!$C$5=3,IF(3=Element_Stiffness!$C$5,Element_Stiffness!P30,IF(3=Element_Stiffness!$E$5,Element_Stiffness!V30,0)),IF(Element_Stiffness!$E$5=3,IF(3=Element_Stiffness!$C$5,Element_Stiffness!P36,IF(3=Element_Stiffness!$E$5,Element_Stiffness!V36,0)),0)),0)+IF(Element_Stiffness!$C$41,IF(Element_Stiffness!$C$40=3,IF(3=Element_Stiffness!$C$40,Element_Stiffness!P65,IF(3=Element_Stiffness!$E$40,Element_Stiffness!V65,0)),IF(Element_Stiffness!$E$40=3,IF(3=Element_Stiffness!$C$40,Element_Stiffness!P71,IF(3=Element_Stiffness!$E$40,Element_Stiffness!V71,0)),0)),0)+IF(Element_Stiffness!$C$76,IF(Element_Stiffness!$C$75=3,IF(3=Element_Stiffness!$C$75,Element_Stiffness!P100,IF(3=Element_Stiffness!$E$75,Element_Stiffness!V100,0)),IF(Element_Stiffness!$E$75=3,IF(3=Element_Stiffness!$C$75,Element_Stiffness!P106,IF(3=Element_Stiffness!$E$75,Element_Stiffness!V106,0)),0)),0)+IF(Element_Stiffness!$C$111,IF(Element_Stiffness!$C$110=3,IF(3=Element_Stiffness!$C$110,Element_Stiffness!P135,IF(3=Element_Stiffness!$E$110,Element_Stiffness!V135,0)),IF(Element_Stiffness!$E$110=3,IF(3=Element_Stiffness!$C$110,Element_Stiffness!P141,IF(3=Element_Stiffness!$E$110,Element_Stiffness!V141,0)),0)),0)+IF(Element_Stiffness!$C$146,IF(Element_Stiffness!$C$145=3,IF(3=Element_Stiffness!$C$145,Element_Stiffness!P170,IF(3=Element_Stiffness!$E$145,Element_Stiffness!V170,0)),IF(Element_Stiffness!$E$145=3,IF(3=Element_Stiffness!$C$145,Element_Stiffness!P176,IF(3=Element_Stiffness!$E$145,Element_Stiffness!V176,0)),0)),0)+IF(Element_Stiffness!$C$181,IF(Element_Stiffness!$C$180=3,IF(3=Element_Stiffness!$C$180,Element_Stiffness!P205,IF(3=Element_Stiffness!$E$180,Element_Stiffness!V205,0)),IF(Element_Stiffness!$E$180=3,IF(3=Element_Stiffness!$C$180,Element_Stiffness!P211,IF(3=Element_Stiffness!$E$180,Element_Stiffness!V211,0)),0)),0)+IF(Element_Stiffness!$C$216,IF(Element_Stiffness!$C$215=3,IF(3=Element_Stiffness!$C$215,Element_Stiffness!P240,IF(3=Element_Stiffness!$E$215,Element_Stiffness!V240,0)),IF(Element_Stiffness!$E$215=3,IF(3=Element_Stiffness!$C$215,Element_Stiffness!P246,IF(3=Element_Stiffness!$E$215,Element_Stiffness!V246,0)),0)),0)</f>
        <v/>
      </c>
      <c r="V27" s="21">
        <f>IF(Element_Stiffness!$C$6,IF(Element_Stiffness!$C$5=3,IF(3=Element_Stiffness!$C$5,Element_Stiffness!Q30,IF(3=Element_Stiffness!$E$5,Element_Stiffness!W30,0)),IF(Element_Stiffness!$E$5=3,IF(3=Element_Stiffness!$C$5,Element_Stiffness!Q36,IF(3=Element_Stiffness!$E$5,Element_Stiffness!W36,0)),0)),0)+IF(Element_Stiffness!$C$41,IF(Element_Stiffness!$C$40=3,IF(3=Element_Stiffness!$C$40,Element_Stiffness!Q65,IF(3=Element_Stiffness!$E$40,Element_Stiffness!W65,0)),IF(Element_Stiffness!$E$40=3,IF(3=Element_Stiffness!$C$40,Element_Stiffness!Q71,IF(3=Element_Stiffness!$E$40,Element_Stiffness!W71,0)),0)),0)+IF(Element_Stiffness!$C$76,IF(Element_Stiffness!$C$75=3,IF(3=Element_Stiffness!$C$75,Element_Stiffness!Q100,IF(3=Element_Stiffness!$E$75,Element_Stiffness!W100,0)),IF(Element_Stiffness!$E$75=3,IF(3=Element_Stiffness!$C$75,Element_Stiffness!Q106,IF(3=Element_Stiffness!$E$75,Element_Stiffness!W106,0)),0)),0)+IF(Element_Stiffness!$C$111,IF(Element_Stiffness!$C$110=3,IF(3=Element_Stiffness!$C$110,Element_Stiffness!Q135,IF(3=Element_Stiffness!$E$110,Element_Stiffness!W135,0)),IF(Element_Stiffness!$E$110=3,IF(3=Element_Stiffness!$C$110,Element_Stiffness!Q141,IF(3=Element_Stiffness!$E$110,Element_Stiffness!W141,0)),0)),0)+IF(Element_Stiffness!$C$146,IF(Element_Stiffness!$C$145=3,IF(3=Element_Stiffness!$C$145,Element_Stiffness!Q170,IF(3=Element_Stiffness!$E$145,Element_Stiffness!W170,0)),IF(Element_Stiffness!$E$145=3,IF(3=Element_Stiffness!$C$145,Element_Stiffness!Q176,IF(3=Element_Stiffness!$E$145,Element_Stiffness!W176,0)),0)),0)+IF(Element_Stiffness!$C$181,IF(Element_Stiffness!$C$180=3,IF(3=Element_Stiffness!$C$180,Element_Stiffness!Q205,IF(3=Element_Stiffness!$E$180,Element_Stiffness!W205,0)),IF(Element_Stiffness!$E$180=3,IF(3=Element_Stiffness!$C$180,Element_Stiffness!Q211,IF(3=Element_Stiffness!$E$180,Element_Stiffness!W211,0)),0)),0)+IF(Element_Stiffness!$C$216,IF(Element_Stiffness!$C$215=3,IF(3=Element_Stiffness!$C$215,Element_Stiffness!Q240,IF(3=Element_Stiffness!$E$215,Element_Stiffness!W240,0)),IF(Element_Stiffness!$E$215=3,IF(3=Element_Stiffness!$C$215,Element_Stiffness!Q246,IF(3=Element_Stiffness!$E$215,Element_Stiffness!W246,0)),0)),0)</f>
        <v/>
      </c>
      <c r="W27" s="21">
        <f>IF(Element_Stiffness!$C$6,IF(Element_Stiffness!$C$5=3,IF(3=Element_Stiffness!$C$5,Element_Stiffness!R30,IF(3=Element_Stiffness!$E$5,Element_Stiffness!X30,0)),IF(Element_Stiffness!$E$5=3,IF(3=Element_Stiffness!$C$5,Element_Stiffness!R36,IF(3=Element_Stiffness!$E$5,Element_Stiffness!X36,0)),0)),0)+IF(Element_Stiffness!$C$41,IF(Element_Stiffness!$C$40=3,IF(3=Element_Stiffness!$C$40,Element_Stiffness!R65,IF(3=Element_Stiffness!$E$40,Element_Stiffness!X65,0)),IF(Element_Stiffness!$E$40=3,IF(3=Element_Stiffness!$C$40,Element_Stiffness!R71,IF(3=Element_Stiffness!$E$40,Element_Stiffness!X71,0)),0)),0)+IF(Element_Stiffness!$C$76,IF(Element_Stiffness!$C$75=3,IF(3=Element_Stiffness!$C$75,Element_Stiffness!R100,IF(3=Element_Stiffness!$E$75,Element_Stiffness!X100,0)),IF(Element_Stiffness!$E$75=3,IF(3=Element_Stiffness!$C$75,Element_Stiffness!R106,IF(3=Element_Stiffness!$E$75,Element_Stiffness!X106,0)),0)),0)+IF(Element_Stiffness!$C$111,IF(Element_Stiffness!$C$110=3,IF(3=Element_Stiffness!$C$110,Element_Stiffness!R135,IF(3=Element_Stiffness!$E$110,Element_Stiffness!X135,0)),IF(Element_Stiffness!$E$110=3,IF(3=Element_Stiffness!$C$110,Element_Stiffness!R141,IF(3=Element_Stiffness!$E$110,Element_Stiffness!X141,0)),0)),0)+IF(Element_Stiffness!$C$146,IF(Element_Stiffness!$C$145=3,IF(3=Element_Stiffness!$C$145,Element_Stiffness!R170,IF(3=Element_Stiffness!$E$145,Element_Stiffness!X170,0)),IF(Element_Stiffness!$E$145=3,IF(3=Element_Stiffness!$C$145,Element_Stiffness!R176,IF(3=Element_Stiffness!$E$145,Element_Stiffness!X176,0)),0)),0)+IF(Element_Stiffness!$C$181,IF(Element_Stiffness!$C$180=3,IF(3=Element_Stiffness!$C$180,Element_Stiffness!R205,IF(3=Element_Stiffness!$E$180,Element_Stiffness!X205,0)),IF(Element_Stiffness!$E$180=3,IF(3=Element_Stiffness!$C$180,Element_Stiffness!R211,IF(3=Element_Stiffness!$E$180,Element_Stiffness!X211,0)),0)),0)+IF(Element_Stiffness!$C$216,IF(Element_Stiffness!$C$215=3,IF(3=Element_Stiffness!$C$215,Element_Stiffness!R240,IF(3=Element_Stiffness!$E$215,Element_Stiffness!X240,0)),IF(Element_Stiffness!$E$215=3,IF(3=Element_Stiffness!$C$215,Element_Stiffness!R246,IF(3=Element_Stiffness!$E$215,Element_Stiffness!X246,0)),0)),0)</f>
        <v/>
      </c>
      <c r="X27" s="21">
        <f>IF(Element_Stiffness!$C$6,IF(Element_Stiffness!$C$5=3,IF(3=Element_Stiffness!$C$5,Element_Stiffness!S30,IF(3=Element_Stiffness!$E$5,Element_Stiffness!Y30,0)),IF(Element_Stiffness!$E$5=3,IF(3=Element_Stiffness!$C$5,Element_Stiffness!S36,IF(3=Element_Stiffness!$E$5,Element_Stiffness!Y36,0)),0)),0)+IF(Element_Stiffness!$C$41,IF(Element_Stiffness!$C$40=3,IF(3=Element_Stiffness!$C$40,Element_Stiffness!S65,IF(3=Element_Stiffness!$E$40,Element_Stiffness!Y65,0)),IF(Element_Stiffness!$E$40=3,IF(3=Element_Stiffness!$C$40,Element_Stiffness!S71,IF(3=Element_Stiffness!$E$40,Element_Stiffness!Y71,0)),0)),0)+IF(Element_Stiffness!$C$76,IF(Element_Stiffness!$C$75=3,IF(3=Element_Stiffness!$C$75,Element_Stiffness!S100,IF(3=Element_Stiffness!$E$75,Element_Stiffness!Y100,0)),IF(Element_Stiffness!$E$75=3,IF(3=Element_Stiffness!$C$75,Element_Stiffness!S106,IF(3=Element_Stiffness!$E$75,Element_Stiffness!Y106,0)),0)),0)+IF(Element_Stiffness!$C$111,IF(Element_Stiffness!$C$110=3,IF(3=Element_Stiffness!$C$110,Element_Stiffness!S135,IF(3=Element_Stiffness!$E$110,Element_Stiffness!Y135,0)),IF(Element_Stiffness!$E$110=3,IF(3=Element_Stiffness!$C$110,Element_Stiffness!S141,IF(3=Element_Stiffness!$E$110,Element_Stiffness!Y141,0)),0)),0)+IF(Element_Stiffness!$C$146,IF(Element_Stiffness!$C$145=3,IF(3=Element_Stiffness!$C$145,Element_Stiffness!S170,IF(3=Element_Stiffness!$E$145,Element_Stiffness!Y170,0)),IF(Element_Stiffness!$E$145=3,IF(3=Element_Stiffness!$C$145,Element_Stiffness!S176,IF(3=Element_Stiffness!$E$145,Element_Stiffness!Y176,0)),0)),0)+IF(Element_Stiffness!$C$181,IF(Element_Stiffness!$C$180=3,IF(3=Element_Stiffness!$C$180,Element_Stiffness!S205,IF(3=Element_Stiffness!$E$180,Element_Stiffness!Y205,0)),IF(Element_Stiffness!$E$180=3,IF(3=Element_Stiffness!$C$180,Element_Stiffness!S211,IF(3=Element_Stiffness!$E$180,Element_Stiffness!Y211,0)),0)),0)+IF(Element_Stiffness!$C$216,IF(Element_Stiffness!$C$215=3,IF(3=Element_Stiffness!$C$215,Element_Stiffness!S240,IF(3=Element_Stiffness!$E$215,Element_Stiffness!Y240,0)),IF(Element_Stiffness!$E$215=3,IF(3=Element_Stiffness!$C$215,Element_Stiffness!S246,IF(3=Element_Stiffness!$E$215,Element_Stiffness!Y246,0)),0)),0)</f>
        <v/>
      </c>
      <c r="Y27" s="21">
        <f>IF(Element_Stiffness!$C$6,IF(Element_Stiffness!$C$5=3,IF(3=Element_Stiffness!$C$5,Element_Stiffness!T30,IF(3=Element_Stiffness!$E$5,Element_Stiffness!Z30,0)),IF(Element_Stiffness!$E$5=3,IF(3=Element_Stiffness!$C$5,Element_Stiffness!T36,IF(3=Element_Stiffness!$E$5,Element_Stiffness!Z36,0)),0)),0)+IF(Element_Stiffness!$C$41,IF(Element_Stiffness!$C$40=3,IF(3=Element_Stiffness!$C$40,Element_Stiffness!T65,IF(3=Element_Stiffness!$E$40,Element_Stiffness!Z65,0)),IF(Element_Stiffness!$E$40=3,IF(3=Element_Stiffness!$C$40,Element_Stiffness!T71,IF(3=Element_Stiffness!$E$40,Element_Stiffness!Z71,0)),0)),0)+IF(Element_Stiffness!$C$76,IF(Element_Stiffness!$C$75=3,IF(3=Element_Stiffness!$C$75,Element_Stiffness!T100,IF(3=Element_Stiffness!$E$75,Element_Stiffness!Z100,0)),IF(Element_Stiffness!$E$75=3,IF(3=Element_Stiffness!$C$75,Element_Stiffness!T106,IF(3=Element_Stiffness!$E$75,Element_Stiffness!Z106,0)),0)),0)+IF(Element_Stiffness!$C$111,IF(Element_Stiffness!$C$110=3,IF(3=Element_Stiffness!$C$110,Element_Stiffness!T135,IF(3=Element_Stiffness!$E$110,Element_Stiffness!Z135,0)),IF(Element_Stiffness!$E$110=3,IF(3=Element_Stiffness!$C$110,Element_Stiffness!T141,IF(3=Element_Stiffness!$E$110,Element_Stiffness!Z141,0)),0)),0)+IF(Element_Stiffness!$C$146,IF(Element_Stiffness!$C$145=3,IF(3=Element_Stiffness!$C$145,Element_Stiffness!T170,IF(3=Element_Stiffness!$E$145,Element_Stiffness!Z170,0)),IF(Element_Stiffness!$E$145=3,IF(3=Element_Stiffness!$C$145,Element_Stiffness!T176,IF(3=Element_Stiffness!$E$145,Element_Stiffness!Z176,0)),0)),0)+IF(Element_Stiffness!$C$181,IF(Element_Stiffness!$C$180=3,IF(3=Element_Stiffness!$C$180,Element_Stiffness!T205,IF(3=Element_Stiffness!$E$180,Element_Stiffness!Z205,0)),IF(Element_Stiffness!$E$180=3,IF(3=Element_Stiffness!$C$180,Element_Stiffness!T211,IF(3=Element_Stiffness!$E$180,Element_Stiffness!Z211,0)),0)),0)+IF(Element_Stiffness!$C$216,IF(Element_Stiffness!$C$215=3,IF(3=Element_Stiffness!$C$215,Element_Stiffness!T240,IF(3=Element_Stiffness!$E$215,Element_Stiffness!Z240,0)),IF(Element_Stiffness!$E$215=3,IF(3=Element_Stiffness!$C$215,Element_Stiffness!T246,IF(3=Element_Stiffness!$E$215,Element_Stiffness!Z246,0)),0)),0)+IF(Inputs!G43=TRUE,1E15,IF(ISNUMBER(Inputs!G43),Inputs!G43,0))</f>
        <v/>
      </c>
      <c r="Z27" s="21">
        <f>IF(Element_Stiffness!$C$6,IF(Element_Stiffness!$C$5=3,IF(3=Element_Stiffness!$C$5,Element_Stiffness!U30,IF(3=Element_Stiffness!$E$5,Element_Stiffness!AA30,0)),IF(Element_Stiffness!$E$5=3,IF(3=Element_Stiffness!$C$5,Element_Stiffness!U36,IF(3=Element_Stiffness!$E$5,Element_Stiffness!AA36,0)),0)),0)+IF(Element_Stiffness!$C$41,IF(Element_Stiffness!$C$40=3,IF(3=Element_Stiffness!$C$40,Element_Stiffness!U65,IF(3=Element_Stiffness!$E$40,Element_Stiffness!AA65,0)),IF(Element_Stiffness!$E$40=3,IF(3=Element_Stiffness!$C$40,Element_Stiffness!U71,IF(3=Element_Stiffness!$E$40,Element_Stiffness!AA71,0)),0)),0)+IF(Element_Stiffness!$C$76,IF(Element_Stiffness!$C$75=3,IF(3=Element_Stiffness!$C$75,Element_Stiffness!U100,IF(3=Element_Stiffness!$E$75,Element_Stiffness!AA100,0)),IF(Element_Stiffness!$E$75=3,IF(3=Element_Stiffness!$C$75,Element_Stiffness!U106,IF(3=Element_Stiffness!$E$75,Element_Stiffness!AA106,0)),0)),0)+IF(Element_Stiffness!$C$111,IF(Element_Stiffness!$C$110=3,IF(3=Element_Stiffness!$C$110,Element_Stiffness!U135,IF(3=Element_Stiffness!$E$110,Element_Stiffness!AA135,0)),IF(Element_Stiffness!$E$110=3,IF(3=Element_Stiffness!$C$110,Element_Stiffness!U141,IF(3=Element_Stiffness!$E$110,Element_Stiffness!AA141,0)),0)),0)+IF(Element_Stiffness!$C$146,IF(Element_Stiffness!$C$145=3,IF(3=Element_Stiffness!$C$145,Element_Stiffness!U170,IF(3=Element_Stiffness!$E$145,Element_Stiffness!AA170,0)),IF(Element_Stiffness!$E$145=3,IF(3=Element_Stiffness!$C$145,Element_Stiffness!U176,IF(3=Element_Stiffness!$E$145,Element_Stiffness!AA176,0)),0)),0)+IF(Element_Stiffness!$C$181,IF(Element_Stiffness!$C$180=3,IF(3=Element_Stiffness!$C$180,Element_Stiffness!U205,IF(3=Element_Stiffness!$E$180,Element_Stiffness!AA205,0)),IF(Element_Stiffness!$E$180=3,IF(3=Element_Stiffness!$C$180,Element_Stiffness!U211,IF(3=Element_Stiffness!$E$180,Element_Stiffness!AA211,0)),0)),0)+IF(Element_Stiffness!$C$216,IF(Element_Stiffness!$C$215=3,IF(3=Element_Stiffness!$C$215,Element_Stiffness!U240,IF(3=Element_Stiffness!$E$215,Element_Stiffness!AA240,0)),IF(Element_Stiffness!$E$215=3,IF(3=Element_Stiffness!$C$215,Element_Stiffness!U246,IF(3=Element_Stiffness!$E$215,Element_Stiffness!AA246,0)),0)),0)</f>
        <v/>
      </c>
      <c r="AA27" s="21">
        <f>IF(Element_Stiffness!$C$6,IF(Element_Stiffness!$C$5=3,IF(4=Element_Stiffness!$C$5,Element_Stiffness!P30,IF(4=Element_Stiffness!$E$5,Element_Stiffness!V30,0)),IF(Element_Stiffness!$E$5=3,IF(4=Element_Stiffness!$C$5,Element_Stiffness!P36,IF(4=Element_Stiffness!$E$5,Element_Stiffness!V36,0)),0)),0)+IF(Element_Stiffness!$C$41,IF(Element_Stiffness!$C$40=3,IF(4=Element_Stiffness!$C$40,Element_Stiffness!P65,IF(4=Element_Stiffness!$E$40,Element_Stiffness!V65,0)),IF(Element_Stiffness!$E$40=3,IF(4=Element_Stiffness!$C$40,Element_Stiffness!P71,IF(4=Element_Stiffness!$E$40,Element_Stiffness!V71,0)),0)),0)+IF(Element_Stiffness!$C$76,IF(Element_Stiffness!$C$75=3,IF(4=Element_Stiffness!$C$75,Element_Stiffness!P100,IF(4=Element_Stiffness!$E$75,Element_Stiffness!V100,0)),IF(Element_Stiffness!$E$75=3,IF(4=Element_Stiffness!$C$75,Element_Stiffness!P106,IF(4=Element_Stiffness!$E$75,Element_Stiffness!V106,0)),0)),0)+IF(Element_Stiffness!$C$111,IF(Element_Stiffness!$C$110=3,IF(4=Element_Stiffness!$C$110,Element_Stiffness!P135,IF(4=Element_Stiffness!$E$110,Element_Stiffness!V135,0)),IF(Element_Stiffness!$E$110=3,IF(4=Element_Stiffness!$C$110,Element_Stiffness!P141,IF(4=Element_Stiffness!$E$110,Element_Stiffness!V141,0)),0)),0)+IF(Element_Stiffness!$C$146,IF(Element_Stiffness!$C$145=3,IF(4=Element_Stiffness!$C$145,Element_Stiffness!P170,IF(4=Element_Stiffness!$E$145,Element_Stiffness!V170,0)),IF(Element_Stiffness!$E$145=3,IF(4=Element_Stiffness!$C$145,Element_Stiffness!P176,IF(4=Element_Stiffness!$E$145,Element_Stiffness!V176,0)),0)),0)+IF(Element_Stiffness!$C$181,IF(Element_Stiffness!$C$180=3,IF(4=Element_Stiffness!$C$180,Element_Stiffness!P205,IF(4=Element_Stiffness!$E$180,Element_Stiffness!V205,0)),IF(Element_Stiffness!$E$180=3,IF(4=Element_Stiffness!$C$180,Element_Stiffness!P211,IF(4=Element_Stiffness!$E$180,Element_Stiffness!V211,0)),0)),0)+IF(Element_Stiffness!$C$216,IF(Element_Stiffness!$C$215=3,IF(4=Element_Stiffness!$C$215,Element_Stiffness!P240,IF(4=Element_Stiffness!$E$215,Element_Stiffness!V240,0)),IF(Element_Stiffness!$E$215=3,IF(4=Element_Stiffness!$C$215,Element_Stiffness!P246,IF(4=Element_Stiffness!$E$215,Element_Stiffness!V246,0)),0)),0)</f>
        <v/>
      </c>
      <c r="AB27" s="21">
        <f>IF(Element_Stiffness!$C$6,IF(Element_Stiffness!$C$5=3,IF(4=Element_Stiffness!$C$5,Element_Stiffness!Q30,IF(4=Element_Stiffness!$E$5,Element_Stiffness!W30,0)),IF(Element_Stiffness!$E$5=3,IF(4=Element_Stiffness!$C$5,Element_Stiffness!Q36,IF(4=Element_Stiffness!$E$5,Element_Stiffness!W36,0)),0)),0)+IF(Element_Stiffness!$C$41,IF(Element_Stiffness!$C$40=3,IF(4=Element_Stiffness!$C$40,Element_Stiffness!Q65,IF(4=Element_Stiffness!$E$40,Element_Stiffness!W65,0)),IF(Element_Stiffness!$E$40=3,IF(4=Element_Stiffness!$C$40,Element_Stiffness!Q71,IF(4=Element_Stiffness!$E$40,Element_Stiffness!W71,0)),0)),0)+IF(Element_Stiffness!$C$76,IF(Element_Stiffness!$C$75=3,IF(4=Element_Stiffness!$C$75,Element_Stiffness!Q100,IF(4=Element_Stiffness!$E$75,Element_Stiffness!W100,0)),IF(Element_Stiffness!$E$75=3,IF(4=Element_Stiffness!$C$75,Element_Stiffness!Q106,IF(4=Element_Stiffness!$E$75,Element_Stiffness!W106,0)),0)),0)+IF(Element_Stiffness!$C$111,IF(Element_Stiffness!$C$110=3,IF(4=Element_Stiffness!$C$110,Element_Stiffness!Q135,IF(4=Element_Stiffness!$E$110,Element_Stiffness!W135,0)),IF(Element_Stiffness!$E$110=3,IF(4=Element_Stiffness!$C$110,Element_Stiffness!Q141,IF(4=Element_Stiffness!$E$110,Element_Stiffness!W141,0)),0)),0)+IF(Element_Stiffness!$C$146,IF(Element_Stiffness!$C$145=3,IF(4=Element_Stiffness!$C$145,Element_Stiffness!Q170,IF(4=Element_Stiffness!$E$145,Element_Stiffness!W170,0)),IF(Element_Stiffness!$E$145=3,IF(4=Element_Stiffness!$C$145,Element_Stiffness!Q176,IF(4=Element_Stiffness!$E$145,Element_Stiffness!W176,0)),0)),0)+IF(Element_Stiffness!$C$181,IF(Element_Stiffness!$C$180=3,IF(4=Element_Stiffness!$C$180,Element_Stiffness!Q205,IF(4=Element_Stiffness!$E$180,Element_Stiffness!W205,0)),IF(Element_Stiffness!$E$180=3,IF(4=Element_Stiffness!$C$180,Element_Stiffness!Q211,IF(4=Element_Stiffness!$E$180,Element_Stiffness!W211,0)),0)),0)+IF(Element_Stiffness!$C$216,IF(Element_Stiffness!$C$215=3,IF(4=Element_Stiffness!$C$215,Element_Stiffness!Q240,IF(4=Element_Stiffness!$E$215,Element_Stiffness!W240,0)),IF(Element_Stiffness!$E$215=3,IF(4=Element_Stiffness!$C$215,Element_Stiffness!Q246,IF(4=Element_Stiffness!$E$215,Element_Stiffness!W246,0)),0)),0)</f>
        <v/>
      </c>
      <c r="AC27" s="21">
        <f>IF(Element_Stiffness!$C$6,IF(Element_Stiffness!$C$5=3,IF(4=Element_Stiffness!$C$5,Element_Stiffness!R30,IF(4=Element_Stiffness!$E$5,Element_Stiffness!X30,0)),IF(Element_Stiffness!$E$5=3,IF(4=Element_Stiffness!$C$5,Element_Stiffness!R36,IF(4=Element_Stiffness!$E$5,Element_Stiffness!X36,0)),0)),0)+IF(Element_Stiffness!$C$41,IF(Element_Stiffness!$C$40=3,IF(4=Element_Stiffness!$C$40,Element_Stiffness!R65,IF(4=Element_Stiffness!$E$40,Element_Stiffness!X65,0)),IF(Element_Stiffness!$E$40=3,IF(4=Element_Stiffness!$C$40,Element_Stiffness!R71,IF(4=Element_Stiffness!$E$40,Element_Stiffness!X71,0)),0)),0)+IF(Element_Stiffness!$C$76,IF(Element_Stiffness!$C$75=3,IF(4=Element_Stiffness!$C$75,Element_Stiffness!R100,IF(4=Element_Stiffness!$E$75,Element_Stiffness!X100,0)),IF(Element_Stiffness!$E$75=3,IF(4=Element_Stiffness!$C$75,Element_Stiffness!R106,IF(4=Element_Stiffness!$E$75,Element_Stiffness!X106,0)),0)),0)+IF(Element_Stiffness!$C$111,IF(Element_Stiffness!$C$110=3,IF(4=Element_Stiffness!$C$110,Element_Stiffness!R135,IF(4=Element_Stiffness!$E$110,Element_Stiffness!X135,0)),IF(Element_Stiffness!$E$110=3,IF(4=Element_Stiffness!$C$110,Element_Stiffness!R141,IF(4=Element_Stiffness!$E$110,Element_Stiffness!X141,0)),0)),0)+IF(Element_Stiffness!$C$146,IF(Element_Stiffness!$C$145=3,IF(4=Element_Stiffness!$C$145,Element_Stiffness!R170,IF(4=Element_Stiffness!$E$145,Element_Stiffness!X170,0)),IF(Element_Stiffness!$E$145=3,IF(4=Element_Stiffness!$C$145,Element_Stiffness!R176,IF(4=Element_Stiffness!$E$145,Element_Stiffness!X176,0)),0)),0)+IF(Element_Stiffness!$C$181,IF(Element_Stiffness!$C$180=3,IF(4=Element_Stiffness!$C$180,Element_Stiffness!R205,IF(4=Element_Stiffness!$E$180,Element_Stiffness!X205,0)),IF(Element_Stiffness!$E$180=3,IF(4=Element_Stiffness!$C$180,Element_Stiffness!R211,IF(4=Element_Stiffness!$E$180,Element_Stiffness!X211,0)),0)),0)+IF(Element_Stiffness!$C$216,IF(Element_Stiffness!$C$215=3,IF(4=Element_Stiffness!$C$215,Element_Stiffness!R240,IF(4=Element_Stiffness!$E$215,Element_Stiffness!X240,0)),IF(Element_Stiffness!$E$215=3,IF(4=Element_Stiffness!$C$215,Element_Stiffness!R246,IF(4=Element_Stiffness!$E$215,Element_Stiffness!X246,0)),0)),0)</f>
        <v/>
      </c>
      <c r="AD27" s="21">
        <f>IF(Element_Stiffness!$C$6,IF(Element_Stiffness!$C$5=3,IF(4=Element_Stiffness!$C$5,Element_Stiffness!S30,IF(4=Element_Stiffness!$E$5,Element_Stiffness!Y30,0)),IF(Element_Stiffness!$E$5=3,IF(4=Element_Stiffness!$C$5,Element_Stiffness!S36,IF(4=Element_Stiffness!$E$5,Element_Stiffness!Y36,0)),0)),0)+IF(Element_Stiffness!$C$41,IF(Element_Stiffness!$C$40=3,IF(4=Element_Stiffness!$C$40,Element_Stiffness!S65,IF(4=Element_Stiffness!$E$40,Element_Stiffness!Y65,0)),IF(Element_Stiffness!$E$40=3,IF(4=Element_Stiffness!$C$40,Element_Stiffness!S71,IF(4=Element_Stiffness!$E$40,Element_Stiffness!Y71,0)),0)),0)+IF(Element_Stiffness!$C$76,IF(Element_Stiffness!$C$75=3,IF(4=Element_Stiffness!$C$75,Element_Stiffness!S100,IF(4=Element_Stiffness!$E$75,Element_Stiffness!Y100,0)),IF(Element_Stiffness!$E$75=3,IF(4=Element_Stiffness!$C$75,Element_Stiffness!S106,IF(4=Element_Stiffness!$E$75,Element_Stiffness!Y106,0)),0)),0)+IF(Element_Stiffness!$C$111,IF(Element_Stiffness!$C$110=3,IF(4=Element_Stiffness!$C$110,Element_Stiffness!S135,IF(4=Element_Stiffness!$E$110,Element_Stiffness!Y135,0)),IF(Element_Stiffness!$E$110=3,IF(4=Element_Stiffness!$C$110,Element_Stiffness!S141,IF(4=Element_Stiffness!$E$110,Element_Stiffness!Y141,0)),0)),0)+IF(Element_Stiffness!$C$146,IF(Element_Stiffness!$C$145=3,IF(4=Element_Stiffness!$C$145,Element_Stiffness!S170,IF(4=Element_Stiffness!$E$145,Element_Stiffness!Y170,0)),IF(Element_Stiffness!$E$145=3,IF(4=Element_Stiffness!$C$145,Element_Stiffness!S176,IF(4=Element_Stiffness!$E$145,Element_Stiffness!Y176,0)),0)),0)+IF(Element_Stiffness!$C$181,IF(Element_Stiffness!$C$180=3,IF(4=Element_Stiffness!$C$180,Element_Stiffness!S205,IF(4=Element_Stiffness!$E$180,Element_Stiffness!Y205,0)),IF(Element_Stiffness!$E$180=3,IF(4=Element_Stiffness!$C$180,Element_Stiffness!S211,IF(4=Element_Stiffness!$E$180,Element_Stiffness!Y211,0)),0)),0)+IF(Element_Stiffness!$C$216,IF(Element_Stiffness!$C$215=3,IF(4=Element_Stiffness!$C$215,Element_Stiffness!S240,IF(4=Element_Stiffness!$E$215,Element_Stiffness!Y240,0)),IF(Element_Stiffness!$E$215=3,IF(4=Element_Stiffness!$C$215,Element_Stiffness!S246,IF(4=Element_Stiffness!$E$215,Element_Stiffness!Y246,0)),0)),0)</f>
        <v/>
      </c>
      <c r="AE27" s="21">
        <f>IF(Element_Stiffness!$C$6,IF(Element_Stiffness!$C$5=3,IF(4=Element_Stiffness!$C$5,Element_Stiffness!T30,IF(4=Element_Stiffness!$E$5,Element_Stiffness!Z30,0)),IF(Element_Stiffness!$E$5=3,IF(4=Element_Stiffness!$C$5,Element_Stiffness!T36,IF(4=Element_Stiffness!$E$5,Element_Stiffness!Z36,0)),0)),0)+IF(Element_Stiffness!$C$41,IF(Element_Stiffness!$C$40=3,IF(4=Element_Stiffness!$C$40,Element_Stiffness!T65,IF(4=Element_Stiffness!$E$40,Element_Stiffness!Z65,0)),IF(Element_Stiffness!$E$40=3,IF(4=Element_Stiffness!$C$40,Element_Stiffness!T71,IF(4=Element_Stiffness!$E$40,Element_Stiffness!Z71,0)),0)),0)+IF(Element_Stiffness!$C$76,IF(Element_Stiffness!$C$75=3,IF(4=Element_Stiffness!$C$75,Element_Stiffness!T100,IF(4=Element_Stiffness!$E$75,Element_Stiffness!Z100,0)),IF(Element_Stiffness!$E$75=3,IF(4=Element_Stiffness!$C$75,Element_Stiffness!T106,IF(4=Element_Stiffness!$E$75,Element_Stiffness!Z106,0)),0)),0)+IF(Element_Stiffness!$C$111,IF(Element_Stiffness!$C$110=3,IF(4=Element_Stiffness!$C$110,Element_Stiffness!T135,IF(4=Element_Stiffness!$E$110,Element_Stiffness!Z135,0)),IF(Element_Stiffness!$E$110=3,IF(4=Element_Stiffness!$C$110,Element_Stiffness!T141,IF(4=Element_Stiffness!$E$110,Element_Stiffness!Z141,0)),0)),0)+IF(Element_Stiffness!$C$146,IF(Element_Stiffness!$C$145=3,IF(4=Element_Stiffness!$C$145,Element_Stiffness!T170,IF(4=Element_Stiffness!$E$145,Element_Stiffness!Z170,0)),IF(Element_Stiffness!$E$145=3,IF(4=Element_Stiffness!$C$145,Element_Stiffness!T176,IF(4=Element_Stiffness!$E$145,Element_Stiffness!Z176,0)),0)),0)+IF(Element_Stiffness!$C$181,IF(Element_Stiffness!$C$180=3,IF(4=Element_Stiffness!$C$180,Element_Stiffness!T205,IF(4=Element_Stiffness!$E$180,Element_Stiffness!Z205,0)),IF(Element_Stiffness!$E$180=3,IF(4=Element_Stiffness!$C$180,Element_Stiffness!T211,IF(4=Element_Stiffness!$E$180,Element_Stiffness!Z211,0)),0)),0)+IF(Element_Stiffness!$C$216,IF(Element_Stiffness!$C$215=3,IF(4=Element_Stiffness!$C$215,Element_Stiffness!T240,IF(4=Element_Stiffness!$E$215,Element_Stiffness!Z240,0)),IF(Element_Stiffness!$E$215=3,IF(4=Element_Stiffness!$C$215,Element_Stiffness!T246,IF(4=Element_Stiffness!$E$215,Element_Stiffness!Z246,0)),0)),0)</f>
        <v/>
      </c>
      <c r="AF27" s="21">
        <f>IF(Element_Stiffness!$C$6,IF(Element_Stiffness!$C$5=3,IF(4=Element_Stiffness!$C$5,Element_Stiffness!U30,IF(4=Element_Stiffness!$E$5,Element_Stiffness!AA30,0)),IF(Element_Stiffness!$E$5=3,IF(4=Element_Stiffness!$C$5,Element_Stiffness!U36,IF(4=Element_Stiffness!$E$5,Element_Stiffness!AA36,0)),0)),0)+IF(Element_Stiffness!$C$41,IF(Element_Stiffness!$C$40=3,IF(4=Element_Stiffness!$C$40,Element_Stiffness!U65,IF(4=Element_Stiffness!$E$40,Element_Stiffness!AA65,0)),IF(Element_Stiffness!$E$40=3,IF(4=Element_Stiffness!$C$40,Element_Stiffness!U71,IF(4=Element_Stiffness!$E$40,Element_Stiffness!AA71,0)),0)),0)+IF(Element_Stiffness!$C$76,IF(Element_Stiffness!$C$75=3,IF(4=Element_Stiffness!$C$75,Element_Stiffness!U100,IF(4=Element_Stiffness!$E$75,Element_Stiffness!AA100,0)),IF(Element_Stiffness!$E$75=3,IF(4=Element_Stiffness!$C$75,Element_Stiffness!U106,IF(4=Element_Stiffness!$E$75,Element_Stiffness!AA106,0)),0)),0)+IF(Element_Stiffness!$C$111,IF(Element_Stiffness!$C$110=3,IF(4=Element_Stiffness!$C$110,Element_Stiffness!U135,IF(4=Element_Stiffness!$E$110,Element_Stiffness!AA135,0)),IF(Element_Stiffness!$E$110=3,IF(4=Element_Stiffness!$C$110,Element_Stiffness!U141,IF(4=Element_Stiffness!$E$110,Element_Stiffness!AA141,0)),0)),0)+IF(Element_Stiffness!$C$146,IF(Element_Stiffness!$C$145=3,IF(4=Element_Stiffness!$C$145,Element_Stiffness!U170,IF(4=Element_Stiffness!$E$145,Element_Stiffness!AA170,0)),IF(Element_Stiffness!$E$145=3,IF(4=Element_Stiffness!$C$145,Element_Stiffness!U176,IF(4=Element_Stiffness!$E$145,Element_Stiffness!AA176,0)),0)),0)+IF(Element_Stiffness!$C$181,IF(Element_Stiffness!$C$180=3,IF(4=Element_Stiffness!$C$180,Element_Stiffness!U205,IF(4=Element_Stiffness!$E$180,Element_Stiffness!AA205,0)),IF(Element_Stiffness!$E$180=3,IF(4=Element_Stiffness!$C$180,Element_Stiffness!U211,IF(4=Element_Stiffness!$E$180,Element_Stiffness!AA211,0)),0)),0)+IF(Element_Stiffness!$C$216,IF(Element_Stiffness!$C$215=3,IF(4=Element_Stiffness!$C$215,Element_Stiffness!U240,IF(4=Element_Stiffness!$E$215,Element_Stiffness!AA240,0)),IF(Element_Stiffness!$E$215=3,IF(4=Element_Stiffness!$C$215,Element_Stiffness!U246,IF(4=Element_Stiffness!$E$215,Element_Stiffness!AA246,0)),0)),0)</f>
        <v/>
      </c>
      <c r="AG27" s="21">
        <f>IF(Element_Stiffness!$C$6,IF(Element_Stiffness!$C$5=3,IF(5=Element_Stiffness!$C$5,Element_Stiffness!P30,IF(5=Element_Stiffness!$E$5,Element_Stiffness!V30,0)),IF(Element_Stiffness!$E$5=3,IF(5=Element_Stiffness!$C$5,Element_Stiffness!P36,IF(5=Element_Stiffness!$E$5,Element_Stiffness!V36,0)),0)),0)+IF(Element_Stiffness!$C$41,IF(Element_Stiffness!$C$40=3,IF(5=Element_Stiffness!$C$40,Element_Stiffness!P65,IF(5=Element_Stiffness!$E$40,Element_Stiffness!V65,0)),IF(Element_Stiffness!$E$40=3,IF(5=Element_Stiffness!$C$40,Element_Stiffness!P71,IF(5=Element_Stiffness!$E$40,Element_Stiffness!V71,0)),0)),0)+IF(Element_Stiffness!$C$76,IF(Element_Stiffness!$C$75=3,IF(5=Element_Stiffness!$C$75,Element_Stiffness!P100,IF(5=Element_Stiffness!$E$75,Element_Stiffness!V100,0)),IF(Element_Stiffness!$E$75=3,IF(5=Element_Stiffness!$C$75,Element_Stiffness!P106,IF(5=Element_Stiffness!$E$75,Element_Stiffness!V106,0)),0)),0)+IF(Element_Stiffness!$C$111,IF(Element_Stiffness!$C$110=3,IF(5=Element_Stiffness!$C$110,Element_Stiffness!P135,IF(5=Element_Stiffness!$E$110,Element_Stiffness!V135,0)),IF(Element_Stiffness!$E$110=3,IF(5=Element_Stiffness!$C$110,Element_Stiffness!P141,IF(5=Element_Stiffness!$E$110,Element_Stiffness!V141,0)),0)),0)+IF(Element_Stiffness!$C$146,IF(Element_Stiffness!$C$145=3,IF(5=Element_Stiffness!$C$145,Element_Stiffness!P170,IF(5=Element_Stiffness!$E$145,Element_Stiffness!V170,0)),IF(Element_Stiffness!$E$145=3,IF(5=Element_Stiffness!$C$145,Element_Stiffness!P176,IF(5=Element_Stiffness!$E$145,Element_Stiffness!V176,0)),0)),0)+IF(Element_Stiffness!$C$181,IF(Element_Stiffness!$C$180=3,IF(5=Element_Stiffness!$C$180,Element_Stiffness!P205,IF(5=Element_Stiffness!$E$180,Element_Stiffness!V205,0)),IF(Element_Stiffness!$E$180=3,IF(5=Element_Stiffness!$C$180,Element_Stiffness!P211,IF(5=Element_Stiffness!$E$180,Element_Stiffness!V211,0)),0)),0)+IF(Element_Stiffness!$C$216,IF(Element_Stiffness!$C$215=3,IF(5=Element_Stiffness!$C$215,Element_Stiffness!P240,IF(5=Element_Stiffness!$E$215,Element_Stiffness!V240,0)),IF(Element_Stiffness!$E$215=3,IF(5=Element_Stiffness!$C$215,Element_Stiffness!P246,IF(5=Element_Stiffness!$E$215,Element_Stiffness!V246,0)),0)),0)</f>
        <v/>
      </c>
      <c r="AH27" s="21">
        <f>IF(Element_Stiffness!$C$6,IF(Element_Stiffness!$C$5=3,IF(5=Element_Stiffness!$C$5,Element_Stiffness!Q30,IF(5=Element_Stiffness!$E$5,Element_Stiffness!W30,0)),IF(Element_Stiffness!$E$5=3,IF(5=Element_Stiffness!$C$5,Element_Stiffness!Q36,IF(5=Element_Stiffness!$E$5,Element_Stiffness!W36,0)),0)),0)+IF(Element_Stiffness!$C$41,IF(Element_Stiffness!$C$40=3,IF(5=Element_Stiffness!$C$40,Element_Stiffness!Q65,IF(5=Element_Stiffness!$E$40,Element_Stiffness!W65,0)),IF(Element_Stiffness!$E$40=3,IF(5=Element_Stiffness!$C$40,Element_Stiffness!Q71,IF(5=Element_Stiffness!$E$40,Element_Stiffness!W71,0)),0)),0)+IF(Element_Stiffness!$C$76,IF(Element_Stiffness!$C$75=3,IF(5=Element_Stiffness!$C$75,Element_Stiffness!Q100,IF(5=Element_Stiffness!$E$75,Element_Stiffness!W100,0)),IF(Element_Stiffness!$E$75=3,IF(5=Element_Stiffness!$C$75,Element_Stiffness!Q106,IF(5=Element_Stiffness!$E$75,Element_Stiffness!W106,0)),0)),0)+IF(Element_Stiffness!$C$111,IF(Element_Stiffness!$C$110=3,IF(5=Element_Stiffness!$C$110,Element_Stiffness!Q135,IF(5=Element_Stiffness!$E$110,Element_Stiffness!W135,0)),IF(Element_Stiffness!$E$110=3,IF(5=Element_Stiffness!$C$110,Element_Stiffness!Q141,IF(5=Element_Stiffness!$E$110,Element_Stiffness!W141,0)),0)),0)+IF(Element_Stiffness!$C$146,IF(Element_Stiffness!$C$145=3,IF(5=Element_Stiffness!$C$145,Element_Stiffness!Q170,IF(5=Element_Stiffness!$E$145,Element_Stiffness!W170,0)),IF(Element_Stiffness!$E$145=3,IF(5=Element_Stiffness!$C$145,Element_Stiffness!Q176,IF(5=Element_Stiffness!$E$145,Element_Stiffness!W176,0)),0)),0)+IF(Element_Stiffness!$C$181,IF(Element_Stiffness!$C$180=3,IF(5=Element_Stiffness!$C$180,Element_Stiffness!Q205,IF(5=Element_Stiffness!$E$180,Element_Stiffness!W205,0)),IF(Element_Stiffness!$E$180=3,IF(5=Element_Stiffness!$C$180,Element_Stiffness!Q211,IF(5=Element_Stiffness!$E$180,Element_Stiffness!W211,0)),0)),0)+IF(Element_Stiffness!$C$216,IF(Element_Stiffness!$C$215=3,IF(5=Element_Stiffness!$C$215,Element_Stiffness!Q240,IF(5=Element_Stiffness!$E$215,Element_Stiffness!W240,0)),IF(Element_Stiffness!$E$215=3,IF(5=Element_Stiffness!$C$215,Element_Stiffness!Q246,IF(5=Element_Stiffness!$E$215,Element_Stiffness!W246,0)),0)),0)</f>
        <v/>
      </c>
      <c r="AI27" s="21">
        <f>IF(Element_Stiffness!$C$6,IF(Element_Stiffness!$C$5=3,IF(5=Element_Stiffness!$C$5,Element_Stiffness!R30,IF(5=Element_Stiffness!$E$5,Element_Stiffness!X30,0)),IF(Element_Stiffness!$E$5=3,IF(5=Element_Stiffness!$C$5,Element_Stiffness!R36,IF(5=Element_Stiffness!$E$5,Element_Stiffness!X36,0)),0)),0)+IF(Element_Stiffness!$C$41,IF(Element_Stiffness!$C$40=3,IF(5=Element_Stiffness!$C$40,Element_Stiffness!R65,IF(5=Element_Stiffness!$E$40,Element_Stiffness!X65,0)),IF(Element_Stiffness!$E$40=3,IF(5=Element_Stiffness!$C$40,Element_Stiffness!R71,IF(5=Element_Stiffness!$E$40,Element_Stiffness!X71,0)),0)),0)+IF(Element_Stiffness!$C$76,IF(Element_Stiffness!$C$75=3,IF(5=Element_Stiffness!$C$75,Element_Stiffness!R100,IF(5=Element_Stiffness!$E$75,Element_Stiffness!X100,0)),IF(Element_Stiffness!$E$75=3,IF(5=Element_Stiffness!$C$75,Element_Stiffness!R106,IF(5=Element_Stiffness!$E$75,Element_Stiffness!X106,0)),0)),0)+IF(Element_Stiffness!$C$111,IF(Element_Stiffness!$C$110=3,IF(5=Element_Stiffness!$C$110,Element_Stiffness!R135,IF(5=Element_Stiffness!$E$110,Element_Stiffness!X135,0)),IF(Element_Stiffness!$E$110=3,IF(5=Element_Stiffness!$C$110,Element_Stiffness!R141,IF(5=Element_Stiffness!$E$110,Element_Stiffness!X141,0)),0)),0)+IF(Element_Stiffness!$C$146,IF(Element_Stiffness!$C$145=3,IF(5=Element_Stiffness!$C$145,Element_Stiffness!R170,IF(5=Element_Stiffness!$E$145,Element_Stiffness!X170,0)),IF(Element_Stiffness!$E$145=3,IF(5=Element_Stiffness!$C$145,Element_Stiffness!R176,IF(5=Element_Stiffness!$E$145,Element_Stiffness!X176,0)),0)),0)+IF(Element_Stiffness!$C$181,IF(Element_Stiffness!$C$180=3,IF(5=Element_Stiffness!$C$180,Element_Stiffness!R205,IF(5=Element_Stiffness!$E$180,Element_Stiffness!X205,0)),IF(Element_Stiffness!$E$180=3,IF(5=Element_Stiffness!$C$180,Element_Stiffness!R211,IF(5=Element_Stiffness!$E$180,Element_Stiffness!X211,0)),0)),0)+IF(Element_Stiffness!$C$216,IF(Element_Stiffness!$C$215=3,IF(5=Element_Stiffness!$C$215,Element_Stiffness!R240,IF(5=Element_Stiffness!$E$215,Element_Stiffness!X240,0)),IF(Element_Stiffness!$E$215=3,IF(5=Element_Stiffness!$C$215,Element_Stiffness!R246,IF(5=Element_Stiffness!$E$215,Element_Stiffness!X246,0)),0)),0)</f>
        <v/>
      </c>
      <c r="AJ27" s="21">
        <f>IF(Element_Stiffness!$C$6,IF(Element_Stiffness!$C$5=3,IF(5=Element_Stiffness!$C$5,Element_Stiffness!S30,IF(5=Element_Stiffness!$E$5,Element_Stiffness!Y30,0)),IF(Element_Stiffness!$E$5=3,IF(5=Element_Stiffness!$C$5,Element_Stiffness!S36,IF(5=Element_Stiffness!$E$5,Element_Stiffness!Y36,0)),0)),0)+IF(Element_Stiffness!$C$41,IF(Element_Stiffness!$C$40=3,IF(5=Element_Stiffness!$C$40,Element_Stiffness!S65,IF(5=Element_Stiffness!$E$40,Element_Stiffness!Y65,0)),IF(Element_Stiffness!$E$40=3,IF(5=Element_Stiffness!$C$40,Element_Stiffness!S71,IF(5=Element_Stiffness!$E$40,Element_Stiffness!Y71,0)),0)),0)+IF(Element_Stiffness!$C$76,IF(Element_Stiffness!$C$75=3,IF(5=Element_Stiffness!$C$75,Element_Stiffness!S100,IF(5=Element_Stiffness!$E$75,Element_Stiffness!Y100,0)),IF(Element_Stiffness!$E$75=3,IF(5=Element_Stiffness!$C$75,Element_Stiffness!S106,IF(5=Element_Stiffness!$E$75,Element_Stiffness!Y106,0)),0)),0)+IF(Element_Stiffness!$C$111,IF(Element_Stiffness!$C$110=3,IF(5=Element_Stiffness!$C$110,Element_Stiffness!S135,IF(5=Element_Stiffness!$E$110,Element_Stiffness!Y135,0)),IF(Element_Stiffness!$E$110=3,IF(5=Element_Stiffness!$C$110,Element_Stiffness!S141,IF(5=Element_Stiffness!$E$110,Element_Stiffness!Y141,0)),0)),0)+IF(Element_Stiffness!$C$146,IF(Element_Stiffness!$C$145=3,IF(5=Element_Stiffness!$C$145,Element_Stiffness!S170,IF(5=Element_Stiffness!$E$145,Element_Stiffness!Y170,0)),IF(Element_Stiffness!$E$145=3,IF(5=Element_Stiffness!$C$145,Element_Stiffness!S176,IF(5=Element_Stiffness!$E$145,Element_Stiffness!Y176,0)),0)),0)+IF(Element_Stiffness!$C$181,IF(Element_Stiffness!$C$180=3,IF(5=Element_Stiffness!$C$180,Element_Stiffness!S205,IF(5=Element_Stiffness!$E$180,Element_Stiffness!Y205,0)),IF(Element_Stiffness!$E$180=3,IF(5=Element_Stiffness!$C$180,Element_Stiffness!S211,IF(5=Element_Stiffness!$E$180,Element_Stiffness!Y211,0)),0)),0)+IF(Element_Stiffness!$C$216,IF(Element_Stiffness!$C$215=3,IF(5=Element_Stiffness!$C$215,Element_Stiffness!S240,IF(5=Element_Stiffness!$E$215,Element_Stiffness!Y240,0)),IF(Element_Stiffness!$E$215=3,IF(5=Element_Stiffness!$C$215,Element_Stiffness!S246,IF(5=Element_Stiffness!$E$215,Element_Stiffness!Y246,0)),0)),0)</f>
        <v/>
      </c>
      <c r="AK27" s="21">
        <f>IF(Element_Stiffness!$C$6,IF(Element_Stiffness!$C$5=3,IF(5=Element_Stiffness!$C$5,Element_Stiffness!T30,IF(5=Element_Stiffness!$E$5,Element_Stiffness!Z30,0)),IF(Element_Stiffness!$E$5=3,IF(5=Element_Stiffness!$C$5,Element_Stiffness!T36,IF(5=Element_Stiffness!$E$5,Element_Stiffness!Z36,0)),0)),0)+IF(Element_Stiffness!$C$41,IF(Element_Stiffness!$C$40=3,IF(5=Element_Stiffness!$C$40,Element_Stiffness!T65,IF(5=Element_Stiffness!$E$40,Element_Stiffness!Z65,0)),IF(Element_Stiffness!$E$40=3,IF(5=Element_Stiffness!$C$40,Element_Stiffness!T71,IF(5=Element_Stiffness!$E$40,Element_Stiffness!Z71,0)),0)),0)+IF(Element_Stiffness!$C$76,IF(Element_Stiffness!$C$75=3,IF(5=Element_Stiffness!$C$75,Element_Stiffness!T100,IF(5=Element_Stiffness!$E$75,Element_Stiffness!Z100,0)),IF(Element_Stiffness!$E$75=3,IF(5=Element_Stiffness!$C$75,Element_Stiffness!T106,IF(5=Element_Stiffness!$E$75,Element_Stiffness!Z106,0)),0)),0)+IF(Element_Stiffness!$C$111,IF(Element_Stiffness!$C$110=3,IF(5=Element_Stiffness!$C$110,Element_Stiffness!T135,IF(5=Element_Stiffness!$E$110,Element_Stiffness!Z135,0)),IF(Element_Stiffness!$E$110=3,IF(5=Element_Stiffness!$C$110,Element_Stiffness!T141,IF(5=Element_Stiffness!$E$110,Element_Stiffness!Z141,0)),0)),0)+IF(Element_Stiffness!$C$146,IF(Element_Stiffness!$C$145=3,IF(5=Element_Stiffness!$C$145,Element_Stiffness!T170,IF(5=Element_Stiffness!$E$145,Element_Stiffness!Z170,0)),IF(Element_Stiffness!$E$145=3,IF(5=Element_Stiffness!$C$145,Element_Stiffness!T176,IF(5=Element_Stiffness!$E$145,Element_Stiffness!Z176,0)),0)),0)+IF(Element_Stiffness!$C$181,IF(Element_Stiffness!$C$180=3,IF(5=Element_Stiffness!$C$180,Element_Stiffness!T205,IF(5=Element_Stiffness!$E$180,Element_Stiffness!Z205,0)),IF(Element_Stiffness!$E$180=3,IF(5=Element_Stiffness!$C$180,Element_Stiffness!T211,IF(5=Element_Stiffness!$E$180,Element_Stiffness!Z211,0)),0)),0)+IF(Element_Stiffness!$C$216,IF(Element_Stiffness!$C$215=3,IF(5=Element_Stiffness!$C$215,Element_Stiffness!T240,IF(5=Element_Stiffness!$E$215,Element_Stiffness!Z240,0)),IF(Element_Stiffness!$E$215=3,IF(5=Element_Stiffness!$C$215,Element_Stiffness!T246,IF(5=Element_Stiffness!$E$215,Element_Stiffness!Z246,0)),0)),0)</f>
        <v/>
      </c>
      <c r="AL27" s="21">
        <f>IF(Element_Stiffness!$C$6,IF(Element_Stiffness!$C$5=3,IF(5=Element_Stiffness!$C$5,Element_Stiffness!U30,IF(5=Element_Stiffness!$E$5,Element_Stiffness!AA30,0)),IF(Element_Stiffness!$E$5=3,IF(5=Element_Stiffness!$C$5,Element_Stiffness!U36,IF(5=Element_Stiffness!$E$5,Element_Stiffness!AA36,0)),0)),0)+IF(Element_Stiffness!$C$41,IF(Element_Stiffness!$C$40=3,IF(5=Element_Stiffness!$C$40,Element_Stiffness!U65,IF(5=Element_Stiffness!$E$40,Element_Stiffness!AA65,0)),IF(Element_Stiffness!$E$40=3,IF(5=Element_Stiffness!$C$40,Element_Stiffness!U71,IF(5=Element_Stiffness!$E$40,Element_Stiffness!AA71,0)),0)),0)+IF(Element_Stiffness!$C$76,IF(Element_Stiffness!$C$75=3,IF(5=Element_Stiffness!$C$75,Element_Stiffness!U100,IF(5=Element_Stiffness!$E$75,Element_Stiffness!AA100,0)),IF(Element_Stiffness!$E$75=3,IF(5=Element_Stiffness!$C$75,Element_Stiffness!U106,IF(5=Element_Stiffness!$E$75,Element_Stiffness!AA106,0)),0)),0)+IF(Element_Stiffness!$C$111,IF(Element_Stiffness!$C$110=3,IF(5=Element_Stiffness!$C$110,Element_Stiffness!U135,IF(5=Element_Stiffness!$E$110,Element_Stiffness!AA135,0)),IF(Element_Stiffness!$E$110=3,IF(5=Element_Stiffness!$C$110,Element_Stiffness!U141,IF(5=Element_Stiffness!$E$110,Element_Stiffness!AA141,0)),0)),0)+IF(Element_Stiffness!$C$146,IF(Element_Stiffness!$C$145=3,IF(5=Element_Stiffness!$C$145,Element_Stiffness!U170,IF(5=Element_Stiffness!$E$145,Element_Stiffness!AA170,0)),IF(Element_Stiffness!$E$145=3,IF(5=Element_Stiffness!$C$145,Element_Stiffness!U176,IF(5=Element_Stiffness!$E$145,Element_Stiffness!AA176,0)),0)),0)+IF(Element_Stiffness!$C$181,IF(Element_Stiffness!$C$180=3,IF(5=Element_Stiffness!$C$180,Element_Stiffness!U205,IF(5=Element_Stiffness!$E$180,Element_Stiffness!AA205,0)),IF(Element_Stiffness!$E$180=3,IF(5=Element_Stiffness!$C$180,Element_Stiffness!U211,IF(5=Element_Stiffness!$E$180,Element_Stiffness!AA211,0)),0)),0)+IF(Element_Stiffness!$C$216,IF(Element_Stiffness!$C$215=3,IF(5=Element_Stiffness!$C$215,Element_Stiffness!U240,IF(5=Element_Stiffness!$E$215,Element_Stiffness!AA240,0)),IF(Element_Stiffness!$E$215=3,IF(5=Element_Stiffness!$C$215,Element_Stiffness!U246,IF(5=Element_Stiffness!$E$215,Element_Stiffness!AA246,0)),0)),0)</f>
        <v/>
      </c>
      <c r="AM27" s="21">
        <f>IF(Element_Stiffness!$C$6,IF(Element_Stiffness!$C$5=3,IF(6=Element_Stiffness!$C$5,Element_Stiffness!P30,IF(6=Element_Stiffness!$E$5,Element_Stiffness!V30,0)),IF(Element_Stiffness!$E$5=3,IF(6=Element_Stiffness!$C$5,Element_Stiffness!P36,IF(6=Element_Stiffness!$E$5,Element_Stiffness!V36,0)),0)),0)+IF(Element_Stiffness!$C$41,IF(Element_Stiffness!$C$40=3,IF(6=Element_Stiffness!$C$40,Element_Stiffness!P65,IF(6=Element_Stiffness!$E$40,Element_Stiffness!V65,0)),IF(Element_Stiffness!$E$40=3,IF(6=Element_Stiffness!$C$40,Element_Stiffness!P71,IF(6=Element_Stiffness!$E$40,Element_Stiffness!V71,0)),0)),0)+IF(Element_Stiffness!$C$76,IF(Element_Stiffness!$C$75=3,IF(6=Element_Stiffness!$C$75,Element_Stiffness!P100,IF(6=Element_Stiffness!$E$75,Element_Stiffness!V100,0)),IF(Element_Stiffness!$E$75=3,IF(6=Element_Stiffness!$C$75,Element_Stiffness!P106,IF(6=Element_Stiffness!$E$75,Element_Stiffness!V106,0)),0)),0)+IF(Element_Stiffness!$C$111,IF(Element_Stiffness!$C$110=3,IF(6=Element_Stiffness!$C$110,Element_Stiffness!P135,IF(6=Element_Stiffness!$E$110,Element_Stiffness!V135,0)),IF(Element_Stiffness!$E$110=3,IF(6=Element_Stiffness!$C$110,Element_Stiffness!P141,IF(6=Element_Stiffness!$E$110,Element_Stiffness!V141,0)),0)),0)+IF(Element_Stiffness!$C$146,IF(Element_Stiffness!$C$145=3,IF(6=Element_Stiffness!$C$145,Element_Stiffness!P170,IF(6=Element_Stiffness!$E$145,Element_Stiffness!V170,0)),IF(Element_Stiffness!$E$145=3,IF(6=Element_Stiffness!$C$145,Element_Stiffness!P176,IF(6=Element_Stiffness!$E$145,Element_Stiffness!V176,0)),0)),0)+IF(Element_Stiffness!$C$181,IF(Element_Stiffness!$C$180=3,IF(6=Element_Stiffness!$C$180,Element_Stiffness!P205,IF(6=Element_Stiffness!$E$180,Element_Stiffness!V205,0)),IF(Element_Stiffness!$E$180=3,IF(6=Element_Stiffness!$C$180,Element_Stiffness!P211,IF(6=Element_Stiffness!$E$180,Element_Stiffness!V211,0)),0)),0)+IF(Element_Stiffness!$C$216,IF(Element_Stiffness!$C$215=3,IF(6=Element_Stiffness!$C$215,Element_Stiffness!P240,IF(6=Element_Stiffness!$E$215,Element_Stiffness!V240,0)),IF(Element_Stiffness!$E$215=3,IF(6=Element_Stiffness!$C$215,Element_Stiffness!P246,IF(6=Element_Stiffness!$E$215,Element_Stiffness!V246,0)),0)),0)</f>
        <v/>
      </c>
      <c r="AN27" s="21">
        <f>IF(Element_Stiffness!$C$6,IF(Element_Stiffness!$C$5=3,IF(6=Element_Stiffness!$C$5,Element_Stiffness!Q30,IF(6=Element_Stiffness!$E$5,Element_Stiffness!W30,0)),IF(Element_Stiffness!$E$5=3,IF(6=Element_Stiffness!$C$5,Element_Stiffness!Q36,IF(6=Element_Stiffness!$E$5,Element_Stiffness!W36,0)),0)),0)+IF(Element_Stiffness!$C$41,IF(Element_Stiffness!$C$40=3,IF(6=Element_Stiffness!$C$40,Element_Stiffness!Q65,IF(6=Element_Stiffness!$E$40,Element_Stiffness!W65,0)),IF(Element_Stiffness!$E$40=3,IF(6=Element_Stiffness!$C$40,Element_Stiffness!Q71,IF(6=Element_Stiffness!$E$40,Element_Stiffness!W71,0)),0)),0)+IF(Element_Stiffness!$C$76,IF(Element_Stiffness!$C$75=3,IF(6=Element_Stiffness!$C$75,Element_Stiffness!Q100,IF(6=Element_Stiffness!$E$75,Element_Stiffness!W100,0)),IF(Element_Stiffness!$E$75=3,IF(6=Element_Stiffness!$C$75,Element_Stiffness!Q106,IF(6=Element_Stiffness!$E$75,Element_Stiffness!W106,0)),0)),0)+IF(Element_Stiffness!$C$111,IF(Element_Stiffness!$C$110=3,IF(6=Element_Stiffness!$C$110,Element_Stiffness!Q135,IF(6=Element_Stiffness!$E$110,Element_Stiffness!W135,0)),IF(Element_Stiffness!$E$110=3,IF(6=Element_Stiffness!$C$110,Element_Stiffness!Q141,IF(6=Element_Stiffness!$E$110,Element_Stiffness!W141,0)),0)),0)+IF(Element_Stiffness!$C$146,IF(Element_Stiffness!$C$145=3,IF(6=Element_Stiffness!$C$145,Element_Stiffness!Q170,IF(6=Element_Stiffness!$E$145,Element_Stiffness!W170,0)),IF(Element_Stiffness!$E$145=3,IF(6=Element_Stiffness!$C$145,Element_Stiffness!Q176,IF(6=Element_Stiffness!$E$145,Element_Stiffness!W176,0)),0)),0)+IF(Element_Stiffness!$C$181,IF(Element_Stiffness!$C$180=3,IF(6=Element_Stiffness!$C$180,Element_Stiffness!Q205,IF(6=Element_Stiffness!$E$180,Element_Stiffness!W205,0)),IF(Element_Stiffness!$E$180=3,IF(6=Element_Stiffness!$C$180,Element_Stiffness!Q211,IF(6=Element_Stiffness!$E$180,Element_Stiffness!W211,0)),0)),0)+IF(Element_Stiffness!$C$216,IF(Element_Stiffness!$C$215=3,IF(6=Element_Stiffness!$C$215,Element_Stiffness!Q240,IF(6=Element_Stiffness!$E$215,Element_Stiffness!W240,0)),IF(Element_Stiffness!$E$215=3,IF(6=Element_Stiffness!$C$215,Element_Stiffness!Q246,IF(6=Element_Stiffness!$E$215,Element_Stiffness!W246,0)),0)),0)</f>
        <v/>
      </c>
      <c r="AO27" s="21">
        <f>IF(Element_Stiffness!$C$6,IF(Element_Stiffness!$C$5=3,IF(6=Element_Stiffness!$C$5,Element_Stiffness!R30,IF(6=Element_Stiffness!$E$5,Element_Stiffness!X30,0)),IF(Element_Stiffness!$E$5=3,IF(6=Element_Stiffness!$C$5,Element_Stiffness!R36,IF(6=Element_Stiffness!$E$5,Element_Stiffness!X36,0)),0)),0)+IF(Element_Stiffness!$C$41,IF(Element_Stiffness!$C$40=3,IF(6=Element_Stiffness!$C$40,Element_Stiffness!R65,IF(6=Element_Stiffness!$E$40,Element_Stiffness!X65,0)),IF(Element_Stiffness!$E$40=3,IF(6=Element_Stiffness!$C$40,Element_Stiffness!R71,IF(6=Element_Stiffness!$E$40,Element_Stiffness!X71,0)),0)),0)+IF(Element_Stiffness!$C$76,IF(Element_Stiffness!$C$75=3,IF(6=Element_Stiffness!$C$75,Element_Stiffness!R100,IF(6=Element_Stiffness!$E$75,Element_Stiffness!X100,0)),IF(Element_Stiffness!$E$75=3,IF(6=Element_Stiffness!$C$75,Element_Stiffness!R106,IF(6=Element_Stiffness!$E$75,Element_Stiffness!X106,0)),0)),0)+IF(Element_Stiffness!$C$111,IF(Element_Stiffness!$C$110=3,IF(6=Element_Stiffness!$C$110,Element_Stiffness!R135,IF(6=Element_Stiffness!$E$110,Element_Stiffness!X135,0)),IF(Element_Stiffness!$E$110=3,IF(6=Element_Stiffness!$C$110,Element_Stiffness!R141,IF(6=Element_Stiffness!$E$110,Element_Stiffness!X141,0)),0)),0)+IF(Element_Stiffness!$C$146,IF(Element_Stiffness!$C$145=3,IF(6=Element_Stiffness!$C$145,Element_Stiffness!R170,IF(6=Element_Stiffness!$E$145,Element_Stiffness!X170,0)),IF(Element_Stiffness!$E$145=3,IF(6=Element_Stiffness!$C$145,Element_Stiffness!R176,IF(6=Element_Stiffness!$E$145,Element_Stiffness!X176,0)),0)),0)+IF(Element_Stiffness!$C$181,IF(Element_Stiffness!$C$180=3,IF(6=Element_Stiffness!$C$180,Element_Stiffness!R205,IF(6=Element_Stiffness!$E$180,Element_Stiffness!X205,0)),IF(Element_Stiffness!$E$180=3,IF(6=Element_Stiffness!$C$180,Element_Stiffness!R211,IF(6=Element_Stiffness!$E$180,Element_Stiffness!X211,0)),0)),0)+IF(Element_Stiffness!$C$216,IF(Element_Stiffness!$C$215=3,IF(6=Element_Stiffness!$C$215,Element_Stiffness!R240,IF(6=Element_Stiffness!$E$215,Element_Stiffness!X240,0)),IF(Element_Stiffness!$E$215=3,IF(6=Element_Stiffness!$C$215,Element_Stiffness!R246,IF(6=Element_Stiffness!$E$215,Element_Stiffness!X246,0)),0)),0)</f>
        <v/>
      </c>
      <c r="AP27" s="21">
        <f>IF(Element_Stiffness!$C$6,IF(Element_Stiffness!$C$5=3,IF(6=Element_Stiffness!$C$5,Element_Stiffness!S30,IF(6=Element_Stiffness!$E$5,Element_Stiffness!Y30,0)),IF(Element_Stiffness!$E$5=3,IF(6=Element_Stiffness!$C$5,Element_Stiffness!S36,IF(6=Element_Stiffness!$E$5,Element_Stiffness!Y36,0)),0)),0)+IF(Element_Stiffness!$C$41,IF(Element_Stiffness!$C$40=3,IF(6=Element_Stiffness!$C$40,Element_Stiffness!S65,IF(6=Element_Stiffness!$E$40,Element_Stiffness!Y65,0)),IF(Element_Stiffness!$E$40=3,IF(6=Element_Stiffness!$C$40,Element_Stiffness!S71,IF(6=Element_Stiffness!$E$40,Element_Stiffness!Y71,0)),0)),0)+IF(Element_Stiffness!$C$76,IF(Element_Stiffness!$C$75=3,IF(6=Element_Stiffness!$C$75,Element_Stiffness!S100,IF(6=Element_Stiffness!$E$75,Element_Stiffness!Y100,0)),IF(Element_Stiffness!$E$75=3,IF(6=Element_Stiffness!$C$75,Element_Stiffness!S106,IF(6=Element_Stiffness!$E$75,Element_Stiffness!Y106,0)),0)),0)+IF(Element_Stiffness!$C$111,IF(Element_Stiffness!$C$110=3,IF(6=Element_Stiffness!$C$110,Element_Stiffness!S135,IF(6=Element_Stiffness!$E$110,Element_Stiffness!Y135,0)),IF(Element_Stiffness!$E$110=3,IF(6=Element_Stiffness!$C$110,Element_Stiffness!S141,IF(6=Element_Stiffness!$E$110,Element_Stiffness!Y141,0)),0)),0)+IF(Element_Stiffness!$C$146,IF(Element_Stiffness!$C$145=3,IF(6=Element_Stiffness!$C$145,Element_Stiffness!S170,IF(6=Element_Stiffness!$E$145,Element_Stiffness!Y170,0)),IF(Element_Stiffness!$E$145=3,IF(6=Element_Stiffness!$C$145,Element_Stiffness!S176,IF(6=Element_Stiffness!$E$145,Element_Stiffness!Y176,0)),0)),0)+IF(Element_Stiffness!$C$181,IF(Element_Stiffness!$C$180=3,IF(6=Element_Stiffness!$C$180,Element_Stiffness!S205,IF(6=Element_Stiffness!$E$180,Element_Stiffness!Y205,0)),IF(Element_Stiffness!$E$180=3,IF(6=Element_Stiffness!$C$180,Element_Stiffness!S211,IF(6=Element_Stiffness!$E$180,Element_Stiffness!Y211,0)),0)),0)+IF(Element_Stiffness!$C$216,IF(Element_Stiffness!$C$215=3,IF(6=Element_Stiffness!$C$215,Element_Stiffness!S240,IF(6=Element_Stiffness!$E$215,Element_Stiffness!Y240,0)),IF(Element_Stiffness!$E$215=3,IF(6=Element_Stiffness!$C$215,Element_Stiffness!S246,IF(6=Element_Stiffness!$E$215,Element_Stiffness!Y246,0)),0)),0)</f>
        <v/>
      </c>
      <c r="AQ27" s="21">
        <f>IF(Element_Stiffness!$C$6,IF(Element_Stiffness!$C$5=3,IF(6=Element_Stiffness!$C$5,Element_Stiffness!T30,IF(6=Element_Stiffness!$E$5,Element_Stiffness!Z30,0)),IF(Element_Stiffness!$E$5=3,IF(6=Element_Stiffness!$C$5,Element_Stiffness!T36,IF(6=Element_Stiffness!$E$5,Element_Stiffness!Z36,0)),0)),0)+IF(Element_Stiffness!$C$41,IF(Element_Stiffness!$C$40=3,IF(6=Element_Stiffness!$C$40,Element_Stiffness!T65,IF(6=Element_Stiffness!$E$40,Element_Stiffness!Z65,0)),IF(Element_Stiffness!$E$40=3,IF(6=Element_Stiffness!$C$40,Element_Stiffness!T71,IF(6=Element_Stiffness!$E$40,Element_Stiffness!Z71,0)),0)),0)+IF(Element_Stiffness!$C$76,IF(Element_Stiffness!$C$75=3,IF(6=Element_Stiffness!$C$75,Element_Stiffness!T100,IF(6=Element_Stiffness!$E$75,Element_Stiffness!Z100,0)),IF(Element_Stiffness!$E$75=3,IF(6=Element_Stiffness!$C$75,Element_Stiffness!T106,IF(6=Element_Stiffness!$E$75,Element_Stiffness!Z106,0)),0)),0)+IF(Element_Stiffness!$C$111,IF(Element_Stiffness!$C$110=3,IF(6=Element_Stiffness!$C$110,Element_Stiffness!T135,IF(6=Element_Stiffness!$E$110,Element_Stiffness!Z135,0)),IF(Element_Stiffness!$E$110=3,IF(6=Element_Stiffness!$C$110,Element_Stiffness!T141,IF(6=Element_Stiffness!$E$110,Element_Stiffness!Z141,0)),0)),0)+IF(Element_Stiffness!$C$146,IF(Element_Stiffness!$C$145=3,IF(6=Element_Stiffness!$C$145,Element_Stiffness!T170,IF(6=Element_Stiffness!$E$145,Element_Stiffness!Z170,0)),IF(Element_Stiffness!$E$145=3,IF(6=Element_Stiffness!$C$145,Element_Stiffness!T176,IF(6=Element_Stiffness!$E$145,Element_Stiffness!Z176,0)),0)),0)+IF(Element_Stiffness!$C$181,IF(Element_Stiffness!$C$180=3,IF(6=Element_Stiffness!$C$180,Element_Stiffness!T205,IF(6=Element_Stiffness!$E$180,Element_Stiffness!Z205,0)),IF(Element_Stiffness!$E$180=3,IF(6=Element_Stiffness!$C$180,Element_Stiffness!T211,IF(6=Element_Stiffness!$E$180,Element_Stiffness!Z211,0)),0)),0)+IF(Element_Stiffness!$C$216,IF(Element_Stiffness!$C$215=3,IF(6=Element_Stiffness!$C$215,Element_Stiffness!T240,IF(6=Element_Stiffness!$E$215,Element_Stiffness!Z240,0)),IF(Element_Stiffness!$E$215=3,IF(6=Element_Stiffness!$C$215,Element_Stiffness!T246,IF(6=Element_Stiffness!$E$215,Element_Stiffness!Z246,0)),0)),0)</f>
        <v/>
      </c>
      <c r="AR27" s="21">
        <f>IF(Element_Stiffness!$C$6,IF(Element_Stiffness!$C$5=3,IF(6=Element_Stiffness!$C$5,Element_Stiffness!U30,IF(6=Element_Stiffness!$E$5,Element_Stiffness!AA30,0)),IF(Element_Stiffness!$E$5=3,IF(6=Element_Stiffness!$C$5,Element_Stiffness!U36,IF(6=Element_Stiffness!$E$5,Element_Stiffness!AA36,0)),0)),0)+IF(Element_Stiffness!$C$41,IF(Element_Stiffness!$C$40=3,IF(6=Element_Stiffness!$C$40,Element_Stiffness!U65,IF(6=Element_Stiffness!$E$40,Element_Stiffness!AA65,0)),IF(Element_Stiffness!$E$40=3,IF(6=Element_Stiffness!$C$40,Element_Stiffness!U71,IF(6=Element_Stiffness!$E$40,Element_Stiffness!AA71,0)),0)),0)+IF(Element_Stiffness!$C$76,IF(Element_Stiffness!$C$75=3,IF(6=Element_Stiffness!$C$75,Element_Stiffness!U100,IF(6=Element_Stiffness!$E$75,Element_Stiffness!AA100,0)),IF(Element_Stiffness!$E$75=3,IF(6=Element_Stiffness!$C$75,Element_Stiffness!U106,IF(6=Element_Stiffness!$E$75,Element_Stiffness!AA106,0)),0)),0)+IF(Element_Stiffness!$C$111,IF(Element_Stiffness!$C$110=3,IF(6=Element_Stiffness!$C$110,Element_Stiffness!U135,IF(6=Element_Stiffness!$E$110,Element_Stiffness!AA135,0)),IF(Element_Stiffness!$E$110=3,IF(6=Element_Stiffness!$C$110,Element_Stiffness!U141,IF(6=Element_Stiffness!$E$110,Element_Stiffness!AA141,0)),0)),0)+IF(Element_Stiffness!$C$146,IF(Element_Stiffness!$C$145=3,IF(6=Element_Stiffness!$C$145,Element_Stiffness!U170,IF(6=Element_Stiffness!$E$145,Element_Stiffness!AA170,0)),IF(Element_Stiffness!$E$145=3,IF(6=Element_Stiffness!$C$145,Element_Stiffness!U176,IF(6=Element_Stiffness!$E$145,Element_Stiffness!AA176,0)),0)),0)+IF(Element_Stiffness!$C$181,IF(Element_Stiffness!$C$180=3,IF(6=Element_Stiffness!$C$180,Element_Stiffness!U205,IF(6=Element_Stiffness!$E$180,Element_Stiffness!AA205,0)),IF(Element_Stiffness!$E$180=3,IF(6=Element_Stiffness!$C$180,Element_Stiffness!U211,IF(6=Element_Stiffness!$E$180,Element_Stiffness!AA211,0)),0)),0)+IF(Element_Stiffness!$C$216,IF(Element_Stiffness!$C$215=3,IF(6=Element_Stiffness!$C$215,Element_Stiffness!U240,IF(6=Element_Stiffness!$E$215,Element_Stiffness!AA240,0)),IF(Element_Stiffness!$E$215=3,IF(6=Element_Stiffness!$C$215,Element_Stiffness!U246,IF(6=Element_Stiffness!$E$215,Element_Stiffness!AA246,0)),0)),0)</f>
        <v/>
      </c>
      <c r="AS27" s="21">
        <f>IF(Element_Stiffness!$C$6,IF(Element_Stiffness!$C$5=3,IF(7=Element_Stiffness!$C$5,Element_Stiffness!P30,IF(7=Element_Stiffness!$E$5,Element_Stiffness!V30,0)),IF(Element_Stiffness!$E$5=3,IF(7=Element_Stiffness!$C$5,Element_Stiffness!P36,IF(7=Element_Stiffness!$E$5,Element_Stiffness!V36,0)),0)),0)+IF(Element_Stiffness!$C$41,IF(Element_Stiffness!$C$40=3,IF(7=Element_Stiffness!$C$40,Element_Stiffness!P65,IF(7=Element_Stiffness!$E$40,Element_Stiffness!V65,0)),IF(Element_Stiffness!$E$40=3,IF(7=Element_Stiffness!$C$40,Element_Stiffness!P71,IF(7=Element_Stiffness!$E$40,Element_Stiffness!V71,0)),0)),0)+IF(Element_Stiffness!$C$76,IF(Element_Stiffness!$C$75=3,IF(7=Element_Stiffness!$C$75,Element_Stiffness!P100,IF(7=Element_Stiffness!$E$75,Element_Stiffness!V100,0)),IF(Element_Stiffness!$E$75=3,IF(7=Element_Stiffness!$C$75,Element_Stiffness!P106,IF(7=Element_Stiffness!$E$75,Element_Stiffness!V106,0)),0)),0)+IF(Element_Stiffness!$C$111,IF(Element_Stiffness!$C$110=3,IF(7=Element_Stiffness!$C$110,Element_Stiffness!P135,IF(7=Element_Stiffness!$E$110,Element_Stiffness!V135,0)),IF(Element_Stiffness!$E$110=3,IF(7=Element_Stiffness!$C$110,Element_Stiffness!P141,IF(7=Element_Stiffness!$E$110,Element_Stiffness!V141,0)),0)),0)+IF(Element_Stiffness!$C$146,IF(Element_Stiffness!$C$145=3,IF(7=Element_Stiffness!$C$145,Element_Stiffness!P170,IF(7=Element_Stiffness!$E$145,Element_Stiffness!V170,0)),IF(Element_Stiffness!$E$145=3,IF(7=Element_Stiffness!$C$145,Element_Stiffness!P176,IF(7=Element_Stiffness!$E$145,Element_Stiffness!V176,0)),0)),0)+IF(Element_Stiffness!$C$181,IF(Element_Stiffness!$C$180=3,IF(7=Element_Stiffness!$C$180,Element_Stiffness!P205,IF(7=Element_Stiffness!$E$180,Element_Stiffness!V205,0)),IF(Element_Stiffness!$E$180=3,IF(7=Element_Stiffness!$C$180,Element_Stiffness!P211,IF(7=Element_Stiffness!$E$180,Element_Stiffness!V211,0)),0)),0)+IF(Element_Stiffness!$C$216,IF(Element_Stiffness!$C$215=3,IF(7=Element_Stiffness!$C$215,Element_Stiffness!P240,IF(7=Element_Stiffness!$E$215,Element_Stiffness!V240,0)),IF(Element_Stiffness!$E$215=3,IF(7=Element_Stiffness!$C$215,Element_Stiffness!P246,IF(7=Element_Stiffness!$E$215,Element_Stiffness!V246,0)),0)),0)</f>
        <v/>
      </c>
      <c r="AT27" s="21">
        <f>IF(Element_Stiffness!$C$6,IF(Element_Stiffness!$C$5=3,IF(7=Element_Stiffness!$C$5,Element_Stiffness!Q30,IF(7=Element_Stiffness!$E$5,Element_Stiffness!W30,0)),IF(Element_Stiffness!$E$5=3,IF(7=Element_Stiffness!$C$5,Element_Stiffness!Q36,IF(7=Element_Stiffness!$E$5,Element_Stiffness!W36,0)),0)),0)+IF(Element_Stiffness!$C$41,IF(Element_Stiffness!$C$40=3,IF(7=Element_Stiffness!$C$40,Element_Stiffness!Q65,IF(7=Element_Stiffness!$E$40,Element_Stiffness!W65,0)),IF(Element_Stiffness!$E$40=3,IF(7=Element_Stiffness!$C$40,Element_Stiffness!Q71,IF(7=Element_Stiffness!$E$40,Element_Stiffness!W71,0)),0)),0)+IF(Element_Stiffness!$C$76,IF(Element_Stiffness!$C$75=3,IF(7=Element_Stiffness!$C$75,Element_Stiffness!Q100,IF(7=Element_Stiffness!$E$75,Element_Stiffness!W100,0)),IF(Element_Stiffness!$E$75=3,IF(7=Element_Stiffness!$C$75,Element_Stiffness!Q106,IF(7=Element_Stiffness!$E$75,Element_Stiffness!W106,0)),0)),0)+IF(Element_Stiffness!$C$111,IF(Element_Stiffness!$C$110=3,IF(7=Element_Stiffness!$C$110,Element_Stiffness!Q135,IF(7=Element_Stiffness!$E$110,Element_Stiffness!W135,0)),IF(Element_Stiffness!$E$110=3,IF(7=Element_Stiffness!$C$110,Element_Stiffness!Q141,IF(7=Element_Stiffness!$E$110,Element_Stiffness!W141,0)),0)),0)+IF(Element_Stiffness!$C$146,IF(Element_Stiffness!$C$145=3,IF(7=Element_Stiffness!$C$145,Element_Stiffness!Q170,IF(7=Element_Stiffness!$E$145,Element_Stiffness!W170,0)),IF(Element_Stiffness!$E$145=3,IF(7=Element_Stiffness!$C$145,Element_Stiffness!Q176,IF(7=Element_Stiffness!$E$145,Element_Stiffness!W176,0)),0)),0)+IF(Element_Stiffness!$C$181,IF(Element_Stiffness!$C$180=3,IF(7=Element_Stiffness!$C$180,Element_Stiffness!Q205,IF(7=Element_Stiffness!$E$180,Element_Stiffness!W205,0)),IF(Element_Stiffness!$E$180=3,IF(7=Element_Stiffness!$C$180,Element_Stiffness!Q211,IF(7=Element_Stiffness!$E$180,Element_Stiffness!W211,0)),0)),0)+IF(Element_Stiffness!$C$216,IF(Element_Stiffness!$C$215=3,IF(7=Element_Stiffness!$C$215,Element_Stiffness!Q240,IF(7=Element_Stiffness!$E$215,Element_Stiffness!W240,0)),IF(Element_Stiffness!$E$215=3,IF(7=Element_Stiffness!$C$215,Element_Stiffness!Q246,IF(7=Element_Stiffness!$E$215,Element_Stiffness!W246,0)),0)),0)</f>
        <v/>
      </c>
      <c r="AU27" s="21">
        <f>IF(Element_Stiffness!$C$6,IF(Element_Stiffness!$C$5=3,IF(7=Element_Stiffness!$C$5,Element_Stiffness!R30,IF(7=Element_Stiffness!$E$5,Element_Stiffness!X30,0)),IF(Element_Stiffness!$E$5=3,IF(7=Element_Stiffness!$C$5,Element_Stiffness!R36,IF(7=Element_Stiffness!$E$5,Element_Stiffness!X36,0)),0)),0)+IF(Element_Stiffness!$C$41,IF(Element_Stiffness!$C$40=3,IF(7=Element_Stiffness!$C$40,Element_Stiffness!R65,IF(7=Element_Stiffness!$E$40,Element_Stiffness!X65,0)),IF(Element_Stiffness!$E$40=3,IF(7=Element_Stiffness!$C$40,Element_Stiffness!R71,IF(7=Element_Stiffness!$E$40,Element_Stiffness!X71,0)),0)),0)+IF(Element_Stiffness!$C$76,IF(Element_Stiffness!$C$75=3,IF(7=Element_Stiffness!$C$75,Element_Stiffness!R100,IF(7=Element_Stiffness!$E$75,Element_Stiffness!X100,0)),IF(Element_Stiffness!$E$75=3,IF(7=Element_Stiffness!$C$75,Element_Stiffness!R106,IF(7=Element_Stiffness!$E$75,Element_Stiffness!X106,0)),0)),0)+IF(Element_Stiffness!$C$111,IF(Element_Stiffness!$C$110=3,IF(7=Element_Stiffness!$C$110,Element_Stiffness!R135,IF(7=Element_Stiffness!$E$110,Element_Stiffness!X135,0)),IF(Element_Stiffness!$E$110=3,IF(7=Element_Stiffness!$C$110,Element_Stiffness!R141,IF(7=Element_Stiffness!$E$110,Element_Stiffness!X141,0)),0)),0)+IF(Element_Stiffness!$C$146,IF(Element_Stiffness!$C$145=3,IF(7=Element_Stiffness!$C$145,Element_Stiffness!R170,IF(7=Element_Stiffness!$E$145,Element_Stiffness!X170,0)),IF(Element_Stiffness!$E$145=3,IF(7=Element_Stiffness!$C$145,Element_Stiffness!R176,IF(7=Element_Stiffness!$E$145,Element_Stiffness!X176,0)),0)),0)+IF(Element_Stiffness!$C$181,IF(Element_Stiffness!$C$180=3,IF(7=Element_Stiffness!$C$180,Element_Stiffness!R205,IF(7=Element_Stiffness!$E$180,Element_Stiffness!X205,0)),IF(Element_Stiffness!$E$180=3,IF(7=Element_Stiffness!$C$180,Element_Stiffness!R211,IF(7=Element_Stiffness!$E$180,Element_Stiffness!X211,0)),0)),0)+IF(Element_Stiffness!$C$216,IF(Element_Stiffness!$C$215=3,IF(7=Element_Stiffness!$C$215,Element_Stiffness!R240,IF(7=Element_Stiffness!$E$215,Element_Stiffness!X240,0)),IF(Element_Stiffness!$E$215=3,IF(7=Element_Stiffness!$C$215,Element_Stiffness!R246,IF(7=Element_Stiffness!$E$215,Element_Stiffness!X246,0)),0)),0)</f>
        <v/>
      </c>
      <c r="AV27" s="21">
        <f>IF(Element_Stiffness!$C$6,IF(Element_Stiffness!$C$5=3,IF(7=Element_Stiffness!$C$5,Element_Stiffness!S30,IF(7=Element_Stiffness!$E$5,Element_Stiffness!Y30,0)),IF(Element_Stiffness!$E$5=3,IF(7=Element_Stiffness!$C$5,Element_Stiffness!S36,IF(7=Element_Stiffness!$E$5,Element_Stiffness!Y36,0)),0)),0)+IF(Element_Stiffness!$C$41,IF(Element_Stiffness!$C$40=3,IF(7=Element_Stiffness!$C$40,Element_Stiffness!S65,IF(7=Element_Stiffness!$E$40,Element_Stiffness!Y65,0)),IF(Element_Stiffness!$E$40=3,IF(7=Element_Stiffness!$C$40,Element_Stiffness!S71,IF(7=Element_Stiffness!$E$40,Element_Stiffness!Y71,0)),0)),0)+IF(Element_Stiffness!$C$76,IF(Element_Stiffness!$C$75=3,IF(7=Element_Stiffness!$C$75,Element_Stiffness!S100,IF(7=Element_Stiffness!$E$75,Element_Stiffness!Y100,0)),IF(Element_Stiffness!$E$75=3,IF(7=Element_Stiffness!$C$75,Element_Stiffness!S106,IF(7=Element_Stiffness!$E$75,Element_Stiffness!Y106,0)),0)),0)+IF(Element_Stiffness!$C$111,IF(Element_Stiffness!$C$110=3,IF(7=Element_Stiffness!$C$110,Element_Stiffness!S135,IF(7=Element_Stiffness!$E$110,Element_Stiffness!Y135,0)),IF(Element_Stiffness!$E$110=3,IF(7=Element_Stiffness!$C$110,Element_Stiffness!S141,IF(7=Element_Stiffness!$E$110,Element_Stiffness!Y141,0)),0)),0)+IF(Element_Stiffness!$C$146,IF(Element_Stiffness!$C$145=3,IF(7=Element_Stiffness!$C$145,Element_Stiffness!S170,IF(7=Element_Stiffness!$E$145,Element_Stiffness!Y170,0)),IF(Element_Stiffness!$E$145=3,IF(7=Element_Stiffness!$C$145,Element_Stiffness!S176,IF(7=Element_Stiffness!$E$145,Element_Stiffness!Y176,0)),0)),0)+IF(Element_Stiffness!$C$181,IF(Element_Stiffness!$C$180=3,IF(7=Element_Stiffness!$C$180,Element_Stiffness!S205,IF(7=Element_Stiffness!$E$180,Element_Stiffness!Y205,0)),IF(Element_Stiffness!$E$180=3,IF(7=Element_Stiffness!$C$180,Element_Stiffness!S211,IF(7=Element_Stiffness!$E$180,Element_Stiffness!Y211,0)),0)),0)+IF(Element_Stiffness!$C$216,IF(Element_Stiffness!$C$215=3,IF(7=Element_Stiffness!$C$215,Element_Stiffness!S240,IF(7=Element_Stiffness!$E$215,Element_Stiffness!Y240,0)),IF(Element_Stiffness!$E$215=3,IF(7=Element_Stiffness!$C$215,Element_Stiffness!S246,IF(7=Element_Stiffness!$E$215,Element_Stiffness!Y246,0)),0)),0)</f>
        <v/>
      </c>
      <c r="AW27" s="21">
        <f>IF(Element_Stiffness!$C$6,IF(Element_Stiffness!$C$5=3,IF(7=Element_Stiffness!$C$5,Element_Stiffness!T30,IF(7=Element_Stiffness!$E$5,Element_Stiffness!Z30,0)),IF(Element_Stiffness!$E$5=3,IF(7=Element_Stiffness!$C$5,Element_Stiffness!T36,IF(7=Element_Stiffness!$E$5,Element_Stiffness!Z36,0)),0)),0)+IF(Element_Stiffness!$C$41,IF(Element_Stiffness!$C$40=3,IF(7=Element_Stiffness!$C$40,Element_Stiffness!T65,IF(7=Element_Stiffness!$E$40,Element_Stiffness!Z65,0)),IF(Element_Stiffness!$E$40=3,IF(7=Element_Stiffness!$C$40,Element_Stiffness!T71,IF(7=Element_Stiffness!$E$40,Element_Stiffness!Z71,0)),0)),0)+IF(Element_Stiffness!$C$76,IF(Element_Stiffness!$C$75=3,IF(7=Element_Stiffness!$C$75,Element_Stiffness!T100,IF(7=Element_Stiffness!$E$75,Element_Stiffness!Z100,0)),IF(Element_Stiffness!$E$75=3,IF(7=Element_Stiffness!$C$75,Element_Stiffness!T106,IF(7=Element_Stiffness!$E$75,Element_Stiffness!Z106,0)),0)),0)+IF(Element_Stiffness!$C$111,IF(Element_Stiffness!$C$110=3,IF(7=Element_Stiffness!$C$110,Element_Stiffness!T135,IF(7=Element_Stiffness!$E$110,Element_Stiffness!Z135,0)),IF(Element_Stiffness!$E$110=3,IF(7=Element_Stiffness!$C$110,Element_Stiffness!T141,IF(7=Element_Stiffness!$E$110,Element_Stiffness!Z141,0)),0)),0)+IF(Element_Stiffness!$C$146,IF(Element_Stiffness!$C$145=3,IF(7=Element_Stiffness!$C$145,Element_Stiffness!T170,IF(7=Element_Stiffness!$E$145,Element_Stiffness!Z170,0)),IF(Element_Stiffness!$E$145=3,IF(7=Element_Stiffness!$C$145,Element_Stiffness!T176,IF(7=Element_Stiffness!$E$145,Element_Stiffness!Z176,0)),0)),0)+IF(Element_Stiffness!$C$181,IF(Element_Stiffness!$C$180=3,IF(7=Element_Stiffness!$C$180,Element_Stiffness!T205,IF(7=Element_Stiffness!$E$180,Element_Stiffness!Z205,0)),IF(Element_Stiffness!$E$180=3,IF(7=Element_Stiffness!$C$180,Element_Stiffness!T211,IF(7=Element_Stiffness!$E$180,Element_Stiffness!Z211,0)),0)),0)+IF(Element_Stiffness!$C$216,IF(Element_Stiffness!$C$215=3,IF(7=Element_Stiffness!$C$215,Element_Stiffness!T240,IF(7=Element_Stiffness!$E$215,Element_Stiffness!Z240,0)),IF(Element_Stiffness!$E$215=3,IF(7=Element_Stiffness!$C$215,Element_Stiffness!T246,IF(7=Element_Stiffness!$E$215,Element_Stiffness!Z246,0)),0)),0)</f>
        <v/>
      </c>
      <c r="AX27" s="21">
        <f>IF(Element_Stiffness!$C$6,IF(Element_Stiffness!$C$5=3,IF(7=Element_Stiffness!$C$5,Element_Stiffness!U30,IF(7=Element_Stiffness!$E$5,Element_Stiffness!AA30,0)),IF(Element_Stiffness!$E$5=3,IF(7=Element_Stiffness!$C$5,Element_Stiffness!U36,IF(7=Element_Stiffness!$E$5,Element_Stiffness!AA36,0)),0)),0)+IF(Element_Stiffness!$C$41,IF(Element_Stiffness!$C$40=3,IF(7=Element_Stiffness!$C$40,Element_Stiffness!U65,IF(7=Element_Stiffness!$E$40,Element_Stiffness!AA65,0)),IF(Element_Stiffness!$E$40=3,IF(7=Element_Stiffness!$C$40,Element_Stiffness!U71,IF(7=Element_Stiffness!$E$40,Element_Stiffness!AA71,0)),0)),0)+IF(Element_Stiffness!$C$76,IF(Element_Stiffness!$C$75=3,IF(7=Element_Stiffness!$C$75,Element_Stiffness!U100,IF(7=Element_Stiffness!$E$75,Element_Stiffness!AA100,0)),IF(Element_Stiffness!$E$75=3,IF(7=Element_Stiffness!$C$75,Element_Stiffness!U106,IF(7=Element_Stiffness!$E$75,Element_Stiffness!AA106,0)),0)),0)+IF(Element_Stiffness!$C$111,IF(Element_Stiffness!$C$110=3,IF(7=Element_Stiffness!$C$110,Element_Stiffness!U135,IF(7=Element_Stiffness!$E$110,Element_Stiffness!AA135,0)),IF(Element_Stiffness!$E$110=3,IF(7=Element_Stiffness!$C$110,Element_Stiffness!U141,IF(7=Element_Stiffness!$E$110,Element_Stiffness!AA141,0)),0)),0)+IF(Element_Stiffness!$C$146,IF(Element_Stiffness!$C$145=3,IF(7=Element_Stiffness!$C$145,Element_Stiffness!U170,IF(7=Element_Stiffness!$E$145,Element_Stiffness!AA170,0)),IF(Element_Stiffness!$E$145=3,IF(7=Element_Stiffness!$C$145,Element_Stiffness!U176,IF(7=Element_Stiffness!$E$145,Element_Stiffness!AA176,0)),0)),0)+IF(Element_Stiffness!$C$181,IF(Element_Stiffness!$C$180=3,IF(7=Element_Stiffness!$C$180,Element_Stiffness!U205,IF(7=Element_Stiffness!$E$180,Element_Stiffness!AA205,0)),IF(Element_Stiffness!$E$180=3,IF(7=Element_Stiffness!$C$180,Element_Stiffness!U211,IF(7=Element_Stiffness!$E$180,Element_Stiffness!AA211,0)),0)),0)+IF(Element_Stiffness!$C$216,IF(Element_Stiffness!$C$215=3,IF(7=Element_Stiffness!$C$215,Element_Stiffness!U240,IF(7=Element_Stiffness!$E$215,Element_Stiffness!AA240,0)),IF(Element_Stiffness!$E$215=3,IF(7=Element_Stiffness!$C$215,Element_Stiffness!U246,IF(7=Element_Stiffness!$E$215,Element_Stiffness!AA246,0)),0)),0)</f>
        <v/>
      </c>
      <c r="AY27" s="21" t="n">
        <v>0</v>
      </c>
      <c r="AZ27" s="21">
        <f>IF(Element_Stiffness!$C$6,IF(Element_Stiffness!$C$5=3,Element_Stiffness!C30,IF(Element_Stiffness!$E$5=3,Element_Stiffness!C36,0)),0)+IF(Element_Stiffness!$C$41,IF(Element_Stiffness!$C$40=3,Element_Stiffness!C65,IF(Element_Stiffness!$E$40=3,Element_Stiffness!C71,0)),0)+IF(Element_Stiffness!$C$76,IF(Element_Stiffness!$C$75=3,Element_Stiffness!C100,IF(Element_Stiffness!$E$75=3,Element_Stiffness!C106,0)),0)+IF(Element_Stiffness!$C$111,IF(Element_Stiffness!$C$110=3,Element_Stiffness!C135,IF(Element_Stiffness!$E$110=3,Element_Stiffness!C141,0)),0)+IF(Element_Stiffness!$C$146,IF(Element_Stiffness!$C$145=3,Element_Stiffness!C170,IF(Element_Stiffness!$E$145=3,Element_Stiffness!C176,0)),0)+IF(Element_Stiffness!$C$181,IF(Element_Stiffness!$C$180=3,Element_Stiffness!C205,IF(Element_Stiffness!$E$180=3,Element_Stiffness!C211,0)),0)+IF(Element_Stiffness!$C$216,IF(Element_Stiffness!$C$215=3,Element_Stiffness!C240,IF(Element_Stiffness!$E$215=3,Element_Stiffness!C246,0)),0)</f>
        <v/>
      </c>
      <c r="BB27" s="28">
        <f>INDEX(MMULT(MINVERSE(C5:AX52), AY5:AY52), 23, 1)</f>
        <v/>
      </c>
      <c r="BC27" s="28">
        <f>INDEX(MMULT(MINVERSE(C5:AX52), AZ5:AZ52), 23, 1)</f>
        <v/>
      </c>
    </row>
    <row r="28">
      <c r="B28" s="27" t="inlineStr">
        <is>
          <t>N3_rz</t>
        </is>
      </c>
      <c r="C28" s="21">
        <f>IF(Element_Stiffness!$C$6,IF(Element_Stiffness!$C$5=3,IF(0=Element_Stiffness!$C$5,Element_Stiffness!P31,IF(0=Element_Stiffness!$E$5,Element_Stiffness!V31,0)),IF(Element_Stiffness!$E$5=3,IF(0=Element_Stiffness!$C$5,Element_Stiffness!P37,IF(0=Element_Stiffness!$E$5,Element_Stiffness!V37,0)),0)),0)+IF(Element_Stiffness!$C$41,IF(Element_Stiffness!$C$40=3,IF(0=Element_Stiffness!$C$40,Element_Stiffness!P66,IF(0=Element_Stiffness!$E$40,Element_Stiffness!V66,0)),IF(Element_Stiffness!$E$40=3,IF(0=Element_Stiffness!$C$40,Element_Stiffness!P72,IF(0=Element_Stiffness!$E$40,Element_Stiffness!V72,0)),0)),0)+IF(Element_Stiffness!$C$76,IF(Element_Stiffness!$C$75=3,IF(0=Element_Stiffness!$C$75,Element_Stiffness!P101,IF(0=Element_Stiffness!$E$75,Element_Stiffness!V101,0)),IF(Element_Stiffness!$E$75=3,IF(0=Element_Stiffness!$C$75,Element_Stiffness!P107,IF(0=Element_Stiffness!$E$75,Element_Stiffness!V107,0)),0)),0)+IF(Element_Stiffness!$C$111,IF(Element_Stiffness!$C$110=3,IF(0=Element_Stiffness!$C$110,Element_Stiffness!P136,IF(0=Element_Stiffness!$E$110,Element_Stiffness!V136,0)),IF(Element_Stiffness!$E$110=3,IF(0=Element_Stiffness!$C$110,Element_Stiffness!P142,IF(0=Element_Stiffness!$E$110,Element_Stiffness!V142,0)),0)),0)+IF(Element_Stiffness!$C$146,IF(Element_Stiffness!$C$145=3,IF(0=Element_Stiffness!$C$145,Element_Stiffness!P171,IF(0=Element_Stiffness!$E$145,Element_Stiffness!V171,0)),IF(Element_Stiffness!$E$145=3,IF(0=Element_Stiffness!$C$145,Element_Stiffness!P177,IF(0=Element_Stiffness!$E$145,Element_Stiffness!V177,0)),0)),0)+IF(Element_Stiffness!$C$181,IF(Element_Stiffness!$C$180=3,IF(0=Element_Stiffness!$C$180,Element_Stiffness!P206,IF(0=Element_Stiffness!$E$180,Element_Stiffness!V206,0)),IF(Element_Stiffness!$E$180=3,IF(0=Element_Stiffness!$C$180,Element_Stiffness!P212,IF(0=Element_Stiffness!$E$180,Element_Stiffness!V212,0)),0)),0)+IF(Element_Stiffness!$C$216,IF(Element_Stiffness!$C$215=3,IF(0=Element_Stiffness!$C$215,Element_Stiffness!P241,IF(0=Element_Stiffness!$E$215,Element_Stiffness!V241,0)),IF(Element_Stiffness!$E$215=3,IF(0=Element_Stiffness!$C$215,Element_Stiffness!P247,IF(0=Element_Stiffness!$E$215,Element_Stiffness!V247,0)),0)),0)</f>
        <v/>
      </c>
      <c r="D28" s="21">
        <f>IF(Element_Stiffness!$C$6,IF(Element_Stiffness!$C$5=3,IF(0=Element_Stiffness!$C$5,Element_Stiffness!Q31,IF(0=Element_Stiffness!$E$5,Element_Stiffness!W31,0)),IF(Element_Stiffness!$E$5=3,IF(0=Element_Stiffness!$C$5,Element_Stiffness!Q37,IF(0=Element_Stiffness!$E$5,Element_Stiffness!W37,0)),0)),0)+IF(Element_Stiffness!$C$41,IF(Element_Stiffness!$C$40=3,IF(0=Element_Stiffness!$C$40,Element_Stiffness!Q66,IF(0=Element_Stiffness!$E$40,Element_Stiffness!W66,0)),IF(Element_Stiffness!$E$40=3,IF(0=Element_Stiffness!$C$40,Element_Stiffness!Q72,IF(0=Element_Stiffness!$E$40,Element_Stiffness!W72,0)),0)),0)+IF(Element_Stiffness!$C$76,IF(Element_Stiffness!$C$75=3,IF(0=Element_Stiffness!$C$75,Element_Stiffness!Q101,IF(0=Element_Stiffness!$E$75,Element_Stiffness!W101,0)),IF(Element_Stiffness!$E$75=3,IF(0=Element_Stiffness!$C$75,Element_Stiffness!Q107,IF(0=Element_Stiffness!$E$75,Element_Stiffness!W107,0)),0)),0)+IF(Element_Stiffness!$C$111,IF(Element_Stiffness!$C$110=3,IF(0=Element_Stiffness!$C$110,Element_Stiffness!Q136,IF(0=Element_Stiffness!$E$110,Element_Stiffness!W136,0)),IF(Element_Stiffness!$E$110=3,IF(0=Element_Stiffness!$C$110,Element_Stiffness!Q142,IF(0=Element_Stiffness!$E$110,Element_Stiffness!W142,0)),0)),0)+IF(Element_Stiffness!$C$146,IF(Element_Stiffness!$C$145=3,IF(0=Element_Stiffness!$C$145,Element_Stiffness!Q171,IF(0=Element_Stiffness!$E$145,Element_Stiffness!W171,0)),IF(Element_Stiffness!$E$145=3,IF(0=Element_Stiffness!$C$145,Element_Stiffness!Q177,IF(0=Element_Stiffness!$E$145,Element_Stiffness!W177,0)),0)),0)+IF(Element_Stiffness!$C$181,IF(Element_Stiffness!$C$180=3,IF(0=Element_Stiffness!$C$180,Element_Stiffness!Q206,IF(0=Element_Stiffness!$E$180,Element_Stiffness!W206,0)),IF(Element_Stiffness!$E$180=3,IF(0=Element_Stiffness!$C$180,Element_Stiffness!Q212,IF(0=Element_Stiffness!$E$180,Element_Stiffness!W212,0)),0)),0)+IF(Element_Stiffness!$C$216,IF(Element_Stiffness!$C$215=3,IF(0=Element_Stiffness!$C$215,Element_Stiffness!Q241,IF(0=Element_Stiffness!$E$215,Element_Stiffness!W241,0)),IF(Element_Stiffness!$E$215=3,IF(0=Element_Stiffness!$C$215,Element_Stiffness!Q247,IF(0=Element_Stiffness!$E$215,Element_Stiffness!W247,0)),0)),0)</f>
        <v/>
      </c>
      <c r="E28" s="21">
        <f>IF(Element_Stiffness!$C$6,IF(Element_Stiffness!$C$5=3,IF(0=Element_Stiffness!$C$5,Element_Stiffness!R31,IF(0=Element_Stiffness!$E$5,Element_Stiffness!X31,0)),IF(Element_Stiffness!$E$5=3,IF(0=Element_Stiffness!$C$5,Element_Stiffness!R37,IF(0=Element_Stiffness!$E$5,Element_Stiffness!X37,0)),0)),0)+IF(Element_Stiffness!$C$41,IF(Element_Stiffness!$C$40=3,IF(0=Element_Stiffness!$C$40,Element_Stiffness!R66,IF(0=Element_Stiffness!$E$40,Element_Stiffness!X66,0)),IF(Element_Stiffness!$E$40=3,IF(0=Element_Stiffness!$C$40,Element_Stiffness!R72,IF(0=Element_Stiffness!$E$40,Element_Stiffness!X72,0)),0)),0)+IF(Element_Stiffness!$C$76,IF(Element_Stiffness!$C$75=3,IF(0=Element_Stiffness!$C$75,Element_Stiffness!R101,IF(0=Element_Stiffness!$E$75,Element_Stiffness!X101,0)),IF(Element_Stiffness!$E$75=3,IF(0=Element_Stiffness!$C$75,Element_Stiffness!R107,IF(0=Element_Stiffness!$E$75,Element_Stiffness!X107,0)),0)),0)+IF(Element_Stiffness!$C$111,IF(Element_Stiffness!$C$110=3,IF(0=Element_Stiffness!$C$110,Element_Stiffness!R136,IF(0=Element_Stiffness!$E$110,Element_Stiffness!X136,0)),IF(Element_Stiffness!$E$110=3,IF(0=Element_Stiffness!$C$110,Element_Stiffness!R142,IF(0=Element_Stiffness!$E$110,Element_Stiffness!X142,0)),0)),0)+IF(Element_Stiffness!$C$146,IF(Element_Stiffness!$C$145=3,IF(0=Element_Stiffness!$C$145,Element_Stiffness!R171,IF(0=Element_Stiffness!$E$145,Element_Stiffness!X171,0)),IF(Element_Stiffness!$E$145=3,IF(0=Element_Stiffness!$C$145,Element_Stiffness!R177,IF(0=Element_Stiffness!$E$145,Element_Stiffness!X177,0)),0)),0)+IF(Element_Stiffness!$C$181,IF(Element_Stiffness!$C$180=3,IF(0=Element_Stiffness!$C$180,Element_Stiffness!R206,IF(0=Element_Stiffness!$E$180,Element_Stiffness!X206,0)),IF(Element_Stiffness!$E$180=3,IF(0=Element_Stiffness!$C$180,Element_Stiffness!R212,IF(0=Element_Stiffness!$E$180,Element_Stiffness!X212,0)),0)),0)+IF(Element_Stiffness!$C$216,IF(Element_Stiffness!$C$215=3,IF(0=Element_Stiffness!$C$215,Element_Stiffness!R241,IF(0=Element_Stiffness!$E$215,Element_Stiffness!X241,0)),IF(Element_Stiffness!$E$215=3,IF(0=Element_Stiffness!$C$215,Element_Stiffness!R247,IF(0=Element_Stiffness!$E$215,Element_Stiffness!X247,0)),0)),0)</f>
        <v/>
      </c>
      <c r="F28" s="21">
        <f>IF(Element_Stiffness!$C$6,IF(Element_Stiffness!$C$5=3,IF(0=Element_Stiffness!$C$5,Element_Stiffness!S31,IF(0=Element_Stiffness!$E$5,Element_Stiffness!Y31,0)),IF(Element_Stiffness!$E$5=3,IF(0=Element_Stiffness!$C$5,Element_Stiffness!S37,IF(0=Element_Stiffness!$E$5,Element_Stiffness!Y37,0)),0)),0)+IF(Element_Stiffness!$C$41,IF(Element_Stiffness!$C$40=3,IF(0=Element_Stiffness!$C$40,Element_Stiffness!S66,IF(0=Element_Stiffness!$E$40,Element_Stiffness!Y66,0)),IF(Element_Stiffness!$E$40=3,IF(0=Element_Stiffness!$C$40,Element_Stiffness!S72,IF(0=Element_Stiffness!$E$40,Element_Stiffness!Y72,0)),0)),0)+IF(Element_Stiffness!$C$76,IF(Element_Stiffness!$C$75=3,IF(0=Element_Stiffness!$C$75,Element_Stiffness!S101,IF(0=Element_Stiffness!$E$75,Element_Stiffness!Y101,0)),IF(Element_Stiffness!$E$75=3,IF(0=Element_Stiffness!$C$75,Element_Stiffness!S107,IF(0=Element_Stiffness!$E$75,Element_Stiffness!Y107,0)),0)),0)+IF(Element_Stiffness!$C$111,IF(Element_Stiffness!$C$110=3,IF(0=Element_Stiffness!$C$110,Element_Stiffness!S136,IF(0=Element_Stiffness!$E$110,Element_Stiffness!Y136,0)),IF(Element_Stiffness!$E$110=3,IF(0=Element_Stiffness!$C$110,Element_Stiffness!S142,IF(0=Element_Stiffness!$E$110,Element_Stiffness!Y142,0)),0)),0)+IF(Element_Stiffness!$C$146,IF(Element_Stiffness!$C$145=3,IF(0=Element_Stiffness!$C$145,Element_Stiffness!S171,IF(0=Element_Stiffness!$E$145,Element_Stiffness!Y171,0)),IF(Element_Stiffness!$E$145=3,IF(0=Element_Stiffness!$C$145,Element_Stiffness!S177,IF(0=Element_Stiffness!$E$145,Element_Stiffness!Y177,0)),0)),0)+IF(Element_Stiffness!$C$181,IF(Element_Stiffness!$C$180=3,IF(0=Element_Stiffness!$C$180,Element_Stiffness!S206,IF(0=Element_Stiffness!$E$180,Element_Stiffness!Y206,0)),IF(Element_Stiffness!$E$180=3,IF(0=Element_Stiffness!$C$180,Element_Stiffness!S212,IF(0=Element_Stiffness!$E$180,Element_Stiffness!Y212,0)),0)),0)+IF(Element_Stiffness!$C$216,IF(Element_Stiffness!$C$215=3,IF(0=Element_Stiffness!$C$215,Element_Stiffness!S241,IF(0=Element_Stiffness!$E$215,Element_Stiffness!Y241,0)),IF(Element_Stiffness!$E$215=3,IF(0=Element_Stiffness!$C$215,Element_Stiffness!S247,IF(0=Element_Stiffness!$E$215,Element_Stiffness!Y247,0)),0)),0)</f>
        <v/>
      </c>
      <c r="G28" s="21">
        <f>IF(Element_Stiffness!$C$6,IF(Element_Stiffness!$C$5=3,IF(0=Element_Stiffness!$C$5,Element_Stiffness!T31,IF(0=Element_Stiffness!$E$5,Element_Stiffness!Z31,0)),IF(Element_Stiffness!$E$5=3,IF(0=Element_Stiffness!$C$5,Element_Stiffness!T37,IF(0=Element_Stiffness!$E$5,Element_Stiffness!Z37,0)),0)),0)+IF(Element_Stiffness!$C$41,IF(Element_Stiffness!$C$40=3,IF(0=Element_Stiffness!$C$40,Element_Stiffness!T66,IF(0=Element_Stiffness!$E$40,Element_Stiffness!Z66,0)),IF(Element_Stiffness!$E$40=3,IF(0=Element_Stiffness!$C$40,Element_Stiffness!T72,IF(0=Element_Stiffness!$E$40,Element_Stiffness!Z72,0)),0)),0)+IF(Element_Stiffness!$C$76,IF(Element_Stiffness!$C$75=3,IF(0=Element_Stiffness!$C$75,Element_Stiffness!T101,IF(0=Element_Stiffness!$E$75,Element_Stiffness!Z101,0)),IF(Element_Stiffness!$E$75=3,IF(0=Element_Stiffness!$C$75,Element_Stiffness!T107,IF(0=Element_Stiffness!$E$75,Element_Stiffness!Z107,0)),0)),0)+IF(Element_Stiffness!$C$111,IF(Element_Stiffness!$C$110=3,IF(0=Element_Stiffness!$C$110,Element_Stiffness!T136,IF(0=Element_Stiffness!$E$110,Element_Stiffness!Z136,0)),IF(Element_Stiffness!$E$110=3,IF(0=Element_Stiffness!$C$110,Element_Stiffness!T142,IF(0=Element_Stiffness!$E$110,Element_Stiffness!Z142,0)),0)),0)+IF(Element_Stiffness!$C$146,IF(Element_Stiffness!$C$145=3,IF(0=Element_Stiffness!$C$145,Element_Stiffness!T171,IF(0=Element_Stiffness!$E$145,Element_Stiffness!Z171,0)),IF(Element_Stiffness!$E$145=3,IF(0=Element_Stiffness!$C$145,Element_Stiffness!T177,IF(0=Element_Stiffness!$E$145,Element_Stiffness!Z177,0)),0)),0)+IF(Element_Stiffness!$C$181,IF(Element_Stiffness!$C$180=3,IF(0=Element_Stiffness!$C$180,Element_Stiffness!T206,IF(0=Element_Stiffness!$E$180,Element_Stiffness!Z206,0)),IF(Element_Stiffness!$E$180=3,IF(0=Element_Stiffness!$C$180,Element_Stiffness!T212,IF(0=Element_Stiffness!$E$180,Element_Stiffness!Z212,0)),0)),0)+IF(Element_Stiffness!$C$216,IF(Element_Stiffness!$C$215=3,IF(0=Element_Stiffness!$C$215,Element_Stiffness!T241,IF(0=Element_Stiffness!$E$215,Element_Stiffness!Z241,0)),IF(Element_Stiffness!$E$215=3,IF(0=Element_Stiffness!$C$215,Element_Stiffness!T247,IF(0=Element_Stiffness!$E$215,Element_Stiffness!Z247,0)),0)),0)</f>
        <v/>
      </c>
      <c r="H28" s="21">
        <f>IF(Element_Stiffness!$C$6,IF(Element_Stiffness!$C$5=3,IF(0=Element_Stiffness!$C$5,Element_Stiffness!U31,IF(0=Element_Stiffness!$E$5,Element_Stiffness!AA31,0)),IF(Element_Stiffness!$E$5=3,IF(0=Element_Stiffness!$C$5,Element_Stiffness!U37,IF(0=Element_Stiffness!$E$5,Element_Stiffness!AA37,0)),0)),0)+IF(Element_Stiffness!$C$41,IF(Element_Stiffness!$C$40=3,IF(0=Element_Stiffness!$C$40,Element_Stiffness!U66,IF(0=Element_Stiffness!$E$40,Element_Stiffness!AA66,0)),IF(Element_Stiffness!$E$40=3,IF(0=Element_Stiffness!$C$40,Element_Stiffness!U72,IF(0=Element_Stiffness!$E$40,Element_Stiffness!AA72,0)),0)),0)+IF(Element_Stiffness!$C$76,IF(Element_Stiffness!$C$75=3,IF(0=Element_Stiffness!$C$75,Element_Stiffness!U101,IF(0=Element_Stiffness!$E$75,Element_Stiffness!AA101,0)),IF(Element_Stiffness!$E$75=3,IF(0=Element_Stiffness!$C$75,Element_Stiffness!U107,IF(0=Element_Stiffness!$E$75,Element_Stiffness!AA107,0)),0)),0)+IF(Element_Stiffness!$C$111,IF(Element_Stiffness!$C$110=3,IF(0=Element_Stiffness!$C$110,Element_Stiffness!U136,IF(0=Element_Stiffness!$E$110,Element_Stiffness!AA136,0)),IF(Element_Stiffness!$E$110=3,IF(0=Element_Stiffness!$C$110,Element_Stiffness!U142,IF(0=Element_Stiffness!$E$110,Element_Stiffness!AA142,0)),0)),0)+IF(Element_Stiffness!$C$146,IF(Element_Stiffness!$C$145=3,IF(0=Element_Stiffness!$C$145,Element_Stiffness!U171,IF(0=Element_Stiffness!$E$145,Element_Stiffness!AA171,0)),IF(Element_Stiffness!$E$145=3,IF(0=Element_Stiffness!$C$145,Element_Stiffness!U177,IF(0=Element_Stiffness!$E$145,Element_Stiffness!AA177,0)),0)),0)+IF(Element_Stiffness!$C$181,IF(Element_Stiffness!$C$180=3,IF(0=Element_Stiffness!$C$180,Element_Stiffness!U206,IF(0=Element_Stiffness!$E$180,Element_Stiffness!AA206,0)),IF(Element_Stiffness!$E$180=3,IF(0=Element_Stiffness!$C$180,Element_Stiffness!U212,IF(0=Element_Stiffness!$E$180,Element_Stiffness!AA212,0)),0)),0)+IF(Element_Stiffness!$C$216,IF(Element_Stiffness!$C$215=3,IF(0=Element_Stiffness!$C$215,Element_Stiffness!U241,IF(0=Element_Stiffness!$E$215,Element_Stiffness!AA241,0)),IF(Element_Stiffness!$E$215=3,IF(0=Element_Stiffness!$C$215,Element_Stiffness!U247,IF(0=Element_Stiffness!$E$215,Element_Stiffness!AA247,0)),0)),0)</f>
        <v/>
      </c>
      <c r="I28" s="21">
        <f>IF(Element_Stiffness!$C$6,IF(Element_Stiffness!$C$5=3,IF(1=Element_Stiffness!$C$5,Element_Stiffness!P31,IF(1=Element_Stiffness!$E$5,Element_Stiffness!V31,0)),IF(Element_Stiffness!$E$5=3,IF(1=Element_Stiffness!$C$5,Element_Stiffness!P37,IF(1=Element_Stiffness!$E$5,Element_Stiffness!V37,0)),0)),0)+IF(Element_Stiffness!$C$41,IF(Element_Stiffness!$C$40=3,IF(1=Element_Stiffness!$C$40,Element_Stiffness!P66,IF(1=Element_Stiffness!$E$40,Element_Stiffness!V66,0)),IF(Element_Stiffness!$E$40=3,IF(1=Element_Stiffness!$C$40,Element_Stiffness!P72,IF(1=Element_Stiffness!$E$40,Element_Stiffness!V72,0)),0)),0)+IF(Element_Stiffness!$C$76,IF(Element_Stiffness!$C$75=3,IF(1=Element_Stiffness!$C$75,Element_Stiffness!P101,IF(1=Element_Stiffness!$E$75,Element_Stiffness!V101,0)),IF(Element_Stiffness!$E$75=3,IF(1=Element_Stiffness!$C$75,Element_Stiffness!P107,IF(1=Element_Stiffness!$E$75,Element_Stiffness!V107,0)),0)),0)+IF(Element_Stiffness!$C$111,IF(Element_Stiffness!$C$110=3,IF(1=Element_Stiffness!$C$110,Element_Stiffness!P136,IF(1=Element_Stiffness!$E$110,Element_Stiffness!V136,0)),IF(Element_Stiffness!$E$110=3,IF(1=Element_Stiffness!$C$110,Element_Stiffness!P142,IF(1=Element_Stiffness!$E$110,Element_Stiffness!V142,0)),0)),0)+IF(Element_Stiffness!$C$146,IF(Element_Stiffness!$C$145=3,IF(1=Element_Stiffness!$C$145,Element_Stiffness!P171,IF(1=Element_Stiffness!$E$145,Element_Stiffness!V171,0)),IF(Element_Stiffness!$E$145=3,IF(1=Element_Stiffness!$C$145,Element_Stiffness!P177,IF(1=Element_Stiffness!$E$145,Element_Stiffness!V177,0)),0)),0)+IF(Element_Stiffness!$C$181,IF(Element_Stiffness!$C$180=3,IF(1=Element_Stiffness!$C$180,Element_Stiffness!P206,IF(1=Element_Stiffness!$E$180,Element_Stiffness!V206,0)),IF(Element_Stiffness!$E$180=3,IF(1=Element_Stiffness!$C$180,Element_Stiffness!P212,IF(1=Element_Stiffness!$E$180,Element_Stiffness!V212,0)),0)),0)+IF(Element_Stiffness!$C$216,IF(Element_Stiffness!$C$215=3,IF(1=Element_Stiffness!$C$215,Element_Stiffness!P241,IF(1=Element_Stiffness!$E$215,Element_Stiffness!V241,0)),IF(Element_Stiffness!$E$215=3,IF(1=Element_Stiffness!$C$215,Element_Stiffness!P247,IF(1=Element_Stiffness!$E$215,Element_Stiffness!V247,0)),0)),0)</f>
        <v/>
      </c>
      <c r="J28" s="21">
        <f>IF(Element_Stiffness!$C$6,IF(Element_Stiffness!$C$5=3,IF(1=Element_Stiffness!$C$5,Element_Stiffness!Q31,IF(1=Element_Stiffness!$E$5,Element_Stiffness!W31,0)),IF(Element_Stiffness!$E$5=3,IF(1=Element_Stiffness!$C$5,Element_Stiffness!Q37,IF(1=Element_Stiffness!$E$5,Element_Stiffness!W37,0)),0)),0)+IF(Element_Stiffness!$C$41,IF(Element_Stiffness!$C$40=3,IF(1=Element_Stiffness!$C$40,Element_Stiffness!Q66,IF(1=Element_Stiffness!$E$40,Element_Stiffness!W66,0)),IF(Element_Stiffness!$E$40=3,IF(1=Element_Stiffness!$C$40,Element_Stiffness!Q72,IF(1=Element_Stiffness!$E$40,Element_Stiffness!W72,0)),0)),0)+IF(Element_Stiffness!$C$76,IF(Element_Stiffness!$C$75=3,IF(1=Element_Stiffness!$C$75,Element_Stiffness!Q101,IF(1=Element_Stiffness!$E$75,Element_Stiffness!W101,0)),IF(Element_Stiffness!$E$75=3,IF(1=Element_Stiffness!$C$75,Element_Stiffness!Q107,IF(1=Element_Stiffness!$E$75,Element_Stiffness!W107,0)),0)),0)+IF(Element_Stiffness!$C$111,IF(Element_Stiffness!$C$110=3,IF(1=Element_Stiffness!$C$110,Element_Stiffness!Q136,IF(1=Element_Stiffness!$E$110,Element_Stiffness!W136,0)),IF(Element_Stiffness!$E$110=3,IF(1=Element_Stiffness!$C$110,Element_Stiffness!Q142,IF(1=Element_Stiffness!$E$110,Element_Stiffness!W142,0)),0)),0)+IF(Element_Stiffness!$C$146,IF(Element_Stiffness!$C$145=3,IF(1=Element_Stiffness!$C$145,Element_Stiffness!Q171,IF(1=Element_Stiffness!$E$145,Element_Stiffness!W171,0)),IF(Element_Stiffness!$E$145=3,IF(1=Element_Stiffness!$C$145,Element_Stiffness!Q177,IF(1=Element_Stiffness!$E$145,Element_Stiffness!W177,0)),0)),0)+IF(Element_Stiffness!$C$181,IF(Element_Stiffness!$C$180=3,IF(1=Element_Stiffness!$C$180,Element_Stiffness!Q206,IF(1=Element_Stiffness!$E$180,Element_Stiffness!W206,0)),IF(Element_Stiffness!$E$180=3,IF(1=Element_Stiffness!$C$180,Element_Stiffness!Q212,IF(1=Element_Stiffness!$E$180,Element_Stiffness!W212,0)),0)),0)+IF(Element_Stiffness!$C$216,IF(Element_Stiffness!$C$215=3,IF(1=Element_Stiffness!$C$215,Element_Stiffness!Q241,IF(1=Element_Stiffness!$E$215,Element_Stiffness!W241,0)),IF(Element_Stiffness!$E$215=3,IF(1=Element_Stiffness!$C$215,Element_Stiffness!Q247,IF(1=Element_Stiffness!$E$215,Element_Stiffness!W247,0)),0)),0)</f>
        <v/>
      </c>
      <c r="K28" s="21">
        <f>IF(Element_Stiffness!$C$6,IF(Element_Stiffness!$C$5=3,IF(1=Element_Stiffness!$C$5,Element_Stiffness!R31,IF(1=Element_Stiffness!$E$5,Element_Stiffness!X31,0)),IF(Element_Stiffness!$E$5=3,IF(1=Element_Stiffness!$C$5,Element_Stiffness!R37,IF(1=Element_Stiffness!$E$5,Element_Stiffness!X37,0)),0)),0)+IF(Element_Stiffness!$C$41,IF(Element_Stiffness!$C$40=3,IF(1=Element_Stiffness!$C$40,Element_Stiffness!R66,IF(1=Element_Stiffness!$E$40,Element_Stiffness!X66,0)),IF(Element_Stiffness!$E$40=3,IF(1=Element_Stiffness!$C$40,Element_Stiffness!R72,IF(1=Element_Stiffness!$E$40,Element_Stiffness!X72,0)),0)),0)+IF(Element_Stiffness!$C$76,IF(Element_Stiffness!$C$75=3,IF(1=Element_Stiffness!$C$75,Element_Stiffness!R101,IF(1=Element_Stiffness!$E$75,Element_Stiffness!X101,0)),IF(Element_Stiffness!$E$75=3,IF(1=Element_Stiffness!$C$75,Element_Stiffness!R107,IF(1=Element_Stiffness!$E$75,Element_Stiffness!X107,0)),0)),0)+IF(Element_Stiffness!$C$111,IF(Element_Stiffness!$C$110=3,IF(1=Element_Stiffness!$C$110,Element_Stiffness!R136,IF(1=Element_Stiffness!$E$110,Element_Stiffness!X136,0)),IF(Element_Stiffness!$E$110=3,IF(1=Element_Stiffness!$C$110,Element_Stiffness!R142,IF(1=Element_Stiffness!$E$110,Element_Stiffness!X142,0)),0)),0)+IF(Element_Stiffness!$C$146,IF(Element_Stiffness!$C$145=3,IF(1=Element_Stiffness!$C$145,Element_Stiffness!R171,IF(1=Element_Stiffness!$E$145,Element_Stiffness!X171,0)),IF(Element_Stiffness!$E$145=3,IF(1=Element_Stiffness!$C$145,Element_Stiffness!R177,IF(1=Element_Stiffness!$E$145,Element_Stiffness!X177,0)),0)),0)+IF(Element_Stiffness!$C$181,IF(Element_Stiffness!$C$180=3,IF(1=Element_Stiffness!$C$180,Element_Stiffness!R206,IF(1=Element_Stiffness!$E$180,Element_Stiffness!X206,0)),IF(Element_Stiffness!$E$180=3,IF(1=Element_Stiffness!$C$180,Element_Stiffness!R212,IF(1=Element_Stiffness!$E$180,Element_Stiffness!X212,0)),0)),0)+IF(Element_Stiffness!$C$216,IF(Element_Stiffness!$C$215=3,IF(1=Element_Stiffness!$C$215,Element_Stiffness!R241,IF(1=Element_Stiffness!$E$215,Element_Stiffness!X241,0)),IF(Element_Stiffness!$E$215=3,IF(1=Element_Stiffness!$C$215,Element_Stiffness!R247,IF(1=Element_Stiffness!$E$215,Element_Stiffness!X247,0)),0)),0)</f>
        <v/>
      </c>
      <c r="L28" s="21">
        <f>IF(Element_Stiffness!$C$6,IF(Element_Stiffness!$C$5=3,IF(1=Element_Stiffness!$C$5,Element_Stiffness!S31,IF(1=Element_Stiffness!$E$5,Element_Stiffness!Y31,0)),IF(Element_Stiffness!$E$5=3,IF(1=Element_Stiffness!$C$5,Element_Stiffness!S37,IF(1=Element_Stiffness!$E$5,Element_Stiffness!Y37,0)),0)),0)+IF(Element_Stiffness!$C$41,IF(Element_Stiffness!$C$40=3,IF(1=Element_Stiffness!$C$40,Element_Stiffness!S66,IF(1=Element_Stiffness!$E$40,Element_Stiffness!Y66,0)),IF(Element_Stiffness!$E$40=3,IF(1=Element_Stiffness!$C$40,Element_Stiffness!S72,IF(1=Element_Stiffness!$E$40,Element_Stiffness!Y72,0)),0)),0)+IF(Element_Stiffness!$C$76,IF(Element_Stiffness!$C$75=3,IF(1=Element_Stiffness!$C$75,Element_Stiffness!S101,IF(1=Element_Stiffness!$E$75,Element_Stiffness!Y101,0)),IF(Element_Stiffness!$E$75=3,IF(1=Element_Stiffness!$C$75,Element_Stiffness!S107,IF(1=Element_Stiffness!$E$75,Element_Stiffness!Y107,0)),0)),0)+IF(Element_Stiffness!$C$111,IF(Element_Stiffness!$C$110=3,IF(1=Element_Stiffness!$C$110,Element_Stiffness!S136,IF(1=Element_Stiffness!$E$110,Element_Stiffness!Y136,0)),IF(Element_Stiffness!$E$110=3,IF(1=Element_Stiffness!$C$110,Element_Stiffness!S142,IF(1=Element_Stiffness!$E$110,Element_Stiffness!Y142,0)),0)),0)+IF(Element_Stiffness!$C$146,IF(Element_Stiffness!$C$145=3,IF(1=Element_Stiffness!$C$145,Element_Stiffness!S171,IF(1=Element_Stiffness!$E$145,Element_Stiffness!Y171,0)),IF(Element_Stiffness!$E$145=3,IF(1=Element_Stiffness!$C$145,Element_Stiffness!S177,IF(1=Element_Stiffness!$E$145,Element_Stiffness!Y177,0)),0)),0)+IF(Element_Stiffness!$C$181,IF(Element_Stiffness!$C$180=3,IF(1=Element_Stiffness!$C$180,Element_Stiffness!S206,IF(1=Element_Stiffness!$E$180,Element_Stiffness!Y206,0)),IF(Element_Stiffness!$E$180=3,IF(1=Element_Stiffness!$C$180,Element_Stiffness!S212,IF(1=Element_Stiffness!$E$180,Element_Stiffness!Y212,0)),0)),0)+IF(Element_Stiffness!$C$216,IF(Element_Stiffness!$C$215=3,IF(1=Element_Stiffness!$C$215,Element_Stiffness!S241,IF(1=Element_Stiffness!$E$215,Element_Stiffness!Y241,0)),IF(Element_Stiffness!$E$215=3,IF(1=Element_Stiffness!$C$215,Element_Stiffness!S247,IF(1=Element_Stiffness!$E$215,Element_Stiffness!Y247,0)),0)),0)</f>
        <v/>
      </c>
      <c r="M28" s="21">
        <f>IF(Element_Stiffness!$C$6,IF(Element_Stiffness!$C$5=3,IF(1=Element_Stiffness!$C$5,Element_Stiffness!T31,IF(1=Element_Stiffness!$E$5,Element_Stiffness!Z31,0)),IF(Element_Stiffness!$E$5=3,IF(1=Element_Stiffness!$C$5,Element_Stiffness!T37,IF(1=Element_Stiffness!$E$5,Element_Stiffness!Z37,0)),0)),0)+IF(Element_Stiffness!$C$41,IF(Element_Stiffness!$C$40=3,IF(1=Element_Stiffness!$C$40,Element_Stiffness!T66,IF(1=Element_Stiffness!$E$40,Element_Stiffness!Z66,0)),IF(Element_Stiffness!$E$40=3,IF(1=Element_Stiffness!$C$40,Element_Stiffness!T72,IF(1=Element_Stiffness!$E$40,Element_Stiffness!Z72,0)),0)),0)+IF(Element_Stiffness!$C$76,IF(Element_Stiffness!$C$75=3,IF(1=Element_Stiffness!$C$75,Element_Stiffness!T101,IF(1=Element_Stiffness!$E$75,Element_Stiffness!Z101,0)),IF(Element_Stiffness!$E$75=3,IF(1=Element_Stiffness!$C$75,Element_Stiffness!T107,IF(1=Element_Stiffness!$E$75,Element_Stiffness!Z107,0)),0)),0)+IF(Element_Stiffness!$C$111,IF(Element_Stiffness!$C$110=3,IF(1=Element_Stiffness!$C$110,Element_Stiffness!T136,IF(1=Element_Stiffness!$E$110,Element_Stiffness!Z136,0)),IF(Element_Stiffness!$E$110=3,IF(1=Element_Stiffness!$C$110,Element_Stiffness!T142,IF(1=Element_Stiffness!$E$110,Element_Stiffness!Z142,0)),0)),0)+IF(Element_Stiffness!$C$146,IF(Element_Stiffness!$C$145=3,IF(1=Element_Stiffness!$C$145,Element_Stiffness!T171,IF(1=Element_Stiffness!$E$145,Element_Stiffness!Z171,0)),IF(Element_Stiffness!$E$145=3,IF(1=Element_Stiffness!$C$145,Element_Stiffness!T177,IF(1=Element_Stiffness!$E$145,Element_Stiffness!Z177,0)),0)),0)+IF(Element_Stiffness!$C$181,IF(Element_Stiffness!$C$180=3,IF(1=Element_Stiffness!$C$180,Element_Stiffness!T206,IF(1=Element_Stiffness!$E$180,Element_Stiffness!Z206,0)),IF(Element_Stiffness!$E$180=3,IF(1=Element_Stiffness!$C$180,Element_Stiffness!T212,IF(1=Element_Stiffness!$E$180,Element_Stiffness!Z212,0)),0)),0)+IF(Element_Stiffness!$C$216,IF(Element_Stiffness!$C$215=3,IF(1=Element_Stiffness!$C$215,Element_Stiffness!T241,IF(1=Element_Stiffness!$E$215,Element_Stiffness!Z241,0)),IF(Element_Stiffness!$E$215=3,IF(1=Element_Stiffness!$C$215,Element_Stiffness!T247,IF(1=Element_Stiffness!$E$215,Element_Stiffness!Z247,0)),0)),0)</f>
        <v/>
      </c>
      <c r="N28" s="21">
        <f>IF(Element_Stiffness!$C$6,IF(Element_Stiffness!$C$5=3,IF(1=Element_Stiffness!$C$5,Element_Stiffness!U31,IF(1=Element_Stiffness!$E$5,Element_Stiffness!AA31,0)),IF(Element_Stiffness!$E$5=3,IF(1=Element_Stiffness!$C$5,Element_Stiffness!U37,IF(1=Element_Stiffness!$E$5,Element_Stiffness!AA37,0)),0)),0)+IF(Element_Stiffness!$C$41,IF(Element_Stiffness!$C$40=3,IF(1=Element_Stiffness!$C$40,Element_Stiffness!U66,IF(1=Element_Stiffness!$E$40,Element_Stiffness!AA66,0)),IF(Element_Stiffness!$E$40=3,IF(1=Element_Stiffness!$C$40,Element_Stiffness!U72,IF(1=Element_Stiffness!$E$40,Element_Stiffness!AA72,0)),0)),0)+IF(Element_Stiffness!$C$76,IF(Element_Stiffness!$C$75=3,IF(1=Element_Stiffness!$C$75,Element_Stiffness!U101,IF(1=Element_Stiffness!$E$75,Element_Stiffness!AA101,0)),IF(Element_Stiffness!$E$75=3,IF(1=Element_Stiffness!$C$75,Element_Stiffness!U107,IF(1=Element_Stiffness!$E$75,Element_Stiffness!AA107,0)),0)),0)+IF(Element_Stiffness!$C$111,IF(Element_Stiffness!$C$110=3,IF(1=Element_Stiffness!$C$110,Element_Stiffness!U136,IF(1=Element_Stiffness!$E$110,Element_Stiffness!AA136,0)),IF(Element_Stiffness!$E$110=3,IF(1=Element_Stiffness!$C$110,Element_Stiffness!U142,IF(1=Element_Stiffness!$E$110,Element_Stiffness!AA142,0)),0)),0)+IF(Element_Stiffness!$C$146,IF(Element_Stiffness!$C$145=3,IF(1=Element_Stiffness!$C$145,Element_Stiffness!U171,IF(1=Element_Stiffness!$E$145,Element_Stiffness!AA171,0)),IF(Element_Stiffness!$E$145=3,IF(1=Element_Stiffness!$C$145,Element_Stiffness!U177,IF(1=Element_Stiffness!$E$145,Element_Stiffness!AA177,0)),0)),0)+IF(Element_Stiffness!$C$181,IF(Element_Stiffness!$C$180=3,IF(1=Element_Stiffness!$C$180,Element_Stiffness!U206,IF(1=Element_Stiffness!$E$180,Element_Stiffness!AA206,0)),IF(Element_Stiffness!$E$180=3,IF(1=Element_Stiffness!$C$180,Element_Stiffness!U212,IF(1=Element_Stiffness!$E$180,Element_Stiffness!AA212,0)),0)),0)+IF(Element_Stiffness!$C$216,IF(Element_Stiffness!$C$215=3,IF(1=Element_Stiffness!$C$215,Element_Stiffness!U241,IF(1=Element_Stiffness!$E$215,Element_Stiffness!AA241,0)),IF(Element_Stiffness!$E$215=3,IF(1=Element_Stiffness!$C$215,Element_Stiffness!U247,IF(1=Element_Stiffness!$E$215,Element_Stiffness!AA247,0)),0)),0)</f>
        <v/>
      </c>
      <c r="O28" s="21">
        <f>IF(Element_Stiffness!$C$6,IF(Element_Stiffness!$C$5=3,IF(2=Element_Stiffness!$C$5,Element_Stiffness!P31,IF(2=Element_Stiffness!$E$5,Element_Stiffness!V31,0)),IF(Element_Stiffness!$E$5=3,IF(2=Element_Stiffness!$C$5,Element_Stiffness!P37,IF(2=Element_Stiffness!$E$5,Element_Stiffness!V37,0)),0)),0)+IF(Element_Stiffness!$C$41,IF(Element_Stiffness!$C$40=3,IF(2=Element_Stiffness!$C$40,Element_Stiffness!P66,IF(2=Element_Stiffness!$E$40,Element_Stiffness!V66,0)),IF(Element_Stiffness!$E$40=3,IF(2=Element_Stiffness!$C$40,Element_Stiffness!P72,IF(2=Element_Stiffness!$E$40,Element_Stiffness!V72,0)),0)),0)+IF(Element_Stiffness!$C$76,IF(Element_Stiffness!$C$75=3,IF(2=Element_Stiffness!$C$75,Element_Stiffness!P101,IF(2=Element_Stiffness!$E$75,Element_Stiffness!V101,0)),IF(Element_Stiffness!$E$75=3,IF(2=Element_Stiffness!$C$75,Element_Stiffness!P107,IF(2=Element_Stiffness!$E$75,Element_Stiffness!V107,0)),0)),0)+IF(Element_Stiffness!$C$111,IF(Element_Stiffness!$C$110=3,IF(2=Element_Stiffness!$C$110,Element_Stiffness!P136,IF(2=Element_Stiffness!$E$110,Element_Stiffness!V136,0)),IF(Element_Stiffness!$E$110=3,IF(2=Element_Stiffness!$C$110,Element_Stiffness!P142,IF(2=Element_Stiffness!$E$110,Element_Stiffness!V142,0)),0)),0)+IF(Element_Stiffness!$C$146,IF(Element_Stiffness!$C$145=3,IF(2=Element_Stiffness!$C$145,Element_Stiffness!P171,IF(2=Element_Stiffness!$E$145,Element_Stiffness!V171,0)),IF(Element_Stiffness!$E$145=3,IF(2=Element_Stiffness!$C$145,Element_Stiffness!P177,IF(2=Element_Stiffness!$E$145,Element_Stiffness!V177,0)),0)),0)+IF(Element_Stiffness!$C$181,IF(Element_Stiffness!$C$180=3,IF(2=Element_Stiffness!$C$180,Element_Stiffness!P206,IF(2=Element_Stiffness!$E$180,Element_Stiffness!V206,0)),IF(Element_Stiffness!$E$180=3,IF(2=Element_Stiffness!$C$180,Element_Stiffness!P212,IF(2=Element_Stiffness!$E$180,Element_Stiffness!V212,0)),0)),0)+IF(Element_Stiffness!$C$216,IF(Element_Stiffness!$C$215=3,IF(2=Element_Stiffness!$C$215,Element_Stiffness!P241,IF(2=Element_Stiffness!$E$215,Element_Stiffness!V241,0)),IF(Element_Stiffness!$E$215=3,IF(2=Element_Stiffness!$C$215,Element_Stiffness!P247,IF(2=Element_Stiffness!$E$215,Element_Stiffness!V247,0)),0)),0)</f>
        <v/>
      </c>
      <c r="P28" s="21">
        <f>IF(Element_Stiffness!$C$6,IF(Element_Stiffness!$C$5=3,IF(2=Element_Stiffness!$C$5,Element_Stiffness!Q31,IF(2=Element_Stiffness!$E$5,Element_Stiffness!W31,0)),IF(Element_Stiffness!$E$5=3,IF(2=Element_Stiffness!$C$5,Element_Stiffness!Q37,IF(2=Element_Stiffness!$E$5,Element_Stiffness!W37,0)),0)),0)+IF(Element_Stiffness!$C$41,IF(Element_Stiffness!$C$40=3,IF(2=Element_Stiffness!$C$40,Element_Stiffness!Q66,IF(2=Element_Stiffness!$E$40,Element_Stiffness!W66,0)),IF(Element_Stiffness!$E$40=3,IF(2=Element_Stiffness!$C$40,Element_Stiffness!Q72,IF(2=Element_Stiffness!$E$40,Element_Stiffness!W72,0)),0)),0)+IF(Element_Stiffness!$C$76,IF(Element_Stiffness!$C$75=3,IF(2=Element_Stiffness!$C$75,Element_Stiffness!Q101,IF(2=Element_Stiffness!$E$75,Element_Stiffness!W101,0)),IF(Element_Stiffness!$E$75=3,IF(2=Element_Stiffness!$C$75,Element_Stiffness!Q107,IF(2=Element_Stiffness!$E$75,Element_Stiffness!W107,0)),0)),0)+IF(Element_Stiffness!$C$111,IF(Element_Stiffness!$C$110=3,IF(2=Element_Stiffness!$C$110,Element_Stiffness!Q136,IF(2=Element_Stiffness!$E$110,Element_Stiffness!W136,0)),IF(Element_Stiffness!$E$110=3,IF(2=Element_Stiffness!$C$110,Element_Stiffness!Q142,IF(2=Element_Stiffness!$E$110,Element_Stiffness!W142,0)),0)),0)+IF(Element_Stiffness!$C$146,IF(Element_Stiffness!$C$145=3,IF(2=Element_Stiffness!$C$145,Element_Stiffness!Q171,IF(2=Element_Stiffness!$E$145,Element_Stiffness!W171,0)),IF(Element_Stiffness!$E$145=3,IF(2=Element_Stiffness!$C$145,Element_Stiffness!Q177,IF(2=Element_Stiffness!$E$145,Element_Stiffness!W177,0)),0)),0)+IF(Element_Stiffness!$C$181,IF(Element_Stiffness!$C$180=3,IF(2=Element_Stiffness!$C$180,Element_Stiffness!Q206,IF(2=Element_Stiffness!$E$180,Element_Stiffness!W206,0)),IF(Element_Stiffness!$E$180=3,IF(2=Element_Stiffness!$C$180,Element_Stiffness!Q212,IF(2=Element_Stiffness!$E$180,Element_Stiffness!W212,0)),0)),0)+IF(Element_Stiffness!$C$216,IF(Element_Stiffness!$C$215=3,IF(2=Element_Stiffness!$C$215,Element_Stiffness!Q241,IF(2=Element_Stiffness!$E$215,Element_Stiffness!W241,0)),IF(Element_Stiffness!$E$215=3,IF(2=Element_Stiffness!$C$215,Element_Stiffness!Q247,IF(2=Element_Stiffness!$E$215,Element_Stiffness!W247,0)),0)),0)</f>
        <v/>
      </c>
      <c r="Q28" s="21">
        <f>IF(Element_Stiffness!$C$6,IF(Element_Stiffness!$C$5=3,IF(2=Element_Stiffness!$C$5,Element_Stiffness!R31,IF(2=Element_Stiffness!$E$5,Element_Stiffness!X31,0)),IF(Element_Stiffness!$E$5=3,IF(2=Element_Stiffness!$C$5,Element_Stiffness!R37,IF(2=Element_Stiffness!$E$5,Element_Stiffness!X37,0)),0)),0)+IF(Element_Stiffness!$C$41,IF(Element_Stiffness!$C$40=3,IF(2=Element_Stiffness!$C$40,Element_Stiffness!R66,IF(2=Element_Stiffness!$E$40,Element_Stiffness!X66,0)),IF(Element_Stiffness!$E$40=3,IF(2=Element_Stiffness!$C$40,Element_Stiffness!R72,IF(2=Element_Stiffness!$E$40,Element_Stiffness!X72,0)),0)),0)+IF(Element_Stiffness!$C$76,IF(Element_Stiffness!$C$75=3,IF(2=Element_Stiffness!$C$75,Element_Stiffness!R101,IF(2=Element_Stiffness!$E$75,Element_Stiffness!X101,0)),IF(Element_Stiffness!$E$75=3,IF(2=Element_Stiffness!$C$75,Element_Stiffness!R107,IF(2=Element_Stiffness!$E$75,Element_Stiffness!X107,0)),0)),0)+IF(Element_Stiffness!$C$111,IF(Element_Stiffness!$C$110=3,IF(2=Element_Stiffness!$C$110,Element_Stiffness!R136,IF(2=Element_Stiffness!$E$110,Element_Stiffness!X136,0)),IF(Element_Stiffness!$E$110=3,IF(2=Element_Stiffness!$C$110,Element_Stiffness!R142,IF(2=Element_Stiffness!$E$110,Element_Stiffness!X142,0)),0)),0)+IF(Element_Stiffness!$C$146,IF(Element_Stiffness!$C$145=3,IF(2=Element_Stiffness!$C$145,Element_Stiffness!R171,IF(2=Element_Stiffness!$E$145,Element_Stiffness!X171,0)),IF(Element_Stiffness!$E$145=3,IF(2=Element_Stiffness!$C$145,Element_Stiffness!R177,IF(2=Element_Stiffness!$E$145,Element_Stiffness!X177,0)),0)),0)+IF(Element_Stiffness!$C$181,IF(Element_Stiffness!$C$180=3,IF(2=Element_Stiffness!$C$180,Element_Stiffness!R206,IF(2=Element_Stiffness!$E$180,Element_Stiffness!X206,0)),IF(Element_Stiffness!$E$180=3,IF(2=Element_Stiffness!$C$180,Element_Stiffness!R212,IF(2=Element_Stiffness!$E$180,Element_Stiffness!X212,0)),0)),0)+IF(Element_Stiffness!$C$216,IF(Element_Stiffness!$C$215=3,IF(2=Element_Stiffness!$C$215,Element_Stiffness!R241,IF(2=Element_Stiffness!$E$215,Element_Stiffness!X241,0)),IF(Element_Stiffness!$E$215=3,IF(2=Element_Stiffness!$C$215,Element_Stiffness!R247,IF(2=Element_Stiffness!$E$215,Element_Stiffness!X247,0)),0)),0)</f>
        <v/>
      </c>
      <c r="R28" s="21">
        <f>IF(Element_Stiffness!$C$6,IF(Element_Stiffness!$C$5=3,IF(2=Element_Stiffness!$C$5,Element_Stiffness!S31,IF(2=Element_Stiffness!$E$5,Element_Stiffness!Y31,0)),IF(Element_Stiffness!$E$5=3,IF(2=Element_Stiffness!$C$5,Element_Stiffness!S37,IF(2=Element_Stiffness!$E$5,Element_Stiffness!Y37,0)),0)),0)+IF(Element_Stiffness!$C$41,IF(Element_Stiffness!$C$40=3,IF(2=Element_Stiffness!$C$40,Element_Stiffness!S66,IF(2=Element_Stiffness!$E$40,Element_Stiffness!Y66,0)),IF(Element_Stiffness!$E$40=3,IF(2=Element_Stiffness!$C$40,Element_Stiffness!S72,IF(2=Element_Stiffness!$E$40,Element_Stiffness!Y72,0)),0)),0)+IF(Element_Stiffness!$C$76,IF(Element_Stiffness!$C$75=3,IF(2=Element_Stiffness!$C$75,Element_Stiffness!S101,IF(2=Element_Stiffness!$E$75,Element_Stiffness!Y101,0)),IF(Element_Stiffness!$E$75=3,IF(2=Element_Stiffness!$C$75,Element_Stiffness!S107,IF(2=Element_Stiffness!$E$75,Element_Stiffness!Y107,0)),0)),0)+IF(Element_Stiffness!$C$111,IF(Element_Stiffness!$C$110=3,IF(2=Element_Stiffness!$C$110,Element_Stiffness!S136,IF(2=Element_Stiffness!$E$110,Element_Stiffness!Y136,0)),IF(Element_Stiffness!$E$110=3,IF(2=Element_Stiffness!$C$110,Element_Stiffness!S142,IF(2=Element_Stiffness!$E$110,Element_Stiffness!Y142,0)),0)),0)+IF(Element_Stiffness!$C$146,IF(Element_Stiffness!$C$145=3,IF(2=Element_Stiffness!$C$145,Element_Stiffness!S171,IF(2=Element_Stiffness!$E$145,Element_Stiffness!Y171,0)),IF(Element_Stiffness!$E$145=3,IF(2=Element_Stiffness!$C$145,Element_Stiffness!S177,IF(2=Element_Stiffness!$E$145,Element_Stiffness!Y177,0)),0)),0)+IF(Element_Stiffness!$C$181,IF(Element_Stiffness!$C$180=3,IF(2=Element_Stiffness!$C$180,Element_Stiffness!S206,IF(2=Element_Stiffness!$E$180,Element_Stiffness!Y206,0)),IF(Element_Stiffness!$E$180=3,IF(2=Element_Stiffness!$C$180,Element_Stiffness!S212,IF(2=Element_Stiffness!$E$180,Element_Stiffness!Y212,0)),0)),0)+IF(Element_Stiffness!$C$216,IF(Element_Stiffness!$C$215=3,IF(2=Element_Stiffness!$C$215,Element_Stiffness!S241,IF(2=Element_Stiffness!$E$215,Element_Stiffness!Y241,0)),IF(Element_Stiffness!$E$215=3,IF(2=Element_Stiffness!$C$215,Element_Stiffness!S247,IF(2=Element_Stiffness!$E$215,Element_Stiffness!Y247,0)),0)),0)</f>
        <v/>
      </c>
      <c r="S28" s="21">
        <f>IF(Element_Stiffness!$C$6,IF(Element_Stiffness!$C$5=3,IF(2=Element_Stiffness!$C$5,Element_Stiffness!T31,IF(2=Element_Stiffness!$E$5,Element_Stiffness!Z31,0)),IF(Element_Stiffness!$E$5=3,IF(2=Element_Stiffness!$C$5,Element_Stiffness!T37,IF(2=Element_Stiffness!$E$5,Element_Stiffness!Z37,0)),0)),0)+IF(Element_Stiffness!$C$41,IF(Element_Stiffness!$C$40=3,IF(2=Element_Stiffness!$C$40,Element_Stiffness!T66,IF(2=Element_Stiffness!$E$40,Element_Stiffness!Z66,0)),IF(Element_Stiffness!$E$40=3,IF(2=Element_Stiffness!$C$40,Element_Stiffness!T72,IF(2=Element_Stiffness!$E$40,Element_Stiffness!Z72,0)),0)),0)+IF(Element_Stiffness!$C$76,IF(Element_Stiffness!$C$75=3,IF(2=Element_Stiffness!$C$75,Element_Stiffness!T101,IF(2=Element_Stiffness!$E$75,Element_Stiffness!Z101,0)),IF(Element_Stiffness!$E$75=3,IF(2=Element_Stiffness!$C$75,Element_Stiffness!T107,IF(2=Element_Stiffness!$E$75,Element_Stiffness!Z107,0)),0)),0)+IF(Element_Stiffness!$C$111,IF(Element_Stiffness!$C$110=3,IF(2=Element_Stiffness!$C$110,Element_Stiffness!T136,IF(2=Element_Stiffness!$E$110,Element_Stiffness!Z136,0)),IF(Element_Stiffness!$E$110=3,IF(2=Element_Stiffness!$C$110,Element_Stiffness!T142,IF(2=Element_Stiffness!$E$110,Element_Stiffness!Z142,0)),0)),0)+IF(Element_Stiffness!$C$146,IF(Element_Stiffness!$C$145=3,IF(2=Element_Stiffness!$C$145,Element_Stiffness!T171,IF(2=Element_Stiffness!$E$145,Element_Stiffness!Z171,0)),IF(Element_Stiffness!$E$145=3,IF(2=Element_Stiffness!$C$145,Element_Stiffness!T177,IF(2=Element_Stiffness!$E$145,Element_Stiffness!Z177,0)),0)),0)+IF(Element_Stiffness!$C$181,IF(Element_Stiffness!$C$180=3,IF(2=Element_Stiffness!$C$180,Element_Stiffness!T206,IF(2=Element_Stiffness!$E$180,Element_Stiffness!Z206,0)),IF(Element_Stiffness!$E$180=3,IF(2=Element_Stiffness!$C$180,Element_Stiffness!T212,IF(2=Element_Stiffness!$E$180,Element_Stiffness!Z212,0)),0)),0)+IF(Element_Stiffness!$C$216,IF(Element_Stiffness!$C$215=3,IF(2=Element_Stiffness!$C$215,Element_Stiffness!T241,IF(2=Element_Stiffness!$E$215,Element_Stiffness!Z241,0)),IF(Element_Stiffness!$E$215=3,IF(2=Element_Stiffness!$C$215,Element_Stiffness!T247,IF(2=Element_Stiffness!$E$215,Element_Stiffness!Z247,0)),0)),0)</f>
        <v/>
      </c>
      <c r="T28" s="21">
        <f>IF(Element_Stiffness!$C$6,IF(Element_Stiffness!$C$5=3,IF(2=Element_Stiffness!$C$5,Element_Stiffness!U31,IF(2=Element_Stiffness!$E$5,Element_Stiffness!AA31,0)),IF(Element_Stiffness!$E$5=3,IF(2=Element_Stiffness!$C$5,Element_Stiffness!U37,IF(2=Element_Stiffness!$E$5,Element_Stiffness!AA37,0)),0)),0)+IF(Element_Stiffness!$C$41,IF(Element_Stiffness!$C$40=3,IF(2=Element_Stiffness!$C$40,Element_Stiffness!U66,IF(2=Element_Stiffness!$E$40,Element_Stiffness!AA66,0)),IF(Element_Stiffness!$E$40=3,IF(2=Element_Stiffness!$C$40,Element_Stiffness!U72,IF(2=Element_Stiffness!$E$40,Element_Stiffness!AA72,0)),0)),0)+IF(Element_Stiffness!$C$76,IF(Element_Stiffness!$C$75=3,IF(2=Element_Stiffness!$C$75,Element_Stiffness!U101,IF(2=Element_Stiffness!$E$75,Element_Stiffness!AA101,0)),IF(Element_Stiffness!$E$75=3,IF(2=Element_Stiffness!$C$75,Element_Stiffness!U107,IF(2=Element_Stiffness!$E$75,Element_Stiffness!AA107,0)),0)),0)+IF(Element_Stiffness!$C$111,IF(Element_Stiffness!$C$110=3,IF(2=Element_Stiffness!$C$110,Element_Stiffness!U136,IF(2=Element_Stiffness!$E$110,Element_Stiffness!AA136,0)),IF(Element_Stiffness!$E$110=3,IF(2=Element_Stiffness!$C$110,Element_Stiffness!U142,IF(2=Element_Stiffness!$E$110,Element_Stiffness!AA142,0)),0)),0)+IF(Element_Stiffness!$C$146,IF(Element_Stiffness!$C$145=3,IF(2=Element_Stiffness!$C$145,Element_Stiffness!U171,IF(2=Element_Stiffness!$E$145,Element_Stiffness!AA171,0)),IF(Element_Stiffness!$E$145=3,IF(2=Element_Stiffness!$C$145,Element_Stiffness!U177,IF(2=Element_Stiffness!$E$145,Element_Stiffness!AA177,0)),0)),0)+IF(Element_Stiffness!$C$181,IF(Element_Stiffness!$C$180=3,IF(2=Element_Stiffness!$C$180,Element_Stiffness!U206,IF(2=Element_Stiffness!$E$180,Element_Stiffness!AA206,0)),IF(Element_Stiffness!$E$180=3,IF(2=Element_Stiffness!$C$180,Element_Stiffness!U212,IF(2=Element_Stiffness!$E$180,Element_Stiffness!AA212,0)),0)),0)+IF(Element_Stiffness!$C$216,IF(Element_Stiffness!$C$215=3,IF(2=Element_Stiffness!$C$215,Element_Stiffness!U241,IF(2=Element_Stiffness!$E$215,Element_Stiffness!AA241,0)),IF(Element_Stiffness!$E$215=3,IF(2=Element_Stiffness!$C$215,Element_Stiffness!U247,IF(2=Element_Stiffness!$E$215,Element_Stiffness!AA247,0)),0)),0)</f>
        <v/>
      </c>
      <c r="U28" s="21">
        <f>IF(Element_Stiffness!$C$6,IF(Element_Stiffness!$C$5=3,IF(3=Element_Stiffness!$C$5,Element_Stiffness!P31,IF(3=Element_Stiffness!$E$5,Element_Stiffness!V31,0)),IF(Element_Stiffness!$E$5=3,IF(3=Element_Stiffness!$C$5,Element_Stiffness!P37,IF(3=Element_Stiffness!$E$5,Element_Stiffness!V37,0)),0)),0)+IF(Element_Stiffness!$C$41,IF(Element_Stiffness!$C$40=3,IF(3=Element_Stiffness!$C$40,Element_Stiffness!P66,IF(3=Element_Stiffness!$E$40,Element_Stiffness!V66,0)),IF(Element_Stiffness!$E$40=3,IF(3=Element_Stiffness!$C$40,Element_Stiffness!P72,IF(3=Element_Stiffness!$E$40,Element_Stiffness!V72,0)),0)),0)+IF(Element_Stiffness!$C$76,IF(Element_Stiffness!$C$75=3,IF(3=Element_Stiffness!$C$75,Element_Stiffness!P101,IF(3=Element_Stiffness!$E$75,Element_Stiffness!V101,0)),IF(Element_Stiffness!$E$75=3,IF(3=Element_Stiffness!$C$75,Element_Stiffness!P107,IF(3=Element_Stiffness!$E$75,Element_Stiffness!V107,0)),0)),0)+IF(Element_Stiffness!$C$111,IF(Element_Stiffness!$C$110=3,IF(3=Element_Stiffness!$C$110,Element_Stiffness!P136,IF(3=Element_Stiffness!$E$110,Element_Stiffness!V136,0)),IF(Element_Stiffness!$E$110=3,IF(3=Element_Stiffness!$C$110,Element_Stiffness!P142,IF(3=Element_Stiffness!$E$110,Element_Stiffness!V142,0)),0)),0)+IF(Element_Stiffness!$C$146,IF(Element_Stiffness!$C$145=3,IF(3=Element_Stiffness!$C$145,Element_Stiffness!P171,IF(3=Element_Stiffness!$E$145,Element_Stiffness!V171,0)),IF(Element_Stiffness!$E$145=3,IF(3=Element_Stiffness!$C$145,Element_Stiffness!P177,IF(3=Element_Stiffness!$E$145,Element_Stiffness!V177,0)),0)),0)+IF(Element_Stiffness!$C$181,IF(Element_Stiffness!$C$180=3,IF(3=Element_Stiffness!$C$180,Element_Stiffness!P206,IF(3=Element_Stiffness!$E$180,Element_Stiffness!V206,0)),IF(Element_Stiffness!$E$180=3,IF(3=Element_Stiffness!$C$180,Element_Stiffness!P212,IF(3=Element_Stiffness!$E$180,Element_Stiffness!V212,0)),0)),0)+IF(Element_Stiffness!$C$216,IF(Element_Stiffness!$C$215=3,IF(3=Element_Stiffness!$C$215,Element_Stiffness!P241,IF(3=Element_Stiffness!$E$215,Element_Stiffness!V241,0)),IF(Element_Stiffness!$E$215=3,IF(3=Element_Stiffness!$C$215,Element_Stiffness!P247,IF(3=Element_Stiffness!$E$215,Element_Stiffness!V247,0)),0)),0)</f>
        <v/>
      </c>
      <c r="V28" s="21">
        <f>IF(Element_Stiffness!$C$6,IF(Element_Stiffness!$C$5=3,IF(3=Element_Stiffness!$C$5,Element_Stiffness!Q31,IF(3=Element_Stiffness!$E$5,Element_Stiffness!W31,0)),IF(Element_Stiffness!$E$5=3,IF(3=Element_Stiffness!$C$5,Element_Stiffness!Q37,IF(3=Element_Stiffness!$E$5,Element_Stiffness!W37,0)),0)),0)+IF(Element_Stiffness!$C$41,IF(Element_Stiffness!$C$40=3,IF(3=Element_Stiffness!$C$40,Element_Stiffness!Q66,IF(3=Element_Stiffness!$E$40,Element_Stiffness!W66,0)),IF(Element_Stiffness!$E$40=3,IF(3=Element_Stiffness!$C$40,Element_Stiffness!Q72,IF(3=Element_Stiffness!$E$40,Element_Stiffness!W72,0)),0)),0)+IF(Element_Stiffness!$C$76,IF(Element_Stiffness!$C$75=3,IF(3=Element_Stiffness!$C$75,Element_Stiffness!Q101,IF(3=Element_Stiffness!$E$75,Element_Stiffness!W101,0)),IF(Element_Stiffness!$E$75=3,IF(3=Element_Stiffness!$C$75,Element_Stiffness!Q107,IF(3=Element_Stiffness!$E$75,Element_Stiffness!W107,0)),0)),0)+IF(Element_Stiffness!$C$111,IF(Element_Stiffness!$C$110=3,IF(3=Element_Stiffness!$C$110,Element_Stiffness!Q136,IF(3=Element_Stiffness!$E$110,Element_Stiffness!W136,0)),IF(Element_Stiffness!$E$110=3,IF(3=Element_Stiffness!$C$110,Element_Stiffness!Q142,IF(3=Element_Stiffness!$E$110,Element_Stiffness!W142,0)),0)),0)+IF(Element_Stiffness!$C$146,IF(Element_Stiffness!$C$145=3,IF(3=Element_Stiffness!$C$145,Element_Stiffness!Q171,IF(3=Element_Stiffness!$E$145,Element_Stiffness!W171,0)),IF(Element_Stiffness!$E$145=3,IF(3=Element_Stiffness!$C$145,Element_Stiffness!Q177,IF(3=Element_Stiffness!$E$145,Element_Stiffness!W177,0)),0)),0)+IF(Element_Stiffness!$C$181,IF(Element_Stiffness!$C$180=3,IF(3=Element_Stiffness!$C$180,Element_Stiffness!Q206,IF(3=Element_Stiffness!$E$180,Element_Stiffness!W206,0)),IF(Element_Stiffness!$E$180=3,IF(3=Element_Stiffness!$C$180,Element_Stiffness!Q212,IF(3=Element_Stiffness!$E$180,Element_Stiffness!W212,0)),0)),0)+IF(Element_Stiffness!$C$216,IF(Element_Stiffness!$C$215=3,IF(3=Element_Stiffness!$C$215,Element_Stiffness!Q241,IF(3=Element_Stiffness!$E$215,Element_Stiffness!W241,0)),IF(Element_Stiffness!$E$215=3,IF(3=Element_Stiffness!$C$215,Element_Stiffness!Q247,IF(3=Element_Stiffness!$E$215,Element_Stiffness!W247,0)),0)),0)</f>
        <v/>
      </c>
      <c r="W28" s="21">
        <f>IF(Element_Stiffness!$C$6,IF(Element_Stiffness!$C$5=3,IF(3=Element_Stiffness!$C$5,Element_Stiffness!R31,IF(3=Element_Stiffness!$E$5,Element_Stiffness!X31,0)),IF(Element_Stiffness!$E$5=3,IF(3=Element_Stiffness!$C$5,Element_Stiffness!R37,IF(3=Element_Stiffness!$E$5,Element_Stiffness!X37,0)),0)),0)+IF(Element_Stiffness!$C$41,IF(Element_Stiffness!$C$40=3,IF(3=Element_Stiffness!$C$40,Element_Stiffness!R66,IF(3=Element_Stiffness!$E$40,Element_Stiffness!X66,0)),IF(Element_Stiffness!$E$40=3,IF(3=Element_Stiffness!$C$40,Element_Stiffness!R72,IF(3=Element_Stiffness!$E$40,Element_Stiffness!X72,0)),0)),0)+IF(Element_Stiffness!$C$76,IF(Element_Stiffness!$C$75=3,IF(3=Element_Stiffness!$C$75,Element_Stiffness!R101,IF(3=Element_Stiffness!$E$75,Element_Stiffness!X101,0)),IF(Element_Stiffness!$E$75=3,IF(3=Element_Stiffness!$C$75,Element_Stiffness!R107,IF(3=Element_Stiffness!$E$75,Element_Stiffness!X107,0)),0)),0)+IF(Element_Stiffness!$C$111,IF(Element_Stiffness!$C$110=3,IF(3=Element_Stiffness!$C$110,Element_Stiffness!R136,IF(3=Element_Stiffness!$E$110,Element_Stiffness!X136,0)),IF(Element_Stiffness!$E$110=3,IF(3=Element_Stiffness!$C$110,Element_Stiffness!R142,IF(3=Element_Stiffness!$E$110,Element_Stiffness!X142,0)),0)),0)+IF(Element_Stiffness!$C$146,IF(Element_Stiffness!$C$145=3,IF(3=Element_Stiffness!$C$145,Element_Stiffness!R171,IF(3=Element_Stiffness!$E$145,Element_Stiffness!X171,0)),IF(Element_Stiffness!$E$145=3,IF(3=Element_Stiffness!$C$145,Element_Stiffness!R177,IF(3=Element_Stiffness!$E$145,Element_Stiffness!X177,0)),0)),0)+IF(Element_Stiffness!$C$181,IF(Element_Stiffness!$C$180=3,IF(3=Element_Stiffness!$C$180,Element_Stiffness!R206,IF(3=Element_Stiffness!$E$180,Element_Stiffness!X206,0)),IF(Element_Stiffness!$E$180=3,IF(3=Element_Stiffness!$C$180,Element_Stiffness!R212,IF(3=Element_Stiffness!$E$180,Element_Stiffness!X212,0)),0)),0)+IF(Element_Stiffness!$C$216,IF(Element_Stiffness!$C$215=3,IF(3=Element_Stiffness!$C$215,Element_Stiffness!R241,IF(3=Element_Stiffness!$E$215,Element_Stiffness!X241,0)),IF(Element_Stiffness!$E$215=3,IF(3=Element_Stiffness!$C$215,Element_Stiffness!R247,IF(3=Element_Stiffness!$E$215,Element_Stiffness!X247,0)),0)),0)</f>
        <v/>
      </c>
      <c r="X28" s="21">
        <f>IF(Element_Stiffness!$C$6,IF(Element_Stiffness!$C$5=3,IF(3=Element_Stiffness!$C$5,Element_Stiffness!S31,IF(3=Element_Stiffness!$E$5,Element_Stiffness!Y31,0)),IF(Element_Stiffness!$E$5=3,IF(3=Element_Stiffness!$C$5,Element_Stiffness!S37,IF(3=Element_Stiffness!$E$5,Element_Stiffness!Y37,0)),0)),0)+IF(Element_Stiffness!$C$41,IF(Element_Stiffness!$C$40=3,IF(3=Element_Stiffness!$C$40,Element_Stiffness!S66,IF(3=Element_Stiffness!$E$40,Element_Stiffness!Y66,0)),IF(Element_Stiffness!$E$40=3,IF(3=Element_Stiffness!$C$40,Element_Stiffness!S72,IF(3=Element_Stiffness!$E$40,Element_Stiffness!Y72,0)),0)),0)+IF(Element_Stiffness!$C$76,IF(Element_Stiffness!$C$75=3,IF(3=Element_Stiffness!$C$75,Element_Stiffness!S101,IF(3=Element_Stiffness!$E$75,Element_Stiffness!Y101,0)),IF(Element_Stiffness!$E$75=3,IF(3=Element_Stiffness!$C$75,Element_Stiffness!S107,IF(3=Element_Stiffness!$E$75,Element_Stiffness!Y107,0)),0)),0)+IF(Element_Stiffness!$C$111,IF(Element_Stiffness!$C$110=3,IF(3=Element_Stiffness!$C$110,Element_Stiffness!S136,IF(3=Element_Stiffness!$E$110,Element_Stiffness!Y136,0)),IF(Element_Stiffness!$E$110=3,IF(3=Element_Stiffness!$C$110,Element_Stiffness!S142,IF(3=Element_Stiffness!$E$110,Element_Stiffness!Y142,0)),0)),0)+IF(Element_Stiffness!$C$146,IF(Element_Stiffness!$C$145=3,IF(3=Element_Stiffness!$C$145,Element_Stiffness!S171,IF(3=Element_Stiffness!$E$145,Element_Stiffness!Y171,0)),IF(Element_Stiffness!$E$145=3,IF(3=Element_Stiffness!$C$145,Element_Stiffness!S177,IF(3=Element_Stiffness!$E$145,Element_Stiffness!Y177,0)),0)),0)+IF(Element_Stiffness!$C$181,IF(Element_Stiffness!$C$180=3,IF(3=Element_Stiffness!$C$180,Element_Stiffness!S206,IF(3=Element_Stiffness!$E$180,Element_Stiffness!Y206,0)),IF(Element_Stiffness!$E$180=3,IF(3=Element_Stiffness!$C$180,Element_Stiffness!S212,IF(3=Element_Stiffness!$E$180,Element_Stiffness!Y212,0)),0)),0)+IF(Element_Stiffness!$C$216,IF(Element_Stiffness!$C$215=3,IF(3=Element_Stiffness!$C$215,Element_Stiffness!S241,IF(3=Element_Stiffness!$E$215,Element_Stiffness!Y241,0)),IF(Element_Stiffness!$E$215=3,IF(3=Element_Stiffness!$C$215,Element_Stiffness!S247,IF(3=Element_Stiffness!$E$215,Element_Stiffness!Y247,0)),0)),0)</f>
        <v/>
      </c>
      <c r="Y28" s="21">
        <f>IF(Element_Stiffness!$C$6,IF(Element_Stiffness!$C$5=3,IF(3=Element_Stiffness!$C$5,Element_Stiffness!T31,IF(3=Element_Stiffness!$E$5,Element_Stiffness!Z31,0)),IF(Element_Stiffness!$E$5=3,IF(3=Element_Stiffness!$C$5,Element_Stiffness!T37,IF(3=Element_Stiffness!$E$5,Element_Stiffness!Z37,0)),0)),0)+IF(Element_Stiffness!$C$41,IF(Element_Stiffness!$C$40=3,IF(3=Element_Stiffness!$C$40,Element_Stiffness!T66,IF(3=Element_Stiffness!$E$40,Element_Stiffness!Z66,0)),IF(Element_Stiffness!$E$40=3,IF(3=Element_Stiffness!$C$40,Element_Stiffness!T72,IF(3=Element_Stiffness!$E$40,Element_Stiffness!Z72,0)),0)),0)+IF(Element_Stiffness!$C$76,IF(Element_Stiffness!$C$75=3,IF(3=Element_Stiffness!$C$75,Element_Stiffness!T101,IF(3=Element_Stiffness!$E$75,Element_Stiffness!Z101,0)),IF(Element_Stiffness!$E$75=3,IF(3=Element_Stiffness!$C$75,Element_Stiffness!T107,IF(3=Element_Stiffness!$E$75,Element_Stiffness!Z107,0)),0)),0)+IF(Element_Stiffness!$C$111,IF(Element_Stiffness!$C$110=3,IF(3=Element_Stiffness!$C$110,Element_Stiffness!T136,IF(3=Element_Stiffness!$E$110,Element_Stiffness!Z136,0)),IF(Element_Stiffness!$E$110=3,IF(3=Element_Stiffness!$C$110,Element_Stiffness!T142,IF(3=Element_Stiffness!$E$110,Element_Stiffness!Z142,0)),0)),0)+IF(Element_Stiffness!$C$146,IF(Element_Stiffness!$C$145=3,IF(3=Element_Stiffness!$C$145,Element_Stiffness!T171,IF(3=Element_Stiffness!$E$145,Element_Stiffness!Z171,0)),IF(Element_Stiffness!$E$145=3,IF(3=Element_Stiffness!$C$145,Element_Stiffness!T177,IF(3=Element_Stiffness!$E$145,Element_Stiffness!Z177,0)),0)),0)+IF(Element_Stiffness!$C$181,IF(Element_Stiffness!$C$180=3,IF(3=Element_Stiffness!$C$180,Element_Stiffness!T206,IF(3=Element_Stiffness!$E$180,Element_Stiffness!Z206,0)),IF(Element_Stiffness!$E$180=3,IF(3=Element_Stiffness!$C$180,Element_Stiffness!T212,IF(3=Element_Stiffness!$E$180,Element_Stiffness!Z212,0)),0)),0)+IF(Element_Stiffness!$C$216,IF(Element_Stiffness!$C$215=3,IF(3=Element_Stiffness!$C$215,Element_Stiffness!T241,IF(3=Element_Stiffness!$E$215,Element_Stiffness!Z241,0)),IF(Element_Stiffness!$E$215=3,IF(3=Element_Stiffness!$C$215,Element_Stiffness!T247,IF(3=Element_Stiffness!$E$215,Element_Stiffness!Z247,0)),0)),0)</f>
        <v/>
      </c>
      <c r="Z28" s="21">
        <f>IF(Element_Stiffness!$C$6,IF(Element_Stiffness!$C$5=3,IF(3=Element_Stiffness!$C$5,Element_Stiffness!U31,IF(3=Element_Stiffness!$E$5,Element_Stiffness!AA31,0)),IF(Element_Stiffness!$E$5=3,IF(3=Element_Stiffness!$C$5,Element_Stiffness!U37,IF(3=Element_Stiffness!$E$5,Element_Stiffness!AA37,0)),0)),0)+IF(Element_Stiffness!$C$41,IF(Element_Stiffness!$C$40=3,IF(3=Element_Stiffness!$C$40,Element_Stiffness!U66,IF(3=Element_Stiffness!$E$40,Element_Stiffness!AA66,0)),IF(Element_Stiffness!$E$40=3,IF(3=Element_Stiffness!$C$40,Element_Stiffness!U72,IF(3=Element_Stiffness!$E$40,Element_Stiffness!AA72,0)),0)),0)+IF(Element_Stiffness!$C$76,IF(Element_Stiffness!$C$75=3,IF(3=Element_Stiffness!$C$75,Element_Stiffness!U101,IF(3=Element_Stiffness!$E$75,Element_Stiffness!AA101,0)),IF(Element_Stiffness!$E$75=3,IF(3=Element_Stiffness!$C$75,Element_Stiffness!U107,IF(3=Element_Stiffness!$E$75,Element_Stiffness!AA107,0)),0)),0)+IF(Element_Stiffness!$C$111,IF(Element_Stiffness!$C$110=3,IF(3=Element_Stiffness!$C$110,Element_Stiffness!U136,IF(3=Element_Stiffness!$E$110,Element_Stiffness!AA136,0)),IF(Element_Stiffness!$E$110=3,IF(3=Element_Stiffness!$C$110,Element_Stiffness!U142,IF(3=Element_Stiffness!$E$110,Element_Stiffness!AA142,0)),0)),0)+IF(Element_Stiffness!$C$146,IF(Element_Stiffness!$C$145=3,IF(3=Element_Stiffness!$C$145,Element_Stiffness!U171,IF(3=Element_Stiffness!$E$145,Element_Stiffness!AA171,0)),IF(Element_Stiffness!$E$145=3,IF(3=Element_Stiffness!$C$145,Element_Stiffness!U177,IF(3=Element_Stiffness!$E$145,Element_Stiffness!AA177,0)),0)),0)+IF(Element_Stiffness!$C$181,IF(Element_Stiffness!$C$180=3,IF(3=Element_Stiffness!$C$180,Element_Stiffness!U206,IF(3=Element_Stiffness!$E$180,Element_Stiffness!AA206,0)),IF(Element_Stiffness!$E$180=3,IF(3=Element_Stiffness!$C$180,Element_Stiffness!U212,IF(3=Element_Stiffness!$E$180,Element_Stiffness!AA212,0)),0)),0)+IF(Element_Stiffness!$C$216,IF(Element_Stiffness!$C$215=3,IF(3=Element_Stiffness!$C$215,Element_Stiffness!U241,IF(3=Element_Stiffness!$E$215,Element_Stiffness!AA241,0)),IF(Element_Stiffness!$E$215=3,IF(3=Element_Stiffness!$C$215,Element_Stiffness!U247,IF(3=Element_Stiffness!$E$215,Element_Stiffness!AA247,0)),0)),0)+IF(Inputs!H43=TRUE,1E15,IF(ISNUMBER(Inputs!H43),Inputs!H43,0))</f>
        <v/>
      </c>
      <c r="AA28" s="21">
        <f>IF(Element_Stiffness!$C$6,IF(Element_Stiffness!$C$5=3,IF(4=Element_Stiffness!$C$5,Element_Stiffness!P31,IF(4=Element_Stiffness!$E$5,Element_Stiffness!V31,0)),IF(Element_Stiffness!$E$5=3,IF(4=Element_Stiffness!$C$5,Element_Stiffness!P37,IF(4=Element_Stiffness!$E$5,Element_Stiffness!V37,0)),0)),0)+IF(Element_Stiffness!$C$41,IF(Element_Stiffness!$C$40=3,IF(4=Element_Stiffness!$C$40,Element_Stiffness!P66,IF(4=Element_Stiffness!$E$40,Element_Stiffness!V66,0)),IF(Element_Stiffness!$E$40=3,IF(4=Element_Stiffness!$C$40,Element_Stiffness!P72,IF(4=Element_Stiffness!$E$40,Element_Stiffness!V72,0)),0)),0)+IF(Element_Stiffness!$C$76,IF(Element_Stiffness!$C$75=3,IF(4=Element_Stiffness!$C$75,Element_Stiffness!P101,IF(4=Element_Stiffness!$E$75,Element_Stiffness!V101,0)),IF(Element_Stiffness!$E$75=3,IF(4=Element_Stiffness!$C$75,Element_Stiffness!P107,IF(4=Element_Stiffness!$E$75,Element_Stiffness!V107,0)),0)),0)+IF(Element_Stiffness!$C$111,IF(Element_Stiffness!$C$110=3,IF(4=Element_Stiffness!$C$110,Element_Stiffness!P136,IF(4=Element_Stiffness!$E$110,Element_Stiffness!V136,0)),IF(Element_Stiffness!$E$110=3,IF(4=Element_Stiffness!$C$110,Element_Stiffness!P142,IF(4=Element_Stiffness!$E$110,Element_Stiffness!V142,0)),0)),0)+IF(Element_Stiffness!$C$146,IF(Element_Stiffness!$C$145=3,IF(4=Element_Stiffness!$C$145,Element_Stiffness!P171,IF(4=Element_Stiffness!$E$145,Element_Stiffness!V171,0)),IF(Element_Stiffness!$E$145=3,IF(4=Element_Stiffness!$C$145,Element_Stiffness!P177,IF(4=Element_Stiffness!$E$145,Element_Stiffness!V177,0)),0)),0)+IF(Element_Stiffness!$C$181,IF(Element_Stiffness!$C$180=3,IF(4=Element_Stiffness!$C$180,Element_Stiffness!P206,IF(4=Element_Stiffness!$E$180,Element_Stiffness!V206,0)),IF(Element_Stiffness!$E$180=3,IF(4=Element_Stiffness!$C$180,Element_Stiffness!P212,IF(4=Element_Stiffness!$E$180,Element_Stiffness!V212,0)),0)),0)+IF(Element_Stiffness!$C$216,IF(Element_Stiffness!$C$215=3,IF(4=Element_Stiffness!$C$215,Element_Stiffness!P241,IF(4=Element_Stiffness!$E$215,Element_Stiffness!V241,0)),IF(Element_Stiffness!$E$215=3,IF(4=Element_Stiffness!$C$215,Element_Stiffness!P247,IF(4=Element_Stiffness!$E$215,Element_Stiffness!V247,0)),0)),0)</f>
        <v/>
      </c>
      <c r="AB28" s="21">
        <f>IF(Element_Stiffness!$C$6,IF(Element_Stiffness!$C$5=3,IF(4=Element_Stiffness!$C$5,Element_Stiffness!Q31,IF(4=Element_Stiffness!$E$5,Element_Stiffness!W31,0)),IF(Element_Stiffness!$E$5=3,IF(4=Element_Stiffness!$C$5,Element_Stiffness!Q37,IF(4=Element_Stiffness!$E$5,Element_Stiffness!W37,0)),0)),0)+IF(Element_Stiffness!$C$41,IF(Element_Stiffness!$C$40=3,IF(4=Element_Stiffness!$C$40,Element_Stiffness!Q66,IF(4=Element_Stiffness!$E$40,Element_Stiffness!W66,0)),IF(Element_Stiffness!$E$40=3,IF(4=Element_Stiffness!$C$40,Element_Stiffness!Q72,IF(4=Element_Stiffness!$E$40,Element_Stiffness!W72,0)),0)),0)+IF(Element_Stiffness!$C$76,IF(Element_Stiffness!$C$75=3,IF(4=Element_Stiffness!$C$75,Element_Stiffness!Q101,IF(4=Element_Stiffness!$E$75,Element_Stiffness!W101,0)),IF(Element_Stiffness!$E$75=3,IF(4=Element_Stiffness!$C$75,Element_Stiffness!Q107,IF(4=Element_Stiffness!$E$75,Element_Stiffness!W107,0)),0)),0)+IF(Element_Stiffness!$C$111,IF(Element_Stiffness!$C$110=3,IF(4=Element_Stiffness!$C$110,Element_Stiffness!Q136,IF(4=Element_Stiffness!$E$110,Element_Stiffness!W136,0)),IF(Element_Stiffness!$E$110=3,IF(4=Element_Stiffness!$C$110,Element_Stiffness!Q142,IF(4=Element_Stiffness!$E$110,Element_Stiffness!W142,0)),0)),0)+IF(Element_Stiffness!$C$146,IF(Element_Stiffness!$C$145=3,IF(4=Element_Stiffness!$C$145,Element_Stiffness!Q171,IF(4=Element_Stiffness!$E$145,Element_Stiffness!W171,0)),IF(Element_Stiffness!$E$145=3,IF(4=Element_Stiffness!$C$145,Element_Stiffness!Q177,IF(4=Element_Stiffness!$E$145,Element_Stiffness!W177,0)),0)),0)+IF(Element_Stiffness!$C$181,IF(Element_Stiffness!$C$180=3,IF(4=Element_Stiffness!$C$180,Element_Stiffness!Q206,IF(4=Element_Stiffness!$E$180,Element_Stiffness!W206,0)),IF(Element_Stiffness!$E$180=3,IF(4=Element_Stiffness!$C$180,Element_Stiffness!Q212,IF(4=Element_Stiffness!$E$180,Element_Stiffness!W212,0)),0)),0)+IF(Element_Stiffness!$C$216,IF(Element_Stiffness!$C$215=3,IF(4=Element_Stiffness!$C$215,Element_Stiffness!Q241,IF(4=Element_Stiffness!$E$215,Element_Stiffness!W241,0)),IF(Element_Stiffness!$E$215=3,IF(4=Element_Stiffness!$C$215,Element_Stiffness!Q247,IF(4=Element_Stiffness!$E$215,Element_Stiffness!W247,0)),0)),0)</f>
        <v/>
      </c>
      <c r="AC28" s="21">
        <f>IF(Element_Stiffness!$C$6,IF(Element_Stiffness!$C$5=3,IF(4=Element_Stiffness!$C$5,Element_Stiffness!R31,IF(4=Element_Stiffness!$E$5,Element_Stiffness!X31,0)),IF(Element_Stiffness!$E$5=3,IF(4=Element_Stiffness!$C$5,Element_Stiffness!R37,IF(4=Element_Stiffness!$E$5,Element_Stiffness!X37,0)),0)),0)+IF(Element_Stiffness!$C$41,IF(Element_Stiffness!$C$40=3,IF(4=Element_Stiffness!$C$40,Element_Stiffness!R66,IF(4=Element_Stiffness!$E$40,Element_Stiffness!X66,0)),IF(Element_Stiffness!$E$40=3,IF(4=Element_Stiffness!$C$40,Element_Stiffness!R72,IF(4=Element_Stiffness!$E$40,Element_Stiffness!X72,0)),0)),0)+IF(Element_Stiffness!$C$76,IF(Element_Stiffness!$C$75=3,IF(4=Element_Stiffness!$C$75,Element_Stiffness!R101,IF(4=Element_Stiffness!$E$75,Element_Stiffness!X101,0)),IF(Element_Stiffness!$E$75=3,IF(4=Element_Stiffness!$C$75,Element_Stiffness!R107,IF(4=Element_Stiffness!$E$75,Element_Stiffness!X107,0)),0)),0)+IF(Element_Stiffness!$C$111,IF(Element_Stiffness!$C$110=3,IF(4=Element_Stiffness!$C$110,Element_Stiffness!R136,IF(4=Element_Stiffness!$E$110,Element_Stiffness!X136,0)),IF(Element_Stiffness!$E$110=3,IF(4=Element_Stiffness!$C$110,Element_Stiffness!R142,IF(4=Element_Stiffness!$E$110,Element_Stiffness!X142,0)),0)),0)+IF(Element_Stiffness!$C$146,IF(Element_Stiffness!$C$145=3,IF(4=Element_Stiffness!$C$145,Element_Stiffness!R171,IF(4=Element_Stiffness!$E$145,Element_Stiffness!X171,0)),IF(Element_Stiffness!$E$145=3,IF(4=Element_Stiffness!$C$145,Element_Stiffness!R177,IF(4=Element_Stiffness!$E$145,Element_Stiffness!X177,0)),0)),0)+IF(Element_Stiffness!$C$181,IF(Element_Stiffness!$C$180=3,IF(4=Element_Stiffness!$C$180,Element_Stiffness!R206,IF(4=Element_Stiffness!$E$180,Element_Stiffness!X206,0)),IF(Element_Stiffness!$E$180=3,IF(4=Element_Stiffness!$C$180,Element_Stiffness!R212,IF(4=Element_Stiffness!$E$180,Element_Stiffness!X212,0)),0)),0)+IF(Element_Stiffness!$C$216,IF(Element_Stiffness!$C$215=3,IF(4=Element_Stiffness!$C$215,Element_Stiffness!R241,IF(4=Element_Stiffness!$E$215,Element_Stiffness!X241,0)),IF(Element_Stiffness!$E$215=3,IF(4=Element_Stiffness!$C$215,Element_Stiffness!R247,IF(4=Element_Stiffness!$E$215,Element_Stiffness!X247,0)),0)),0)</f>
        <v/>
      </c>
      <c r="AD28" s="21">
        <f>IF(Element_Stiffness!$C$6,IF(Element_Stiffness!$C$5=3,IF(4=Element_Stiffness!$C$5,Element_Stiffness!S31,IF(4=Element_Stiffness!$E$5,Element_Stiffness!Y31,0)),IF(Element_Stiffness!$E$5=3,IF(4=Element_Stiffness!$C$5,Element_Stiffness!S37,IF(4=Element_Stiffness!$E$5,Element_Stiffness!Y37,0)),0)),0)+IF(Element_Stiffness!$C$41,IF(Element_Stiffness!$C$40=3,IF(4=Element_Stiffness!$C$40,Element_Stiffness!S66,IF(4=Element_Stiffness!$E$40,Element_Stiffness!Y66,0)),IF(Element_Stiffness!$E$40=3,IF(4=Element_Stiffness!$C$40,Element_Stiffness!S72,IF(4=Element_Stiffness!$E$40,Element_Stiffness!Y72,0)),0)),0)+IF(Element_Stiffness!$C$76,IF(Element_Stiffness!$C$75=3,IF(4=Element_Stiffness!$C$75,Element_Stiffness!S101,IF(4=Element_Stiffness!$E$75,Element_Stiffness!Y101,0)),IF(Element_Stiffness!$E$75=3,IF(4=Element_Stiffness!$C$75,Element_Stiffness!S107,IF(4=Element_Stiffness!$E$75,Element_Stiffness!Y107,0)),0)),0)+IF(Element_Stiffness!$C$111,IF(Element_Stiffness!$C$110=3,IF(4=Element_Stiffness!$C$110,Element_Stiffness!S136,IF(4=Element_Stiffness!$E$110,Element_Stiffness!Y136,0)),IF(Element_Stiffness!$E$110=3,IF(4=Element_Stiffness!$C$110,Element_Stiffness!S142,IF(4=Element_Stiffness!$E$110,Element_Stiffness!Y142,0)),0)),0)+IF(Element_Stiffness!$C$146,IF(Element_Stiffness!$C$145=3,IF(4=Element_Stiffness!$C$145,Element_Stiffness!S171,IF(4=Element_Stiffness!$E$145,Element_Stiffness!Y171,0)),IF(Element_Stiffness!$E$145=3,IF(4=Element_Stiffness!$C$145,Element_Stiffness!S177,IF(4=Element_Stiffness!$E$145,Element_Stiffness!Y177,0)),0)),0)+IF(Element_Stiffness!$C$181,IF(Element_Stiffness!$C$180=3,IF(4=Element_Stiffness!$C$180,Element_Stiffness!S206,IF(4=Element_Stiffness!$E$180,Element_Stiffness!Y206,0)),IF(Element_Stiffness!$E$180=3,IF(4=Element_Stiffness!$C$180,Element_Stiffness!S212,IF(4=Element_Stiffness!$E$180,Element_Stiffness!Y212,0)),0)),0)+IF(Element_Stiffness!$C$216,IF(Element_Stiffness!$C$215=3,IF(4=Element_Stiffness!$C$215,Element_Stiffness!S241,IF(4=Element_Stiffness!$E$215,Element_Stiffness!Y241,0)),IF(Element_Stiffness!$E$215=3,IF(4=Element_Stiffness!$C$215,Element_Stiffness!S247,IF(4=Element_Stiffness!$E$215,Element_Stiffness!Y247,0)),0)),0)</f>
        <v/>
      </c>
      <c r="AE28" s="21">
        <f>IF(Element_Stiffness!$C$6,IF(Element_Stiffness!$C$5=3,IF(4=Element_Stiffness!$C$5,Element_Stiffness!T31,IF(4=Element_Stiffness!$E$5,Element_Stiffness!Z31,0)),IF(Element_Stiffness!$E$5=3,IF(4=Element_Stiffness!$C$5,Element_Stiffness!T37,IF(4=Element_Stiffness!$E$5,Element_Stiffness!Z37,0)),0)),0)+IF(Element_Stiffness!$C$41,IF(Element_Stiffness!$C$40=3,IF(4=Element_Stiffness!$C$40,Element_Stiffness!T66,IF(4=Element_Stiffness!$E$40,Element_Stiffness!Z66,0)),IF(Element_Stiffness!$E$40=3,IF(4=Element_Stiffness!$C$40,Element_Stiffness!T72,IF(4=Element_Stiffness!$E$40,Element_Stiffness!Z72,0)),0)),0)+IF(Element_Stiffness!$C$76,IF(Element_Stiffness!$C$75=3,IF(4=Element_Stiffness!$C$75,Element_Stiffness!T101,IF(4=Element_Stiffness!$E$75,Element_Stiffness!Z101,0)),IF(Element_Stiffness!$E$75=3,IF(4=Element_Stiffness!$C$75,Element_Stiffness!T107,IF(4=Element_Stiffness!$E$75,Element_Stiffness!Z107,0)),0)),0)+IF(Element_Stiffness!$C$111,IF(Element_Stiffness!$C$110=3,IF(4=Element_Stiffness!$C$110,Element_Stiffness!T136,IF(4=Element_Stiffness!$E$110,Element_Stiffness!Z136,0)),IF(Element_Stiffness!$E$110=3,IF(4=Element_Stiffness!$C$110,Element_Stiffness!T142,IF(4=Element_Stiffness!$E$110,Element_Stiffness!Z142,0)),0)),0)+IF(Element_Stiffness!$C$146,IF(Element_Stiffness!$C$145=3,IF(4=Element_Stiffness!$C$145,Element_Stiffness!T171,IF(4=Element_Stiffness!$E$145,Element_Stiffness!Z171,0)),IF(Element_Stiffness!$E$145=3,IF(4=Element_Stiffness!$C$145,Element_Stiffness!T177,IF(4=Element_Stiffness!$E$145,Element_Stiffness!Z177,0)),0)),0)+IF(Element_Stiffness!$C$181,IF(Element_Stiffness!$C$180=3,IF(4=Element_Stiffness!$C$180,Element_Stiffness!T206,IF(4=Element_Stiffness!$E$180,Element_Stiffness!Z206,0)),IF(Element_Stiffness!$E$180=3,IF(4=Element_Stiffness!$C$180,Element_Stiffness!T212,IF(4=Element_Stiffness!$E$180,Element_Stiffness!Z212,0)),0)),0)+IF(Element_Stiffness!$C$216,IF(Element_Stiffness!$C$215=3,IF(4=Element_Stiffness!$C$215,Element_Stiffness!T241,IF(4=Element_Stiffness!$E$215,Element_Stiffness!Z241,0)),IF(Element_Stiffness!$E$215=3,IF(4=Element_Stiffness!$C$215,Element_Stiffness!T247,IF(4=Element_Stiffness!$E$215,Element_Stiffness!Z247,0)),0)),0)</f>
        <v/>
      </c>
      <c r="AF28" s="21">
        <f>IF(Element_Stiffness!$C$6,IF(Element_Stiffness!$C$5=3,IF(4=Element_Stiffness!$C$5,Element_Stiffness!U31,IF(4=Element_Stiffness!$E$5,Element_Stiffness!AA31,0)),IF(Element_Stiffness!$E$5=3,IF(4=Element_Stiffness!$C$5,Element_Stiffness!U37,IF(4=Element_Stiffness!$E$5,Element_Stiffness!AA37,0)),0)),0)+IF(Element_Stiffness!$C$41,IF(Element_Stiffness!$C$40=3,IF(4=Element_Stiffness!$C$40,Element_Stiffness!U66,IF(4=Element_Stiffness!$E$40,Element_Stiffness!AA66,0)),IF(Element_Stiffness!$E$40=3,IF(4=Element_Stiffness!$C$40,Element_Stiffness!U72,IF(4=Element_Stiffness!$E$40,Element_Stiffness!AA72,0)),0)),0)+IF(Element_Stiffness!$C$76,IF(Element_Stiffness!$C$75=3,IF(4=Element_Stiffness!$C$75,Element_Stiffness!U101,IF(4=Element_Stiffness!$E$75,Element_Stiffness!AA101,0)),IF(Element_Stiffness!$E$75=3,IF(4=Element_Stiffness!$C$75,Element_Stiffness!U107,IF(4=Element_Stiffness!$E$75,Element_Stiffness!AA107,0)),0)),0)+IF(Element_Stiffness!$C$111,IF(Element_Stiffness!$C$110=3,IF(4=Element_Stiffness!$C$110,Element_Stiffness!U136,IF(4=Element_Stiffness!$E$110,Element_Stiffness!AA136,0)),IF(Element_Stiffness!$E$110=3,IF(4=Element_Stiffness!$C$110,Element_Stiffness!U142,IF(4=Element_Stiffness!$E$110,Element_Stiffness!AA142,0)),0)),0)+IF(Element_Stiffness!$C$146,IF(Element_Stiffness!$C$145=3,IF(4=Element_Stiffness!$C$145,Element_Stiffness!U171,IF(4=Element_Stiffness!$E$145,Element_Stiffness!AA171,0)),IF(Element_Stiffness!$E$145=3,IF(4=Element_Stiffness!$C$145,Element_Stiffness!U177,IF(4=Element_Stiffness!$E$145,Element_Stiffness!AA177,0)),0)),0)+IF(Element_Stiffness!$C$181,IF(Element_Stiffness!$C$180=3,IF(4=Element_Stiffness!$C$180,Element_Stiffness!U206,IF(4=Element_Stiffness!$E$180,Element_Stiffness!AA206,0)),IF(Element_Stiffness!$E$180=3,IF(4=Element_Stiffness!$C$180,Element_Stiffness!U212,IF(4=Element_Stiffness!$E$180,Element_Stiffness!AA212,0)),0)),0)+IF(Element_Stiffness!$C$216,IF(Element_Stiffness!$C$215=3,IF(4=Element_Stiffness!$C$215,Element_Stiffness!U241,IF(4=Element_Stiffness!$E$215,Element_Stiffness!AA241,0)),IF(Element_Stiffness!$E$215=3,IF(4=Element_Stiffness!$C$215,Element_Stiffness!U247,IF(4=Element_Stiffness!$E$215,Element_Stiffness!AA247,0)),0)),0)</f>
        <v/>
      </c>
      <c r="AG28" s="21">
        <f>IF(Element_Stiffness!$C$6,IF(Element_Stiffness!$C$5=3,IF(5=Element_Stiffness!$C$5,Element_Stiffness!P31,IF(5=Element_Stiffness!$E$5,Element_Stiffness!V31,0)),IF(Element_Stiffness!$E$5=3,IF(5=Element_Stiffness!$C$5,Element_Stiffness!P37,IF(5=Element_Stiffness!$E$5,Element_Stiffness!V37,0)),0)),0)+IF(Element_Stiffness!$C$41,IF(Element_Stiffness!$C$40=3,IF(5=Element_Stiffness!$C$40,Element_Stiffness!P66,IF(5=Element_Stiffness!$E$40,Element_Stiffness!V66,0)),IF(Element_Stiffness!$E$40=3,IF(5=Element_Stiffness!$C$40,Element_Stiffness!P72,IF(5=Element_Stiffness!$E$40,Element_Stiffness!V72,0)),0)),0)+IF(Element_Stiffness!$C$76,IF(Element_Stiffness!$C$75=3,IF(5=Element_Stiffness!$C$75,Element_Stiffness!P101,IF(5=Element_Stiffness!$E$75,Element_Stiffness!V101,0)),IF(Element_Stiffness!$E$75=3,IF(5=Element_Stiffness!$C$75,Element_Stiffness!P107,IF(5=Element_Stiffness!$E$75,Element_Stiffness!V107,0)),0)),0)+IF(Element_Stiffness!$C$111,IF(Element_Stiffness!$C$110=3,IF(5=Element_Stiffness!$C$110,Element_Stiffness!P136,IF(5=Element_Stiffness!$E$110,Element_Stiffness!V136,0)),IF(Element_Stiffness!$E$110=3,IF(5=Element_Stiffness!$C$110,Element_Stiffness!P142,IF(5=Element_Stiffness!$E$110,Element_Stiffness!V142,0)),0)),0)+IF(Element_Stiffness!$C$146,IF(Element_Stiffness!$C$145=3,IF(5=Element_Stiffness!$C$145,Element_Stiffness!P171,IF(5=Element_Stiffness!$E$145,Element_Stiffness!V171,0)),IF(Element_Stiffness!$E$145=3,IF(5=Element_Stiffness!$C$145,Element_Stiffness!P177,IF(5=Element_Stiffness!$E$145,Element_Stiffness!V177,0)),0)),0)+IF(Element_Stiffness!$C$181,IF(Element_Stiffness!$C$180=3,IF(5=Element_Stiffness!$C$180,Element_Stiffness!P206,IF(5=Element_Stiffness!$E$180,Element_Stiffness!V206,0)),IF(Element_Stiffness!$E$180=3,IF(5=Element_Stiffness!$C$180,Element_Stiffness!P212,IF(5=Element_Stiffness!$E$180,Element_Stiffness!V212,0)),0)),0)+IF(Element_Stiffness!$C$216,IF(Element_Stiffness!$C$215=3,IF(5=Element_Stiffness!$C$215,Element_Stiffness!P241,IF(5=Element_Stiffness!$E$215,Element_Stiffness!V241,0)),IF(Element_Stiffness!$E$215=3,IF(5=Element_Stiffness!$C$215,Element_Stiffness!P247,IF(5=Element_Stiffness!$E$215,Element_Stiffness!V247,0)),0)),0)</f>
        <v/>
      </c>
      <c r="AH28" s="21">
        <f>IF(Element_Stiffness!$C$6,IF(Element_Stiffness!$C$5=3,IF(5=Element_Stiffness!$C$5,Element_Stiffness!Q31,IF(5=Element_Stiffness!$E$5,Element_Stiffness!W31,0)),IF(Element_Stiffness!$E$5=3,IF(5=Element_Stiffness!$C$5,Element_Stiffness!Q37,IF(5=Element_Stiffness!$E$5,Element_Stiffness!W37,0)),0)),0)+IF(Element_Stiffness!$C$41,IF(Element_Stiffness!$C$40=3,IF(5=Element_Stiffness!$C$40,Element_Stiffness!Q66,IF(5=Element_Stiffness!$E$40,Element_Stiffness!W66,0)),IF(Element_Stiffness!$E$40=3,IF(5=Element_Stiffness!$C$40,Element_Stiffness!Q72,IF(5=Element_Stiffness!$E$40,Element_Stiffness!W72,0)),0)),0)+IF(Element_Stiffness!$C$76,IF(Element_Stiffness!$C$75=3,IF(5=Element_Stiffness!$C$75,Element_Stiffness!Q101,IF(5=Element_Stiffness!$E$75,Element_Stiffness!W101,0)),IF(Element_Stiffness!$E$75=3,IF(5=Element_Stiffness!$C$75,Element_Stiffness!Q107,IF(5=Element_Stiffness!$E$75,Element_Stiffness!W107,0)),0)),0)+IF(Element_Stiffness!$C$111,IF(Element_Stiffness!$C$110=3,IF(5=Element_Stiffness!$C$110,Element_Stiffness!Q136,IF(5=Element_Stiffness!$E$110,Element_Stiffness!W136,0)),IF(Element_Stiffness!$E$110=3,IF(5=Element_Stiffness!$C$110,Element_Stiffness!Q142,IF(5=Element_Stiffness!$E$110,Element_Stiffness!W142,0)),0)),0)+IF(Element_Stiffness!$C$146,IF(Element_Stiffness!$C$145=3,IF(5=Element_Stiffness!$C$145,Element_Stiffness!Q171,IF(5=Element_Stiffness!$E$145,Element_Stiffness!W171,0)),IF(Element_Stiffness!$E$145=3,IF(5=Element_Stiffness!$C$145,Element_Stiffness!Q177,IF(5=Element_Stiffness!$E$145,Element_Stiffness!W177,0)),0)),0)+IF(Element_Stiffness!$C$181,IF(Element_Stiffness!$C$180=3,IF(5=Element_Stiffness!$C$180,Element_Stiffness!Q206,IF(5=Element_Stiffness!$E$180,Element_Stiffness!W206,0)),IF(Element_Stiffness!$E$180=3,IF(5=Element_Stiffness!$C$180,Element_Stiffness!Q212,IF(5=Element_Stiffness!$E$180,Element_Stiffness!W212,0)),0)),0)+IF(Element_Stiffness!$C$216,IF(Element_Stiffness!$C$215=3,IF(5=Element_Stiffness!$C$215,Element_Stiffness!Q241,IF(5=Element_Stiffness!$E$215,Element_Stiffness!W241,0)),IF(Element_Stiffness!$E$215=3,IF(5=Element_Stiffness!$C$215,Element_Stiffness!Q247,IF(5=Element_Stiffness!$E$215,Element_Stiffness!W247,0)),0)),0)</f>
        <v/>
      </c>
      <c r="AI28" s="21">
        <f>IF(Element_Stiffness!$C$6,IF(Element_Stiffness!$C$5=3,IF(5=Element_Stiffness!$C$5,Element_Stiffness!R31,IF(5=Element_Stiffness!$E$5,Element_Stiffness!X31,0)),IF(Element_Stiffness!$E$5=3,IF(5=Element_Stiffness!$C$5,Element_Stiffness!R37,IF(5=Element_Stiffness!$E$5,Element_Stiffness!X37,0)),0)),0)+IF(Element_Stiffness!$C$41,IF(Element_Stiffness!$C$40=3,IF(5=Element_Stiffness!$C$40,Element_Stiffness!R66,IF(5=Element_Stiffness!$E$40,Element_Stiffness!X66,0)),IF(Element_Stiffness!$E$40=3,IF(5=Element_Stiffness!$C$40,Element_Stiffness!R72,IF(5=Element_Stiffness!$E$40,Element_Stiffness!X72,0)),0)),0)+IF(Element_Stiffness!$C$76,IF(Element_Stiffness!$C$75=3,IF(5=Element_Stiffness!$C$75,Element_Stiffness!R101,IF(5=Element_Stiffness!$E$75,Element_Stiffness!X101,0)),IF(Element_Stiffness!$E$75=3,IF(5=Element_Stiffness!$C$75,Element_Stiffness!R107,IF(5=Element_Stiffness!$E$75,Element_Stiffness!X107,0)),0)),0)+IF(Element_Stiffness!$C$111,IF(Element_Stiffness!$C$110=3,IF(5=Element_Stiffness!$C$110,Element_Stiffness!R136,IF(5=Element_Stiffness!$E$110,Element_Stiffness!X136,0)),IF(Element_Stiffness!$E$110=3,IF(5=Element_Stiffness!$C$110,Element_Stiffness!R142,IF(5=Element_Stiffness!$E$110,Element_Stiffness!X142,0)),0)),0)+IF(Element_Stiffness!$C$146,IF(Element_Stiffness!$C$145=3,IF(5=Element_Stiffness!$C$145,Element_Stiffness!R171,IF(5=Element_Stiffness!$E$145,Element_Stiffness!X171,0)),IF(Element_Stiffness!$E$145=3,IF(5=Element_Stiffness!$C$145,Element_Stiffness!R177,IF(5=Element_Stiffness!$E$145,Element_Stiffness!X177,0)),0)),0)+IF(Element_Stiffness!$C$181,IF(Element_Stiffness!$C$180=3,IF(5=Element_Stiffness!$C$180,Element_Stiffness!R206,IF(5=Element_Stiffness!$E$180,Element_Stiffness!X206,0)),IF(Element_Stiffness!$E$180=3,IF(5=Element_Stiffness!$C$180,Element_Stiffness!R212,IF(5=Element_Stiffness!$E$180,Element_Stiffness!X212,0)),0)),0)+IF(Element_Stiffness!$C$216,IF(Element_Stiffness!$C$215=3,IF(5=Element_Stiffness!$C$215,Element_Stiffness!R241,IF(5=Element_Stiffness!$E$215,Element_Stiffness!X241,0)),IF(Element_Stiffness!$E$215=3,IF(5=Element_Stiffness!$C$215,Element_Stiffness!R247,IF(5=Element_Stiffness!$E$215,Element_Stiffness!X247,0)),0)),0)</f>
        <v/>
      </c>
      <c r="AJ28" s="21">
        <f>IF(Element_Stiffness!$C$6,IF(Element_Stiffness!$C$5=3,IF(5=Element_Stiffness!$C$5,Element_Stiffness!S31,IF(5=Element_Stiffness!$E$5,Element_Stiffness!Y31,0)),IF(Element_Stiffness!$E$5=3,IF(5=Element_Stiffness!$C$5,Element_Stiffness!S37,IF(5=Element_Stiffness!$E$5,Element_Stiffness!Y37,0)),0)),0)+IF(Element_Stiffness!$C$41,IF(Element_Stiffness!$C$40=3,IF(5=Element_Stiffness!$C$40,Element_Stiffness!S66,IF(5=Element_Stiffness!$E$40,Element_Stiffness!Y66,0)),IF(Element_Stiffness!$E$40=3,IF(5=Element_Stiffness!$C$40,Element_Stiffness!S72,IF(5=Element_Stiffness!$E$40,Element_Stiffness!Y72,0)),0)),0)+IF(Element_Stiffness!$C$76,IF(Element_Stiffness!$C$75=3,IF(5=Element_Stiffness!$C$75,Element_Stiffness!S101,IF(5=Element_Stiffness!$E$75,Element_Stiffness!Y101,0)),IF(Element_Stiffness!$E$75=3,IF(5=Element_Stiffness!$C$75,Element_Stiffness!S107,IF(5=Element_Stiffness!$E$75,Element_Stiffness!Y107,0)),0)),0)+IF(Element_Stiffness!$C$111,IF(Element_Stiffness!$C$110=3,IF(5=Element_Stiffness!$C$110,Element_Stiffness!S136,IF(5=Element_Stiffness!$E$110,Element_Stiffness!Y136,0)),IF(Element_Stiffness!$E$110=3,IF(5=Element_Stiffness!$C$110,Element_Stiffness!S142,IF(5=Element_Stiffness!$E$110,Element_Stiffness!Y142,0)),0)),0)+IF(Element_Stiffness!$C$146,IF(Element_Stiffness!$C$145=3,IF(5=Element_Stiffness!$C$145,Element_Stiffness!S171,IF(5=Element_Stiffness!$E$145,Element_Stiffness!Y171,0)),IF(Element_Stiffness!$E$145=3,IF(5=Element_Stiffness!$C$145,Element_Stiffness!S177,IF(5=Element_Stiffness!$E$145,Element_Stiffness!Y177,0)),0)),0)+IF(Element_Stiffness!$C$181,IF(Element_Stiffness!$C$180=3,IF(5=Element_Stiffness!$C$180,Element_Stiffness!S206,IF(5=Element_Stiffness!$E$180,Element_Stiffness!Y206,0)),IF(Element_Stiffness!$E$180=3,IF(5=Element_Stiffness!$C$180,Element_Stiffness!S212,IF(5=Element_Stiffness!$E$180,Element_Stiffness!Y212,0)),0)),0)+IF(Element_Stiffness!$C$216,IF(Element_Stiffness!$C$215=3,IF(5=Element_Stiffness!$C$215,Element_Stiffness!S241,IF(5=Element_Stiffness!$E$215,Element_Stiffness!Y241,0)),IF(Element_Stiffness!$E$215=3,IF(5=Element_Stiffness!$C$215,Element_Stiffness!S247,IF(5=Element_Stiffness!$E$215,Element_Stiffness!Y247,0)),0)),0)</f>
        <v/>
      </c>
      <c r="AK28" s="21">
        <f>IF(Element_Stiffness!$C$6,IF(Element_Stiffness!$C$5=3,IF(5=Element_Stiffness!$C$5,Element_Stiffness!T31,IF(5=Element_Stiffness!$E$5,Element_Stiffness!Z31,0)),IF(Element_Stiffness!$E$5=3,IF(5=Element_Stiffness!$C$5,Element_Stiffness!T37,IF(5=Element_Stiffness!$E$5,Element_Stiffness!Z37,0)),0)),0)+IF(Element_Stiffness!$C$41,IF(Element_Stiffness!$C$40=3,IF(5=Element_Stiffness!$C$40,Element_Stiffness!T66,IF(5=Element_Stiffness!$E$40,Element_Stiffness!Z66,0)),IF(Element_Stiffness!$E$40=3,IF(5=Element_Stiffness!$C$40,Element_Stiffness!T72,IF(5=Element_Stiffness!$E$40,Element_Stiffness!Z72,0)),0)),0)+IF(Element_Stiffness!$C$76,IF(Element_Stiffness!$C$75=3,IF(5=Element_Stiffness!$C$75,Element_Stiffness!T101,IF(5=Element_Stiffness!$E$75,Element_Stiffness!Z101,0)),IF(Element_Stiffness!$E$75=3,IF(5=Element_Stiffness!$C$75,Element_Stiffness!T107,IF(5=Element_Stiffness!$E$75,Element_Stiffness!Z107,0)),0)),0)+IF(Element_Stiffness!$C$111,IF(Element_Stiffness!$C$110=3,IF(5=Element_Stiffness!$C$110,Element_Stiffness!T136,IF(5=Element_Stiffness!$E$110,Element_Stiffness!Z136,0)),IF(Element_Stiffness!$E$110=3,IF(5=Element_Stiffness!$C$110,Element_Stiffness!T142,IF(5=Element_Stiffness!$E$110,Element_Stiffness!Z142,0)),0)),0)+IF(Element_Stiffness!$C$146,IF(Element_Stiffness!$C$145=3,IF(5=Element_Stiffness!$C$145,Element_Stiffness!T171,IF(5=Element_Stiffness!$E$145,Element_Stiffness!Z171,0)),IF(Element_Stiffness!$E$145=3,IF(5=Element_Stiffness!$C$145,Element_Stiffness!T177,IF(5=Element_Stiffness!$E$145,Element_Stiffness!Z177,0)),0)),0)+IF(Element_Stiffness!$C$181,IF(Element_Stiffness!$C$180=3,IF(5=Element_Stiffness!$C$180,Element_Stiffness!T206,IF(5=Element_Stiffness!$E$180,Element_Stiffness!Z206,0)),IF(Element_Stiffness!$E$180=3,IF(5=Element_Stiffness!$C$180,Element_Stiffness!T212,IF(5=Element_Stiffness!$E$180,Element_Stiffness!Z212,0)),0)),0)+IF(Element_Stiffness!$C$216,IF(Element_Stiffness!$C$215=3,IF(5=Element_Stiffness!$C$215,Element_Stiffness!T241,IF(5=Element_Stiffness!$E$215,Element_Stiffness!Z241,0)),IF(Element_Stiffness!$E$215=3,IF(5=Element_Stiffness!$C$215,Element_Stiffness!T247,IF(5=Element_Stiffness!$E$215,Element_Stiffness!Z247,0)),0)),0)</f>
        <v/>
      </c>
      <c r="AL28" s="21">
        <f>IF(Element_Stiffness!$C$6,IF(Element_Stiffness!$C$5=3,IF(5=Element_Stiffness!$C$5,Element_Stiffness!U31,IF(5=Element_Stiffness!$E$5,Element_Stiffness!AA31,0)),IF(Element_Stiffness!$E$5=3,IF(5=Element_Stiffness!$C$5,Element_Stiffness!U37,IF(5=Element_Stiffness!$E$5,Element_Stiffness!AA37,0)),0)),0)+IF(Element_Stiffness!$C$41,IF(Element_Stiffness!$C$40=3,IF(5=Element_Stiffness!$C$40,Element_Stiffness!U66,IF(5=Element_Stiffness!$E$40,Element_Stiffness!AA66,0)),IF(Element_Stiffness!$E$40=3,IF(5=Element_Stiffness!$C$40,Element_Stiffness!U72,IF(5=Element_Stiffness!$E$40,Element_Stiffness!AA72,0)),0)),0)+IF(Element_Stiffness!$C$76,IF(Element_Stiffness!$C$75=3,IF(5=Element_Stiffness!$C$75,Element_Stiffness!U101,IF(5=Element_Stiffness!$E$75,Element_Stiffness!AA101,0)),IF(Element_Stiffness!$E$75=3,IF(5=Element_Stiffness!$C$75,Element_Stiffness!U107,IF(5=Element_Stiffness!$E$75,Element_Stiffness!AA107,0)),0)),0)+IF(Element_Stiffness!$C$111,IF(Element_Stiffness!$C$110=3,IF(5=Element_Stiffness!$C$110,Element_Stiffness!U136,IF(5=Element_Stiffness!$E$110,Element_Stiffness!AA136,0)),IF(Element_Stiffness!$E$110=3,IF(5=Element_Stiffness!$C$110,Element_Stiffness!U142,IF(5=Element_Stiffness!$E$110,Element_Stiffness!AA142,0)),0)),0)+IF(Element_Stiffness!$C$146,IF(Element_Stiffness!$C$145=3,IF(5=Element_Stiffness!$C$145,Element_Stiffness!U171,IF(5=Element_Stiffness!$E$145,Element_Stiffness!AA171,0)),IF(Element_Stiffness!$E$145=3,IF(5=Element_Stiffness!$C$145,Element_Stiffness!U177,IF(5=Element_Stiffness!$E$145,Element_Stiffness!AA177,0)),0)),0)+IF(Element_Stiffness!$C$181,IF(Element_Stiffness!$C$180=3,IF(5=Element_Stiffness!$C$180,Element_Stiffness!U206,IF(5=Element_Stiffness!$E$180,Element_Stiffness!AA206,0)),IF(Element_Stiffness!$E$180=3,IF(5=Element_Stiffness!$C$180,Element_Stiffness!U212,IF(5=Element_Stiffness!$E$180,Element_Stiffness!AA212,0)),0)),0)+IF(Element_Stiffness!$C$216,IF(Element_Stiffness!$C$215=3,IF(5=Element_Stiffness!$C$215,Element_Stiffness!U241,IF(5=Element_Stiffness!$E$215,Element_Stiffness!AA241,0)),IF(Element_Stiffness!$E$215=3,IF(5=Element_Stiffness!$C$215,Element_Stiffness!U247,IF(5=Element_Stiffness!$E$215,Element_Stiffness!AA247,0)),0)),0)</f>
        <v/>
      </c>
      <c r="AM28" s="21">
        <f>IF(Element_Stiffness!$C$6,IF(Element_Stiffness!$C$5=3,IF(6=Element_Stiffness!$C$5,Element_Stiffness!P31,IF(6=Element_Stiffness!$E$5,Element_Stiffness!V31,0)),IF(Element_Stiffness!$E$5=3,IF(6=Element_Stiffness!$C$5,Element_Stiffness!P37,IF(6=Element_Stiffness!$E$5,Element_Stiffness!V37,0)),0)),0)+IF(Element_Stiffness!$C$41,IF(Element_Stiffness!$C$40=3,IF(6=Element_Stiffness!$C$40,Element_Stiffness!P66,IF(6=Element_Stiffness!$E$40,Element_Stiffness!V66,0)),IF(Element_Stiffness!$E$40=3,IF(6=Element_Stiffness!$C$40,Element_Stiffness!P72,IF(6=Element_Stiffness!$E$40,Element_Stiffness!V72,0)),0)),0)+IF(Element_Stiffness!$C$76,IF(Element_Stiffness!$C$75=3,IF(6=Element_Stiffness!$C$75,Element_Stiffness!P101,IF(6=Element_Stiffness!$E$75,Element_Stiffness!V101,0)),IF(Element_Stiffness!$E$75=3,IF(6=Element_Stiffness!$C$75,Element_Stiffness!P107,IF(6=Element_Stiffness!$E$75,Element_Stiffness!V107,0)),0)),0)+IF(Element_Stiffness!$C$111,IF(Element_Stiffness!$C$110=3,IF(6=Element_Stiffness!$C$110,Element_Stiffness!P136,IF(6=Element_Stiffness!$E$110,Element_Stiffness!V136,0)),IF(Element_Stiffness!$E$110=3,IF(6=Element_Stiffness!$C$110,Element_Stiffness!P142,IF(6=Element_Stiffness!$E$110,Element_Stiffness!V142,0)),0)),0)+IF(Element_Stiffness!$C$146,IF(Element_Stiffness!$C$145=3,IF(6=Element_Stiffness!$C$145,Element_Stiffness!P171,IF(6=Element_Stiffness!$E$145,Element_Stiffness!V171,0)),IF(Element_Stiffness!$E$145=3,IF(6=Element_Stiffness!$C$145,Element_Stiffness!P177,IF(6=Element_Stiffness!$E$145,Element_Stiffness!V177,0)),0)),0)+IF(Element_Stiffness!$C$181,IF(Element_Stiffness!$C$180=3,IF(6=Element_Stiffness!$C$180,Element_Stiffness!P206,IF(6=Element_Stiffness!$E$180,Element_Stiffness!V206,0)),IF(Element_Stiffness!$E$180=3,IF(6=Element_Stiffness!$C$180,Element_Stiffness!P212,IF(6=Element_Stiffness!$E$180,Element_Stiffness!V212,0)),0)),0)+IF(Element_Stiffness!$C$216,IF(Element_Stiffness!$C$215=3,IF(6=Element_Stiffness!$C$215,Element_Stiffness!P241,IF(6=Element_Stiffness!$E$215,Element_Stiffness!V241,0)),IF(Element_Stiffness!$E$215=3,IF(6=Element_Stiffness!$C$215,Element_Stiffness!P247,IF(6=Element_Stiffness!$E$215,Element_Stiffness!V247,0)),0)),0)</f>
        <v/>
      </c>
      <c r="AN28" s="21">
        <f>IF(Element_Stiffness!$C$6,IF(Element_Stiffness!$C$5=3,IF(6=Element_Stiffness!$C$5,Element_Stiffness!Q31,IF(6=Element_Stiffness!$E$5,Element_Stiffness!W31,0)),IF(Element_Stiffness!$E$5=3,IF(6=Element_Stiffness!$C$5,Element_Stiffness!Q37,IF(6=Element_Stiffness!$E$5,Element_Stiffness!W37,0)),0)),0)+IF(Element_Stiffness!$C$41,IF(Element_Stiffness!$C$40=3,IF(6=Element_Stiffness!$C$40,Element_Stiffness!Q66,IF(6=Element_Stiffness!$E$40,Element_Stiffness!W66,0)),IF(Element_Stiffness!$E$40=3,IF(6=Element_Stiffness!$C$40,Element_Stiffness!Q72,IF(6=Element_Stiffness!$E$40,Element_Stiffness!W72,0)),0)),0)+IF(Element_Stiffness!$C$76,IF(Element_Stiffness!$C$75=3,IF(6=Element_Stiffness!$C$75,Element_Stiffness!Q101,IF(6=Element_Stiffness!$E$75,Element_Stiffness!W101,0)),IF(Element_Stiffness!$E$75=3,IF(6=Element_Stiffness!$C$75,Element_Stiffness!Q107,IF(6=Element_Stiffness!$E$75,Element_Stiffness!W107,0)),0)),0)+IF(Element_Stiffness!$C$111,IF(Element_Stiffness!$C$110=3,IF(6=Element_Stiffness!$C$110,Element_Stiffness!Q136,IF(6=Element_Stiffness!$E$110,Element_Stiffness!W136,0)),IF(Element_Stiffness!$E$110=3,IF(6=Element_Stiffness!$C$110,Element_Stiffness!Q142,IF(6=Element_Stiffness!$E$110,Element_Stiffness!W142,0)),0)),0)+IF(Element_Stiffness!$C$146,IF(Element_Stiffness!$C$145=3,IF(6=Element_Stiffness!$C$145,Element_Stiffness!Q171,IF(6=Element_Stiffness!$E$145,Element_Stiffness!W171,0)),IF(Element_Stiffness!$E$145=3,IF(6=Element_Stiffness!$C$145,Element_Stiffness!Q177,IF(6=Element_Stiffness!$E$145,Element_Stiffness!W177,0)),0)),0)+IF(Element_Stiffness!$C$181,IF(Element_Stiffness!$C$180=3,IF(6=Element_Stiffness!$C$180,Element_Stiffness!Q206,IF(6=Element_Stiffness!$E$180,Element_Stiffness!W206,0)),IF(Element_Stiffness!$E$180=3,IF(6=Element_Stiffness!$C$180,Element_Stiffness!Q212,IF(6=Element_Stiffness!$E$180,Element_Stiffness!W212,0)),0)),0)+IF(Element_Stiffness!$C$216,IF(Element_Stiffness!$C$215=3,IF(6=Element_Stiffness!$C$215,Element_Stiffness!Q241,IF(6=Element_Stiffness!$E$215,Element_Stiffness!W241,0)),IF(Element_Stiffness!$E$215=3,IF(6=Element_Stiffness!$C$215,Element_Stiffness!Q247,IF(6=Element_Stiffness!$E$215,Element_Stiffness!W247,0)),0)),0)</f>
        <v/>
      </c>
      <c r="AO28" s="21">
        <f>IF(Element_Stiffness!$C$6,IF(Element_Stiffness!$C$5=3,IF(6=Element_Stiffness!$C$5,Element_Stiffness!R31,IF(6=Element_Stiffness!$E$5,Element_Stiffness!X31,0)),IF(Element_Stiffness!$E$5=3,IF(6=Element_Stiffness!$C$5,Element_Stiffness!R37,IF(6=Element_Stiffness!$E$5,Element_Stiffness!X37,0)),0)),0)+IF(Element_Stiffness!$C$41,IF(Element_Stiffness!$C$40=3,IF(6=Element_Stiffness!$C$40,Element_Stiffness!R66,IF(6=Element_Stiffness!$E$40,Element_Stiffness!X66,0)),IF(Element_Stiffness!$E$40=3,IF(6=Element_Stiffness!$C$40,Element_Stiffness!R72,IF(6=Element_Stiffness!$E$40,Element_Stiffness!X72,0)),0)),0)+IF(Element_Stiffness!$C$76,IF(Element_Stiffness!$C$75=3,IF(6=Element_Stiffness!$C$75,Element_Stiffness!R101,IF(6=Element_Stiffness!$E$75,Element_Stiffness!X101,0)),IF(Element_Stiffness!$E$75=3,IF(6=Element_Stiffness!$C$75,Element_Stiffness!R107,IF(6=Element_Stiffness!$E$75,Element_Stiffness!X107,0)),0)),0)+IF(Element_Stiffness!$C$111,IF(Element_Stiffness!$C$110=3,IF(6=Element_Stiffness!$C$110,Element_Stiffness!R136,IF(6=Element_Stiffness!$E$110,Element_Stiffness!X136,0)),IF(Element_Stiffness!$E$110=3,IF(6=Element_Stiffness!$C$110,Element_Stiffness!R142,IF(6=Element_Stiffness!$E$110,Element_Stiffness!X142,0)),0)),0)+IF(Element_Stiffness!$C$146,IF(Element_Stiffness!$C$145=3,IF(6=Element_Stiffness!$C$145,Element_Stiffness!R171,IF(6=Element_Stiffness!$E$145,Element_Stiffness!X171,0)),IF(Element_Stiffness!$E$145=3,IF(6=Element_Stiffness!$C$145,Element_Stiffness!R177,IF(6=Element_Stiffness!$E$145,Element_Stiffness!X177,0)),0)),0)+IF(Element_Stiffness!$C$181,IF(Element_Stiffness!$C$180=3,IF(6=Element_Stiffness!$C$180,Element_Stiffness!R206,IF(6=Element_Stiffness!$E$180,Element_Stiffness!X206,0)),IF(Element_Stiffness!$E$180=3,IF(6=Element_Stiffness!$C$180,Element_Stiffness!R212,IF(6=Element_Stiffness!$E$180,Element_Stiffness!X212,0)),0)),0)+IF(Element_Stiffness!$C$216,IF(Element_Stiffness!$C$215=3,IF(6=Element_Stiffness!$C$215,Element_Stiffness!R241,IF(6=Element_Stiffness!$E$215,Element_Stiffness!X241,0)),IF(Element_Stiffness!$E$215=3,IF(6=Element_Stiffness!$C$215,Element_Stiffness!R247,IF(6=Element_Stiffness!$E$215,Element_Stiffness!X247,0)),0)),0)</f>
        <v/>
      </c>
      <c r="AP28" s="21">
        <f>IF(Element_Stiffness!$C$6,IF(Element_Stiffness!$C$5=3,IF(6=Element_Stiffness!$C$5,Element_Stiffness!S31,IF(6=Element_Stiffness!$E$5,Element_Stiffness!Y31,0)),IF(Element_Stiffness!$E$5=3,IF(6=Element_Stiffness!$C$5,Element_Stiffness!S37,IF(6=Element_Stiffness!$E$5,Element_Stiffness!Y37,0)),0)),0)+IF(Element_Stiffness!$C$41,IF(Element_Stiffness!$C$40=3,IF(6=Element_Stiffness!$C$40,Element_Stiffness!S66,IF(6=Element_Stiffness!$E$40,Element_Stiffness!Y66,0)),IF(Element_Stiffness!$E$40=3,IF(6=Element_Stiffness!$C$40,Element_Stiffness!S72,IF(6=Element_Stiffness!$E$40,Element_Stiffness!Y72,0)),0)),0)+IF(Element_Stiffness!$C$76,IF(Element_Stiffness!$C$75=3,IF(6=Element_Stiffness!$C$75,Element_Stiffness!S101,IF(6=Element_Stiffness!$E$75,Element_Stiffness!Y101,0)),IF(Element_Stiffness!$E$75=3,IF(6=Element_Stiffness!$C$75,Element_Stiffness!S107,IF(6=Element_Stiffness!$E$75,Element_Stiffness!Y107,0)),0)),0)+IF(Element_Stiffness!$C$111,IF(Element_Stiffness!$C$110=3,IF(6=Element_Stiffness!$C$110,Element_Stiffness!S136,IF(6=Element_Stiffness!$E$110,Element_Stiffness!Y136,0)),IF(Element_Stiffness!$E$110=3,IF(6=Element_Stiffness!$C$110,Element_Stiffness!S142,IF(6=Element_Stiffness!$E$110,Element_Stiffness!Y142,0)),0)),0)+IF(Element_Stiffness!$C$146,IF(Element_Stiffness!$C$145=3,IF(6=Element_Stiffness!$C$145,Element_Stiffness!S171,IF(6=Element_Stiffness!$E$145,Element_Stiffness!Y171,0)),IF(Element_Stiffness!$E$145=3,IF(6=Element_Stiffness!$C$145,Element_Stiffness!S177,IF(6=Element_Stiffness!$E$145,Element_Stiffness!Y177,0)),0)),0)+IF(Element_Stiffness!$C$181,IF(Element_Stiffness!$C$180=3,IF(6=Element_Stiffness!$C$180,Element_Stiffness!S206,IF(6=Element_Stiffness!$E$180,Element_Stiffness!Y206,0)),IF(Element_Stiffness!$E$180=3,IF(6=Element_Stiffness!$C$180,Element_Stiffness!S212,IF(6=Element_Stiffness!$E$180,Element_Stiffness!Y212,0)),0)),0)+IF(Element_Stiffness!$C$216,IF(Element_Stiffness!$C$215=3,IF(6=Element_Stiffness!$C$215,Element_Stiffness!S241,IF(6=Element_Stiffness!$E$215,Element_Stiffness!Y241,0)),IF(Element_Stiffness!$E$215=3,IF(6=Element_Stiffness!$C$215,Element_Stiffness!S247,IF(6=Element_Stiffness!$E$215,Element_Stiffness!Y247,0)),0)),0)</f>
        <v/>
      </c>
      <c r="AQ28" s="21">
        <f>IF(Element_Stiffness!$C$6,IF(Element_Stiffness!$C$5=3,IF(6=Element_Stiffness!$C$5,Element_Stiffness!T31,IF(6=Element_Stiffness!$E$5,Element_Stiffness!Z31,0)),IF(Element_Stiffness!$E$5=3,IF(6=Element_Stiffness!$C$5,Element_Stiffness!T37,IF(6=Element_Stiffness!$E$5,Element_Stiffness!Z37,0)),0)),0)+IF(Element_Stiffness!$C$41,IF(Element_Stiffness!$C$40=3,IF(6=Element_Stiffness!$C$40,Element_Stiffness!T66,IF(6=Element_Stiffness!$E$40,Element_Stiffness!Z66,0)),IF(Element_Stiffness!$E$40=3,IF(6=Element_Stiffness!$C$40,Element_Stiffness!T72,IF(6=Element_Stiffness!$E$40,Element_Stiffness!Z72,0)),0)),0)+IF(Element_Stiffness!$C$76,IF(Element_Stiffness!$C$75=3,IF(6=Element_Stiffness!$C$75,Element_Stiffness!T101,IF(6=Element_Stiffness!$E$75,Element_Stiffness!Z101,0)),IF(Element_Stiffness!$E$75=3,IF(6=Element_Stiffness!$C$75,Element_Stiffness!T107,IF(6=Element_Stiffness!$E$75,Element_Stiffness!Z107,0)),0)),0)+IF(Element_Stiffness!$C$111,IF(Element_Stiffness!$C$110=3,IF(6=Element_Stiffness!$C$110,Element_Stiffness!T136,IF(6=Element_Stiffness!$E$110,Element_Stiffness!Z136,0)),IF(Element_Stiffness!$E$110=3,IF(6=Element_Stiffness!$C$110,Element_Stiffness!T142,IF(6=Element_Stiffness!$E$110,Element_Stiffness!Z142,0)),0)),0)+IF(Element_Stiffness!$C$146,IF(Element_Stiffness!$C$145=3,IF(6=Element_Stiffness!$C$145,Element_Stiffness!T171,IF(6=Element_Stiffness!$E$145,Element_Stiffness!Z171,0)),IF(Element_Stiffness!$E$145=3,IF(6=Element_Stiffness!$C$145,Element_Stiffness!T177,IF(6=Element_Stiffness!$E$145,Element_Stiffness!Z177,0)),0)),0)+IF(Element_Stiffness!$C$181,IF(Element_Stiffness!$C$180=3,IF(6=Element_Stiffness!$C$180,Element_Stiffness!T206,IF(6=Element_Stiffness!$E$180,Element_Stiffness!Z206,0)),IF(Element_Stiffness!$E$180=3,IF(6=Element_Stiffness!$C$180,Element_Stiffness!T212,IF(6=Element_Stiffness!$E$180,Element_Stiffness!Z212,0)),0)),0)+IF(Element_Stiffness!$C$216,IF(Element_Stiffness!$C$215=3,IF(6=Element_Stiffness!$C$215,Element_Stiffness!T241,IF(6=Element_Stiffness!$E$215,Element_Stiffness!Z241,0)),IF(Element_Stiffness!$E$215=3,IF(6=Element_Stiffness!$C$215,Element_Stiffness!T247,IF(6=Element_Stiffness!$E$215,Element_Stiffness!Z247,0)),0)),0)</f>
        <v/>
      </c>
      <c r="AR28" s="21">
        <f>IF(Element_Stiffness!$C$6,IF(Element_Stiffness!$C$5=3,IF(6=Element_Stiffness!$C$5,Element_Stiffness!U31,IF(6=Element_Stiffness!$E$5,Element_Stiffness!AA31,0)),IF(Element_Stiffness!$E$5=3,IF(6=Element_Stiffness!$C$5,Element_Stiffness!U37,IF(6=Element_Stiffness!$E$5,Element_Stiffness!AA37,0)),0)),0)+IF(Element_Stiffness!$C$41,IF(Element_Stiffness!$C$40=3,IF(6=Element_Stiffness!$C$40,Element_Stiffness!U66,IF(6=Element_Stiffness!$E$40,Element_Stiffness!AA66,0)),IF(Element_Stiffness!$E$40=3,IF(6=Element_Stiffness!$C$40,Element_Stiffness!U72,IF(6=Element_Stiffness!$E$40,Element_Stiffness!AA72,0)),0)),0)+IF(Element_Stiffness!$C$76,IF(Element_Stiffness!$C$75=3,IF(6=Element_Stiffness!$C$75,Element_Stiffness!U101,IF(6=Element_Stiffness!$E$75,Element_Stiffness!AA101,0)),IF(Element_Stiffness!$E$75=3,IF(6=Element_Stiffness!$C$75,Element_Stiffness!U107,IF(6=Element_Stiffness!$E$75,Element_Stiffness!AA107,0)),0)),0)+IF(Element_Stiffness!$C$111,IF(Element_Stiffness!$C$110=3,IF(6=Element_Stiffness!$C$110,Element_Stiffness!U136,IF(6=Element_Stiffness!$E$110,Element_Stiffness!AA136,0)),IF(Element_Stiffness!$E$110=3,IF(6=Element_Stiffness!$C$110,Element_Stiffness!U142,IF(6=Element_Stiffness!$E$110,Element_Stiffness!AA142,0)),0)),0)+IF(Element_Stiffness!$C$146,IF(Element_Stiffness!$C$145=3,IF(6=Element_Stiffness!$C$145,Element_Stiffness!U171,IF(6=Element_Stiffness!$E$145,Element_Stiffness!AA171,0)),IF(Element_Stiffness!$E$145=3,IF(6=Element_Stiffness!$C$145,Element_Stiffness!U177,IF(6=Element_Stiffness!$E$145,Element_Stiffness!AA177,0)),0)),0)+IF(Element_Stiffness!$C$181,IF(Element_Stiffness!$C$180=3,IF(6=Element_Stiffness!$C$180,Element_Stiffness!U206,IF(6=Element_Stiffness!$E$180,Element_Stiffness!AA206,0)),IF(Element_Stiffness!$E$180=3,IF(6=Element_Stiffness!$C$180,Element_Stiffness!U212,IF(6=Element_Stiffness!$E$180,Element_Stiffness!AA212,0)),0)),0)+IF(Element_Stiffness!$C$216,IF(Element_Stiffness!$C$215=3,IF(6=Element_Stiffness!$C$215,Element_Stiffness!U241,IF(6=Element_Stiffness!$E$215,Element_Stiffness!AA241,0)),IF(Element_Stiffness!$E$215=3,IF(6=Element_Stiffness!$C$215,Element_Stiffness!U247,IF(6=Element_Stiffness!$E$215,Element_Stiffness!AA247,0)),0)),0)</f>
        <v/>
      </c>
      <c r="AS28" s="21">
        <f>IF(Element_Stiffness!$C$6,IF(Element_Stiffness!$C$5=3,IF(7=Element_Stiffness!$C$5,Element_Stiffness!P31,IF(7=Element_Stiffness!$E$5,Element_Stiffness!V31,0)),IF(Element_Stiffness!$E$5=3,IF(7=Element_Stiffness!$C$5,Element_Stiffness!P37,IF(7=Element_Stiffness!$E$5,Element_Stiffness!V37,0)),0)),0)+IF(Element_Stiffness!$C$41,IF(Element_Stiffness!$C$40=3,IF(7=Element_Stiffness!$C$40,Element_Stiffness!P66,IF(7=Element_Stiffness!$E$40,Element_Stiffness!V66,0)),IF(Element_Stiffness!$E$40=3,IF(7=Element_Stiffness!$C$40,Element_Stiffness!P72,IF(7=Element_Stiffness!$E$40,Element_Stiffness!V72,0)),0)),0)+IF(Element_Stiffness!$C$76,IF(Element_Stiffness!$C$75=3,IF(7=Element_Stiffness!$C$75,Element_Stiffness!P101,IF(7=Element_Stiffness!$E$75,Element_Stiffness!V101,0)),IF(Element_Stiffness!$E$75=3,IF(7=Element_Stiffness!$C$75,Element_Stiffness!P107,IF(7=Element_Stiffness!$E$75,Element_Stiffness!V107,0)),0)),0)+IF(Element_Stiffness!$C$111,IF(Element_Stiffness!$C$110=3,IF(7=Element_Stiffness!$C$110,Element_Stiffness!P136,IF(7=Element_Stiffness!$E$110,Element_Stiffness!V136,0)),IF(Element_Stiffness!$E$110=3,IF(7=Element_Stiffness!$C$110,Element_Stiffness!P142,IF(7=Element_Stiffness!$E$110,Element_Stiffness!V142,0)),0)),0)+IF(Element_Stiffness!$C$146,IF(Element_Stiffness!$C$145=3,IF(7=Element_Stiffness!$C$145,Element_Stiffness!P171,IF(7=Element_Stiffness!$E$145,Element_Stiffness!V171,0)),IF(Element_Stiffness!$E$145=3,IF(7=Element_Stiffness!$C$145,Element_Stiffness!P177,IF(7=Element_Stiffness!$E$145,Element_Stiffness!V177,0)),0)),0)+IF(Element_Stiffness!$C$181,IF(Element_Stiffness!$C$180=3,IF(7=Element_Stiffness!$C$180,Element_Stiffness!P206,IF(7=Element_Stiffness!$E$180,Element_Stiffness!V206,0)),IF(Element_Stiffness!$E$180=3,IF(7=Element_Stiffness!$C$180,Element_Stiffness!P212,IF(7=Element_Stiffness!$E$180,Element_Stiffness!V212,0)),0)),0)+IF(Element_Stiffness!$C$216,IF(Element_Stiffness!$C$215=3,IF(7=Element_Stiffness!$C$215,Element_Stiffness!P241,IF(7=Element_Stiffness!$E$215,Element_Stiffness!V241,0)),IF(Element_Stiffness!$E$215=3,IF(7=Element_Stiffness!$C$215,Element_Stiffness!P247,IF(7=Element_Stiffness!$E$215,Element_Stiffness!V247,0)),0)),0)</f>
        <v/>
      </c>
      <c r="AT28" s="21">
        <f>IF(Element_Stiffness!$C$6,IF(Element_Stiffness!$C$5=3,IF(7=Element_Stiffness!$C$5,Element_Stiffness!Q31,IF(7=Element_Stiffness!$E$5,Element_Stiffness!W31,0)),IF(Element_Stiffness!$E$5=3,IF(7=Element_Stiffness!$C$5,Element_Stiffness!Q37,IF(7=Element_Stiffness!$E$5,Element_Stiffness!W37,0)),0)),0)+IF(Element_Stiffness!$C$41,IF(Element_Stiffness!$C$40=3,IF(7=Element_Stiffness!$C$40,Element_Stiffness!Q66,IF(7=Element_Stiffness!$E$40,Element_Stiffness!W66,0)),IF(Element_Stiffness!$E$40=3,IF(7=Element_Stiffness!$C$40,Element_Stiffness!Q72,IF(7=Element_Stiffness!$E$40,Element_Stiffness!W72,0)),0)),0)+IF(Element_Stiffness!$C$76,IF(Element_Stiffness!$C$75=3,IF(7=Element_Stiffness!$C$75,Element_Stiffness!Q101,IF(7=Element_Stiffness!$E$75,Element_Stiffness!W101,0)),IF(Element_Stiffness!$E$75=3,IF(7=Element_Stiffness!$C$75,Element_Stiffness!Q107,IF(7=Element_Stiffness!$E$75,Element_Stiffness!W107,0)),0)),0)+IF(Element_Stiffness!$C$111,IF(Element_Stiffness!$C$110=3,IF(7=Element_Stiffness!$C$110,Element_Stiffness!Q136,IF(7=Element_Stiffness!$E$110,Element_Stiffness!W136,0)),IF(Element_Stiffness!$E$110=3,IF(7=Element_Stiffness!$C$110,Element_Stiffness!Q142,IF(7=Element_Stiffness!$E$110,Element_Stiffness!W142,0)),0)),0)+IF(Element_Stiffness!$C$146,IF(Element_Stiffness!$C$145=3,IF(7=Element_Stiffness!$C$145,Element_Stiffness!Q171,IF(7=Element_Stiffness!$E$145,Element_Stiffness!W171,0)),IF(Element_Stiffness!$E$145=3,IF(7=Element_Stiffness!$C$145,Element_Stiffness!Q177,IF(7=Element_Stiffness!$E$145,Element_Stiffness!W177,0)),0)),0)+IF(Element_Stiffness!$C$181,IF(Element_Stiffness!$C$180=3,IF(7=Element_Stiffness!$C$180,Element_Stiffness!Q206,IF(7=Element_Stiffness!$E$180,Element_Stiffness!W206,0)),IF(Element_Stiffness!$E$180=3,IF(7=Element_Stiffness!$C$180,Element_Stiffness!Q212,IF(7=Element_Stiffness!$E$180,Element_Stiffness!W212,0)),0)),0)+IF(Element_Stiffness!$C$216,IF(Element_Stiffness!$C$215=3,IF(7=Element_Stiffness!$C$215,Element_Stiffness!Q241,IF(7=Element_Stiffness!$E$215,Element_Stiffness!W241,0)),IF(Element_Stiffness!$E$215=3,IF(7=Element_Stiffness!$C$215,Element_Stiffness!Q247,IF(7=Element_Stiffness!$E$215,Element_Stiffness!W247,0)),0)),0)</f>
        <v/>
      </c>
      <c r="AU28" s="21">
        <f>IF(Element_Stiffness!$C$6,IF(Element_Stiffness!$C$5=3,IF(7=Element_Stiffness!$C$5,Element_Stiffness!R31,IF(7=Element_Stiffness!$E$5,Element_Stiffness!X31,0)),IF(Element_Stiffness!$E$5=3,IF(7=Element_Stiffness!$C$5,Element_Stiffness!R37,IF(7=Element_Stiffness!$E$5,Element_Stiffness!X37,0)),0)),0)+IF(Element_Stiffness!$C$41,IF(Element_Stiffness!$C$40=3,IF(7=Element_Stiffness!$C$40,Element_Stiffness!R66,IF(7=Element_Stiffness!$E$40,Element_Stiffness!X66,0)),IF(Element_Stiffness!$E$40=3,IF(7=Element_Stiffness!$C$40,Element_Stiffness!R72,IF(7=Element_Stiffness!$E$40,Element_Stiffness!X72,0)),0)),0)+IF(Element_Stiffness!$C$76,IF(Element_Stiffness!$C$75=3,IF(7=Element_Stiffness!$C$75,Element_Stiffness!R101,IF(7=Element_Stiffness!$E$75,Element_Stiffness!X101,0)),IF(Element_Stiffness!$E$75=3,IF(7=Element_Stiffness!$C$75,Element_Stiffness!R107,IF(7=Element_Stiffness!$E$75,Element_Stiffness!X107,0)),0)),0)+IF(Element_Stiffness!$C$111,IF(Element_Stiffness!$C$110=3,IF(7=Element_Stiffness!$C$110,Element_Stiffness!R136,IF(7=Element_Stiffness!$E$110,Element_Stiffness!X136,0)),IF(Element_Stiffness!$E$110=3,IF(7=Element_Stiffness!$C$110,Element_Stiffness!R142,IF(7=Element_Stiffness!$E$110,Element_Stiffness!X142,0)),0)),0)+IF(Element_Stiffness!$C$146,IF(Element_Stiffness!$C$145=3,IF(7=Element_Stiffness!$C$145,Element_Stiffness!R171,IF(7=Element_Stiffness!$E$145,Element_Stiffness!X171,0)),IF(Element_Stiffness!$E$145=3,IF(7=Element_Stiffness!$C$145,Element_Stiffness!R177,IF(7=Element_Stiffness!$E$145,Element_Stiffness!X177,0)),0)),0)+IF(Element_Stiffness!$C$181,IF(Element_Stiffness!$C$180=3,IF(7=Element_Stiffness!$C$180,Element_Stiffness!R206,IF(7=Element_Stiffness!$E$180,Element_Stiffness!X206,0)),IF(Element_Stiffness!$E$180=3,IF(7=Element_Stiffness!$C$180,Element_Stiffness!R212,IF(7=Element_Stiffness!$E$180,Element_Stiffness!X212,0)),0)),0)+IF(Element_Stiffness!$C$216,IF(Element_Stiffness!$C$215=3,IF(7=Element_Stiffness!$C$215,Element_Stiffness!R241,IF(7=Element_Stiffness!$E$215,Element_Stiffness!X241,0)),IF(Element_Stiffness!$E$215=3,IF(7=Element_Stiffness!$C$215,Element_Stiffness!R247,IF(7=Element_Stiffness!$E$215,Element_Stiffness!X247,0)),0)),0)</f>
        <v/>
      </c>
      <c r="AV28" s="21">
        <f>IF(Element_Stiffness!$C$6,IF(Element_Stiffness!$C$5=3,IF(7=Element_Stiffness!$C$5,Element_Stiffness!S31,IF(7=Element_Stiffness!$E$5,Element_Stiffness!Y31,0)),IF(Element_Stiffness!$E$5=3,IF(7=Element_Stiffness!$C$5,Element_Stiffness!S37,IF(7=Element_Stiffness!$E$5,Element_Stiffness!Y37,0)),0)),0)+IF(Element_Stiffness!$C$41,IF(Element_Stiffness!$C$40=3,IF(7=Element_Stiffness!$C$40,Element_Stiffness!S66,IF(7=Element_Stiffness!$E$40,Element_Stiffness!Y66,0)),IF(Element_Stiffness!$E$40=3,IF(7=Element_Stiffness!$C$40,Element_Stiffness!S72,IF(7=Element_Stiffness!$E$40,Element_Stiffness!Y72,0)),0)),0)+IF(Element_Stiffness!$C$76,IF(Element_Stiffness!$C$75=3,IF(7=Element_Stiffness!$C$75,Element_Stiffness!S101,IF(7=Element_Stiffness!$E$75,Element_Stiffness!Y101,0)),IF(Element_Stiffness!$E$75=3,IF(7=Element_Stiffness!$C$75,Element_Stiffness!S107,IF(7=Element_Stiffness!$E$75,Element_Stiffness!Y107,0)),0)),0)+IF(Element_Stiffness!$C$111,IF(Element_Stiffness!$C$110=3,IF(7=Element_Stiffness!$C$110,Element_Stiffness!S136,IF(7=Element_Stiffness!$E$110,Element_Stiffness!Y136,0)),IF(Element_Stiffness!$E$110=3,IF(7=Element_Stiffness!$C$110,Element_Stiffness!S142,IF(7=Element_Stiffness!$E$110,Element_Stiffness!Y142,0)),0)),0)+IF(Element_Stiffness!$C$146,IF(Element_Stiffness!$C$145=3,IF(7=Element_Stiffness!$C$145,Element_Stiffness!S171,IF(7=Element_Stiffness!$E$145,Element_Stiffness!Y171,0)),IF(Element_Stiffness!$E$145=3,IF(7=Element_Stiffness!$C$145,Element_Stiffness!S177,IF(7=Element_Stiffness!$E$145,Element_Stiffness!Y177,0)),0)),0)+IF(Element_Stiffness!$C$181,IF(Element_Stiffness!$C$180=3,IF(7=Element_Stiffness!$C$180,Element_Stiffness!S206,IF(7=Element_Stiffness!$E$180,Element_Stiffness!Y206,0)),IF(Element_Stiffness!$E$180=3,IF(7=Element_Stiffness!$C$180,Element_Stiffness!S212,IF(7=Element_Stiffness!$E$180,Element_Stiffness!Y212,0)),0)),0)+IF(Element_Stiffness!$C$216,IF(Element_Stiffness!$C$215=3,IF(7=Element_Stiffness!$C$215,Element_Stiffness!S241,IF(7=Element_Stiffness!$E$215,Element_Stiffness!Y241,0)),IF(Element_Stiffness!$E$215=3,IF(7=Element_Stiffness!$C$215,Element_Stiffness!S247,IF(7=Element_Stiffness!$E$215,Element_Stiffness!Y247,0)),0)),0)</f>
        <v/>
      </c>
      <c r="AW28" s="21">
        <f>IF(Element_Stiffness!$C$6,IF(Element_Stiffness!$C$5=3,IF(7=Element_Stiffness!$C$5,Element_Stiffness!T31,IF(7=Element_Stiffness!$E$5,Element_Stiffness!Z31,0)),IF(Element_Stiffness!$E$5=3,IF(7=Element_Stiffness!$C$5,Element_Stiffness!T37,IF(7=Element_Stiffness!$E$5,Element_Stiffness!Z37,0)),0)),0)+IF(Element_Stiffness!$C$41,IF(Element_Stiffness!$C$40=3,IF(7=Element_Stiffness!$C$40,Element_Stiffness!T66,IF(7=Element_Stiffness!$E$40,Element_Stiffness!Z66,0)),IF(Element_Stiffness!$E$40=3,IF(7=Element_Stiffness!$C$40,Element_Stiffness!T72,IF(7=Element_Stiffness!$E$40,Element_Stiffness!Z72,0)),0)),0)+IF(Element_Stiffness!$C$76,IF(Element_Stiffness!$C$75=3,IF(7=Element_Stiffness!$C$75,Element_Stiffness!T101,IF(7=Element_Stiffness!$E$75,Element_Stiffness!Z101,0)),IF(Element_Stiffness!$E$75=3,IF(7=Element_Stiffness!$C$75,Element_Stiffness!T107,IF(7=Element_Stiffness!$E$75,Element_Stiffness!Z107,0)),0)),0)+IF(Element_Stiffness!$C$111,IF(Element_Stiffness!$C$110=3,IF(7=Element_Stiffness!$C$110,Element_Stiffness!T136,IF(7=Element_Stiffness!$E$110,Element_Stiffness!Z136,0)),IF(Element_Stiffness!$E$110=3,IF(7=Element_Stiffness!$C$110,Element_Stiffness!T142,IF(7=Element_Stiffness!$E$110,Element_Stiffness!Z142,0)),0)),0)+IF(Element_Stiffness!$C$146,IF(Element_Stiffness!$C$145=3,IF(7=Element_Stiffness!$C$145,Element_Stiffness!T171,IF(7=Element_Stiffness!$E$145,Element_Stiffness!Z171,0)),IF(Element_Stiffness!$E$145=3,IF(7=Element_Stiffness!$C$145,Element_Stiffness!T177,IF(7=Element_Stiffness!$E$145,Element_Stiffness!Z177,0)),0)),0)+IF(Element_Stiffness!$C$181,IF(Element_Stiffness!$C$180=3,IF(7=Element_Stiffness!$C$180,Element_Stiffness!T206,IF(7=Element_Stiffness!$E$180,Element_Stiffness!Z206,0)),IF(Element_Stiffness!$E$180=3,IF(7=Element_Stiffness!$C$180,Element_Stiffness!T212,IF(7=Element_Stiffness!$E$180,Element_Stiffness!Z212,0)),0)),0)+IF(Element_Stiffness!$C$216,IF(Element_Stiffness!$C$215=3,IF(7=Element_Stiffness!$C$215,Element_Stiffness!T241,IF(7=Element_Stiffness!$E$215,Element_Stiffness!Z241,0)),IF(Element_Stiffness!$E$215=3,IF(7=Element_Stiffness!$C$215,Element_Stiffness!T247,IF(7=Element_Stiffness!$E$215,Element_Stiffness!Z247,0)),0)),0)</f>
        <v/>
      </c>
      <c r="AX28" s="21">
        <f>IF(Element_Stiffness!$C$6,IF(Element_Stiffness!$C$5=3,IF(7=Element_Stiffness!$C$5,Element_Stiffness!U31,IF(7=Element_Stiffness!$E$5,Element_Stiffness!AA31,0)),IF(Element_Stiffness!$E$5=3,IF(7=Element_Stiffness!$C$5,Element_Stiffness!U37,IF(7=Element_Stiffness!$E$5,Element_Stiffness!AA37,0)),0)),0)+IF(Element_Stiffness!$C$41,IF(Element_Stiffness!$C$40=3,IF(7=Element_Stiffness!$C$40,Element_Stiffness!U66,IF(7=Element_Stiffness!$E$40,Element_Stiffness!AA66,0)),IF(Element_Stiffness!$E$40=3,IF(7=Element_Stiffness!$C$40,Element_Stiffness!U72,IF(7=Element_Stiffness!$E$40,Element_Stiffness!AA72,0)),0)),0)+IF(Element_Stiffness!$C$76,IF(Element_Stiffness!$C$75=3,IF(7=Element_Stiffness!$C$75,Element_Stiffness!U101,IF(7=Element_Stiffness!$E$75,Element_Stiffness!AA101,0)),IF(Element_Stiffness!$E$75=3,IF(7=Element_Stiffness!$C$75,Element_Stiffness!U107,IF(7=Element_Stiffness!$E$75,Element_Stiffness!AA107,0)),0)),0)+IF(Element_Stiffness!$C$111,IF(Element_Stiffness!$C$110=3,IF(7=Element_Stiffness!$C$110,Element_Stiffness!U136,IF(7=Element_Stiffness!$E$110,Element_Stiffness!AA136,0)),IF(Element_Stiffness!$E$110=3,IF(7=Element_Stiffness!$C$110,Element_Stiffness!U142,IF(7=Element_Stiffness!$E$110,Element_Stiffness!AA142,0)),0)),0)+IF(Element_Stiffness!$C$146,IF(Element_Stiffness!$C$145=3,IF(7=Element_Stiffness!$C$145,Element_Stiffness!U171,IF(7=Element_Stiffness!$E$145,Element_Stiffness!AA171,0)),IF(Element_Stiffness!$E$145=3,IF(7=Element_Stiffness!$C$145,Element_Stiffness!U177,IF(7=Element_Stiffness!$E$145,Element_Stiffness!AA177,0)),0)),0)+IF(Element_Stiffness!$C$181,IF(Element_Stiffness!$C$180=3,IF(7=Element_Stiffness!$C$180,Element_Stiffness!U206,IF(7=Element_Stiffness!$E$180,Element_Stiffness!AA206,0)),IF(Element_Stiffness!$E$180=3,IF(7=Element_Stiffness!$C$180,Element_Stiffness!U212,IF(7=Element_Stiffness!$E$180,Element_Stiffness!AA212,0)),0)),0)+IF(Element_Stiffness!$C$216,IF(Element_Stiffness!$C$215=3,IF(7=Element_Stiffness!$C$215,Element_Stiffness!U241,IF(7=Element_Stiffness!$E$215,Element_Stiffness!AA241,0)),IF(Element_Stiffness!$E$215=3,IF(7=Element_Stiffness!$C$215,Element_Stiffness!U247,IF(7=Element_Stiffness!$E$215,Element_Stiffness!AA247,0)),0)),0)</f>
        <v/>
      </c>
      <c r="AY28" s="21" t="n">
        <v>0</v>
      </c>
      <c r="AZ28" s="21">
        <f>IF(Element_Stiffness!$C$6,IF(Element_Stiffness!$C$5=3,Element_Stiffness!C31,IF(Element_Stiffness!$E$5=3,Element_Stiffness!C37,0)),0)+IF(Element_Stiffness!$C$41,IF(Element_Stiffness!$C$40=3,Element_Stiffness!C66,IF(Element_Stiffness!$E$40=3,Element_Stiffness!C72,0)),0)+IF(Element_Stiffness!$C$76,IF(Element_Stiffness!$C$75=3,Element_Stiffness!C101,IF(Element_Stiffness!$E$75=3,Element_Stiffness!C107,0)),0)+IF(Element_Stiffness!$C$111,IF(Element_Stiffness!$C$110=3,Element_Stiffness!C136,IF(Element_Stiffness!$E$110=3,Element_Stiffness!C142,0)),0)+IF(Element_Stiffness!$C$146,IF(Element_Stiffness!$C$145=3,Element_Stiffness!C171,IF(Element_Stiffness!$E$145=3,Element_Stiffness!C177,0)),0)+IF(Element_Stiffness!$C$181,IF(Element_Stiffness!$C$180=3,Element_Stiffness!C206,IF(Element_Stiffness!$E$180=3,Element_Stiffness!C212,0)),0)+IF(Element_Stiffness!$C$216,IF(Element_Stiffness!$C$215=3,Element_Stiffness!C241,IF(Element_Stiffness!$E$215=3,Element_Stiffness!C247,0)),0)</f>
        <v/>
      </c>
      <c r="BB28" s="28">
        <f>INDEX(MMULT(MINVERSE(C5:AX52), AY5:AY52), 24, 1)</f>
        <v/>
      </c>
      <c r="BC28" s="28">
        <f>INDEX(MMULT(MINVERSE(C5:AX52), AZ5:AZ52), 24, 1)</f>
        <v/>
      </c>
    </row>
    <row r="29">
      <c r="B29" s="27" t="inlineStr">
        <is>
          <t>N4_tx</t>
        </is>
      </c>
      <c r="C29" s="21">
        <f>IF(Element_Stiffness!$C$6,IF(Element_Stiffness!$C$5=4,IF(0=Element_Stiffness!$C$5,Element_Stiffness!P26,IF(0=Element_Stiffness!$E$5,Element_Stiffness!V26,0)),IF(Element_Stiffness!$E$5=4,IF(0=Element_Stiffness!$C$5,Element_Stiffness!P32,IF(0=Element_Stiffness!$E$5,Element_Stiffness!V32,0)),0)),0)+IF(Element_Stiffness!$C$41,IF(Element_Stiffness!$C$40=4,IF(0=Element_Stiffness!$C$40,Element_Stiffness!P61,IF(0=Element_Stiffness!$E$40,Element_Stiffness!V61,0)),IF(Element_Stiffness!$E$40=4,IF(0=Element_Stiffness!$C$40,Element_Stiffness!P67,IF(0=Element_Stiffness!$E$40,Element_Stiffness!V67,0)),0)),0)+IF(Element_Stiffness!$C$76,IF(Element_Stiffness!$C$75=4,IF(0=Element_Stiffness!$C$75,Element_Stiffness!P96,IF(0=Element_Stiffness!$E$75,Element_Stiffness!V96,0)),IF(Element_Stiffness!$E$75=4,IF(0=Element_Stiffness!$C$75,Element_Stiffness!P102,IF(0=Element_Stiffness!$E$75,Element_Stiffness!V102,0)),0)),0)+IF(Element_Stiffness!$C$111,IF(Element_Stiffness!$C$110=4,IF(0=Element_Stiffness!$C$110,Element_Stiffness!P131,IF(0=Element_Stiffness!$E$110,Element_Stiffness!V131,0)),IF(Element_Stiffness!$E$110=4,IF(0=Element_Stiffness!$C$110,Element_Stiffness!P137,IF(0=Element_Stiffness!$E$110,Element_Stiffness!V137,0)),0)),0)+IF(Element_Stiffness!$C$146,IF(Element_Stiffness!$C$145=4,IF(0=Element_Stiffness!$C$145,Element_Stiffness!P166,IF(0=Element_Stiffness!$E$145,Element_Stiffness!V166,0)),IF(Element_Stiffness!$E$145=4,IF(0=Element_Stiffness!$C$145,Element_Stiffness!P172,IF(0=Element_Stiffness!$E$145,Element_Stiffness!V172,0)),0)),0)+IF(Element_Stiffness!$C$181,IF(Element_Stiffness!$C$180=4,IF(0=Element_Stiffness!$C$180,Element_Stiffness!P201,IF(0=Element_Stiffness!$E$180,Element_Stiffness!V201,0)),IF(Element_Stiffness!$E$180=4,IF(0=Element_Stiffness!$C$180,Element_Stiffness!P207,IF(0=Element_Stiffness!$E$180,Element_Stiffness!V207,0)),0)),0)+IF(Element_Stiffness!$C$216,IF(Element_Stiffness!$C$215=4,IF(0=Element_Stiffness!$C$215,Element_Stiffness!P236,IF(0=Element_Stiffness!$E$215,Element_Stiffness!V236,0)),IF(Element_Stiffness!$E$215=4,IF(0=Element_Stiffness!$C$215,Element_Stiffness!P242,IF(0=Element_Stiffness!$E$215,Element_Stiffness!V242,0)),0)),0)</f>
        <v/>
      </c>
      <c r="D29" s="21">
        <f>IF(Element_Stiffness!$C$6,IF(Element_Stiffness!$C$5=4,IF(0=Element_Stiffness!$C$5,Element_Stiffness!Q26,IF(0=Element_Stiffness!$E$5,Element_Stiffness!W26,0)),IF(Element_Stiffness!$E$5=4,IF(0=Element_Stiffness!$C$5,Element_Stiffness!Q32,IF(0=Element_Stiffness!$E$5,Element_Stiffness!W32,0)),0)),0)+IF(Element_Stiffness!$C$41,IF(Element_Stiffness!$C$40=4,IF(0=Element_Stiffness!$C$40,Element_Stiffness!Q61,IF(0=Element_Stiffness!$E$40,Element_Stiffness!W61,0)),IF(Element_Stiffness!$E$40=4,IF(0=Element_Stiffness!$C$40,Element_Stiffness!Q67,IF(0=Element_Stiffness!$E$40,Element_Stiffness!W67,0)),0)),0)+IF(Element_Stiffness!$C$76,IF(Element_Stiffness!$C$75=4,IF(0=Element_Stiffness!$C$75,Element_Stiffness!Q96,IF(0=Element_Stiffness!$E$75,Element_Stiffness!W96,0)),IF(Element_Stiffness!$E$75=4,IF(0=Element_Stiffness!$C$75,Element_Stiffness!Q102,IF(0=Element_Stiffness!$E$75,Element_Stiffness!W102,0)),0)),0)+IF(Element_Stiffness!$C$111,IF(Element_Stiffness!$C$110=4,IF(0=Element_Stiffness!$C$110,Element_Stiffness!Q131,IF(0=Element_Stiffness!$E$110,Element_Stiffness!W131,0)),IF(Element_Stiffness!$E$110=4,IF(0=Element_Stiffness!$C$110,Element_Stiffness!Q137,IF(0=Element_Stiffness!$E$110,Element_Stiffness!W137,0)),0)),0)+IF(Element_Stiffness!$C$146,IF(Element_Stiffness!$C$145=4,IF(0=Element_Stiffness!$C$145,Element_Stiffness!Q166,IF(0=Element_Stiffness!$E$145,Element_Stiffness!W166,0)),IF(Element_Stiffness!$E$145=4,IF(0=Element_Stiffness!$C$145,Element_Stiffness!Q172,IF(0=Element_Stiffness!$E$145,Element_Stiffness!W172,0)),0)),0)+IF(Element_Stiffness!$C$181,IF(Element_Stiffness!$C$180=4,IF(0=Element_Stiffness!$C$180,Element_Stiffness!Q201,IF(0=Element_Stiffness!$E$180,Element_Stiffness!W201,0)),IF(Element_Stiffness!$E$180=4,IF(0=Element_Stiffness!$C$180,Element_Stiffness!Q207,IF(0=Element_Stiffness!$E$180,Element_Stiffness!W207,0)),0)),0)+IF(Element_Stiffness!$C$216,IF(Element_Stiffness!$C$215=4,IF(0=Element_Stiffness!$C$215,Element_Stiffness!Q236,IF(0=Element_Stiffness!$E$215,Element_Stiffness!W236,0)),IF(Element_Stiffness!$E$215=4,IF(0=Element_Stiffness!$C$215,Element_Stiffness!Q242,IF(0=Element_Stiffness!$E$215,Element_Stiffness!W242,0)),0)),0)</f>
        <v/>
      </c>
      <c r="E29" s="21">
        <f>IF(Element_Stiffness!$C$6,IF(Element_Stiffness!$C$5=4,IF(0=Element_Stiffness!$C$5,Element_Stiffness!R26,IF(0=Element_Stiffness!$E$5,Element_Stiffness!X26,0)),IF(Element_Stiffness!$E$5=4,IF(0=Element_Stiffness!$C$5,Element_Stiffness!R32,IF(0=Element_Stiffness!$E$5,Element_Stiffness!X32,0)),0)),0)+IF(Element_Stiffness!$C$41,IF(Element_Stiffness!$C$40=4,IF(0=Element_Stiffness!$C$40,Element_Stiffness!R61,IF(0=Element_Stiffness!$E$40,Element_Stiffness!X61,0)),IF(Element_Stiffness!$E$40=4,IF(0=Element_Stiffness!$C$40,Element_Stiffness!R67,IF(0=Element_Stiffness!$E$40,Element_Stiffness!X67,0)),0)),0)+IF(Element_Stiffness!$C$76,IF(Element_Stiffness!$C$75=4,IF(0=Element_Stiffness!$C$75,Element_Stiffness!R96,IF(0=Element_Stiffness!$E$75,Element_Stiffness!X96,0)),IF(Element_Stiffness!$E$75=4,IF(0=Element_Stiffness!$C$75,Element_Stiffness!R102,IF(0=Element_Stiffness!$E$75,Element_Stiffness!X102,0)),0)),0)+IF(Element_Stiffness!$C$111,IF(Element_Stiffness!$C$110=4,IF(0=Element_Stiffness!$C$110,Element_Stiffness!R131,IF(0=Element_Stiffness!$E$110,Element_Stiffness!X131,0)),IF(Element_Stiffness!$E$110=4,IF(0=Element_Stiffness!$C$110,Element_Stiffness!R137,IF(0=Element_Stiffness!$E$110,Element_Stiffness!X137,0)),0)),0)+IF(Element_Stiffness!$C$146,IF(Element_Stiffness!$C$145=4,IF(0=Element_Stiffness!$C$145,Element_Stiffness!R166,IF(0=Element_Stiffness!$E$145,Element_Stiffness!X166,0)),IF(Element_Stiffness!$E$145=4,IF(0=Element_Stiffness!$C$145,Element_Stiffness!R172,IF(0=Element_Stiffness!$E$145,Element_Stiffness!X172,0)),0)),0)+IF(Element_Stiffness!$C$181,IF(Element_Stiffness!$C$180=4,IF(0=Element_Stiffness!$C$180,Element_Stiffness!R201,IF(0=Element_Stiffness!$E$180,Element_Stiffness!X201,0)),IF(Element_Stiffness!$E$180=4,IF(0=Element_Stiffness!$C$180,Element_Stiffness!R207,IF(0=Element_Stiffness!$E$180,Element_Stiffness!X207,0)),0)),0)+IF(Element_Stiffness!$C$216,IF(Element_Stiffness!$C$215=4,IF(0=Element_Stiffness!$C$215,Element_Stiffness!R236,IF(0=Element_Stiffness!$E$215,Element_Stiffness!X236,0)),IF(Element_Stiffness!$E$215=4,IF(0=Element_Stiffness!$C$215,Element_Stiffness!R242,IF(0=Element_Stiffness!$E$215,Element_Stiffness!X242,0)),0)),0)</f>
        <v/>
      </c>
      <c r="F29" s="21">
        <f>IF(Element_Stiffness!$C$6,IF(Element_Stiffness!$C$5=4,IF(0=Element_Stiffness!$C$5,Element_Stiffness!S26,IF(0=Element_Stiffness!$E$5,Element_Stiffness!Y26,0)),IF(Element_Stiffness!$E$5=4,IF(0=Element_Stiffness!$C$5,Element_Stiffness!S32,IF(0=Element_Stiffness!$E$5,Element_Stiffness!Y32,0)),0)),0)+IF(Element_Stiffness!$C$41,IF(Element_Stiffness!$C$40=4,IF(0=Element_Stiffness!$C$40,Element_Stiffness!S61,IF(0=Element_Stiffness!$E$40,Element_Stiffness!Y61,0)),IF(Element_Stiffness!$E$40=4,IF(0=Element_Stiffness!$C$40,Element_Stiffness!S67,IF(0=Element_Stiffness!$E$40,Element_Stiffness!Y67,0)),0)),0)+IF(Element_Stiffness!$C$76,IF(Element_Stiffness!$C$75=4,IF(0=Element_Stiffness!$C$75,Element_Stiffness!S96,IF(0=Element_Stiffness!$E$75,Element_Stiffness!Y96,0)),IF(Element_Stiffness!$E$75=4,IF(0=Element_Stiffness!$C$75,Element_Stiffness!S102,IF(0=Element_Stiffness!$E$75,Element_Stiffness!Y102,0)),0)),0)+IF(Element_Stiffness!$C$111,IF(Element_Stiffness!$C$110=4,IF(0=Element_Stiffness!$C$110,Element_Stiffness!S131,IF(0=Element_Stiffness!$E$110,Element_Stiffness!Y131,0)),IF(Element_Stiffness!$E$110=4,IF(0=Element_Stiffness!$C$110,Element_Stiffness!S137,IF(0=Element_Stiffness!$E$110,Element_Stiffness!Y137,0)),0)),0)+IF(Element_Stiffness!$C$146,IF(Element_Stiffness!$C$145=4,IF(0=Element_Stiffness!$C$145,Element_Stiffness!S166,IF(0=Element_Stiffness!$E$145,Element_Stiffness!Y166,0)),IF(Element_Stiffness!$E$145=4,IF(0=Element_Stiffness!$C$145,Element_Stiffness!S172,IF(0=Element_Stiffness!$E$145,Element_Stiffness!Y172,0)),0)),0)+IF(Element_Stiffness!$C$181,IF(Element_Stiffness!$C$180=4,IF(0=Element_Stiffness!$C$180,Element_Stiffness!S201,IF(0=Element_Stiffness!$E$180,Element_Stiffness!Y201,0)),IF(Element_Stiffness!$E$180=4,IF(0=Element_Stiffness!$C$180,Element_Stiffness!S207,IF(0=Element_Stiffness!$E$180,Element_Stiffness!Y207,0)),0)),0)+IF(Element_Stiffness!$C$216,IF(Element_Stiffness!$C$215=4,IF(0=Element_Stiffness!$C$215,Element_Stiffness!S236,IF(0=Element_Stiffness!$E$215,Element_Stiffness!Y236,0)),IF(Element_Stiffness!$E$215=4,IF(0=Element_Stiffness!$C$215,Element_Stiffness!S242,IF(0=Element_Stiffness!$E$215,Element_Stiffness!Y242,0)),0)),0)</f>
        <v/>
      </c>
      <c r="G29" s="21">
        <f>IF(Element_Stiffness!$C$6,IF(Element_Stiffness!$C$5=4,IF(0=Element_Stiffness!$C$5,Element_Stiffness!T26,IF(0=Element_Stiffness!$E$5,Element_Stiffness!Z26,0)),IF(Element_Stiffness!$E$5=4,IF(0=Element_Stiffness!$C$5,Element_Stiffness!T32,IF(0=Element_Stiffness!$E$5,Element_Stiffness!Z32,0)),0)),0)+IF(Element_Stiffness!$C$41,IF(Element_Stiffness!$C$40=4,IF(0=Element_Stiffness!$C$40,Element_Stiffness!T61,IF(0=Element_Stiffness!$E$40,Element_Stiffness!Z61,0)),IF(Element_Stiffness!$E$40=4,IF(0=Element_Stiffness!$C$40,Element_Stiffness!T67,IF(0=Element_Stiffness!$E$40,Element_Stiffness!Z67,0)),0)),0)+IF(Element_Stiffness!$C$76,IF(Element_Stiffness!$C$75=4,IF(0=Element_Stiffness!$C$75,Element_Stiffness!T96,IF(0=Element_Stiffness!$E$75,Element_Stiffness!Z96,0)),IF(Element_Stiffness!$E$75=4,IF(0=Element_Stiffness!$C$75,Element_Stiffness!T102,IF(0=Element_Stiffness!$E$75,Element_Stiffness!Z102,0)),0)),0)+IF(Element_Stiffness!$C$111,IF(Element_Stiffness!$C$110=4,IF(0=Element_Stiffness!$C$110,Element_Stiffness!T131,IF(0=Element_Stiffness!$E$110,Element_Stiffness!Z131,0)),IF(Element_Stiffness!$E$110=4,IF(0=Element_Stiffness!$C$110,Element_Stiffness!T137,IF(0=Element_Stiffness!$E$110,Element_Stiffness!Z137,0)),0)),0)+IF(Element_Stiffness!$C$146,IF(Element_Stiffness!$C$145=4,IF(0=Element_Stiffness!$C$145,Element_Stiffness!T166,IF(0=Element_Stiffness!$E$145,Element_Stiffness!Z166,0)),IF(Element_Stiffness!$E$145=4,IF(0=Element_Stiffness!$C$145,Element_Stiffness!T172,IF(0=Element_Stiffness!$E$145,Element_Stiffness!Z172,0)),0)),0)+IF(Element_Stiffness!$C$181,IF(Element_Stiffness!$C$180=4,IF(0=Element_Stiffness!$C$180,Element_Stiffness!T201,IF(0=Element_Stiffness!$E$180,Element_Stiffness!Z201,0)),IF(Element_Stiffness!$E$180=4,IF(0=Element_Stiffness!$C$180,Element_Stiffness!T207,IF(0=Element_Stiffness!$E$180,Element_Stiffness!Z207,0)),0)),0)+IF(Element_Stiffness!$C$216,IF(Element_Stiffness!$C$215=4,IF(0=Element_Stiffness!$C$215,Element_Stiffness!T236,IF(0=Element_Stiffness!$E$215,Element_Stiffness!Z236,0)),IF(Element_Stiffness!$E$215=4,IF(0=Element_Stiffness!$C$215,Element_Stiffness!T242,IF(0=Element_Stiffness!$E$215,Element_Stiffness!Z242,0)),0)),0)</f>
        <v/>
      </c>
      <c r="H29" s="21">
        <f>IF(Element_Stiffness!$C$6,IF(Element_Stiffness!$C$5=4,IF(0=Element_Stiffness!$C$5,Element_Stiffness!U26,IF(0=Element_Stiffness!$E$5,Element_Stiffness!AA26,0)),IF(Element_Stiffness!$E$5=4,IF(0=Element_Stiffness!$C$5,Element_Stiffness!U32,IF(0=Element_Stiffness!$E$5,Element_Stiffness!AA32,0)),0)),0)+IF(Element_Stiffness!$C$41,IF(Element_Stiffness!$C$40=4,IF(0=Element_Stiffness!$C$40,Element_Stiffness!U61,IF(0=Element_Stiffness!$E$40,Element_Stiffness!AA61,0)),IF(Element_Stiffness!$E$40=4,IF(0=Element_Stiffness!$C$40,Element_Stiffness!U67,IF(0=Element_Stiffness!$E$40,Element_Stiffness!AA67,0)),0)),0)+IF(Element_Stiffness!$C$76,IF(Element_Stiffness!$C$75=4,IF(0=Element_Stiffness!$C$75,Element_Stiffness!U96,IF(0=Element_Stiffness!$E$75,Element_Stiffness!AA96,0)),IF(Element_Stiffness!$E$75=4,IF(0=Element_Stiffness!$C$75,Element_Stiffness!U102,IF(0=Element_Stiffness!$E$75,Element_Stiffness!AA102,0)),0)),0)+IF(Element_Stiffness!$C$111,IF(Element_Stiffness!$C$110=4,IF(0=Element_Stiffness!$C$110,Element_Stiffness!U131,IF(0=Element_Stiffness!$E$110,Element_Stiffness!AA131,0)),IF(Element_Stiffness!$E$110=4,IF(0=Element_Stiffness!$C$110,Element_Stiffness!U137,IF(0=Element_Stiffness!$E$110,Element_Stiffness!AA137,0)),0)),0)+IF(Element_Stiffness!$C$146,IF(Element_Stiffness!$C$145=4,IF(0=Element_Stiffness!$C$145,Element_Stiffness!U166,IF(0=Element_Stiffness!$E$145,Element_Stiffness!AA166,0)),IF(Element_Stiffness!$E$145=4,IF(0=Element_Stiffness!$C$145,Element_Stiffness!U172,IF(0=Element_Stiffness!$E$145,Element_Stiffness!AA172,0)),0)),0)+IF(Element_Stiffness!$C$181,IF(Element_Stiffness!$C$180=4,IF(0=Element_Stiffness!$C$180,Element_Stiffness!U201,IF(0=Element_Stiffness!$E$180,Element_Stiffness!AA201,0)),IF(Element_Stiffness!$E$180=4,IF(0=Element_Stiffness!$C$180,Element_Stiffness!U207,IF(0=Element_Stiffness!$E$180,Element_Stiffness!AA207,0)),0)),0)+IF(Element_Stiffness!$C$216,IF(Element_Stiffness!$C$215=4,IF(0=Element_Stiffness!$C$215,Element_Stiffness!U236,IF(0=Element_Stiffness!$E$215,Element_Stiffness!AA236,0)),IF(Element_Stiffness!$E$215=4,IF(0=Element_Stiffness!$C$215,Element_Stiffness!U242,IF(0=Element_Stiffness!$E$215,Element_Stiffness!AA242,0)),0)),0)</f>
        <v/>
      </c>
      <c r="I29" s="21">
        <f>IF(Element_Stiffness!$C$6,IF(Element_Stiffness!$C$5=4,IF(1=Element_Stiffness!$C$5,Element_Stiffness!P26,IF(1=Element_Stiffness!$E$5,Element_Stiffness!V26,0)),IF(Element_Stiffness!$E$5=4,IF(1=Element_Stiffness!$C$5,Element_Stiffness!P32,IF(1=Element_Stiffness!$E$5,Element_Stiffness!V32,0)),0)),0)+IF(Element_Stiffness!$C$41,IF(Element_Stiffness!$C$40=4,IF(1=Element_Stiffness!$C$40,Element_Stiffness!P61,IF(1=Element_Stiffness!$E$40,Element_Stiffness!V61,0)),IF(Element_Stiffness!$E$40=4,IF(1=Element_Stiffness!$C$40,Element_Stiffness!P67,IF(1=Element_Stiffness!$E$40,Element_Stiffness!V67,0)),0)),0)+IF(Element_Stiffness!$C$76,IF(Element_Stiffness!$C$75=4,IF(1=Element_Stiffness!$C$75,Element_Stiffness!P96,IF(1=Element_Stiffness!$E$75,Element_Stiffness!V96,0)),IF(Element_Stiffness!$E$75=4,IF(1=Element_Stiffness!$C$75,Element_Stiffness!P102,IF(1=Element_Stiffness!$E$75,Element_Stiffness!V102,0)),0)),0)+IF(Element_Stiffness!$C$111,IF(Element_Stiffness!$C$110=4,IF(1=Element_Stiffness!$C$110,Element_Stiffness!P131,IF(1=Element_Stiffness!$E$110,Element_Stiffness!V131,0)),IF(Element_Stiffness!$E$110=4,IF(1=Element_Stiffness!$C$110,Element_Stiffness!P137,IF(1=Element_Stiffness!$E$110,Element_Stiffness!V137,0)),0)),0)+IF(Element_Stiffness!$C$146,IF(Element_Stiffness!$C$145=4,IF(1=Element_Stiffness!$C$145,Element_Stiffness!P166,IF(1=Element_Stiffness!$E$145,Element_Stiffness!V166,0)),IF(Element_Stiffness!$E$145=4,IF(1=Element_Stiffness!$C$145,Element_Stiffness!P172,IF(1=Element_Stiffness!$E$145,Element_Stiffness!V172,0)),0)),0)+IF(Element_Stiffness!$C$181,IF(Element_Stiffness!$C$180=4,IF(1=Element_Stiffness!$C$180,Element_Stiffness!P201,IF(1=Element_Stiffness!$E$180,Element_Stiffness!V201,0)),IF(Element_Stiffness!$E$180=4,IF(1=Element_Stiffness!$C$180,Element_Stiffness!P207,IF(1=Element_Stiffness!$E$180,Element_Stiffness!V207,0)),0)),0)+IF(Element_Stiffness!$C$216,IF(Element_Stiffness!$C$215=4,IF(1=Element_Stiffness!$C$215,Element_Stiffness!P236,IF(1=Element_Stiffness!$E$215,Element_Stiffness!V236,0)),IF(Element_Stiffness!$E$215=4,IF(1=Element_Stiffness!$C$215,Element_Stiffness!P242,IF(1=Element_Stiffness!$E$215,Element_Stiffness!V242,0)),0)),0)</f>
        <v/>
      </c>
      <c r="J29" s="21">
        <f>IF(Element_Stiffness!$C$6,IF(Element_Stiffness!$C$5=4,IF(1=Element_Stiffness!$C$5,Element_Stiffness!Q26,IF(1=Element_Stiffness!$E$5,Element_Stiffness!W26,0)),IF(Element_Stiffness!$E$5=4,IF(1=Element_Stiffness!$C$5,Element_Stiffness!Q32,IF(1=Element_Stiffness!$E$5,Element_Stiffness!W32,0)),0)),0)+IF(Element_Stiffness!$C$41,IF(Element_Stiffness!$C$40=4,IF(1=Element_Stiffness!$C$40,Element_Stiffness!Q61,IF(1=Element_Stiffness!$E$40,Element_Stiffness!W61,0)),IF(Element_Stiffness!$E$40=4,IF(1=Element_Stiffness!$C$40,Element_Stiffness!Q67,IF(1=Element_Stiffness!$E$40,Element_Stiffness!W67,0)),0)),0)+IF(Element_Stiffness!$C$76,IF(Element_Stiffness!$C$75=4,IF(1=Element_Stiffness!$C$75,Element_Stiffness!Q96,IF(1=Element_Stiffness!$E$75,Element_Stiffness!W96,0)),IF(Element_Stiffness!$E$75=4,IF(1=Element_Stiffness!$C$75,Element_Stiffness!Q102,IF(1=Element_Stiffness!$E$75,Element_Stiffness!W102,0)),0)),0)+IF(Element_Stiffness!$C$111,IF(Element_Stiffness!$C$110=4,IF(1=Element_Stiffness!$C$110,Element_Stiffness!Q131,IF(1=Element_Stiffness!$E$110,Element_Stiffness!W131,0)),IF(Element_Stiffness!$E$110=4,IF(1=Element_Stiffness!$C$110,Element_Stiffness!Q137,IF(1=Element_Stiffness!$E$110,Element_Stiffness!W137,0)),0)),0)+IF(Element_Stiffness!$C$146,IF(Element_Stiffness!$C$145=4,IF(1=Element_Stiffness!$C$145,Element_Stiffness!Q166,IF(1=Element_Stiffness!$E$145,Element_Stiffness!W166,0)),IF(Element_Stiffness!$E$145=4,IF(1=Element_Stiffness!$C$145,Element_Stiffness!Q172,IF(1=Element_Stiffness!$E$145,Element_Stiffness!W172,0)),0)),0)+IF(Element_Stiffness!$C$181,IF(Element_Stiffness!$C$180=4,IF(1=Element_Stiffness!$C$180,Element_Stiffness!Q201,IF(1=Element_Stiffness!$E$180,Element_Stiffness!W201,0)),IF(Element_Stiffness!$E$180=4,IF(1=Element_Stiffness!$C$180,Element_Stiffness!Q207,IF(1=Element_Stiffness!$E$180,Element_Stiffness!W207,0)),0)),0)+IF(Element_Stiffness!$C$216,IF(Element_Stiffness!$C$215=4,IF(1=Element_Stiffness!$C$215,Element_Stiffness!Q236,IF(1=Element_Stiffness!$E$215,Element_Stiffness!W236,0)),IF(Element_Stiffness!$E$215=4,IF(1=Element_Stiffness!$C$215,Element_Stiffness!Q242,IF(1=Element_Stiffness!$E$215,Element_Stiffness!W242,0)),0)),0)</f>
        <v/>
      </c>
      <c r="K29" s="21">
        <f>IF(Element_Stiffness!$C$6,IF(Element_Stiffness!$C$5=4,IF(1=Element_Stiffness!$C$5,Element_Stiffness!R26,IF(1=Element_Stiffness!$E$5,Element_Stiffness!X26,0)),IF(Element_Stiffness!$E$5=4,IF(1=Element_Stiffness!$C$5,Element_Stiffness!R32,IF(1=Element_Stiffness!$E$5,Element_Stiffness!X32,0)),0)),0)+IF(Element_Stiffness!$C$41,IF(Element_Stiffness!$C$40=4,IF(1=Element_Stiffness!$C$40,Element_Stiffness!R61,IF(1=Element_Stiffness!$E$40,Element_Stiffness!X61,0)),IF(Element_Stiffness!$E$40=4,IF(1=Element_Stiffness!$C$40,Element_Stiffness!R67,IF(1=Element_Stiffness!$E$40,Element_Stiffness!X67,0)),0)),0)+IF(Element_Stiffness!$C$76,IF(Element_Stiffness!$C$75=4,IF(1=Element_Stiffness!$C$75,Element_Stiffness!R96,IF(1=Element_Stiffness!$E$75,Element_Stiffness!X96,0)),IF(Element_Stiffness!$E$75=4,IF(1=Element_Stiffness!$C$75,Element_Stiffness!R102,IF(1=Element_Stiffness!$E$75,Element_Stiffness!X102,0)),0)),0)+IF(Element_Stiffness!$C$111,IF(Element_Stiffness!$C$110=4,IF(1=Element_Stiffness!$C$110,Element_Stiffness!R131,IF(1=Element_Stiffness!$E$110,Element_Stiffness!X131,0)),IF(Element_Stiffness!$E$110=4,IF(1=Element_Stiffness!$C$110,Element_Stiffness!R137,IF(1=Element_Stiffness!$E$110,Element_Stiffness!X137,0)),0)),0)+IF(Element_Stiffness!$C$146,IF(Element_Stiffness!$C$145=4,IF(1=Element_Stiffness!$C$145,Element_Stiffness!R166,IF(1=Element_Stiffness!$E$145,Element_Stiffness!X166,0)),IF(Element_Stiffness!$E$145=4,IF(1=Element_Stiffness!$C$145,Element_Stiffness!R172,IF(1=Element_Stiffness!$E$145,Element_Stiffness!X172,0)),0)),0)+IF(Element_Stiffness!$C$181,IF(Element_Stiffness!$C$180=4,IF(1=Element_Stiffness!$C$180,Element_Stiffness!R201,IF(1=Element_Stiffness!$E$180,Element_Stiffness!X201,0)),IF(Element_Stiffness!$E$180=4,IF(1=Element_Stiffness!$C$180,Element_Stiffness!R207,IF(1=Element_Stiffness!$E$180,Element_Stiffness!X207,0)),0)),0)+IF(Element_Stiffness!$C$216,IF(Element_Stiffness!$C$215=4,IF(1=Element_Stiffness!$C$215,Element_Stiffness!R236,IF(1=Element_Stiffness!$E$215,Element_Stiffness!X236,0)),IF(Element_Stiffness!$E$215=4,IF(1=Element_Stiffness!$C$215,Element_Stiffness!R242,IF(1=Element_Stiffness!$E$215,Element_Stiffness!X242,0)),0)),0)</f>
        <v/>
      </c>
      <c r="L29" s="21">
        <f>IF(Element_Stiffness!$C$6,IF(Element_Stiffness!$C$5=4,IF(1=Element_Stiffness!$C$5,Element_Stiffness!S26,IF(1=Element_Stiffness!$E$5,Element_Stiffness!Y26,0)),IF(Element_Stiffness!$E$5=4,IF(1=Element_Stiffness!$C$5,Element_Stiffness!S32,IF(1=Element_Stiffness!$E$5,Element_Stiffness!Y32,0)),0)),0)+IF(Element_Stiffness!$C$41,IF(Element_Stiffness!$C$40=4,IF(1=Element_Stiffness!$C$40,Element_Stiffness!S61,IF(1=Element_Stiffness!$E$40,Element_Stiffness!Y61,0)),IF(Element_Stiffness!$E$40=4,IF(1=Element_Stiffness!$C$40,Element_Stiffness!S67,IF(1=Element_Stiffness!$E$40,Element_Stiffness!Y67,0)),0)),0)+IF(Element_Stiffness!$C$76,IF(Element_Stiffness!$C$75=4,IF(1=Element_Stiffness!$C$75,Element_Stiffness!S96,IF(1=Element_Stiffness!$E$75,Element_Stiffness!Y96,0)),IF(Element_Stiffness!$E$75=4,IF(1=Element_Stiffness!$C$75,Element_Stiffness!S102,IF(1=Element_Stiffness!$E$75,Element_Stiffness!Y102,0)),0)),0)+IF(Element_Stiffness!$C$111,IF(Element_Stiffness!$C$110=4,IF(1=Element_Stiffness!$C$110,Element_Stiffness!S131,IF(1=Element_Stiffness!$E$110,Element_Stiffness!Y131,0)),IF(Element_Stiffness!$E$110=4,IF(1=Element_Stiffness!$C$110,Element_Stiffness!S137,IF(1=Element_Stiffness!$E$110,Element_Stiffness!Y137,0)),0)),0)+IF(Element_Stiffness!$C$146,IF(Element_Stiffness!$C$145=4,IF(1=Element_Stiffness!$C$145,Element_Stiffness!S166,IF(1=Element_Stiffness!$E$145,Element_Stiffness!Y166,0)),IF(Element_Stiffness!$E$145=4,IF(1=Element_Stiffness!$C$145,Element_Stiffness!S172,IF(1=Element_Stiffness!$E$145,Element_Stiffness!Y172,0)),0)),0)+IF(Element_Stiffness!$C$181,IF(Element_Stiffness!$C$180=4,IF(1=Element_Stiffness!$C$180,Element_Stiffness!S201,IF(1=Element_Stiffness!$E$180,Element_Stiffness!Y201,0)),IF(Element_Stiffness!$E$180=4,IF(1=Element_Stiffness!$C$180,Element_Stiffness!S207,IF(1=Element_Stiffness!$E$180,Element_Stiffness!Y207,0)),0)),0)+IF(Element_Stiffness!$C$216,IF(Element_Stiffness!$C$215=4,IF(1=Element_Stiffness!$C$215,Element_Stiffness!S236,IF(1=Element_Stiffness!$E$215,Element_Stiffness!Y236,0)),IF(Element_Stiffness!$E$215=4,IF(1=Element_Stiffness!$C$215,Element_Stiffness!S242,IF(1=Element_Stiffness!$E$215,Element_Stiffness!Y242,0)),0)),0)</f>
        <v/>
      </c>
      <c r="M29" s="21">
        <f>IF(Element_Stiffness!$C$6,IF(Element_Stiffness!$C$5=4,IF(1=Element_Stiffness!$C$5,Element_Stiffness!T26,IF(1=Element_Stiffness!$E$5,Element_Stiffness!Z26,0)),IF(Element_Stiffness!$E$5=4,IF(1=Element_Stiffness!$C$5,Element_Stiffness!T32,IF(1=Element_Stiffness!$E$5,Element_Stiffness!Z32,0)),0)),0)+IF(Element_Stiffness!$C$41,IF(Element_Stiffness!$C$40=4,IF(1=Element_Stiffness!$C$40,Element_Stiffness!T61,IF(1=Element_Stiffness!$E$40,Element_Stiffness!Z61,0)),IF(Element_Stiffness!$E$40=4,IF(1=Element_Stiffness!$C$40,Element_Stiffness!T67,IF(1=Element_Stiffness!$E$40,Element_Stiffness!Z67,0)),0)),0)+IF(Element_Stiffness!$C$76,IF(Element_Stiffness!$C$75=4,IF(1=Element_Stiffness!$C$75,Element_Stiffness!T96,IF(1=Element_Stiffness!$E$75,Element_Stiffness!Z96,0)),IF(Element_Stiffness!$E$75=4,IF(1=Element_Stiffness!$C$75,Element_Stiffness!T102,IF(1=Element_Stiffness!$E$75,Element_Stiffness!Z102,0)),0)),0)+IF(Element_Stiffness!$C$111,IF(Element_Stiffness!$C$110=4,IF(1=Element_Stiffness!$C$110,Element_Stiffness!T131,IF(1=Element_Stiffness!$E$110,Element_Stiffness!Z131,0)),IF(Element_Stiffness!$E$110=4,IF(1=Element_Stiffness!$C$110,Element_Stiffness!T137,IF(1=Element_Stiffness!$E$110,Element_Stiffness!Z137,0)),0)),0)+IF(Element_Stiffness!$C$146,IF(Element_Stiffness!$C$145=4,IF(1=Element_Stiffness!$C$145,Element_Stiffness!T166,IF(1=Element_Stiffness!$E$145,Element_Stiffness!Z166,0)),IF(Element_Stiffness!$E$145=4,IF(1=Element_Stiffness!$C$145,Element_Stiffness!T172,IF(1=Element_Stiffness!$E$145,Element_Stiffness!Z172,0)),0)),0)+IF(Element_Stiffness!$C$181,IF(Element_Stiffness!$C$180=4,IF(1=Element_Stiffness!$C$180,Element_Stiffness!T201,IF(1=Element_Stiffness!$E$180,Element_Stiffness!Z201,0)),IF(Element_Stiffness!$E$180=4,IF(1=Element_Stiffness!$C$180,Element_Stiffness!T207,IF(1=Element_Stiffness!$E$180,Element_Stiffness!Z207,0)),0)),0)+IF(Element_Stiffness!$C$216,IF(Element_Stiffness!$C$215=4,IF(1=Element_Stiffness!$C$215,Element_Stiffness!T236,IF(1=Element_Stiffness!$E$215,Element_Stiffness!Z236,0)),IF(Element_Stiffness!$E$215=4,IF(1=Element_Stiffness!$C$215,Element_Stiffness!T242,IF(1=Element_Stiffness!$E$215,Element_Stiffness!Z242,0)),0)),0)</f>
        <v/>
      </c>
      <c r="N29" s="21">
        <f>IF(Element_Stiffness!$C$6,IF(Element_Stiffness!$C$5=4,IF(1=Element_Stiffness!$C$5,Element_Stiffness!U26,IF(1=Element_Stiffness!$E$5,Element_Stiffness!AA26,0)),IF(Element_Stiffness!$E$5=4,IF(1=Element_Stiffness!$C$5,Element_Stiffness!U32,IF(1=Element_Stiffness!$E$5,Element_Stiffness!AA32,0)),0)),0)+IF(Element_Stiffness!$C$41,IF(Element_Stiffness!$C$40=4,IF(1=Element_Stiffness!$C$40,Element_Stiffness!U61,IF(1=Element_Stiffness!$E$40,Element_Stiffness!AA61,0)),IF(Element_Stiffness!$E$40=4,IF(1=Element_Stiffness!$C$40,Element_Stiffness!U67,IF(1=Element_Stiffness!$E$40,Element_Stiffness!AA67,0)),0)),0)+IF(Element_Stiffness!$C$76,IF(Element_Stiffness!$C$75=4,IF(1=Element_Stiffness!$C$75,Element_Stiffness!U96,IF(1=Element_Stiffness!$E$75,Element_Stiffness!AA96,0)),IF(Element_Stiffness!$E$75=4,IF(1=Element_Stiffness!$C$75,Element_Stiffness!U102,IF(1=Element_Stiffness!$E$75,Element_Stiffness!AA102,0)),0)),0)+IF(Element_Stiffness!$C$111,IF(Element_Stiffness!$C$110=4,IF(1=Element_Stiffness!$C$110,Element_Stiffness!U131,IF(1=Element_Stiffness!$E$110,Element_Stiffness!AA131,0)),IF(Element_Stiffness!$E$110=4,IF(1=Element_Stiffness!$C$110,Element_Stiffness!U137,IF(1=Element_Stiffness!$E$110,Element_Stiffness!AA137,0)),0)),0)+IF(Element_Stiffness!$C$146,IF(Element_Stiffness!$C$145=4,IF(1=Element_Stiffness!$C$145,Element_Stiffness!U166,IF(1=Element_Stiffness!$E$145,Element_Stiffness!AA166,0)),IF(Element_Stiffness!$E$145=4,IF(1=Element_Stiffness!$C$145,Element_Stiffness!U172,IF(1=Element_Stiffness!$E$145,Element_Stiffness!AA172,0)),0)),0)+IF(Element_Stiffness!$C$181,IF(Element_Stiffness!$C$180=4,IF(1=Element_Stiffness!$C$180,Element_Stiffness!U201,IF(1=Element_Stiffness!$E$180,Element_Stiffness!AA201,0)),IF(Element_Stiffness!$E$180=4,IF(1=Element_Stiffness!$C$180,Element_Stiffness!U207,IF(1=Element_Stiffness!$E$180,Element_Stiffness!AA207,0)),0)),0)+IF(Element_Stiffness!$C$216,IF(Element_Stiffness!$C$215=4,IF(1=Element_Stiffness!$C$215,Element_Stiffness!U236,IF(1=Element_Stiffness!$E$215,Element_Stiffness!AA236,0)),IF(Element_Stiffness!$E$215=4,IF(1=Element_Stiffness!$C$215,Element_Stiffness!U242,IF(1=Element_Stiffness!$E$215,Element_Stiffness!AA242,0)),0)),0)</f>
        <v/>
      </c>
      <c r="O29" s="21">
        <f>IF(Element_Stiffness!$C$6,IF(Element_Stiffness!$C$5=4,IF(2=Element_Stiffness!$C$5,Element_Stiffness!P26,IF(2=Element_Stiffness!$E$5,Element_Stiffness!V26,0)),IF(Element_Stiffness!$E$5=4,IF(2=Element_Stiffness!$C$5,Element_Stiffness!P32,IF(2=Element_Stiffness!$E$5,Element_Stiffness!V32,0)),0)),0)+IF(Element_Stiffness!$C$41,IF(Element_Stiffness!$C$40=4,IF(2=Element_Stiffness!$C$40,Element_Stiffness!P61,IF(2=Element_Stiffness!$E$40,Element_Stiffness!V61,0)),IF(Element_Stiffness!$E$40=4,IF(2=Element_Stiffness!$C$40,Element_Stiffness!P67,IF(2=Element_Stiffness!$E$40,Element_Stiffness!V67,0)),0)),0)+IF(Element_Stiffness!$C$76,IF(Element_Stiffness!$C$75=4,IF(2=Element_Stiffness!$C$75,Element_Stiffness!P96,IF(2=Element_Stiffness!$E$75,Element_Stiffness!V96,0)),IF(Element_Stiffness!$E$75=4,IF(2=Element_Stiffness!$C$75,Element_Stiffness!P102,IF(2=Element_Stiffness!$E$75,Element_Stiffness!V102,0)),0)),0)+IF(Element_Stiffness!$C$111,IF(Element_Stiffness!$C$110=4,IF(2=Element_Stiffness!$C$110,Element_Stiffness!P131,IF(2=Element_Stiffness!$E$110,Element_Stiffness!V131,0)),IF(Element_Stiffness!$E$110=4,IF(2=Element_Stiffness!$C$110,Element_Stiffness!P137,IF(2=Element_Stiffness!$E$110,Element_Stiffness!V137,0)),0)),0)+IF(Element_Stiffness!$C$146,IF(Element_Stiffness!$C$145=4,IF(2=Element_Stiffness!$C$145,Element_Stiffness!P166,IF(2=Element_Stiffness!$E$145,Element_Stiffness!V166,0)),IF(Element_Stiffness!$E$145=4,IF(2=Element_Stiffness!$C$145,Element_Stiffness!P172,IF(2=Element_Stiffness!$E$145,Element_Stiffness!V172,0)),0)),0)+IF(Element_Stiffness!$C$181,IF(Element_Stiffness!$C$180=4,IF(2=Element_Stiffness!$C$180,Element_Stiffness!P201,IF(2=Element_Stiffness!$E$180,Element_Stiffness!V201,0)),IF(Element_Stiffness!$E$180=4,IF(2=Element_Stiffness!$C$180,Element_Stiffness!P207,IF(2=Element_Stiffness!$E$180,Element_Stiffness!V207,0)),0)),0)+IF(Element_Stiffness!$C$216,IF(Element_Stiffness!$C$215=4,IF(2=Element_Stiffness!$C$215,Element_Stiffness!P236,IF(2=Element_Stiffness!$E$215,Element_Stiffness!V236,0)),IF(Element_Stiffness!$E$215=4,IF(2=Element_Stiffness!$C$215,Element_Stiffness!P242,IF(2=Element_Stiffness!$E$215,Element_Stiffness!V242,0)),0)),0)</f>
        <v/>
      </c>
      <c r="P29" s="21">
        <f>IF(Element_Stiffness!$C$6,IF(Element_Stiffness!$C$5=4,IF(2=Element_Stiffness!$C$5,Element_Stiffness!Q26,IF(2=Element_Stiffness!$E$5,Element_Stiffness!W26,0)),IF(Element_Stiffness!$E$5=4,IF(2=Element_Stiffness!$C$5,Element_Stiffness!Q32,IF(2=Element_Stiffness!$E$5,Element_Stiffness!W32,0)),0)),0)+IF(Element_Stiffness!$C$41,IF(Element_Stiffness!$C$40=4,IF(2=Element_Stiffness!$C$40,Element_Stiffness!Q61,IF(2=Element_Stiffness!$E$40,Element_Stiffness!W61,0)),IF(Element_Stiffness!$E$40=4,IF(2=Element_Stiffness!$C$40,Element_Stiffness!Q67,IF(2=Element_Stiffness!$E$40,Element_Stiffness!W67,0)),0)),0)+IF(Element_Stiffness!$C$76,IF(Element_Stiffness!$C$75=4,IF(2=Element_Stiffness!$C$75,Element_Stiffness!Q96,IF(2=Element_Stiffness!$E$75,Element_Stiffness!W96,0)),IF(Element_Stiffness!$E$75=4,IF(2=Element_Stiffness!$C$75,Element_Stiffness!Q102,IF(2=Element_Stiffness!$E$75,Element_Stiffness!W102,0)),0)),0)+IF(Element_Stiffness!$C$111,IF(Element_Stiffness!$C$110=4,IF(2=Element_Stiffness!$C$110,Element_Stiffness!Q131,IF(2=Element_Stiffness!$E$110,Element_Stiffness!W131,0)),IF(Element_Stiffness!$E$110=4,IF(2=Element_Stiffness!$C$110,Element_Stiffness!Q137,IF(2=Element_Stiffness!$E$110,Element_Stiffness!W137,0)),0)),0)+IF(Element_Stiffness!$C$146,IF(Element_Stiffness!$C$145=4,IF(2=Element_Stiffness!$C$145,Element_Stiffness!Q166,IF(2=Element_Stiffness!$E$145,Element_Stiffness!W166,0)),IF(Element_Stiffness!$E$145=4,IF(2=Element_Stiffness!$C$145,Element_Stiffness!Q172,IF(2=Element_Stiffness!$E$145,Element_Stiffness!W172,0)),0)),0)+IF(Element_Stiffness!$C$181,IF(Element_Stiffness!$C$180=4,IF(2=Element_Stiffness!$C$180,Element_Stiffness!Q201,IF(2=Element_Stiffness!$E$180,Element_Stiffness!W201,0)),IF(Element_Stiffness!$E$180=4,IF(2=Element_Stiffness!$C$180,Element_Stiffness!Q207,IF(2=Element_Stiffness!$E$180,Element_Stiffness!W207,0)),0)),0)+IF(Element_Stiffness!$C$216,IF(Element_Stiffness!$C$215=4,IF(2=Element_Stiffness!$C$215,Element_Stiffness!Q236,IF(2=Element_Stiffness!$E$215,Element_Stiffness!W236,0)),IF(Element_Stiffness!$E$215=4,IF(2=Element_Stiffness!$C$215,Element_Stiffness!Q242,IF(2=Element_Stiffness!$E$215,Element_Stiffness!W242,0)),0)),0)</f>
        <v/>
      </c>
      <c r="Q29" s="21">
        <f>IF(Element_Stiffness!$C$6,IF(Element_Stiffness!$C$5=4,IF(2=Element_Stiffness!$C$5,Element_Stiffness!R26,IF(2=Element_Stiffness!$E$5,Element_Stiffness!X26,0)),IF(Element_Stiffness!$E$5=4,IF(2=Element_Stiffness!$C$5,Element_Stiffness!R32,IF(2=Element_Stiffness!$E$5,Element_Stiffness!X32,0)),0)),0)+IF(Element_Stiffness!$C$41,IF(Element_Stiffness!$C$40=4,IF(2=Element_Stiffness!$C$40,Element_Stiffness!R61,IF(2=Element_Stiffness!$E$40,Element_Stiffness!X61,0)),IF(Element_Stiffness!$E$40=4,IF(2=Element_Stiffness!$C$40,Element_Stiffness!R67,IF(2=Element_Stiffness!$E$40,Element_Stiffness!X67,0)),0)),0)+IF(Element_Stiffness!$C$76,IF(Element_Stiffness!$C$75=4,IF(2=Element_Stiffness!$C$75,Element_Stiffness!R96,IF(2=Element_Stiffness!$E$75,Element_Stiffness!X96,0)),IF(Element_Stiffness!$E$75=4,IF(2=Element_Stiffness!$C$75,Element_Stiffness!R102,IF(2=Element_Stiffness!$E$75,Element_Stiffness!X102,0)),0)),0)+IF(Element_Stiffness!$C$111,IF(Element_Stiffness!$C$110=4,IF(2=Element_Stiffness!$C$110,Element_Stiffness!R131,IF(2=Element_Stiffness!$E$110,Element_Stiffness!X131,0)),IF(Element_Stiffness!$E$110=4,IF(2=Element_Stiffness!$C$110,Element_Stiffness!R137,IF(2=Element_Stiffness!$E$110,Element_Stiffness!X137,0)),0)),0)+IF(Element_Stiffness!$C$146,IF(Element_Stiffness!$C$145=4,IF(2=Element_Stiffness!$C$145,Element_Stiffness!R166,IF(2=Element_Stiffness!$E$145,Element_Stiffness!X166,0)),IF(Element_Stiffness!$E$145=4,IF(2=Element_Stiffness!$C$145,Element_Stiffness!R172,IF(2=Element_Stiffness!$E$145,Element_Stiffness!X172,0)),0)),0)+IF(Element_Stiffness!$C$181,IF(Element_Stiffness!$C$180=4,IF(2=Element_Stiffness!$C$180,Element_Stiffness!R201,IF(2=Element_Stiffness!$E$180,Element_Stiffness!X201,0)),IF(Element_Stiffness!$E$180=4,IF(2=Element_Stiffness!$C$180,Element_Stiffness!R207,IF(2=Element_Stiffness!$E$180,Element_Stiffness!X207,0)),0)),0)+IF(Element_Stiffness!$C$216,IF(Element_Stiffness!$C$215=4,IF(2=Element_Stiffness!$C$215,Element_Stiffness!R236,IF(2=Element_Stiffness!$E$215,Element_Stiffness!X236,0)),IF(Element_Stiffness!$E$215=4,IF(2=Element_Stiffness!$C$215,Element_Stiffness!R242,IF(2=Element_Stiffness!$E$215,Element_Stiffness!X242,0)),0)),0)</f>
        <v/>
      </c>
      <c r="R29" s="21">
        <f>IF(Element_Stiffness!$C$6,IF(Element_Stiffness!$C$5=4,IF(2=Element_Stiffness!$C$5,Element_Stiffness!S26,IF(2=Element_Stiffness!$E$5,Element_Stiffness!Y26,0)),IF(Element_Stiffness!$E$5=4,IF(2=Element_Stiffness!$C$5,Element_Stiffness!S32,IF(2=Element_Stiffness!$E$5,Element_Stiffness!Y32,0)),0)),0)+IF(Element_Stiffness!$C$41,IF(Element_Stiffness!$C$40=4,IF(2=Element_Stiffness!$C$40,Element_Stiffness!S61,IF(2=Element_Stiffness!$E$40,Element_Stiffness!Y61,0)),IF(Element_Stiffness!$E$40=4,IF(2=Element_Stiffness!$C$40,Element_Stiffness!S67,IF(2=Element_Stiffness!$E$40,Element_Stiffness!Y67,0)),0)),0)+IF(Element_Stiffness!$C$76,IF(Element_Stiffness!$C$75=4,IF(2=Element_Stiffness!$C$75,Element_Stiffness!S96,IF(2=Element_Stiffness!$E$75,Element_Stiffness!Y96,0)),IF(Element_Stiffness!$E$75=4,IF(2=Element_Stiffness!$C$75,Element_Stiffness!S102,IF(2=Element_Stiffness!$E$75,Element_Stiffness!Y102,0)),0)),0)+IF(Element_Stiffness!$C$111,IF(Element_Stiffness!$C$110=4,IF(2=Element_Stiffness!$C$110,Element_Stiffness!S131,IF(2=Element_Stiffness!$E$110,Element_Stiffness!Y131,0)),IF(Element_Stiffness!$E$110=4,IF(2=Element_Stiffness!$C$110,Element_Stiffness!S137,IF(2=Element_Stiffness!$E$110,Element_Stiffness!Y137,0)),0)),0)+IF(Element_Stiffness!$C$146,IF(Element_Stiffness!$C$145=4,IF(2=Element_Stiffness!$C$145,Element_Stiffness!S166,IF(2=Element_Stiffness!$E$145,Element_Stiffness!Y166,0)),IF(Element_Stiffness!$E$145=4,IF(2=Element_Stiffness!$C$145,Element_Stiffness!S172,IF(2=Element_Stiffness!$E$145,Element_Stiffness!Y172,0)),0)),0)+IF(Element_Stiffness!$C$181,IF(Element_Stiffness!$C$180=4,IF(2=Element_Stiffness!$C$180,Element_Stiffness!S201,IF(2=Element_Stiffness!$E$180,Element_Stiffness!Y201,0)),IF(Element_Stiffness!$E$180=4,IF(2=Element_Stiffness!$C$180,Element_Stiffness!S207,IF(2=Element_Stiffness!$E$180,Element_Stiffness!Y207,0)),0)),0)+IF(Element_Stiffness!$C$216,IF(Element_Stiffness!$C$215=4,IF(2=Element_Stiffness!$C$215,Element_Stiffness!S236,IF(2=Element_Stiffness!$E$215,Element_Stiffness!Y236,0)),IF(Element_Stiffness!$E$215=4,IF(2=Element_Stiffness!$C$215,Element_Stiffness!S242,IF(2=Element_Stiffness!$E$215,Element_Stiffness!Y242,0)),0)),0)</f>
        <v/>
      </c>
      <c r="S29" s="21">
        <f>IF(Element_Stiffness!$C$6,IF(Element_Stiffness!$C$5=4,IF(2=Element_Stiffness!$C$5,Element_Stiffness!T26,IF(2=Element_Stiffness!$E$5,Element_Stiffness!Z26,0)),IF(Element_Stiffness!$E$5=4,IF(2=Element_Stiffness!$C$5,Element_Stiffness!T32,IF(2=Element_Stiffness!$E$5,Element_Stiffness!Z32,0)),0)),0)+IF(Element_Stiffness!$C$41,IF(Element_Stiffness!$C$40=4,IF(2=Element_Stiffness!$C$40,Element_Stiffness!T61,IF(2=Element_Stiffness!$E$40,Element_Stiffness!Z61,0)),IF(Element_Stiffness!$E$40=4,IF(2=Element_Stiffness!$C$40,Element_Stiffness!T67,IF(2=Element_Stiffness!$E$40,Element_Stiffness!Z67,0)),0)),0)+IF(Element_Stiffness!$C$76,IF(Element_Stiffness!$C$75=4,IF(2=Element_Stiffness!$C$75,Element_Stiffness!T96,IF(2=Element_Stiffness!$E$75,Element_Stiffness!Z96,0)),IF(Element_Stiffness!$E$75=4,IF(2=Element_Stiffness!$C$75,Element_Stiffness!T102,IF(2=Element_Stiffness!$E$75,Element_Stiffness!Z102,0)),0)),0)+IF(Element_Stiffness!$C$111,IF(Element_Stiffness!$C$110=4,IF(2=Element_Stiffness!$C$110,Element_Stiffness!T131,IF(2=Element_Stiffness!$E$110,Element_Stiffness!Z131,0)),IF(Element_Stiffness!$E$110=4,IF(2=Element_Stiffness!$C$110,Element_Stiffness!T137,IF(2=Element_Stiffness!$E$110,Element_Stiffness!Z137,0)),0)),0)+IF(Element_Stiffness!$C$146,IF(Element_Stiffness!$C$145=4,IF(2=Element_Stiffness!$C$145,Element_Stiffness!T166,IF(2=Element_Stiffness!$E$145,Element_Stiffness!Z166,0)),IF(Element_Stiffness!$E$145=4,IF(2=Element_Stiffness!$C$145,Element_Stiffness!T172,IF(2=Element_Stiffness!$E$145,Element_Stiffness!Z172,0)),0)),0)+IF(Element_Stiffness!$C$181,IF(Element_Stiffness!$C$180=4,IF(2=Element_Stiffness!$C$180,Element_Stiffness!T201,IF(2=Element_Stiffness!$E$180,Element_Stiffness!Z201,0)),IF(Element_Stiffness!$E$180=4,IF(2=Element_Stiffness!$C$180,Element_Stiffness!T207,IF(2=Element_Stiffness!$E$180,Element_Stiffness!Z207,0)),0)),0)+IF(Element_Stiffness!$C$216,IF(Element_Stiffness!$C$215=4,IF(2=Element_Stiffness!$C$215,Element_Stiffness!T236,IF(2=Element_Stiffness!$E$215,Element_Stiffness!Z236,0)),IF(Element_Stiffness!$E$215=4,IF(2=Element_Stiffness!$C$215,Element_Stiffness!T242,IF(2=Element_Stiffness!$E$215,Element_Stiffness!Z242,0)),0)),0)</f>
        <v/>
      </c>
      <c r="T29" s="21">
        <f>IF(Element_Stiffness!$C$6,IF(Element_Stiffness!$C$5=4,IF(2=Element_Stiffness!$C$5,Element_Stiffness!U26,IF(2=Element_Stiffness!$E$5,Element_Stiffness!AA26,0)),IF(Element_Stiffness!$E$5=4,IF(2=Element_Stiffness!$C$5,Element_Stiffness!U32,IF(2=Element_Stiffness!$E$5,Element_Stiffness!AA32,0)),0)),0)+IF(Element_Stiffness!$C$41,IF(Element_Stiffness!$C$40=4,IF(2=Element_Stiffness!$C$40,Element_Stiffness!U61,IF(2=Element_Stiffness!$E$40,Element_Stiffness!AA61,0)),IF(Element_Stiffness!$E$40=4,IF(2=Element_Stiffness!$C$40,Element_Stiffness!U67,IF(2=Element_Stiffness!$E$40,Element_Stiffness!AA67,0)),0)),0)+IF(Element_Stiffness!$C$76,IF(Element_Stiffness!$C$75=4,IF(2=Element_Stiffness!$C$75,Element_Stiffness!U96,IF(2=Element_Stiffness!$E$75,Element_Stiffness!AA96,0)),IF(Element_Stiffness!$E$75=4,IF(2=Element_Stiffness!$C$75,Element_Stiffness!U102,IF(2=Element_Stiffness!$E$75,Element_Stiffness!AA102,0)),0)),0)+IF(Element_Stiffness!$C$111,IF(Element_Stiffness!$C$110=4,IF(2=Element_Stiffness!$C$110,Element_Stiffness!U131,IF(2=Element_Stiffness!$E$110,Element_Stiffness!AA131,0)),IF(Element_Stiffness!$E$110=4,IF(2=Element_Stiffness!$C$110,Element_Stiffness!U137,IF(2=Element_Stiffness!$E$110,Element_Stiffness!AA137,0)),0)),0)+IF(Element_Stiffness!$C$146,IF(Element_Stiffness!$C$145=4,IF(2=Element_Stiffness!$C$145,Element_Stiffness!U166,IF(2=Element_Stiffness!$E$145,Element_Stiffness!AA166,0)),IF(Element_Stiffness!$E$145=4,IF(2=Element_Stiffness!$C$145,Element_Stiffness!U172,IF(2=Element_Stiffness!$E$145,Element_Stiffness!AA172,0)),0)),0)+IF(Element_Stiffness!$C$181,IF(Element_Stiffness!$C$180=4,IF(2=Element_Stiffness!$C$180,Element_Stiffness!U201,IF(2=Element_Stiffness!$E$180,Element_Stiffness!AA201,0)),IF(Element_Stiffness!$E$180=4,IF(2=Element_Stiffness!$C$180,Element_Stiffness!U207,IF(2=Element_Stiffness!$E$180,Element_Stiffness!AA207,0)),0)),0)+IF(Element_Stiffness!$C$216,IF(Element_Stiffness!$C$215=4,IF(2=Element_Stiffness!$C$215,Element_Stiffness!U236,IF(2=Element_Stiffness!$E$215,Element_Stiffness!AA236,0)),IF(Element_Stiffness!$E$215=4,IF(2=Element_Stiffness!$C$215,Element_Stiffness!U242,IF(2=Element_Stiffness!$E$215,Element_Stiffness!AA242,0)),0)),0)</f>
        <v/>
      </c>
      <c r="U29" s="21">
        <f>IF(Element_Stiffness!$C$6,IF(Element_Stiffness!$C$5=4,IF(3=Element_Stiffness!$C$5,Element_Stiffness!P26,IF(3=Element_Stiffness!$E$5,Element_Stiffness!V26,0)),IF(Element_Stiffness!$E$5=4,IF(3=Element_Stiffness!$C$5,Element_Stiffness!P32,IF(3=Element_Stiffness!$E$5,Element_Stiffness!V32,0)),0)),0)+IF(Element_Stiffness!$C$41,IF(Element_Stiffness!$C$40=4,IF(3=Element_Stiffness!$C$40,Element_Stiffness!P61,IF(3=Element_Stiffness!$E$40,Element_Stiffness!V61,0)),IF(Element_Stiffness!$E$40=4,IF(3=Element_Stiffness!$C$40,Element_Stiffness!P67,IF(3=Element_Stiffness!$E$40,Element_Stiffness!V67,0)),0)),0)+IF(Element_Stiffness!$C$76,IF(Element_Stiffness!$C$75=4,IF(3=Element_Stiffness!$C$75,Element_Stiffness!P96,IF(3=Element_Stiffness!$E$75,Element_Stiffness!V96,0)),IF(Element_Stiffness!$E$75=4,IF(3=Element_Stiffness!$C$75,Element_Stiffness!P102,IF(3=Element_Stiffness!$E$75,Element_Stiffness!V102,0)),0)),0)+IF(Element_Stiffness!$C$111,IF(Element_Stiffness!$C$110=4,IF(3=Element_Stiffness!$C$110,Element_Stiffness!P131,IF(3=Element_Stiffness!$E$110,Element_Stiffness!V131,0)),IF(Element_Stiffness!$E$110=4,IF(3=Element_Stiffness!$C$110,Element_Stiffness!P137,IF(3=Element_Stiffness!$E$110,Element_Stiffness!V137,0)),0)),0)+IF(Element_Stiffness!$C$146,IF(Element_Stiffness!$C$145=4,IF(3=Element_Stiffness!$C$145,Element_Stiffness!P166,IF(3=Element_Stiffness!$E$145,Element_Stiffness!V166,0)),IF(Element_Stiffness!$E$145=4,IF(3=Element_Stiffness!$C$145,Element_Stiffness!P172,IF(3=Element_Stiffness!$E$145,Element_Stiffness!V172,0)),0)),0)+IF(Element_Stiffness!$C$181,IF(Element_Stiffness!$C$180=4,IF(3=Element_Stiffness!$C$180,Element_Stiffness!P201,IF(3=Element_Stiffness!$E$180,Element_Stiffness!V201,0)),IF(Element_Stiffness!$E$180=4,IF(3=Element_Stiffness!$C$180,Element_Stiffness!P207,IF(3=Element_Stiffness!$E$180,Element_Stiffness!V207,0)),0)),0)+IF(Element_Stiffness!$C$216,IF(Element_Stiffness!$C$215=4,IF(3=Element_Stiffness!$C$215,Element_Stiffness!P236,IF(3=Element_Stiffness!$E$215,Element_Stiffness!V236,0)),IF(Element_Stiffness!$E$215=4,IF(3=Element_Stiffness!$C$215,Element_Stiffness!P242,IF(3=Element_Stiffness!$E$215,Element_Stiffness!V242,0)),0)),0)</f>
        <v/>
      </c>
      <c r="V29" s="21">
        <f>IF(Element_Stiffness!$C$6,IF(Element_Stiffness!$C$5=4,IF(3=Element_Stiffness!$C$5,Element_Stiffness!Q26,IF(3=Element_Stiffness!$E$5,Element_Stiffness!W26,0)),IF(Element_Stiffness!$E$5=4,IF(3=Element_Stiffness!$C$5,Element_Stiffness!Q32,IF(3=Element_Stiffness!$E$5,Element_Stiffness!W32,0)),0)),0)+IF(Element_Stiffness!$C$41,IF(Element_Stiffness!$C$40=4,IF(3=Element_Stiffness!$C$40,Element_Stiffness!Q61,IF(3=Element_Stiffness!$E$40,Element_Stiffness!W61,0)),IF(Element_Stiffness!$E$40=4,IF(3=Element_Stiffness!$C$40,Element_Stiffness!Q67,IF(3=Element_Stiffness!$E$40,Element_Stiffness!W67,0)),0)),0)+IF(Element_Stiffness!$C$76,IF(Element_Stiffness!$C$75=4,IF(3=Element_Stiffness!$C$75,Element_Stiffness!Q96,IF(3=Element_Stiffness!$E$75,Element_Stiffness!W96,0)),IF(Element_Stiffness!$E$75=4,IF(3=Element_Stiffness!$C$75,Element_Stiffness!Q102,IF(3=Element_Stiffness!$E$75,Element_Stiffness!W102,0)),0)),0)+IF(Element_Stiffness!$C$111,IF(Element_Stiffness!$C$110=4,IF(3=Element_Stiffness!$C$110,Element_Stiffness!Q131,IF(3=Element_Stiffness!$E$110,Element_Stiffness!W131,0)),IF(Element_Stiffness!$E$110=4,IF(3=Element_Stiffness!$C$110,Element_Stiffness!Q137,IF(3=Element_Stiffness!$E$110,Element_Stiffness!W137,0)),0)),0)+IF(Element_Stiffness!$C$146,IF(Element_Stiffness!$C$145=4,IF(3=Element_Stiffness!$C$145,Element_Stiffness!Q166,IF(3=Element_Stiffness!$E$145,Element_Stiffness!W166,0)),IF(Element_Stiffness!$E$145=4,IF(3=Element_Stiffness!$C$145,Element_Stiffness!Q172,IF(3=Element_Stiffness!$E$145,Element_Stiffness!W172,0)),0)),0)+IF(Element_Stiffness!$C$181,IF(Element_Stiffness!$C$180=4,IF(3=Element_Stiffness!$C$180,Element_Stiffness!Q201,IF(3=Element_Stiffness!$E$180,Element_Stiffness!W201,0)),IF(Element_Stiffness!$E$180=4,IF(3=Element_Stiffness!$C$180,Element_Stiffness!Q207,IF(3=Element_Stiffness!$E$180,Element_Stiffness!W207,0)),0)),0)+IF(Element_Stiffness!$C$216,IF(Element_Stiffness!$C$215=4,IF(3=Element_Stiffness!$C$215,Element_Stiffness!Q236,IF(3=Element_Stiffness!$E$215,Element_Stiffness!W236,0)),IF(Element_Stiffness!$E$215=4,IF(3=Element_Stiffness!$C$215,Element_Stiffness!Q242,IF(3=Element_Stiffness!$E$215,Element_Stiffness!W242,0)),0)),0)</f>
        <v/>
      </c>
      <c r="W29" s="21">
        <f>IF(Element_Stiffness!$C$6,IF(Element_Stiffness!$C$5=4,IF(3=Element_Stiffness!$C$5,Element_Stiffness!R26,IF(3=Element_Stiffness!$E$5,Element_Stiffness!X26,0)),IF(Element_Stiffness!$E$5=4,IF(3=Element_Stiffness!$C$5,Element_Stiffness!R32,IF(3=Element_Stiffness!$E$5,Element_Stiffness!X32,0)),0)),0)+IF(Element_Stiffness!$C$41,IF(Element_Stiffness!$C$40=4,IF(3=Element_Stiffness!$C$40,Element_Stiffness!R61,IF(3=Element_Stiffness!$E$40,Element_Stiffness!X61,0)),IF(Element_Stiffness!$E$40=4,IF(3=Element_Stiffness!$C$40,Element_Stiffness!R67,IF(3=Element_Stiffness!$E$40,Element_Stiffness!X67,0)),0)),0)+IF(Element_Stiffness!$C$76,IF(Element_Stiffness!$C$75=4,IF(3=Element_Stiffness!$C$75,Element_Stiffness!R96,IF(3=Element_Stiffness!$E$75,Element_Stiffness!X96,0)),IF(Element_Stiffness!$E$75=4,IF(3=Element_Stiffness!$C$75,Element_Stiffness!R102,IF(3=Element_Stiffness!$E$75,Element_Stiffness!X102,0)),0)),0)+IF(Element_Stiffness!$C$111,IF(Element_Stiffness!$C$110=4,IF(3=Element_Stiffness!$C$110,Element_Stiffness!R131,IF(3=Element_Stiffness!$E$110,Element_Stiffness!X131,0)),IF(Element_Stiffness!$E$110=4,IF(3=Element_Stiffness!$C$110,Element_Stiffness!R137,IF(3=Element_Stiffness!$E$110,Element_Stiffness!X137,0)),0)),0)+IF(Element_Stiffness!$C$146,IF(Element_Stiffness!$C$145=4,IF(3=Element_Stiffness!$C$145,Element_Stiffness!R166,IF(3=Element_Stiffness!$E$145,Element_Stiffness!X166,0)),IF(Element_Stiffness!$E$145=4,IF(3=Element_Stiffness!$C$145,Element_Stiffness!R172,IF(3=Element_Stiffness!$E$145,Element_Stiffness!X172,0)),0)),0)+IF(Element_Stiffness!$C$181,IF(Element_Stiffness!$C$180=4,IF(3=Element_Stiffness!$C$180,Element_Stiffness!R201,IF(3=Element_Stiffness!$E$180,Element_Stiffness!X201,0)),IF(Element_Stiffness!$E$180=4,IF(3=Element_Stiffness!$C$180,Element_Stiffness!R207,IF(3=Element_Stiffness!$E$180,Element_Stiffness!X207,0)),0)),0)+IF(Element_Stiffness!$C$216,IF(Element_Stiffness!$C$215=4,IF(3=Element_Stiffness!$C$215,Element_Stiffness!R236,IF(3=Element_Stiffness!$E$215,Element_Stiffness!X236,0)),IF(Element_Stiffness!$E$215=4,IF(3=Element_Stiffness!$C$215,Element_Stiffness!R242,IF(3=Element_Stiffness!$E$215,Element_Stiffness!X242,0)),0)),0)</f>
        <v/>
      </c>
      <c r="X29" s="21">
        <f>IF(Element_Stiffness!$C$6,IF(Element_Stiffness!$C$5=4,IF(3=Element_Stiffness!$C$5,Element_Stiffness!S26,IF(3=Element_Stiffness!$E$5,Element_Stiffness!Y26,0)),IF(Element_Stiffness!$E$5=4,IF(3=Element_Stiffness!$C$5,Element_Stiffness!S32,IF(3=Element_Stiffness!$E$5,Element_Stiffness!Y32,0)),0)),0)+IF(Element_Stiffness!$C$41,IF(Element_Stiffness!$C$40=4,IF(3=Element_Stiffness!$C$40,Element_Stiffness!S61,IF(3=Element_Stiffness!$E$40,Element_Stiffness!Y61,0)),IF(Element_Stiffness!$E$40=4,IF(3=Element_Stiffness!$C$40,Element_Stiffness!S67,IF(3=Element_Stiffness!$E$40,Element_Stiffness!Y67,0)),0)),0)+IF(Element_Stiffness!$C$76,IF(Element_Stiffness!$C$75=4,IF(3=Element_Stiffness!$C$75,Element_Stiffness!S96,IF(3=Element_Stiffness!$E$75,Element_Stiffness!Y96,0)),IF(Element_Stiffness!$E$75=4,IF(3=Element_Stiffness!$C$75,Element_Stiffness!S102,IF(3=Element_Stiffness!$E$75,Element_Stiffness!Y102,0)),0)),0)+IF(Element_Stiffness!$C$111,IF(Element_Stiffness!$C$110=4,IF(3=Element_Stiffness!$C$110,Element_Stiffness!S131,IF(3=Element_Stiffness!$E$110,Element_Stiffness!Y131,0)),IF(Element_Stiffness!$E$110=4,IF(3=Element_Stiffness!$C$110,Element_Stiffness!S137,IF(3=Element_Stiffness!$E$110,Element_Stiffness!Y137,0)),0)),0)+IF(Element_Stiffness!$C$146,IF(Element_Stiffness!$C$145=4,IF(3=Element_Stiffness!$C$145,Element_Stiffness!S166,IF(3=Element_Stiffness!$E$145,Element_Stiffness!Y166,0)),IF(Element_Stiffness!$E$145=4,IF(3=Element_Stiffness!$C$145,Element_Stiffness!S172,IF(3=Element_Stiffness!$E$145,Element_Stiffness!Y172,0)),0)),0)+IF(Element_Stiffness!$C$181,IF(Element_Stiffness!$C$180=4,IF(3=Element_Stiffness!$C$180,Element_Stiffness!S201,IF(3=Element_Stiffness!$E$180,Element_Stiffness!Y201,0)),IF(Element_Stiffness!$E$180=4,IF(3=Element_Stiffness!$C$180,Element_Stiffness!S207,IF(3=Element_Stiffness!$E$180,Element_Stiffness!Y207,0)),0)),0)+IF(Element_Stiffness!$C$216,IF(Element_Stiffness!$C$215=4,IF(3=Element_Stiffness!$C$215,Element_Stiffness!S236,IF(3=Element_Stiffness!$E$215,Element_Stiffness!Y236,0)),IF(Element_Stiffness!$E$215=4,IF(3=Element_Stiffness!$C$215,Element_Stiffness!S242,IF(3=Element_Stiffness!$E$215,Element_Stiffness!Y242,0)),0)),0)</f>
        <v/>
      </c>
      <c r="Y29" s="21">
        <f>IF(Element_Stiffness!$C$6,IF(Element_Stiffness!$C$5=4,IF(3=Element_Stiffness!$C$5,Element_Stiffness!T26,IF(3=Element_Stiffness!$E$5,Element_Stiffness!Z26,0)),IF(Element_Stiffness!$E$5=4,IF(3=Element_Stiffness!$C$5,Element_Stiffness!T32,IF(3=Element_Stiffness!$E$5,Element_Stiffness!Z32,0)),0)),0)+IF(Element_Stiffness!$C$41,IF(Element_Stiffness!$C$40=4,IF(3=Element_Stiffness!$C$40,Element_Stiffness!T61,IF(3=Element_Stiffness!$E$40,Element_Stiffness!Z61,0)),IF(Element_Stiffness!$E$40=4,IF(3=Element_Stiffness!$C$40,Element_Stiffness!T67,IF(3=Element_Stiffness!$E$40,Element_Stiffness!Z67,0)),0)),0)+IF(Element_Stiffness!$C$76,IF(Element_Stiffness!$C$75=4,IF(3=Element_Stiffness!$C$75,Element_Stiffness!T96,IF(3=Element_Stiffness!$E$75,Element_Stiffness!Z96,0)),IF(Element_Stiffness!$E$75=4,IF(3=Element_Stiffness!$C$75,Element_Stiffness!T102,IF(3=Element_Stiffness!$E$75,Element_Stiffness!Z102,0)),0)),0)+IF(Element_Stiffness!$C$111,IF(Element_Stiffness!$C$110=4,IF(3=Element_Stiffness!$C$110,Element_Stiffness!T131,IF(3=Element_Stiffness!$E$110,Element_Stiffness!Z131,0)),IF(Element_Stiffness!$E$110=4,IF(3=Element_Stiffness!$C$110,Element_Stiffness!T137,IF(3=Element_Stiffness!$E$110,Element_Stiffness!Z137,0)),0)),0)+IF(Element_Stiffness!$C$146,IF(Element_Stiffness!$C$145=4,IF(3=Element_Stiffness!$C$145,Element_Stiffness!T166,IF(3=Element_Stiffness!$E$145,Element_Stiffness!Z166,0)),IF(Element_Stiffness!$E$145=4,IF(3=Element_Stiffness!$C$145,Element_Stiffness!T172,IF(3=Element_Stiffness!$E$145,Element_Stiffness!Z172,0)),0)),0)+IF(Element_Stiffness!$C$181,IF(Element_Stiffness!$C$180=4,IF(3=Element_Stiffness!$C$180,Element_Stiffness!T201,IF(3=Element_Stiffness!$E$180,Element_Stiffness!Z201,0)),IF(Element_Stiffness!$E$180=4,IF(3=Element_Stiffness!$C$180,Element_Stiffness!T207,IF(3=Element_Stiffness!$E$180,Element_Stiffness!Z207,0)),0)),0)+IF(Element_Stiffness!$C$216,IF(Element_Stiffness!$C$215=4,IF(3=Element_Stiffness!$C$215,Element_Stiffness!T236,IF(3=Element_Stiffness!$E$215,Element_Stiffness!Z236,0)),IF(Element_Stiffness!$E$215=4,IF(3=Element_Stiffness!$C$215,Element_Stiffness!T242,IF(3=Element_Stiffness!$E$215,Element_Stiffness!Z242,0)),0)),0)</f>
        <v/>
      </c>
      <c r="Z29" s="21">
        <f>IF(Element_Stiffness!$C$6,IF(Element_Stiffness!$C$5=4,IF(3=Element_Stiffness!$C$5,Element_Stiffness!U26,IF(3=Element_Stiffness!$E$5,Element_Stiffness!AA26,0)),IF(Element_Stiffness!$E$5=4,IF(3=Element_Stiffness!$C$5,Element_Stiffness!U32,IF(3=Element_Stiffness!$E$5,Element_Stiffness!AA32,0)),0)),0)+IF(Element_Stiffness!$C$41,IF(Element_Stiffness!$C$40=4,IF(3=Element_Stiffness!$C$40,Element_Stiffness!U61,IF(3=Element_Stiffness!$E$40,Element_Stiffness!AA61,0)),IF(Element_Stiffness!$E$40=4,IF(3=Element_Stiffness!$C$40,Element_Stiffness!U67,IF(3=Element_Stiffness!$E$40,Element_Stiffness!AA67,0)),0)),0)+IF(Element_Stiffness!$C$76,IF(Element_Stiffness!$C$75=4,IF(3=Element_Stiffness!$C$75,Element_Stiffness!U96,IF(3=Element_Stiffness!$E$75,Element_Stiffness!AA96,0)),IF(Element_Stiffness!$E$75=4,IF(3=Element_Stiffness!$C$75,Element_Stiffness!U102,IF(3=Element_Stiffness!$E$75,Element_Stiffness!AA102,0)),0)),0)+IF(Element_Stiffness!$C$111,IF(Element_Stiffness!$C$110=4,IF(3=Element_Stiffness!$C$110,Element_Stiffness!U131,IF(3=Element_Stiffness!$E$110,Element_Stiffness!AA131,0)),IF(Element_Stiffness!$E$110=4,IF(3=Element_Stiffness!$C$110,Element_Stiffness!U137,IF(3=Element_Stiffness!$E$110,Element_Stiffness!AA137,0)),0)),0)+IF(Element_Stiffness!$C$146,IF(Element_Stiffness!$C$145=4,IF(3=Element_Stiffness!$C$145,Element_Stiffness!U166,IF(3=Element_Stiffness!$E$145,Element_Stiffness!AA166,0)),IF(Element_Stiffness!$E$145=4,IF(3=Element_Stiffness!$C$145,Element_Stiffness!U172,IF(3=Element_Stiffness!$E$145,Element_Stiffness!AA172,0)),0)),0)+IF(Element_Stiffness!$C$181,IF(Element_Stiffness!$C$180=4,IF(3=Element_Stiffness!$C$180,Element_Stiffness!U201,IF(3=Element_Stiffness!$E$180,Element_Stiffness!AA201,0)),IF(Element_Stiffness!$E$180=4,IF(3=Element_Stiffness!$C$180,Element_Stiffness!U207,IF(3=Element_Stiffness!$E$180,Element_Stiffness!AA207,0)),0)),0)+IF(Element_Stiffness!$C$216,IF(Element_Stiffness!$C$215=4,IF(3=Element_Stiffness!$C$215,Element_Stiffness!U236,IF(3=Element_Stiffness!$E$215,Element_Stiffness!AA236,0)),IF(Element_Stiffness!$E$215=4,IF(3=Element_Stiffness!$C$215,Element_Stiffness!U242,IF(3=Element_Stiffness!$E$215,Element_Stiffness!AA242,0)),0)),0)</f>
        <v/>
      </c>
      <c r="AA29" s="21">
        <f>IF(Element_Stiffness!$C$6,IF(Element_Stiffness!$C$5=4,IF(4=Element_Stiffness!$C$5,Element_Stiffness!P26,IF(4=Element_Stiffness!$E$5,Element_Stiffness!V26,0)),IF(Element_Stiffness!$E$5=4,IF(4=Element_Stiffness!$C$5,Element_Stiffness!P32,IF(4=Element_Stiffness!$E$5,Element_Stiffness!V32,0)),0)),0)+IF(Element_Stiffness!$C$41,IF(Element_Stiffness!$C$40=4,IF(4=Element_Stiffness!$C$40,Element_Stiffness!P61,IF(4=Element_Stiffness!$E$40,Element_Stiffness!V61,0)),IF(Element_Stiffness!$E$40=4,IF(4=Element_Stiffness!$C$40,Element_Stiffness!P67,IF(4=Element_Stiffness!$E$40,Element_Stiffness!V67,0)),0)),0)+IF(Element_Stiffness!$C$76,IF(Element_Stiffness!$C$75=4,IF(4=Element_Stiffness!$C$75,Element_Stiffness!P96,IF(4=Element_Stiffness!$E$75,Element_Stiffness!V96,0)),IF(Element_Stiffness!$E$75=4,IF(4=Element_Stiffness!$C$75,Element_Stiffness!P102,IF(4=Element_Stiffness!$E$75,Element_Stiffness!V102,0)),0)),0)+IF(Element_Stiffness!$C$111,IF(Element_Stiffness!$C$110=4,IF(4=Element_Stiffness!$C$110,Element_Stiffness!P131,IF(4=Element_Stiffness!$E$110,Element_Stiffness!V131,0)),IF(Element_Stiffness!$E$110=4,IF(4=Element_Stiffness!$C$110,Element_Stiffness!P137,IF(4=Element_Stiffness!$E$110,Element_Stiffness!V137,0)),0)),0)+IF(Element_Stiffness!$C$146,IF(Element_Stiffness!$C$145=4,IF(4=Element_Stiffness!$C$145,Element_Stiffness!P166,IF(4=Element_Stiffness!$E$145,Element_Stiffness!V166,0)),IF(Element_Stiffness!$E$145=4,IF(4=Element_Stiffness!$C$145,Element_Stiffness!P172,IF(4=Element_Stiffness!$E$145,Element_Stiffness!V172,0)),0)),0)+IF(Element_Stiffness!$C$181,IF(Element_Stiffness!$C$180=4,IF(4=Element_Stiffness!$C$180,Element_Stiffness!P201,IF(4=Element_Stiffness!$E$180,Element_Stiffness!V201,0)),IF(Element_Stiffness!$E$180=4,IF(4=Element_Stiffness!$C$180,Element_Stiffness!P207,IF(4=Element_Stiffness!$E$180,Element_Stiffness!V207,0)),0)),0)+IF(Element_Stiffness!$C$216,IF(Element_Stiffness!$C$215=4,IF(4=Element_Stiffness!$C$215,Element_Stiffness!P236,IF(4=Element_Stiffness!$E$215,Element_Stiffness!V236,0)),IF(Element_Stiffness!$E$215=4,IF(4=Element_Stiffness!$C$215,Element_Stiffness!P242,IF(4=Element_Stiffness!$E$215,Element_Stiffness!V242,0)),0)),0)+IF(Inputs!C44=TRUE,1E15,IF(ISNUMBER(Inputs!C44),Inputs!C44,0))</f>
        <v/>
      </c>
      <c r="AB29" s="21">
        <f>IF(Element_Stiffness!$C$6,IF(Element_Stiffness!$C$5=4,IF(4=Element_Stiffness!$C$5,Element_Stiffness!Q26,IF(4=Element_Stiffness!$E$5,Element_Stiffness!W26,0)),IF(Element_Stiffness!$E$5=4,IF(4=Element_Stiffness!$C$5,Element_Stiffness!Q32,IF(4=Element_Stiffness!$E$5,Element_Stiffness!W32,0)),0)),0)+IF(Element_Stiffness!$C$41,IF(Element_Stiffness!$C$40=4,IF(4=Element_Stiffness!$C$40,Element_Stiffness!Q61,IF(4=Element_Stiffness!$E$40,Element_Stiffness!W61,0)),IF(Element_Stiffness!$E$40=4,IF(4=Element_Stiffness!$C$40,Element_Stiffness!Q67,IF(4=Element_Stiffness!$E$40,Element_Stiffness!W67,0)),0)),0)+IF(Element_Stiffness!$C$76,IF(Element_Stiffness!$C$75=4,IF(4=Element_Stiffness!$C$75,Element_Stiffness!Q96,IF(4=Element_Stiffness!$E$75,Element_Stiffness!W96,0)),IF(Element_Stiffness!$E$75=4,IF(4=Element_Stiffness!$C$75,Element_Stiffness!Q102,IF(4=Element_Stiffness!$E$75,Element_Stiffness!W102,0)),0)),0)+IF(Element_Stiffness!$C$111,IF(Element_Stiffness!$C$110=4,IF(4=Element_Stiffness!$C$110,Element_Stiffness!Q131,IF(4=Element_Stiffness!$E$110,Element_Stiffness!W131,0)),IF(Element_Stiffness!$E$110=4,IF(4=Element_Stiffness!$C$110,Element_Stiffness!Q137,IF(4=Element_Stiffness!$E$110,Element_Stiffness!W137,0)),0)),0)+IF(Element_Stiffness!$C$146,IF(Element_Stiffness!$C$145=4,IF(4=Element_Stiffness!$C$145,Element_Stiffness!Q166,IF(4=Element_Stiffness!$E$145,Element_Stiffness!W166,0)),IF(Element_Stiffness!$E$145=4,IF(4=Element_Stiffness!$C$145,Element_Stiffness!Q172,IF(4=Element_Stiffness!$E$145,Element_Stiffness!W172,0)),0)),0)+IF(Element_Stiffness!$C$181,IF(Element_Stiffness!$C$180=4,IF(4=Element_Stiffness!$C$180,Element_Stiffness!Q201,IF(4=Element_Stiffness!$E$180,Element_Stiffness!W201,0)),IF(Element_Stiffness!$E$180=4,IF(4=Element_Stiffness!$C$180,Element_Stiffness!Q207,IF(4=Element_Stiffness!$E$180,Element_Stiffness!W207,0)),0)),0)+IF(Element_Stiffness!$C$216,IF(Element_Stiffness!$C$215=4,IF(4=Element_Stiffness!$C$215,Element_Stiffness!Q236,IF(4=Element_Stiffness!$E$215,Element_Stiffness!W236,0)),IF(Element_Stiffness!$E$215=4,IF(4=Element_Stiffness!$C$215,Element_Stiffness!Q242,IF(4=Element_Stiffness!$E$215,Element_Stiffness!W242,0)),0)),0)</f>
        <v/>
      </c>
      <c r="AC29" s="21">
        <f>IF(Element_Stiffness!$C$6,IF(Element_Stiffness!$C$5=4,IF(4=Element_Stiffness!$C$5,Element_Stiffness!R26,IF(4=Element_Stiffness!$E$5,Element_Stiffness!X26,0)),IF(Element_Stiffness!$E$5=4,IF(4=Element_Stiffness!$C$5,Element_Stiffness!R32,IF(4=Element_Stiffness!$E$5,Element_Stiffness!X32,0)),0)),0)+IF(Element_Stiffness!$C$41,IF(Element_Stiffness!$C$40=4,IF(4=Element_Stiffness!$C$40,Element_Stiffness!R61,IF(4=Element_Stiffness!$E$40,Element_Stiffness!X61,0)),IF(Element_Stiffness!$E$40=4,IF(4=Element_Stiffness!$C$40,Element_Stiffness!R67,IF(4=Element_Stiffness!$E$40,Element_Stiffness!X67,0)),0)),0)+IF(Element_Stiffness!$C$76,IF(Element_Stiffness!$C$75=4,IF(4=Element_Stiffness!$C$75,Element_Stiffness!R96,IF(4=Element_Stiffness!$E$75,Element_Stiffness!X96,0)),IF(Element_Stiffness!$E$75=4,IF(4=Element_Stiffness!$C$75,Element_Stiffness!R102,IF(4=Element_Stiffness!$E$75,Element_Stiffness!X102,0)),0)),0)+IF(Element_Stiffness!$C$111,IF(Element_Stiffness!$C$110=4,IF(4=Element_Stiffness!$C$110,Element_Stiffness!R131,IF(4=Element_Stiffness!$E$110,Element_Stiffness!X131,0)),IF(Element_Stiffness!$E$110=4,IF(4=Element_Stiffness!$C$110,Element_Stiffness!R137,IF(4=Element_Stiffness!$E$110,Element_Stiffness!X137,0)),0)),0)+IF(Element_Stiffness!$C$146,IF(Element_Stiffness!$C$145=4,IF(4=Element_Stiffness!$C$145,Element_Stiffness!R166,IF(4=Element_Stiffness!$E$145,Element_Stiffness!X166,0)),IF(Element_Stiffness!$E$145=4,IF(4=Element_Stiffness!$C$145,Element_Stiffness!R172,IF(4=Element_Stiffness!$E$145,Element_Stiffness!X172,0)),0)),0)+IF(Element_Stiffness!$C$181,IF(Element_Stiffness!$C$180=4,IF(4=Element_Stiffness!$C$180,Element_Stiffness!R201,IF(4=Element_Stiffness!$E$180,Element_Stiffness!X201,0)),IF(Element_Stiffness!$E$180=4,IF(4=Element_Stiffness!$C$180,Element_Stiffness!R207,IF(4=Element_Stiffness!$E$180,Element_Stiffness!X207,0)),0)),0)+IF(Element_Stiffness!$C$216,IF(Element_Stiffness!$C$215=4,IF(4=Element_Stiffness!$C$215,Element_Stiffness!R236,IF(4=Element_Stiffness!$E$215,Element_Stiffness!X236,0)),IF(Element_Stiffness!$E$215=4,IF(4=Element_Stiffness!$C$215,Element_Stiffness!R242,IF(4=Element_Stiffness!$E$215,Element_Stiffness!X242,0)),0)),0)</f>
        <v/>
      </c>
      <c r="AD29" s="21">
        <f>IF(Element_Stiffness!$C$6,IF(Element_Stiffness!$C$5=4,IF(4=Element_Stiffness!$C$5,Element_Stiffness!S26,IF(4=Element_Stiffness!$E$5,Element_Stiffness!Y26,0)),IF(Element_Stiffness!$E$5=4,IF(4=Element_Stiffness!$C$5,Element_Stiffness!S32,IF(4=Element_Stiffness!$E$5,Element_Stiffness!Y32,0)),0)),0)+IF(Element_Stiffness!$C$41,IF(Element_Stiffness!$C$40=4,IF(4=Element_Stiffness!$C$40,Element_Stiffness!S61,IF(4=Element_Stiffness!$E$40,Element_Stiffness!Y61,0)),IF(Element_Stiffness!$E$40=4,IF(4=Element_Stiffness!$C$40,Element_Stiffness!S67,IF(4=Element_Stiffness!$E$40,Element_Stiffness!Y67,0)),0)),0)+IF(Element_Stiffness!$C$76,IF(Element_Stiffness!$C$75=4,IF(4=Element_Stiffness!$C$75,Element_Stiffness!S96,IF(4=Element_Stiffness!$E$75,Element_Stiffness!Y96,0)),IF(Element_Stiffness!$E$75=4,IF(4=Element_Stiffness!$C$75,Element_Stiffness!S102,IF(4=Element_Stiffness!$E$75,Element_Stiffness!Y102,0)),0)),0)+IF(Element_Stiffness!$C$111,IF(Element_Stiffness!$C$110=4,IF(4=Element_Stiffness!$C$110,Element_Stiffness!S131,IF(4=Element_Stiffness!$E$110,Element_Stiffness!Y131,0)),IF(Element_Stiffness!$E$110=4,IF(4=Element_Stiffness!$C$110,Element_Stiffness!S137,IF(4=Element_Stiffness!$E$110,Element_Stiffness!Y137,0)),0)),0)+IF(Element_Stiffness!$C$146,IF(Element_Stiffness!$C$145=4,IF(4=Element_Stiffness!$C$145,Element_Stiffness!S166,IF(4=Element_Stiffness!$E$145,Element_Stiffness!Y166,0)),IF(Element_Stiffness!$E$145=4,IF(4=Element_Stiffness!$C$145,Element_Stiffness!S172,IF(4=Element_Stiffness!$E$145,Element_Stiffness!Y172,0)),0)),0)+IF(Element_Stiffness!$C$181,IF(Element_Stiffness!$C$180=4,IF(4=Element_Stiffness!$C$180,Element_Stiffness!S201,IF(4=Element_Stiffness!$E$180,Element_Stiffness!Y201,0)),IF(Element_Stiffness!$E$180=4,IF(4=Element_Stiffness!$C$180,Element_Stiffness!S207,IF(4=Element_Stiffness!$E$180,Element_Stiffness!Y207,0)),0)),0)+IF(Element_Stiffness!$C$216,IF(Element_Stiffness!$C$215=4,IF(4=Element_Stiffness!$C$215,Element_Stiffness!S236,IF(4=Element_Stiffness!$E$215,Element_Stiffness!Y236,0)),IF(Element_Stiffness!$E$215=4,IF(4=Element_Stiffness!$C$215,Element_Stiffness!S242,IF(4=Element_Stiffness!$E$215,Element_Stiffness!Y242,0)),0)),0)</f>
        <v/>
      </c>
      <c r="AE29" s="21">
        <f>IF(Element_Stiffness!$C$6,IF(Element_Stiffness!$C$5=4,IF(4=Element_Stiffness!$C$5,Element_Stiffness!T26,IF(4=Element_Stiffness!$E$5,Element_Stiffness!Z26,0)),IF(Element_Stiffness!$E$5=4,IF(4=Element_Stiffness!$C$5,Element_Stiffness!T32,IF(4=Element_Stiffness!$E$5,Element_Stiffness!Z32,0)),0)),0)+IF(Element_Stiffness!$C$41,IF(Element_Stiffness!$C$40=4,IF(4=Element_Stiffness!$C$40,Element_Stiffness!T61,IF(4=Element_Stiffness!$E$40,Element_Stiffness!Z61,0)),IF(Element_Stiffness!$E$40=4,IF(4=Element_Stiffness!$C$40,Element_Stiffness!T67,IF(4=Element_Stiffness!$E$40,Element_Stiffness!Z67,0)),0)),0)+IF(Element_Stiffness!$C$76,IF(Element_Stiffness!$C$75=4,IF(4=Element_Stiffness!$C$75,Element_Stiffness!T96,IF(4=Element_Stiffness!$E$75,Element_Stiffness!Z96,0)),IF(Element_Stiffness!$E$75=4,IF(4=Element_Stiffness!$C$75,Element_Stiffness!T102,IF(4=Element_Stiffness!$E$75,Element_Stiffness!Z102,0)),0)),0)+IF(Element_Stiffness!$C$111,IF(Element_Stiffness!$C$110=4,IF(4=Element_Stiffness!$C$110,Element_Stiffness!T131,IF(4=Element_Stiffness!$E$110,Element_Stiffness!Z131,0)),IF(Element_Stiffness!$E$110=4,IF(4=Element_Stiffness!$C$110,Element_Stiffness!T137,IF(4=Element_Stiffness!$E$110,Element_Stiffness!Z137,0)),0)),0)+IF(Element_Stiffness!$C$146,IF(Element_Stiffness!$C$145=4,IF(4=Element_Stiffness!$C$145,Element_Stiffness!T166,IF(4=Element_Stiffness!$E$145,Element_Stiffness!Z166,0)),IF(Element_Stiffness!$E$145=4,IF(4=Element_Stiffness!$C$145,Element_Stiffness!T172,IF(4=Element_Stiffness!$E$145,Element_Stiffness!Z172,0)),0)),0)+IF(Element_Stiffness!$C$181,IF(Element_Stiffness!$C$180=4,IF(4=Element_Stiffness!$C$180,Element_Stiffness!T201,IF(4=Element_Stiffness!$E$180,Element_Stiffness!Z201,0)),IF(Element_Stiffness!$E$180=4,IF(4=Element_Stiffness!$C$180,Element_Stiffness!T207,IF(4=Element_Stiffness!$E$180,Element_Stiffness!Z207,0)),0)),0)+IF(Element_Stiffness!$C$216,IF(Element_Stiffness!$C$215=4,IF(4=Element_Stiffness!$C$215,Element_Stiffness!T236,IF(4=Element_Stiffness!$E$215,Element_Stiffness!Z236,0)),IF(Element_Stiffness!$E$215=4,IF(4=Element_Stiffness!$C$215,Element_Stiffness!T242,IF(4=Element_Stiffness!$E$215,Element_Stiffness!Z242,0)),0)),0)</f>
        <v/>
      </c>
      <c r="AF29" s="21">
        <f>IF(Element_Stiffness!$C$6,IF(Element_Stiffness!$C$5=4,IF(4=Element_Stiffness!$C$5,Element_Stiffness!U26,IF(4=Element_Stiffness!$E$5,Element_Stiffness!AA26,0)),IF(Element_Stiffness!$E$5=4,IF(4=Element_Stiffness!$C$5,Element_Stiffness!U32,IF(4=Element_Stiffness!$E$5,Element_Stiffness!AA32,0)),0)),0)+IF(Element_Stiffness!$C$41,IF(Element_Stiffness!$C$40=4,IF(4=Element_Stiffness!$C$40,Element_Stiffness!U61,IF(4=Element_Stiffness!$E$40,Element_Stiffness!AA61,0)),IF(Element_Stiffness!$E$40=4,IF(4=Element_Stiffness!$C$40,Element_Stiffness!U67,IF(4=Element_Stiffness!$E$40,Element_Stiffness!AA67,0)),0)),0)+IF(Element_Stiffness!$C$76,IF(Element_Stiffness!$C$75=4,IF(4=Element_Stiffness!$C$75,Element_Stiffness!U96,IF(4=Element_Stiffness!$E$75,Element_Stiffness!AA96,0)),IF(Element_Stiffness!$E$75=4,IF(4=Element_Stiffness!$C$75,Element_Stiffness!U102,IF(4=Element_Stiffness!$E$75,Element_Stiffness!AA102,0)),0)),0)+IF(Element_Stiffness!$C$111,IF(Element_Stiffness!$C$110=4,IF(4=Element_Stiffness!$C$110,Element_Stiffness!U131,IF(4=Element_Stiffness!$E$110,Element_Stiffness!AA131,0)),IF(Element_Stiffness!$E$110=4,IF(4=Element_Stiffness!$C$110,Element_Stiffness!U137,IF(4=Element_Stiffness!$E$110,Element_Stiffness!AA137,0)),0)),0)+IF(Element_Stiffness!$C$146,IF(Element_Stiffness!$C$145=4,IF(4=Element_Stiffness!$C$145,Element_Stiffness!U166,IF(4=Element_Stiffness!$E$145,Element_Stiffness!AA166,0)),IF(Element_Stiffness!$E$145=4,IF(4=Element_Stiffness!$C$145,Element_Stiffness!U172,IF(4=Element_Stiffness!$E$145,Element_Stiffness!AA172,0)),0)),0)+IF(Element_Stiffness!$C$181,IF(Element_Stiffness!$C$180=4,IF(4=Element_Stiffness!$C$180,Element_Stiffness!U201,IF(4=Element_Stiffness!$E$180,Element_Stiffness!AA201,0)),IF(Element_Stiffness!$E$180=4,IF(4=Element_Stiffness!$C$180,Element_Stiffness!U207,IF(4=Element_Stiffness!$E$180,Element_Stiffness!AA207,0)),0)),0)+IF(Element_Stiffness!$C$216,IF(Element_Stiffness!$C$215=4,IF(4=Element_Stiffness!$C$215,Element_Stiffness!U236,IF(4=Element_Stiffness!$E$215,Element_Stiffness!AA236,0)),IF(Element_Stiffness!$E$215=4,IF(4=Element_Stiffness!$C$215,Element_Stiffness!U242,IF(4=Element_Stiffness!$E$215,Element_Stiffness!AA242,0)),0)),0)</f>
        <v/>
      </c>
      <c r="AG29" s="21">
        <f>IF(Element_Stiffness!$C$6,IF(Element_Stiffness!$C$5=4,IF(5=Element_Stiffness!$C$5,Element_Stiffness!P26,IF(5=Element_Stiffness!$E$5,Element_Stiffness!V26,0)),IF(Element_Stiffness!$E$5=4,IF(5=Element_Stiffness!$C$5,Element_Stiffness!P32,IF(5=Element_Stiffness!$E$5,Element_Stiffness!V32,0)),0)),0)+IF(Element_Stiffness!$C$41,IF(Element_Stiffness!$C$40=4,IF(5=Element_Stiffness!$C$40,Element_Stiffness!P61,IF(5=Element_Stiffness!$E$40,Element_Stiffness!V61,0)),IF(Element_Stiffness!$E$40=4,IF(5=Element_Stiffness!$C$40,Element_Stiffness!P67,IF(5=Element_Stiffness!$E$40,Element_Stiffness!V67,0)),0)),0)+IF(Element_Stiffness!$C$76,IF(Element_Stiffness!$C$75=4,IF(5=Element_Stiffness!$C$75,Element_Stiffness!P96,IF(5=Element_Stiffness!$E$75,Element_Stiffness!V96,0)),IF(Element_Stiffness!$E$75=4,IF(5=Element_Stiffness!$C$75,Element_Stiffness!P102,IF(5=Element_Stiffness!$E$75,Element_Stiffness!V102,0)),0)),0)+IF(Element_Stiffness!$C$111,IF(Element_Stiffness!$C$110=4,IF(5=Element_Stiffness!$C$110,Element_Stiffness!P131,IF(5=Element_Stiffness!$E$110,Element_Stiffness!V131,0)),IF(Element_Stiffness!$E$110=4,IF(5=Element_Stiffness!$C$110,Element_Stiffness!P137,IF(5=Element_Stiffness!$E$110,Element_Stiffness!V137,0)),0)),0)+IF(Element_Stiffness!$C$146,IF(Element_Stiffness!$C$145=4,IF(5=Element_Stiffness!$C$145,Element_Stiffness!P166,IF(5=Element_Stiffness!$E$145,Element_Stiffness!V166,0)),IF(Element_Stiffness!$E$145=4,IF(5=Element_Stiffness!$C$145,Element_Stiffness!P172,IF(5=Element_Stiffness!$E$145,Element_Stiffness!V172,0)),0)),0)+IF(Element_Stiffness!$C$181,IF(Element_Stiffness!$C$180=4,IF(5=Element_Stiffness!$C$180,Element_Stiffness!P201,IF(5=Element_Stiffness!$E$180,Element_Stiffness!V201,0)),IF(Element_Stiffness!$E$180=4,IF(5=Element_Stiffness!$C$180,Element_Stiffness!P207,IF(5=Element_Stiffness!$E$180,Element_Stiffness!V207,0)),0)),0)+IF(Element_Stiffness!$C$216,IF(Element_Stiffness!$C$215=4,IF(5=Element_Stiffness!$C$215,Element_Stiffness!P236,IF(5=Element_Stiffness!$E$215,Element_Stiffness!V236,0)),IF(Element_Stiffness!$E$215=4,IF(5=Element_Stiffness!$C$215,Element_Stiffness!P242,IF(5=Element_Stiffness!$E$215,Element_Stiffness!V242,0)),0)),0)</f>
        <v/>
      </c>
      <c r="AH29" s="21">
        <f>IF(Element_Stiffness!$C$6,IF(Element_Stiffness!$C$5=4,IF(5=Element_Stiffness!$C$5,Element_Stiffness!Q26,IF(5=Element_Stiffness!$E$5,Element_Stiffness!W26,0)),IF(Element_Stiffness!$E$5=4,IF(5=Element_Stiffness!$C$5,Element_Stiffness!Q32,IF(5=Element_Stiffness!$E$5,Element_Stiffness!W32,0)),0)),0)+IF(Element_Stiffness!$C$41,IF(Element_Stiffness!$C$40=4,IF(5=Element_Stiffness!$C$40,Element_Stiffness!Q61,IF(5=Element_Stiffness!$E$40,Element_Stiffness!W61,0)),IF(Element_Stiffness!$E$40=4,IF(5=Element_Stiffness!$C$40,Element_Stiffness!Q67,IF(5=Element_Stiffness!$E$40,Element_Stiffness!W67,0)),0)),0)+IF(Element_Stiffness!$C$76,IF(Element_Stiffness!$C$75=4,IF(5=Element_Stiffness!$C$75,Element_Stiffness!Q96,IF(5=Element_Stiffness!$E$75,Element_Stiffness!W96,0)),IF(Element_Stiffness!$E$75=4,IF(5=Element_Stiffness!$C$75,Element_Stiffness!Q102,IF(5=Element_Stiffness!$E$75,Element_Stiffness!W102,0)),0)),0)+IF(Element_Stiffness!$C$111,IF(Element_Stiffness!$C$110=4,IF(5=Element_Stiffness!$C$110,Element_Stiffness!Q131,IF(5=Element_Stiffness!$E$110,Element_Stiffness!W131,0)),IF(Element_Stiffness!$E$110=4,IF(5=Element_Stiffness!$C$110,Element_Stiffness!Q137,IF(5=Element_Stiffness!$E$110,Element_Stiffness!W137,0)),0)),0)+IF(Element_Stiffness!$C$146,IF(Element_Stiffness!$C$145=4,IF(5=Element_Stiffness!$C$145,Element_Stiffness!Q166,IF(5=Element_Stiffness!$E$145,Element_Stiffness!W166,0)),IF(Element_Stiffness!$E$145=4,IF(5=Element_Stiffness!$C$145,Element_Stiffness!Q172,IF(5=Element_Stiffness!$E$145,Element_Stiffness!W172,0)),0)),0)+IF(Element_Stiffness!$C$181,IF(Element_Stiffness!$C$180=4,IF(5=Element_Stiffness!$C$180,Element_Stiffness!Q201,IF(5=Element_Stiffness!$E$180,Element_Stiffness!W201,0)),IF(Element_Stiffness!$E$180=4,IF(5=Element_Stiffness!$C$180,Element_Stiffness!Q207,IF(5=Element_Stiffness!$E$180,Element_Stiffness!W207,0)),0)),0)+IF(Element_Stiffness!$C$216,IF(Element_Stiffness!$C$215=4,IF(5=Element_Stiffness!$C$215,Element_Stiffness!Q236,IF(5=Element_Stiffness!$E$215,Element_Stiffness!W236,0)),IF(Element_Stiffness!$E$215=4,IF(5=Element_Stiffness!$C$215,Element_Stiffness!Q242,IF(5=Element_Stiffness!$E$215,Element_Stiffness!W242,0)),0)),0)</f>
        <v/>
      </c>
      <c r="AI29" s="21">
        <f>IF(Element_Stiffness!$C$6,IF(Element_Stiffness!$C$5=4,IF(5=Element_Stiffness!$C$5,Element_Stiffness!R26,IF(5=Element_Stiffness!$E$5,Element_Stiffness!X26,0)),IF(Element_Stiffness!$E$5=4,IF(5=Element_Stiffness!$C$5,Element_Stiffness!R32,IF(5=Element_Stiffness!$E$5,Element_Stiffness!X32,0)),0)),0)+IF(Element_Stiffness!$C$41,IF(Element_Stiffness!$C$40=4,IF(5=Element_Stiffness!$C$40,Element_Stiffness!R61,IF(5=Element_Stiffness!$E$40,Element_Stiffness!X61,0)),IF(Element_Stiffness!$E$40=4,IF(5=Element_Stiffness!$C$40,Element_Stiffness!R67,IF(5=Element_Stiffness!$E$40,Element_Stiffness!X67,0)),0)),0)+IF(Element_Stiffness!$C$76,IF(Element_Stiffness!$C$75=4,IF(5=Element_Stiffness!$C$75,Element_Stiffness!R96,IF(5=Element_Stiffness!$E$75,Element_Stiffness!X96,0)),IF(Element_Stiffness!$E$75=4,IF(5=Element_Stiffness!$C$75,Element_Stiffness!R102,IF(5=Element_Stiffness!$E$75,Element_Stiffness!X102,0)),0)),0)+IF(Element_Stiffness!$C$111,IF(Element_Stiffness!$C$110=4,IF(5=Element_Stiffness!$C$110,Element_Stiffness!R131,IF(5=Element_Stiffness!$E$110,Element_Stiffness!X131,0)),IF(Element_Stiffness!$E$110=4,IF(5=Element_Stiffness!$C$110,Element_Stiffness!R137,IF(5=Element_Stiffness!$E$110,Element_Stiffness!X137,0)),0)),0)+IF(Element_Stiffness!$C$146,IF(Element_Stiffness!$C$145=4,IF(5=Element_Stiffness!$C$145,Element_Stiffness!R166,IF(5=Element_Stiffness!$E$145,Element_Stiffness!X166,0)),IF(Element_Stiffness!$E$145=4,IF(5=Element_Stiffness!$C$145,Element_Stiffness!R172,IF(5=Element_Stiffness!$E$145,Element_Stiffness!X172,0)),0)),0)+IF(Element_Stiffness!$C$181,IF(Element_Stiffness!$C$180=4,IF(5=Element_Stiffness!$C$180,Element_Stiffness!R201,IF(5=Element_Stiffness!$E$180,Element_Stiffness!X201,0)),IF(Element_Stiffness!$E$180=4,IF(5=Element_Stiffness!$C$180,Element_Stiffness!R207,IF(5=Element_Stiffness!$E$180,Element_Stiffness!X207,0)),0)),0)+IF(Element_Stiffness!$C$216,IF(Element_Stiffness!$C$215=4,IF(5=Element_Stiffness!$C$215,Element_Stiffness!R236,IF(5=Element_Stiffness!$E$215,Element_Stiffness!X236,0)),IF(Element_Stiffness!$E$215=4,IF(5=Element_Stiffness!$C$215,Element_Stiffness!R242,IF(5=Element_Stiffness!$E$215,Element_Stiffness!X242,0)),0)),0)</f>
        <v/>
      </c>
      <c r="AJ29" s="21">
        <f>IF(Element_Stiffness!$C$6,IF(Element_Stiffness!$C$5=4,IF(5=Element_Stiffness!$C$5,Element_Stiffness!S26,IF(5=Element_Stiffness!$E$5,Element_Stiffness!Y26,0)),IF(Element_Stiffness!$E$5=4,IF(5=Element_Stiffness!$C$5,Element_Stiffness!S32,IF(5=Element_Stiffness!$E$5,Element_Stiffness!Y32,0)),0)),0)+IF(Element_Stiffness!$C$41,IF(Element_Stiffness!$C$40=4,IF(5=Element_Stiffness!$C$40,Element_Stiffness!S61,IF(5=Element_Stiffness!$E$40,Element_Stiffness!Y61,0)),IF(Element_Stiffness!$E$40=4,IF(5=Element_Stiffness!$C$40,Element_Stiffness!S67,IF(5=Element_Stiffness!$E$40,Element_Stiffness!Y67,0)),0)),0)+IF(Element_Stiffness!$C$76,IF(Element_Stiffness!$C$75=4,IF(5=Element_Stiffness!$C$75,Element_Stiffness!S96,IF(5=Element_Stiffness!$E$75,Element_Stiffness!Y96,0)),IF(Element_Stiffness!$E$75=4,IF(5=Element_Stiffness!$C$75,Element_Stiffness!S102,IF(5=Element_Stiffness!$E$75,Element_Stiffness!Y102,0)),0)),0)+IF(Element_Stiffness!$C$111,IF(Element_Stiffness!$C$110=4,IF(5=Element_Stiffness!$C$110,Element_Stiffness!S131,IF(5=Element_Stiffness!$E$110,Element_Stiffness!Y131,0)),IF(Element_Stiffness!$E$110=4,IF(5=Element_Stiffness!$C$110,Element_Stiffness!S137,IF(5=Element_Stiffness!$E$110,Element_Stiffness!Y137,0)),0)),0)+IF(Element_Stiffness!$C$146,IF(Element_Stiffness!$C$145=4,IF(5=Element_Stiffness!$C$145,Element_Stiffness!S166,IF(5=Element_Stiffness!$E$145,Element_Stiffness!Y166,0)),IF(Element_Stiffness!$E$145=4,IF(5=Element_Stiffness!$C$145,Element_Stiffness!S172,IF(5=Element_Stiffness!$E$145,Element_Stiffness!Y172,0)),0)),0)+IF(Element_Stiffness!$C$181,IF(Element_Stiffness!$C$180=4,IF(5=Element_Stiffness!$C$180,Element_Stiffness!S201,IF(5=Element_Stiffness!$E$180,Element_Stiffness!Y201,0)),IF(Element_Stiffness!$E$180=4,IF(5=Element_Stiffness!$C$180,Element_Stiffness!S207,IF(5=Element_Stiffness!$E$180,Element_Stiffness!Y207,0)),0)),0)+IF(Element_Stiffness!$C$216,IF(Element_Stiffness!$C$215=4,IF(5=Element_Stiffness!$C$215,Element_Stiffness!S236,IF(5=Element_Stiffness!$E$215,Element_Stiffness!Y236,0)),IF(Element_Stiffness!$E$215=4,IF(5=Element_Stiffness!$C$215,Element_Stiffness!S242,IF(5=Element_Stiffness!$E$215,Element_Stiffness!Y242,0)),0)),0)</f>
        <v/>
      </c>
      <c r="AK29" s="21">
        <f>IF(Element_Stiffness!$C$6,IF(Element_Stiffness!$C$5=4,IF(5=Element_Stiffness!$C$5,Element_Stiffness!T26,IF(5=Element_Stiffness!$E$5,Element_Stiffness!Z26,0)),IF(Element_Stiffness!$E$5=4,IF(5=Element_Stiffness!$C$5,Element_Stiffness!T32,IF(5=Element_Stiffness!$E$5,Element_Stiffness!Z32,0)),0)),0)+IF(Element_Stiffness!$C$41,IF(Element_Stiffness!$C$40=4,IF(5=Element_Stiffness!$C$40,Element_Stiffness!T61,IF(5=Element_Stiffness!$E$40,Element_Stiffness!Z61,0)),IF(Element_Stiffness!$E$40=4,IF(5=Element_Stiffness!$C$40,Element_Stiffness!T67,IF(5=Element_Stiffness!$E$40,Element_Stiffness!Z67,0)),0)),0)+IF(Element_Stiffness!$C$76,IF(Element_Stiffness!$C$75=4,IF(5=Element_Stiffness!$C$75,Element_Stiffness!T96,IF(5=Element_Stiffness!$E$75,Element_Stiffness!Z96,0)),IF(Element_Stiffness!$E$75=4,IF(5=Element_Stiffness!$C$75,Element_Stiffness!T102,IF(5=Element_Stiffness!$E$75,Element_Stiffness!Z102,0)),0)),0)+IF(Element_Stiffness!$C$111,IF(Element_Stiffness!$C$110=4,IF(5=Element_Stiffness!$C$110,Element_Stiffness!T131,IF(5=Element_Stiffness!$E$110,Element_Stiffness!Z131,0)),IF(Element_Stiffness!$E$110=4,IF(5=Element_Stiffness!$C$110,Element_Stiffness!T137,IF(5=Element_Stiffness!$E$110,Element_Stiffness!Z137,0)),0)),0)+IF(Element_Stiffness!$C$146,IF(Element_Stiffness!$C$145=4,IF(5=Element_Stiffness!$C$145,Element_Stiffness!T166,IF(5=Element_Stiffness!$E$145,Element_Stiffness!Z166,0)),IF(Element_Stiffness!$E$145=4,IF(5=Element_Stiffness!$C$145,Element_Stiffness!T172,IF(5=Element_Stiffness!$E$145,Element_Stiffness!Z172,0)),0)),0)+IF(Element_Stiffness!$C$181,IF(Element_Stiffness!$C$180=4,IF(5=Element_Stiffness!$C$180,Element_Stiffness!T201,IF(5=Element_Stiffness!$E$180,Element_Stiffness!Z201,0)),IF(Element_Stiffness!$E$180=4,IF(5=Element_Stiffness!$C$180,Element_Stiffness!T207,IF(5=Element_Stiffness!$E$180,Element_Stiffness!Z207,0)),0)),0)+IF(Element_Stiffness!$C$216,IF(Element_Stiffness!$C$215=4,IF(5=Element_Stiffness!$C$215,Element_Stiffness!T236,IF(5=Element_Stiffness!$E$215,Element_Stiffness!Z236,0)),IF(Element_Stiffness!$E$215=4,IF(5=Element_Stiffness!$C$215,Element_Stiffness!T242,IF(5=Element_Stiffness!$E$215,Element_Stiffness!Z242,0)),0)),0)</f>
        <v/>
      </c>
      <c r="AL29" s="21">
        <f>IF(Element_Stiffness!$C$6,IF(Element_Stiffness!$C$5=4,IF(5=Element_Stiffness!$C$5,Element_Stiffness!U26,IF(5=Element_Stiffness!$E$5,Element_Stiffness!AA26,0)),IF(Element_Stiffness!$E$5=4,IF(5=Element_Stiffness!$C$5,Element_Stiffness!U32,IF(5=Element_Stiffness!$E$5,Element_Stiffness!AA32,0)),0)),0)+IF(Element_Stiffness!$C$41,IF(Element_Stiffness!$C$40=4,IF(5=Element_Stiffness!$C$40,Element_Stiffness!U61,IF(5=Element_Stiffness!$E$40,Element_Stiffness!AA61,0)),IF(Element_Stiffness!$E$40=4,IF(5=Element_Stiffness!$C$40,Element_Stiffness!U67,IF(5=Element_Stiffness!$E$40,Element_Stiffness!AA67,0)),0)),0)+IF(Element_Stiffness!$C$76,IF(Element_Stiffness!$C$75=4,IF(5=Element_Stiffness!$C$75,Element_Stiffness!U96,IF(5=Element_Stiffness!$E$75,Element_Stiffness!AA96,0)),IF(Element_Stiffness!$E$75=4,IF(5=Element_Stiffness!$C$75,Element_Stiffness!U102,IF(5=Element_Stiffness!$E$75,Element_Stiffness!AA102,0)),0)),0)+IF(Element_Stiffness!$C$111,IF(Element_Stiffness!$C$110=4,IF(5=Element_Stiffness!$C$110,Element_Stiffness!U131,IF(5=Element_Stiffness!$E$110,Element_Stiffness!AA131,0)),IF(Element_Stiffness!$E$110=4,IF(5=Element_Stiffness!$C$110,Element_Stiffness!U137,IF(5=Element_Stiffness!$E$110,Element_Stiffness!AA137,0)),0)),0)+IF(Element_Stiffness!$C$146,IF(Element_Stiffness!$C$145=4,IF(5=Element_Stiffness!$C$145,Element_Stiffness!U166,IF(5=Element_Stiffness!$E$145,Element_Stiffness!AA166,0)),IF(Element_Stiffness!$E$145=4,IF(5=Element_Stiffness!$C$145,Element_Stiffness!U172,IF(5=Element_Stiffness!$E$145,Element_Stiffness!AA172,0)),0)),0)+IF(Element_Stiffness!$C$181,IF(Element_Stiffness!$C$180=4,IF(5=Element_Stiffness!$C$180,Element_Stiffness!U201,IF(5=Element_Stiffness!$E$180,Element_Stiffness!AA201,0)),IF(Element_Stiffness!$E$180=4,IF(5=Element_Stiffness!$C$180,Element_Stiffness!U207,IF(5=Element_Stiffness!$E$180,Element_Stiffness!AA207,0)),0)),0)+IF(Element_Stiffness!$C$216,IF(Element_Stiffness!$C$215=4,IF(5=Element_Stiffness!$C$215,Element_Stiffness!U236,IF(5=Element_Stiffness!$E$215,Element_Stiffness!AA236,0)),IF(Element_Stiffness!$E$215=4,IF(5=Element_Stiffness!$C$215,Element_Stiffness!U242,IF(5=Element_Stiffness!$E$215,Element_Stiffness!AA242,0)),0)),0)</f>
        <v/>
      </c>
      <c r="AM29" s="21">
        <f>IF(Element_Stiffness!$C$6,IF(Element_Stiffness!$C$5=4,IF(6=Element_Stiffness!$C$5,Element_Stiffness!P26,IF(6=Element_Stiffness!$E$5,Element_Stiffness!V26,0)),IF(Element_Stiffness!$E$5=4,IF(6=Element_Stiffness!$C$5,Element_Stiffness!P32,IF(6=Element_Stiffness!$E$5,Element_Stiffness!V32,0)),0)),0)+IF(Element_Stiffness!$C$41,IF(Element_Stiffness!$C$40=4,IF(6=Element_Stiffness!$C$40,Element_Stiffness!P61,IF(6=Element_Stiffness!$E$40,Element_Stiffness!V61,0)),IF(Element_Stiffness!$E$40=4,IF(6=Element_Stiffness!$C$40,Element_Stiffness!P67,IF(6=Element_Stiffness!$E$40,Element_Stiffness!V67,0)),0)),0)+IF(Element_Stiffness!$C$76,IF(Element_Stiffness!$C$75=4,IF(6=Element_Stiffness!$C$75,Element_Stiffness!P96,IF(6=Element_Stiffness!$E$75,Element_Stiffness!V96,0)),IF(Element_Stiffness!$E$75=4,IF(6=Element_Stiffness!$C$75,Element_Stiffness!P102,IF(6=Element_Stiffness!$E$75,Element_Stiffness!V102,0)),0)),0)+IF(Element_Stiffness!$C$111,IF(Element_Stiffness!$C$110=4,IF(6=Element_Stiffness!$C$110,Element_Stiffness!P131,IF(6=Element_Stiffness!$E$110,Element_Stiffness!V131,0)),IF(Element_Stiffness!$E$110=4,IF(6=Element_Stiffness!$C$110,Element_Stiffness!P137,IF(6=Element_Stiffness!$E$110,Element_Stiffness!V137,0)),0)),0)+IF(Element_Stiffness!$C$146,IF(Element_Stiffness!$C$145=4,IF(6=Element_Stiffness!$C$145,Element_Stiffness!P166,IF(6=Element_Stiffness!$E$145,Element_Stiffness!V166,0)),IF(Element_Stiffness!$E$145=4,IF(6=Element_Stiffness!$C$145,Element_Stiffness!P172,IF(6=Element_Stiffness!$E$145,Element_Stiffness!V172,0)),0)),0)+IF(Element_Stiffness!$C$181,IF(Element_Stiffness!$C$180=4,IF(6=Element_Stiffness!$C$180,Element_Stiffness!P201,IF(6=Element_Stiffness!$E$180,Element_Stiffness!V201,0)),IF(Element_Stiffness!$E$180=4,IF(6=Element_Stiffness!$C$180,Element_Stiffness!P207,IF(6=Element_Stiffness!$E$180,Element_Stiffness!V207,0)),0)),0)+IF(Element_Stiffness!$C$216,IF(Element_Stiffness!$C$215=4,IF(6=Element_Stiffness!$C$215,Element_Stiffness!P236,IF(6=Element_Stiffness!$E$215,Element_Stiffness!V236,0)),IF(Element_Stiffness!$E$215=4,IF(6=Element_Stiffness!$C$215,Element_Stiffness!P242,IF(6=Element_Stiffness!$E$215,Element_Stiffness!V242,0)),0)),0)</f>
        <v/>
      </c>
      <c r="AN29" s="21">
        <f>IF(Element_Stiffness!$C$6,IF(Element_Stiffness!$C$5=4,IF(6=Element_Stiffness!$C$5,Element_Stiffness!Q26,IF(6=Element_Stiffness!$E$5,Element_Stiffness!W26,0)),IF(Element_Stiffness!$E$5=4,IF(6=Element_Stiffness!$C$5,Element_Stiffness!Q32,IF(6=Element_Stiffness!$E$5,Element_Stiffness!W32,0)),0)),0)+IF(Element_Stiffness!$C$41,IF(Element_Stiffness!$C$40=4,IF(6=Element_Stiffness!$C$40,Element_Stiffness!Q61,IF(6=Element_Stiffness!$E$40,Element_Stiffness!W61,0)),IF(Element_Stiffness!$E$40=4,IF(6=Element_Stiffness!$C$40,Element_Stiffness!Q67,IF(6=Element_Stiffness!$E$40,Element_Stiffness!W67,0)),0)),0)+IF(Element_Stiffness!$C$76,IF(Element_Stiffness!$C$75=4,IF(6=Element_Stiffness!$C$75,Element_Stiffness!Q96,IF(6=Element_Stiffness!$E$75,Element_Stiffness!W96,0)),IF(Element_Stiffness!$E$75=4,IF(6=Element_Stiffness!$C$75,Element_Stiffness!Q102,IF(6=Element_Stiffness!$E$75,Element_Stiffness!W102,0)),0)),0)+IF(Element_Stiffness!$C$111,IF(Element_Stiffness!$C$110=4,IF(6=Element_Stiffness!$C$110,Element_Stiffness!Q131,IF(6=Element_Stiffness!$E$110,Element_Stiffness!W131,0)),IF(Element_Stiffness!$E$110=4,IF(6=Element_Stiffness!$C$110,Element_Stiffness!Q137,IF(6=Element_Stiffness!$E$110,Element_Stiffness!W137,0)),0)),0)+IF(Element_Stiffness!$C$146,IF(Element_Stiffness!$C$145=4,IF(6=Element_Stiffness!$C$145,Element_Stiffness!Q166,IF(6=Element_Stiffness!$E$145,Element_Stiffness!W166,0)),IF(Element_Stiffness!$E$145=4,IF(6=Element_Stiffness!$C$145,Element_Stiffness!Q172,IF(6=Element_Stiffness!$E$145,Element_Stiffness!W172,0)),0)),0)+IF(Element_Stiffness!$C$181,IF(Element_Stiffness!$C$180=4,IF(6=Element_Stiffness!$C$180,Element_Stiffness!Q201,IF(6=Element_Stiffness!$E$180,Element_Stiffness!W201,0)),IF(Element_Stiffness!$E$180=4,IF(6=Element_Stiffness!$C$180,Element_Stiffness!Q207,IF(6=Element_Stiffness!$E$180,Element_Stiffness!W207,0)),0)),0)+IF(Element_Stiffness!$C$216,IF(Element_Stiffness!$C$215=4,IF(6=Element_Stiffness!$C$215,Element_Stiffness!Q236,IF(6=Element_Stiffness!$E$215,Element_Stiffness!W236,0)),IF(Element_Stiffness!$E$215=4,IF(6=Element_Stiffness!$C$215,Element_Stiffness!Q242,IF(6=Element_Stiffness!$E$215,Element_Stiffness!W242,0)),0)),0)</f>
        <v/>
      </c>
      <c r="AO29" s="21">
        <f>IF(Element_Stiffness!$C$6,IF(Element_Stiffness!$C$5=4,IF(6=Element_Stiffness!$C$5,Element_Stiffness!R26,IF(6=Element_Stiffness!$E$5,Element_Stiffness!X26,0)),IF(Element_Stiffness!$E$5=4,IF(6=Element_Stiffness!$C$5,Element_Stiffness!R32,IF(6=Element_Stiffness!$E$5,Element_Stiffness!X32,0)),0)),0)+IF(Element_Stiffness!$C$41,IF(Element_Stiffness!$C$40=4,IF(6=Element_Stiffness!$C$40,Element_Stiffness!R61,IF(6=Element_Stiffness!$E$40,Element_Stiffness!X61,0)),IF(Element_Stiffness!$E$40=4,IF(6=Element_Stiffness!$C$40,Element_Stiffness!R67,IF(6=Element_Stiffness!$E$40,Element_Stiffness!X67,0)),0)),0)+IF(Element_Stiffness!$C$76,IF(Element_Stiffness!$C$75=4,IF(6=Element_Stiffness!$C$75,Element_Stiffness!R96,IF(6=Element_Stiffness!$E$75,Element_Stiffness!X96,0)),IF(Element_Stiffness!$E$75=4,IF(6=Element_Stiffness!$C$75,Element_Stiffness!R102,IF(6=Element_Stiffness!$E$75,Element_Stiffness!X102,0)),0)),0)+IF(Element_Stiffness!$C$111,IF(Element_Stiffness!$C$110=4,IF(6=Element_Stiffness!$C$110,Element_Stiffness!R131,IF(6=Element_Stiffness!$E$110,Element_Stiffness!X131,0)),IF(Element_Stiffness!$E$110=4,IF(6=Element_Stiffness!$C$110,Element_Stiffness!R137,IF(6=Element_Stiffness!$E$110,Element_Stiffness!X137,0)),0)),0)+IF(Element_Stiffness!$C$146,IF(Element_Stiffness!$C$145=4,IF(6=Element_Stiffness!$C$145,Element_Stiffness!R166,IF(6=Element_Stiffness!$E$145,Element_Stiffness!X166,0)),IF(Element_Stiffness!$E$145=4,IF(6=Element_Stiffness!$C$145,Element_Stiffness!R172,IF(6=Element_Stiffness!$E$145,Element_Stiffness!X172,0)),0)),0)+IF(Element_Stiffness!$C$181,IF(Element_Stiffness!$C$180=4,IF(6=Element_Stiffness!$C$180,Element_Stiffness!R201,IF(6=Element_Stiffness!$E$180,Element_Stiffness!X201,0)),IF(Element_Stiffness!$E$180=4,IF(6=Element_Stiffness!$C$180,Element_Stiffness!R207,IF(6=Element_Stiffness!$E$180,Element_Stiffness!X207,0)),0)),0)+IF(Element_Stiffness!$C$216,IF(Element_Stiffness!$C$215=4,IF(6=Element_Stiffness!$C$215,Element_Stiffness!R236,IF(6=Element_Stiffness!$E$215,Element_Stiffness!X236,0)),IF(Element_Stiffness!$E$215=4,IF(6=Element_Stiffness!$C$215,Element_Stiffness!R242,IF(6=Element_Stiffness!$E$215,Element_Stiffness!X242,0)),0)),0)</f>
        <v/>
      </c>
      <c r="AP29" s="21">
        <f>IF(Element_Stiffness!$C$6,IF(Element_Stiffness!$C$5=4,IF(6=Element_Stiffness!$C$5,Element_Stiffness!S26,IF(6=Element_Stiffness!$E$5,Element_Stiffness!Y26,0)),IF(Element_Stiffness!$E$5=4,IF(6=Element_Stiffness!$C$5,Element_Stiffness!S32,IF(6=Element_Stiffness!$E$5,Element_Stiffness!Y32,0)),0)),0)+IF(Element_Stiffness!$C$41,IF(Element_Stiffness!$C$40=4,IF(6=Element_Stiffness!$C$40,Element_Stiffness!S61,IF(6=Element_Stiffness!$E$40,Element_Stiffness!Y61,0)),IF(Element_Stiffness!$E$40=4,IF(6=Element_Stiffness!$C$40,Element_Stiffness!S67,IF(6=Element_Stiffness!$E$40,Element_Stiffness!Y67,0)),0)),0)+IF(Element_Stiffness!$C$76,IF(Element_Stiffness!$C$75=4,IF(6=Element_Stiffness!$C$75,Element_Stiffness!S96,IF(6=Element_Stiffness!$E$75,Element_Stiffness!Y96,0)),IF(Element_Stiffness!$E$75=4,IF(6=Element_Stiffness!$C$75,Element_Stiffness!S102,IF(6=Element_Stiffness!$E$75,Element_Stiffness!Y102,0)),0)),0)+IF(Element_Stiffness!$C$111,IF(Element_Stiffness!$C$110=4,IF(6=Element_Stiffness!$C$110,Element_Stiffness!S131,IF(6=Element_Stiffness!$E$110,Element_Stiffness!Y131,0)),IF(Element_Stiffness!$E$110=4,IF(6=Element_Stiffness!$C$110,Element_Stiffness!S137,IF(6=Element_Stiffness!$E$110,Element_Stiffness!Y137,0)),0)),0)+IF(Element_Stiffness!$C$146,IF(Element_Stiffness!$C$145=4,IF(6=Element_Stiffness!$C$145,Element_Stiffness!S166,IF(6=Element_Stiffness!$E$145,Element_Stiffness!Y166,0)),IF(Element_Stiffness!$E$145=4,IF(6=Element_Stiffness!$C$145,Element_Stiffness!S172,IF(6=Element_Stiffness!$E$145,Element_Stiffness!Y172,0)),0)),0)+IF(Element_Stiffness!$C$181,IF(Element_Stiffness!$C$180=4,IF(6=Element_Stiffness!$C$180,Element_Stiffness!S201,IF(6=Element_Stiffness!$E$180,Element_Stiffness!Y201,0)),IF(Element_Stiffness!$E$180=4,IF(6=Element_Stiffness!$C$180,Element_Stiffness!S207,IF(6=Element_Stiffness!$E$180,Element_Stiffness!Y207,0)),0)),0)+IF(Element_Stiffness!$C$216,IF(Element_Stiffness!$C$215=4,IF(6=Element_Stiffness!$C$215,Element_Stiffness!S236,IF(6=Element_Stiffness!$E$215,Element_Stiffness!Y236,0)),IF(Element_Stiffness!$E$215=4,IF(6=Element_Stiffness!$C$215,Element_Stiffness!S242,IF(6=Element_Stiffness!$E$215,Element_Stiffness!Y242,0)),0)),0)</f>
        <v/>
      </c>
      <c r="AQ29" s="21">
        <f>IF(Element_Stiffness!$C$6,IF(Element_Stiffness!$C$5=4,IF(6=Element_Stiffness!$C$5,Element_Stiffness!T26,IF(6=Element_Stiffness!$E$5,Element_Stiffness!Z26,0)),IF(Element_Stiffness!$E$5=4,IF(6=Element_Stiffness!$C$5,Element_Stiffness!T32,IF(6=Element_Stiffness!$E$5,Element_Stiffness!Z32,0)),0)),0)+IF(Element_Stiffness!$C$41,IF(Element_Stiffness!$C$40=4,IF(6=Element_Stiffness!$C$40,Element_Stiffness!T61,IF(6=Element_Stiffness!$E$40,Element_Stiffness!Z61,0)),IF(Element_Stiffness!$E$40=4,IF(6=Element_Stiffness!$C$40,Element_Stiffness!T67,IF(6=Element_Stiffness!$E$40,Element_Stiffness!Z67,0)),0)),0)+IF(Element_Stiffness!$C$76,IF(Element_Stiffness!$C$75=4,IF(6=Element_Stiffness!$C$75,Element_Stiffness!T96,IF(6=Element_Stiffness!$E$75,Element_Stiffness!Z96,0)),IF(Element_Stiffness!$E$75=4,IF(6=Element_Stiffness!$C$75,Element_Stiffness!T102,IF(6=Element_Stiffness!$E$75,Element_Stiffness!Z102,0)),0)),0)+IF(Element_Stiffness!$C$111,IF(Element_Stiffness!$C$110=4,IF(6=Element_Stiffness!$C$110,Element_Stiffness!T131,IF(6=Element_Stiffness!$E$110,Element_Stiffness!Z131,0)),IF(Element_Stiffness!$E$110=4,IF(6=Element_Stiffness!$C$110,Element_Stiffness!T137,IF(6=Element_Stiffness!$E$110,Element_Stiffness!Z137,0)),0)),0)+IF(Element_Stiffness!$C$146,IF(Element_Stiffness!$C$145=4,IF(6=Element_Stiffness!$C$145,Element_Stiffness!T166,IF(6=Element_Stiffness!$E$145,Element_Stiffness!Z166,0)),IF(Element_Stiffness!$E$145=4,IF(6=Element_Stiffness!$C$145,Element_Stiffness!T172,IF(6=Element_Stiffness!$E$145,Element_Stiffness!Z172,0)),0)),0)+IF(Element_Stiffness!$C$181,IF(Element_Stiffness!$C$180=4,IF(6=Element_Stiffness!$C$180,Element_Stiffness!T201,IF(6=Element_Stiffness!$E$180,Element_Stiffness!Z201,0)),IF(Element_Stiffness!$E$180=4,IF(6=Element_Stiffness!$C$180,Element_Stiffness!T207,IF(6=Element_Stiffness!$E$180,Element_Stiffness!Z207,0)),0)),0)+IF(Element_Stiffness!$C$216,IF(Element_Stiffness!$C$215=4,IF(6=Element_Stiffness!$C$215,Element_Stiffness!T236,IF(6=Element_Stiffness!$E$215,Element_Stiffness!Z236,0)),IF(Element_Stiffness!$E$215=4,IF(6=Element_Stiffness!$C$215,Element_Stiffness!T242,IF(6=Element_Stiffness!$E$215,Element_Stiffness!Z242,0)),0)),0)</f>
        <v/>
      </c>
      <c r="AR29" s="21">
        <f>IF(Element_Stiffness!$C$6,IF(Element_Stiffness!$C$5=4,IF(6=Element_Stiffness!$C$5,Element_Stiffness!U26,IF(6=Element_Stiffness!$E$5,Element_Stiffness!AA26,0)),IF(Element_Stiffness!$E$5=4,IF(6=Element_Stiffness!$C$5,Element_Stiffness!U32,IF(6=Element_Stiffness!$E$5,Element_Stiffness!AA32,0)),0)),0)+IF(Element_Stiffness!$C$41,IF(Element_Stiffness!$C$40=4,IF(6=Element_Stiffness!$C$40,Element_Stiffness!U61,IF(6=Element_Stiffness!$E$40,Element_Stiffness!AA61,0)),IF(Element_Stiffness!$E$40=4,IF(6=Element_Stiffness!$C$40,Element_Stiffness!U67,IF(6=Element_Stiffness!$E$40,Element_Stiffness!AA67,0)),0)),0)+IF(Element_Stiffness!$C$76,IF(Element_Stiffness!$C$75=4,IF(6=Element_Stiffness!$C$75,Element_Stiffness!U96,IF(6=Element_Stiffness!$E$75,Element_Stiffness!AA96,0)),IF(Element_Stiffness!$E$75=4,IF(6=Element_Stiffness!$C$75,Element_Stiffness!U102,IF(6=Element_Stiffness!$E$75,Element_Stiffness!AA102,0)),0)),0)+IF(Element_Stiffness!$C$111,IF(Element_Stiffness!$C$110=4,IF(6=Element_Stiffness!$C$110,Element_Stiffness!U131,IF(6=Element_Stiffness!$E$110,Element_Stiffness!AA131,0)),IF(Element_Stiffness!$E$110=4,IF(6=Element_Stiffness!$C$110,Element_Stiffness!U137,IF(6=Element_Stiffness!$E$110,Element_Stiffness!AA137,0)),0)),0)+IF(Element_Stiffness!$C$146,IF(Element_Stiffness!$C$145=4,IF(6=Element_Stiffness!$C$145,Element_Stiffness!U166,IF(6=Element_Stiffness!$E$145,Element_Stiffness!AA166,0)),IF(Element_Stiffness!$E$145=4,IF(6=Element_Stiffness!$C$145,Element_Stiffness!U172,IF(6=Element_Stiffness!$E$145,Element_Stiffness!AA172,0)),0)),0)+IF(Element_Stiffness!$C$181,IF(Element_Stiffness!$C$180=4,IF(6=Element_Stiffness!$C$180,Element_Stiffness!U201,IF(6=Element_Stiffness!$E$180,Element_Stiffness!AA201,0)),IF(Element_Stiffness!$E$180=4,IF(6=Element_Stiffness!$C$180,Element_Stiffness!U207,IF(6=Element_Stiffness!$E$180,Element_Stiffness!AA207,0)),0)),0)+IF(Element_Stiffness!$C$216,IF(Element_Stiffness!$C$215=4,IF(6=Element_Stiffness!$C$215,Element_Stiffness!U236,IF(6=Element_Stiffness!$E$215,Element_Stiffness!AA236,0)),IF(Element_Stiffness!$E$215=4,IF(6=Element_Stiffness!$C$215,Element_Stiffness!U242,IF(6=Element_Stiffness!$E$215,Element_Stiffness!AA242,0)),0)),0)</f>
        <v/>
      </c>
      <c r="AS29" s="21">
        <f>IF(Element_Stiffness!$C$6,IF(Element_Stiffness!$C$5=4,IF(7=Element_Stiffness!$C$5,Element_Stiffness!P26,IF(7=Element_Stiffness!$E$5,Element_Stiffness!V26,0)),IF(Element_Stiffness!$E$5=4,IF(7=Element_Stiffness!$C$5,Element_Stiffness!P32,IF(7=Element_Stiffness!$E$5,Element_Stiffness!V32,0)),0)),0)+IF(Element_Stiffness!$C$41,IF(Element_Stiffness!$C$40=4,IF(7=Element_Stiffness!$C$40,Element_Stiffness!P61,IF(7=Element_Stiffness!$E$40,Element_Stiffness!V61,0)),IF(Element_Stiffness!$E$40=4,IF(7=Element_Stiffness!$C$40,Element_Stiffness!P67,IF(7=Element_Stiffness!$E$40,Element_Stiffness!V67,0)),0)),0)+IF(Element_Stiffness!$C$76,IF(Element_Stiffness!$C$75=4,IF(7=Element_Stiffness!$C$75,Element_Stiffness!P96,IF(7=Element_Stiffness!$E$75,Element_Stiffness!V96,0)),IF(Element_Stiffness!$E$75=4,IF(7=Element_Stiffness!$C$75,Element_Stiffness!P102,IF(7=Element_Stiffness!$E$75,Element_Stiffness!V102,0)),0)),0)+IF(Element_Stiffness!$C$111,IF(Element_Stiffness!$C$110=4,IF(7=Element_Stiffness!$C$110,Element_Stiffness!P131,IF(7=Element_Stiffness!$E$110,Element_Stiffness!V131,0)),IF(Element_Stiffness!$E$110=4,IF(7=Element_Stiffness!$C$110,Element_Stiffness!P137,IF(7=Element_Stiffness!$E$110,Element_Stiffness!V137,0)),0)),0)+IF(Element_Stiffness!$C$146,IF(Element_Stiffness!$C$145=4,IF(7=Element_Stiffness!$C$145,Element_Stiffness!P166,IF(7=Element_Stiffness!$E$145,Element_Stiffness!V166,0)),IF(Element_Stiffness!$E$145=4,IF(7=Element_Stiffness!$C$145,Element_Stiffness!P172,IF(7=Element_Stiffness!$E$145,Element_Stiffness!V172,0)),0)),0)+IF(Element_Stiffness!$C$181,IF(Element_Stiffness!$C$180=4,IF(7=Element_Stiffness!$C$180,Element_Stiffness!P201,IF(7=Element_Stiffness!$E$180,Element_Stiffness!V201,0)),IF(Element_Stiffness!$E$180=4,IF(7=Element_Stiffness!$C$180,Element_Stiffness!P207,IF(7=Element_Stiffness!$E$180,Element_Stiffness!V207,0)),0)),0)+IF(Element_Stiffness!$C$216,IF(Element_Stiffness!$C$215=4,IF(7=Element_Stiffness!$C$215,Element_Stiffness!P236,IF(7=Element_Stiffness!$E$215,Element_Stiffness!V236,0)),IF(Element_Stiffness!$E$215=4,IF(7=Element_Stiffness!$C$215,Element_Stiffness!P242,IF(7=Element_Stiffness!$E$215,Element_Stiffness!V242,0)),0)),0)</f>
        <v/>
      </c>
      <c r="AT29" s="21">
        <f>IF(Element_Stiffness!$C$6,IF(Element_Stiffness!$C$5=4,IF(7=Element_Stiffness!$C$5,Element_Stiffness!Q26,IF(7=Element_Stiffness!$E$5,Element_Stiffness!W26,0)),IF(Element_Stiffness!$E$5=4,IF(7=Element_Stiffness!$C$5,Element_Stiffness!Q32,IF(7=Element_Stiffness!$E$5,Element_Stiffness!W32,0)),0)),0)+IF(Element_Stiffness!$C$41,IF(Element_Stiffness!$C$40=4,IF(7=Element_Stiffness!$C$40,Element_Stiffness!Q61,IF(7=Element_Stiffness!$E$40,Element_Stiffness!W61,0)),IF(Element_Stiffness!$E$40=4,IF(7=Element_Stiffness!$C$40,Element_Stiffness!Q67,IF(7=Element_Stiffness!$E$40,Element_Stiffness!W67,0)),0)),0)+IF(Element_Stiffness!$C$76,IF(Element_Stiffness!$C$75=4,IF(7=Element_Stiffness!$C$75,Element_Stiffness!Q96,IF(7=Element_Stiffness!$E$75,Element_Stiffness!W96,0)),IF(Element_Stiffness!$E$75=4,IF(7=Element_Stiffness!$C$75,Element_Stiffness!Q102,IF(7=Element_Stiffness!$E$75,Element_Stiffness!W102,0)),0)),0)+IF(Element_Stiffness!$C$111,IF(Element_Stiffness!$C$110=4,IF(7=Element_Stiffness!$C$110,Element_Stiffness!Q131,IF(7=Element_Stiffness!$E$110,Element_Stiffness!W131,0)),IF(Element_Stiffness!$E$110=4,IF(7=Element_Stiffness!$C$110,Element_Stiffness!Q137,IF(7=Element_Stiffness!$E$110,Element_Stiffness!W137,0)),0)),0)+IF(Element_Stiffness!$C$146,IF(Element_Stiffness!$C$145=4,IF(7=Element_Stiffness!$C$145,Element_Stiffness!Q166,IF(7=Element_Stiffness!$E$145,Element_Stiffness!W166,0)),IF(Element_Stiffness!$E$145=4,IF(7=Element_Stiffness!$C$145,Element_Stiffness!Q172,IF(7=Element_Stiffness!$E$145,Element_Stiffness!W172,0)),0)),0)+IF(Element_Stiffness!$C$181,IF(Element_Stiffness!$C$180=4,IF(7=Element_Stiffness!$C$180,Element_Stiffness!Q201,IF(7=Element_Stiffness!$E$180,Element_Stiffness!W201,0)),IF(Element_Stiffness!$E$180=4,IF(7=Element_Stiffness!$C$180,Element_Stiffness!Q207,IF(7=Element_Stiffness!$E$180,Element_Stiffness!W207,0)),0)),0)+IF(Element_Stiffness!$C$216,IF(Element_Stiffness!$C$215=4,IF(7=Element_Stiffness!$C$215,Element_Stiffness!Q236,IF(7=Element_Stiffness!$E$215,Element_Stiffness!W236,0)),IF(Element_Stiffness!$E$215=4,IF(7=Element_Stiffness!$C$215,Element_Stiffness!Q242,IF(7=Element_Stiffness!$E$215,Element_Stiffness!W242,0)),0)),0)</f>
        <v/>
      </c>
      <c r="AU29" s="21">
        <f>IF(Element_Stiffness!$C$6,IF(Element_Stiffness!$C$5=4,IF(7=Element_Stiffness!$C$5,Element_Stiffness!R26,IF(7=Element_Stiffness!$E$5,Element_Stiffness!X26,0)),IF(Element_Stiffness!$E$5=4,IF(7=Element_Stiffness!$C$5,Element_Stiffness!R32,IF(7=Element_Stiffness!$E$5,Element_Stiffness!X32,0)),0)),0)+IF(Element_Stiffness!$C$41,IF(Element_Stiffness!$C$40=4,IF(7=Element_Stiffness!$C$40,Element_Stiffness!R61,IF(7=Element_Stiffness!$E$40,Element_Stiffness!X61,0)),IF(Element_Stiffness!$E$40=4,IF(7=Element_Stiffness!$C$40,Element_Stiffness!R67,IF(7=Element_Stiffness!$E$40,Element_Stiffness!X67,0)),0)),0)+IF(Element_Stiffness!$C$76,IF(Element_Stiffness!$C$75=4,IF(7=Element_Stiffness!$C$75,Element_Stiffness!R96,IF(7=Element_Stiffness!$E$75,Element_Stiffness!X96,0)),IF(Element_Stiffness!$E$75=4,IF(7=Element_Stiffness!$C$75,Element_Stiffness!R102,IF(7=Element_Stiffness!$E$75,Element_Stiffness!X102,0)),0)),0)+IF(Element_Stiffness!$C$111,IF(Element_Stiffness!$C$110=4,IF(7=Element_Stiffness!$C$110,Element_Stiffness!R131,IF(7=Element_Stiffness!$E$110,Element_Stiffness!X131,0)),IF(Element_Stiffness!$E$110=4,IF(7=Element_Stiffness!$C$110,Element_Stiffness!R137,IF(7=Element_Stiffness!$E$110,Element_Stiffness!X137,0)),0)),0)+IF(Element_Stiffness!$C$146,IF(Element_Stiffness!$C$145=4,IF(7=Element_Stiffness!$C$145,Element_Stiffness!R166,IF(7=Element_Stiffness!$E$145,Element_Stiffness!X166,0)),IF(Element_Stiffness!$E$145=4,IF(7=Element_Stiffness!$C$145,Element_Stiffness!R172,IF(7=Element_Stiffness!$E$145,Element_Stiffness!X172,0)),0)),0)+IF(Element_Stiffness!$C$181,IF(Element_Stiffness!$C$180=4,IF(7=Element_Stiffness!$C$180,Element_Stiffness!R201,IF(7=Element_Stiffness!$E$180,Element_Stiffness!X201,0)),IF(Element_Stiffness!$E$180=4,IF(7=Element_Stiffness!$C$180,Element_Stiffness!R207,IF(7=Element_Stiffness!$E$180,Element_Stiffness!X207,0)),0)),0)+IF(Element_Stiffness!$C$216,IF(Element_Stiffness!$C$215=4,IF(7=Element_Stiffness!$C$215,Element_Stiffness!R236,IF(7=Element_Stiffness!$E$215,Element_Stiffness!X236,0)),IF(Element_Stiffness!$E$215=4,IF(7=Element_Stiffness!$C$215,Element_Stiffness!R242,IF(7=Element_Stiffness!$E$215,Element_Stiffness!X242,0)),0)),0)</f>
        <v/>
      </c>
      <c r="AV29" s="21">
        <f>IF(Element_Stiffness!$C$6,IF(Element_Stiffness!$C$5=4,IF(7=Element_Stiffness!$C$5,Element_Stiffness!S26,IF(7=Element_Stiffness!$E$5,Element_Stiffness!Y26,0)),IF(Element_Stiffness!$E$5=4,IF(7=Element_Stiffness!$C$5,Element_Stiffness!S32,IF(7=Element_Stiffness!$E$5,Element_Stiffness!Y32,0)),0)),0)+IF(Element_Stiffness!$C$41,IF(Element_Stiffness!$C$40=4,IF(7=Element_Stiffness!$C$40,Element_Stiffness!S61,IF(7=Element_Stiffness!$E$40,Element_Stiffness!Y61,0)),IF(Element_Stiffness!$E$40=4,IF(7=Element_Stiffness!$C$40,Element_Stiffness!S67,IF(7=Element_Stiffness!$E$40,Element_Stiffness!Y67,0)),0)),0)+IF(Element_Stiffness!$C$76,IF(Element_Stiffness!$C$75=4,IF(7=Element_Stiffness!$C$75,Element_Stiffness!S96,IF(7=Element_Stiffness!$E$75,Element_Stiffness!Y96,0)),IF(Element_Stiffness!$E$75=4,IF(7=Element_Stiffness!$C$75,Element_Stiffness!S102,IF(7=Element_Stiffness!$E$75,Element_Stiffness!Y102,0)),0)),0)+IF(Element_Stiffness!$C$111,IF(Element_Stiffness!$C$110=4,IF(7=Element_Stiffness!$C$110,Element_Stiffness!S131,IF(7=Element_Stiffness!$E$110,Element_Stiffness!Y131,0)),IF(Element_Stiffness!$E$110=4,IF(7=Element_Stiffness!$C$110,Element_Stiffness!S137,IF(7=Element_Stiffness!$E$110,Element_Stiffness!Y137,0)),0)),0)+IF(Element_Stiffness!$C$146,IF(Element_Stiffness!$C$145=4,IF(7=Element_Stiffness!$C$145,Element_Stiffness!S166,IF(7=Element_Stiffness!$E$145,Element_Stiffness!Y166,0)),IF(Element_Stiffness!$E$145=4,IF(7=Element_Stiffness!$C$145,Element_Stiffness!S172,IF(7=Element_Stiffness!$E$145,Element_Stiffness!Y172,0)),0)),0)+IF(Element_Stiffness!$C$181,IF(Element_Stiffness!$C$180=4,IF(7=Element_Stiffness!$C$180,Element_Stiffness!S201,IF(7=Element_Stiffness!$E$180,Element_Stiffness!Y201,0)),IF(Element_Stiffness!$E$180=4,IF(7=Element_Stiffness!$C$180,Element_Stiffness!S207,IF(7=Element_Stiffness!$E$180,Element_Stiffness!Y207,0)),0)),0)+IF(Element_Stiffness!$C$216,IF(Element_Stiffness!$C$215=4,IF(7=Element_Stiffness!$C$215,Element_Stiffness!S236,IF(7=Element_Stiffness!$E$215,Element_Stiffness!Y236,0)),IF(Element_Stiffness!$E$215=4,IF(7=Element_Stiffness!$C$215,Element_Stiffness!S242,IF(7=Element_Stiffness!$E$215,Element_Stiffness!Y242,0)),0)),0)</f>
        <v/>
      </c>
      <c r="AW29" s="21">
        <f>IF(Element_Stiffness!$C$6,IF(Element_Stiffness!$C$5=4,IF(7=Element_Stiffness!$C$5,Element_Stiffness!T26,IF(7=Element_Stiffness!$E$5,Element_Stiffness!Z26,0)),IF(Element_Stiffness!$E$5=4,IF(7=Element_Stiffness!$C$5,Element_Stiffness!T32,IF(7=Element_Stiffness!$E$5,Element_Stiffness!Z32,0)),0)),0)+IF(Element_Stiffness!$C$41,IF(Element_Stiffness!$C$40=4,IF(7=Element_Stiffness!$C$40,Element_Stiffness!T61,IF(7=Element_Stiffness!$E$40,Element_Stiffness!Z61,0)),IF(Element_Stiffness!$E$40=4,IF(7=Element_Stiffness!$C$40,Element_Stiffness!T67,IF(7=Element_Stiffness!$E$40,Element_Stiffness!Z67,0)),0)),0)+IF(Element_Stiffness!$C$76,IF(Element_Stiffness!$C$75=4,IF(7=Element_Stiffness!$C$75,Element_Stiffness!T96,IF(7=Element_Stiffness!$E$75,Element_Stiffness!Z96,0)),IF(Element_Stiffness!$E$75=4,IF(7=Element_Stiffness!$C$75,Element_Stiffness!T102,IF(7=Element_Stiffness!$E$75,Element_Stiffness!Z102,0)),0)),0)+IF(Element_Stiffness!$C$111,IF(Element_Stiffness!$C$110=4,IF(7=Element_Stiffness!$C$110,Element_Stiffness!T131,IF(7=Element_Stiffness!$E$110,Element_Stiffness!Z131,0)),IF(Element_Stiffness!$E$110=4,IF(7=Element_Stiffness!$C$110,Element_Stiffness!T137,IF(7=Element_Stiffness!$E$110,Element_Stiffness!Z137,0)),0)),0)+IF(Element_Stiffness!$C$146,IF(Element_Stiffness!$C$145=4,IF(7=Element_Stiffness!$C$145,Element_Stiffness!T166,IF(7=Element_Stiffness!$E$145,Element_Stiffness!Z166,0)),IF(Element_Stiffness!$E$145=4,IF(7=Element_Stiffness!$C$145,Element_Stiffness!T172,IF(7=Element_Stiffness!$E$145,Element_Stiffness!Z172,0)),0)),0)+IF(Element_Stiffness!$C$181,IF(Element_Stiffness!$C$180=4,IF(7=Element_Stiffness!$C$180,Element_Stiffness!T201,IF(7=Element_Stiffness!$E$180,Element_Stiffness!Z201,0)),IF(Element_Stiffness!$E$180=4,IF(7=Element_Stiffness!$C$180,Element_Stiffness!T207,IF(7=Element_Stiffness!$E$180,Element_Stiffness!Z207,0)),0)),0)+IF(Element_Stiffness!$C$216,IF(Element_Stiffness!$C$215=4,IF(7=Element_Stiffness!$C$215,Element_Stiffness!T236,IF(7=Element_Stiffness!$E$215,Element_Stiffness!Z236,0)),IF(Element_Stiffness!$E$215=4,IF(7=Element_Stiffness!$C$215,Element_Stiffness!T242,IF(7=Element_Stiffness!$E$215,Element_Stiffness!Z242,0)),0)),0)</f>
        <v/>
      </c>
      <c r="AX29" s="21">
        <f>IF(Element_Stiffness!$C$6,IF(Element_Stiffness!$C$5=4,IF(7=Element_Stiffness!$C$5,Element_Stiffness!U26,IF(7=Element_Stiffness!$E$5,Element_Stiffness!AA26,0)),IF(Element_Stiffness!$E$5=4,IF(7=Element_Stiffness!$C$5,Element_Stiffness!U32,IF(7=Element_Stiffness!$E$5,Element_Stiffness!AA32,0)),0)),0)+IF(Element_Stiffness!$C$41,IF(Element_Stiffness!$C$40=4,IF(7=Element_Stiffness!$C$40,Element_Stiffness!U61,IF(7=Element_Stiffness!$E$40,Element_Stiffness!AA61,0)),IF(Element_Stiffness!$E$40=4,IF(7=Element_Stiffness!$C$40,Element_Stiffness!U67,IF(7=Element_Stiffness!$E$40,Element_Stiffness!AA67,0)),0)),0)+IF(Element_Stiffness!$C$76,IF(Element_Stiffness!$C$75=4,IF(7=Element_Stiffness!$C$75,Element_Stiffness!U96,IF(7=Element_Stiffness!$E$75,Element_Stiffness!AA96,0)),IF(Element_Stiffness!$E$75=4,IF(7=Element_Stiffness!$C$75,Element_Stiffness!U102,IF(7=Element_Stiffness!$E$75,Element_Stiffness!AA102,0)),0)),0)+IF(Element_Stiffness!$C$111,IF(Element_Stiffness!$C$110=4,IF(7=Element_Stiffness!$C$110,Element_Stiffness!U131,IF(7=Element_Stiffness!$E$110,Element_Stiffness!AA131,0)),IF(Element_Stiffness!$E$110=4,IF(7=Element_Stiffness!$C$110,Element_Stiffness!U137,IF(7=Element_Stiffness!$E$110,Element_Stiffness!AA137,0)),0)),0)+IF(Element_Stiffness!$C$146,IF(Element_Stiffness!$C$145=4,IF(7=Element_Stiffness!$C$145,Element_Stiffness!U166,IF(7=Element_Stiffness!$E$145,Element_Stiffness!AA166,0)),IF(Element_Stiffness!$E$145=4,IF(7=Element_Stiffness!$C$145,Element_Stiffness!U172,IF(7=Element_Stiffness!$E$145,Element_Stiffness!AA172,0)),0)),0)+IF(Element_Stiffness!$C$181,IF(Element_Stiffness!$C$180=4,IF(7=Element_Stiffness!$C$180,Element_Stiffness!U201,IF(7=Element_Stiffness!$E$180,Element_Stiffness!AA201,0)),IF(Element_Stiffness!$E$180=4,IF(7=Element_Stiffness!$C$180,Element_Stiffness!U207,IF(7=Element_Stiffness!$E$180,Element_Stiffness!AA207,0)),0)),0)+IF(Element_Stiffness!$C$216,IF(Element_Stiffness!$C$215=4,IF(7=Element_Stiffness!$C$215,Element_Stiffness!U236,IF(7=Element_Stiffness!$E$215,Element_Stiffness!AA236,0)),IF(Element_Stiffness!$E$215=4,IF(7=Element_Stiffness!$C$215,Element_Stiffness!U242,IF(7=Element_Stiffness!$E$215,Element_Stiffness!AA242,0)),0)),0)</f>
        <v/>
      </c>
      <c r="AY29" s="21" t="n">
        <v>0</v>
      </c>
      <c r="AZ29" s="21">
        <f>IF(Element_Stiffness!$C$6,IF(Element_Stiffness!$C$5=4,Element_Stiffness!C26,IF(Element_Stiffness!$E$5=4,Element_Stiffness!C32,0)),0)+IF(Element_Stiffness!$C$41,IF(Element_Stiffness!$C$40=4,Element_Stiffness!C61,IF(Element_Stiffness!$E$40=4,Element_Stiffness!C67,0)),0)+IF(Element_Stiffness!$C$76,IF(Element_Stiffness!$C$75=4,Element_Stiffness!C96,IF(Element_Stiffness!$E$75=4,Element_Stiffness!C102,0)),0)+IF(Element_Stiffness!$C$111,IF(Element_Stiffness!$C$110=4,Element_Stiffness!C131,IF(Element_Stiffness!$E$110=4,Element_Stiffness!C137,0)),0)+IF(Element_Stiffness!$C$146,IF(Element_Stiffness!$C$145=4,Element_Stiffness!C166,IF(Element_Stiffness!$E$145=4,Element_Stiffness!C172,0)),0)+IF(Element_Stiffness!$C$181,IF(Element_Stiffness!$C$180=4,Element_Stiffness!C201,IF(Element_Stiffness!$E$180=4,Element_Stiffness!C207,0)),0)+IF(Element_Stiffness!$C$216,IF(Element_Stiffness!$C$215=4,Element_Stiffness!C236,IF(Element_Stiffness!$E$215=4,Element_Stiffness!C242,0)),0)</f>
        <v/>
      </c>
      <c r="BB29" s="28">
        <f>INDEX(MMULT(MINVERSE(C5:AX52), AY5:AY52), 25, 1)</f>
        <v/>
      </c>
      <c r="BC29" s="28">
        <f>INDEX(MMULT(MINVERSE(C5:AX52), AZ5:AZ52), 25, 1)</f>
        <v/>
      </c>
    </row>
    <row r="30">
      <c r="B30" s="27" t="inlineStr">
        <is>
          <t>N4_ty</t>
        </is>
      </c>
      <c r="C30" s="21">
        <f>IF(Element_Stiffness!$C$6,IF(Element_Stiffness!$C$5=4,IF(0=Element_Stiffness!$C$5,Element_Stiffness!P27,IF(0=Element_Stiffness!$E$5,Element_Stiffness!V27,0)),IF(Element_Stiffness!$E$5=4,IF(0=Element_Stiffness!$C$5,Element_Stiffness!P33,IF(0=Element_Stiffness!$E$5,Element_Stiffness!V33,0)),0)),0)+IF(Element_Stiffness!$C$41,IF(Element_Stiffness!$C$40=4,IF(0=Element_Stiffness!$C$40,Element_Stiffness!P62,IF(0=Element_Stiffness!$E$40,Element_Stiffness!V62,0)),IF(Element_Stiffness!$E$40=4,IF(0=Element_Stiffness!$C$40,Element_Stiffness!P68,IF(0=Element_Stiffness!$E$40,Element_Stiffness!V68,0)),0)),0)+IF(Element_Stiffness!$C$76,IF(Element_Stiffness!$C$75=4,IF(0=Element_Stiffness!$C$75,Element_Stiffness!P97,IF(0=Element_Stiffness!$E$75,Element_Stiffness!V97,0)),IF(Element_Stiffness!$E$75=4,IF(0=Element_Stiffness!$C$75,Element_Stiffness!P103,IF(0=Element_Stiffness!$E$75,Element_Stiffness!V103,0)),0)),0)+IF(Element_Stiffness!$C$111,IF(Element_Stiffness!$C$110=4,IF(0=Element_Stiffness!$C$110,Element_Stiffness!P132,IF(0=Element_Stiffness!$E$110,Element_Stiffness!V132,0)),IF(Element_Stiffness!$E$110=4,IF(0=Element_Stiffness!$C$110,Element_Stiffness!P138,IF(0=Element_Stiffness!$E$110,Element_Stiffness!V138,0)),0)),0)+IF(Element_Stiffness!$C$146,IF(Element_Stiffness!$C$145=4,IF(0=Element_Stiffness!$C$145,Element_Stiffness!P167,IF(0=Element_Stiffness!$E$145,Element_Stiffness!V167,0)),IF(Element_Stiffness!$E$145=4,IF(0=Element_Stiffness!$C$145,Element_Stiffness!P173,IF(0=Element_Stiffness!$E$145,Element_Stiffness!V173,0)),0)),0)+IF(Element_Stiffness!$C$181,IF(Element_Stiffness!$C$180=4,IF(0=Element_Stiffness!$C$180,Element_Stiffness!P202,IF(0=Element_Stiffness!$E$180,Element_Stiffness!V202,0)),IF(Element_Stiffness!$E$180=4,IF(0=Element_Stiffness!$C$180,Element_Stiffness!P208,IF(0=Element_Stiffness!$E$180,Element_Stiffness!V208,0)),0)),0)+IF(Element_Stiffness!$C$216,IF(Element_Stiffness!$C$215=4,IF(0=Element_Stiffness!$C$215,Element_Stiffness!P237,IF(0=Element_Stiffness!$E$215,Element_Stiffness!V237,0)),IF(Element_Stiffness!$E$215=4,IF(0=Element_Stiffness!$C$215,Element_Stiffness!P243,IF(0=Element_Stiffness!$E$215,Element_Stiffness!V243,0)),0)),0)</f>
        <v/>
      </c>
      <c r="D30" s="21">
        <f>IF(Element_Stiffness!$C$6,IF(Element_Stiffness!$C$5=4,IF(0=Element_Stiffness!$C$5,Element_Stiffness!Q27,IF(0=Element_Stiffness!$E$5,Element_Stiffness!W27,0)),IF(Element_Stiffness!$E$5=4,IF(0=Element_Stiffness!$C$5,Element_Stiffness!Q33,IF(0=Element_Stiffness!$E$5,Element_Stiffness!W33,0)),0)),0)+IF(Element_Stiffness!$C$41,IF(Element_Stiffness!$C$40=4,IF(0=Element_Stiffness!$C$40,Element_Stiffness!Q62,IF(0=Element_Stiffness!$E$40,Element_Stiffness!W62,0)),IF(Element_Stiffness!$E$40=4,IF(0=Element_Stiffness!$C$40,Element_Stiffness!Q68,IF(0=Element_Stiffness!$E$40,Element_Stiffness!W68,0)),0)),0)+IF(Element_Stiffness!$C$76,IF(Element_Stiffness!$C$75=4,IF(0=Element_Stiffness!$C$75,Element_Stiffness!Q97,IF(0=Element_Stiffness!$E$75,Element_Stiffness!W97,0)),IF(Element_Stiffness!$E$75=4,IF(0=Element_Stiffness!$C$75,Element_Stiffness!Q103,IF(0=Element_Stiffness!$E$75,Element_Stiffness!W103,0)),0)),0)+IF(Element_Stiffness!$C$111,IF(Element_Stiffness!$C$110=4,IF(0=Element_Stiffness!$C$110,Element_Stiffness!Q132,IF(0=Element_Stiffness!$E$110,Element_Stiffness!W132,0)),IF(Element_Stiffness!$E$110=4,IF(0=Element_Stiffness!$C$110,Element_Stiffness!Q138,IF(0=Element_Stiffness!$E$110,Element_Stiffness!W138,0)),0)),0)+IF(Element_Stiffness!$C$146,IF(Element_Stiffness!$C$145=4,IF(0=Element_Stiffness!$C$145,Element_Stiffness!Q167,IF(0=Element_Stiffness!$E$145,Element_Stiffness!W167,0)),IF(Element_Stiffness!$E$145=4,IF(0=Element_Stiffness!$C$145,Element_Stiffness!Q173,IF(0=Element_Stiffness!$E$145,Element_Stiffness!W173,0)),0)),0)+IF(Element_Stiffness!$C$181,IF(Element_Stiffness!$C$180=4,IF(0=Element_Stiffness!$C$180,Element_Stiffness!Q202,IF(0=Element_Stiffness!$E$180,Element_Stiffness!W202,0)),IF(Element_Stiffness!$E$180=4,IF(0=Element_Stiffness!$C$180,Element_Stiffness!Q208,IF(0=Element_Stiffness!$E$180,Element_Stiffness!W208,0)),0)),0)+IF(Element_Stiffness!$C$216,IF(Element_Stiffness!$C$215=4,IF(0=Element_Stiffness!$C$215,Element_Stiffness!Q237,IF(0=Element_Stiffness!$E$215,Element_Stiffness!W237,0)),IF(Element_Stiffness!$E$215=4,IF(0=Element_Stiffness!$C$215,Element_Stiffness!Q243,IF(0=Element_Stiffness!$E$215,Element_Stiffness!W243,0)),0)),0)</f>
        <v/>
      </c>
      <c r="E30" s="21">
        <f>IF(Element_Stiffness!$C$6,IF(Element_Stiffness!$C$5=4,IF(0=Element_Stiffness!$C$5,Element_Stiffness!R27,IF(0=Element_Stiffness!$E$5,Element_Stiffness!X27,0)),IF(Element_Stiffness!$E$5=4,IF(0=Element_Stiffness!$C$5,Element_Stiffness!R33,IF(0=Element_Stiffness!$E$5,Element_Stiffness!X33,0)),0)),0)+IF(Element_Stiffness!$C$41,IF(Element_Stiffness!$C$40=4,IF(0=Element_Stiffness!$C$40,Element_Stiffness!R62,IF(0=Element_Stiffness!$E$40,Element_Stiffness!X62,0)),IF(Element_Stiffness!$E$40=4,IF(0=Element_Stiffness!$C$40,Element_Stiffness!R68,IF(0=Element_Stiffness!$E$40,Element_Stiffness!X68,0)),0)),0)+IF(Element_Stiffness!$C$76,IF(Element_Stiffness!$C$75=4,IF(0=Element_Stiffness!$C$75,Element_Stiffness!R97,IF(0=Element_Stiffness!$E$75,Element_Stiffness!X97,0)),IF(Element_Stiffness!$E$75=4,IF(0=Element_Stiffness!$C$75,Element_Stiffness!R103,IF(0=Element_Stiffness!$E$75,Element_Stiffness!X103,0)),0)),0)+IF(Element_Stiffness!$C$111,IF(Element_Stiffness!$C$110=4,IF(0=Element_Stiffness!$C$110,Element_Stiffness!R132,IF(0=Element_Stiffness!$E$110,Element_Stiffness!X132,0)),IF(Element_Stiffness!$E$110=4,IF(0=Element_Stiffness!$C$110,Element_Stiffness!R138,IF(0=Element_Stiffness!$E$110,Element_Stiffness!X138,0)),0)),0)+IF(Element_Stiffness!$C$146,IF(Element_Stiffness!$C$145=4,IF(0=Element_Stiffness!$C$145,Element_Stiffness!R167,IF(0=Element_Stiffness!$E$145,Element_Stiffness!X167,0)),IF(Element_Stiffness!$E$145=4,IF(0=Element_Stiffness!$C$145,Element_Stiffness!R173,IF(0=Element_Stiffness!$E$145,Element_Stiffness!X173,0)),0)),0)+IF(Element_Stiffness!$C$181,IF(Element_Stiffness!$C$180=4,IF(0=Element_Stiffness!$C$180,Element_Stiffness!R202,IF(0=Element_Stiffness!$E$180,Element_Stiffness!X202,0)),IF(Element_Stiffness!$E$180=4,IF(0=Element_Stiffness!$C$180,Element_Stiffness!R208,IF(0=Element_Stiffness!$E$180,Element_Stiffness!X208,0)),0)),0)+IF(Element_Stiffness!$C$216,IF(Element_Stiffness!$C$215=4,IF(0=Element_Stiffness!$C$215,Element_Stiffness!R237,IF(0=Element_Stiffness!$E$215,Element_Stiffness!X237,0)),IF(Element_Stiffness!$E$215=4,IF(0=Element_Stiffness!$C$215,Element_Stiffness!R243,IF(0=Element_Stiffness!$E$215,Element_Stiffness!X243,0)),0)),0)</f>
        <v/>
      </c>
      <c r="F30" s="21">
        <f>IF(Element_Stiffness!$C$6,IF(Element_Stiffness!$C$5=4,IF(0=Element_Stiffness!$C$5,Element_Stiffness!S27,IF(0=Element_Stiffness!$E$5,Element_Stiffness!Y27,0)),IF(Element_Stiffness!$E$5=4,IF(0=Element_Stiffness!$C$5,Element_Stiffness!S33,IF(0=Element_Stiffness!$E$5,Element_Stiffness!Y33,0)),0)),0)+IF(Element_Stiffness!$C$41,IF(Element_Stiffness!$C$40=4,IF(0=Element_Stiffness!$C$40,Element_Stiffness!S62,IF(0=Element_Stiffness!$E$40,Element_Stiffness!Y62,0)),IF(Element_Stiffness!$E$40=4,IF(0=Element_Stiffness!$C$40,Element_Stiffness!S68,IF(0=Element_Stiffness!$E$40,Element_Stiffness!Y68,0)),0)),0)+IF(Element_Stiffness!$C$76,IF(Element_Stiffness!$C$75=4,IF(0=Element_Stiffness!$C$75,Element_Stiffness!S97,IF(0=Element_Stiffness!$E$75,Element_Stiffness!Y97,0)),IF(Element_Stiffness!$E$75=4,IF(0=Element_Stiffness!$C$75,Element_Stiffness!S103,IF(0=Element_Stiffness!$E$75,Element_Stiffness!Y103,0)),0)),0)+IF(Element_Stiffness!$C$111,IF(Element_Stiffness!$C$110=4,IF(0=Element_Stiffness!$C$110,Element_Stiffness!S132,IF(0=Element_Stiffness!$E$110,Element_Stiffness!Y132,0)),IF(Element_Stiffness!$E$110=4,IF(0=Element_Stiffness!$C$110,Element_Stiffness!S138,IF(0=Element_Stiffness!$E$110,Element_Stiffness!Y138,0)),0)),0)+IF(Element_Stiffness!$C$146,IF(Element_Stiffness!$C$145=4,IF(0=Element_Stiffness!$C$145,Element_Stiffness!S167,IF(0=Element_Stiffness!$E$145,Element_Stiffness!Y167,0)),IF(Element_Stiffness!$E$145=4,IF(0=Element_Stiffness!$C$145,Element_Stiffness!S173,IF(0=Element_Stiffness!$E$145,Element_Stiffness!Y173,0)),0)),0)+IF(Element_Stiffness!$C$181,IF(Element_Stiffness!$C$180=4,IF(0=Element_Stiffness!$C$180,Element_Stiffness!S202,IF(0=Element_Stiffness!$E$180,Element_Stiffness!Y202,0)),IF(Element_Stiffness!$E$180=4,IF(0=Element_Stiffness!$C$180,Element_Stiffness!S208,IF(0=Element_Stiffness!$E$180,Element_Stiffness!Y208,0)),0)),0)+IF(Element_Stiffness!$C$216,IF(Element_Stiffness!$C$215=4,IF(0=Element_Stiffness!$C$215,Element_Stiffness!S237,IF(0=Element_Stiffness!$E$215,Element_Stiffness!Y237,0)),IF(Element_Stiffness!$E$215=4,IF(0=Element_Stiffness!$C$215,Element_Stiffness!S243,IF(0=Element_Stiffness!$E$215,Element_Stiffness!Y243,0)),0)),0)</f>
        <v/>
      </c>
      <c r="G30" s="21">
        <f>IF(Element_Stiffness!$C$6,IF(Element_Stiffness!$C$5=4,IF(0=Element_Stiffness!$C$5,Element_Stiffness!T27,IF(0=Element_Stiffness!$E$5,Element_Stiffness!Z27,0)),IF(Element_Stiffness!$E$5=4,IF(0=Element_Stiffness!$C$5,Element_Stiffness!T33,IF(0=Element_Stiffness!$E$5,Element_Stiffness!Z33,0)),0)),0)+IF(Element_Stiffness!$C$41,IF(Element_Stiffness!$C$40=4,IF(0=Element_Stiffness!$C$40,Element_Stiffness!T62,IF(0=Element_Stiffness!$E$40,Element_Stiffness!Z62,0)),IF(Element_Stiffness!$E$40=4,IF(0=Element_Stiffness!$C$40,Element_Stiffness!T68,IF(0=Element_Stiffness!$E$40,Element_Stiffness!Z68,0)),0)),0)+IF(Element_Stiffness!$C$76,IF(Element_Stiffness!$C$75=4,IF(0=Element_Stiffness!$C$75,Element_Stiffness!T97,IF(0=Element_Stiffness!$E$75,Element_Stiffness!Z97,0)),IF(Element_Stiffness!$E$75=4,IF(0=Element_Stiffness!$C$75,Element_Stiffness!T103,IF(0=Element_Stiffness!$E$75,Element_Stiffness!Z103,0)),0)),0)+IF(Element_Stiffness!$C$111,IF(Element_Stiffness!$C$110=4,IF(0=Element_Stiffness!$C$110,Element_Stiffness!T132,IF(0=Element_Stiffness!$E$110,Element_Stiffness!Z132,0)),IF(Element_Stiffness!$E$110=4,IF(0=Element_Stiffness!$C$110,Element_Stiffness!T138,IF(0=Element_Stiffness!$E$110,Element_Stiffness!Z138,0)),0)),0)+IF(Element_Stiffness!$C$146,IF(Element_Stiffness!$C$145=4,IF(0=Element_Stiffness!$C$145,Element_Stiffness!T167,IF(0=Element_Stiffness!$E$145,Element_Stiffness!Z167,0)),IF(Element_Stiffness!$E$145=4,IF(0=Element_Stiffness!$C$145,Element_Stiffness!T173,IF(0=Element_Stiffness!$E$145,Element_Stiffness!Z173,0)),0)),0)+IF(Element_Stiffness!$C$181,IF(Element_Stiffness!$C$180=4,IF(0=Element_Stiffness!$C$180,Element_Stiffness!T202,IF(0=Element_Stiffness!$E$180,Element_Stiffness!Z202,0)),IF(Element_Stiffness!$E$180=4,IF(0=Element_Stiffness!$C$180,Element_Stiffness!T208,IF(0=Element_Stiffness!$E$180,Element_Stiffness!Z208,0)),0)),0)+IF(Element_Stiffness!$C$216,IF(Element_Stiffness!$C$215=4,IF(0=Element_Stiffness!$C$215,Element_Stiffness!T237,IF(0=Element_Stiffness!$E$215,Element_Stiffness!Z237,0)),IF(Element_Stiffness!$E$215=4,IF(0=Element_Stiffness!$C$215,Element_Stiffness!T243,IF(0=Element_Stiffness!$E$215,Element_Stiffness!Z243,0)),0)),0)</f>
        <v/>
      </c>
      <c r="H30" s="21">
        <f>IF(Element_Stiffness!$C$6,IF(Element_Stiffness!$C$5=4,IF(0=Element_Stiffness!$C$5,Element_Stiffness!U27,IF(0=Element_Stiffness!$E$5,Element_Stiffness!AA27,0)),IF(Element_Stiffness!$E$5=4,IF(0=Element_Stiffness!$C$5,Element_Stiffness!U33,IF(0=Element_Stiffness!$E$5,Element_Stiffness!AA33,0)),0)),0)+IF(Element_Stiffness!$C$41,IF(Element_Stiffness!$C$40=4,IF(0=Element_Stiffness!$C$40,Element_Stiffness!U62,IF(0=Element_Stiffness!$E$40,Element_Stiffness!AA62,0)),IF(Element_Stiffness!$E$40=4,IF(0=Element_Stiffness!$C$40,Element_Stiffness!U68,IF(0=Element_Stiffness!$E$40,Element_Stiffness!AA68,0)),0)),0)+IF(Element_Stiffness!$C$76,IF(Element_Stiffness!$C$75=4,IF(0=Element_Stiffness!$C$75,Element_Stiffness!U97,IF(0=Element_Stiffness!$E$75,Element_Stiffness!AA97,0)),IF(Element_Stiffness!$E$75=4,IF(0=Element_Stiffness!$C$75,Element_Stiffness!U103,IF(0=Element_Stiffness!$E$75,Element_Stiffness!AA103,0)),0)),0)+IF(Element_Stiffness!$C$111,IF(Element_Stiffness!$C$110=4,IF(0=Element_Stiffness!$C$110,Element_Stiffness!U132,IF(0=Element_Stiffness!$E$110,Element_Stiffness!AA132,0)),IF(Element_Stiffness!$E$110=4,IF(0=Element_Stiffness!$C$110,Element_Stiffness!U138,IF(0=Element_Stiffness!$E$110,Element_Stiffness!AA138,0)),0)),0)+IF(Element_Stiffness!$C$146,IF(Element_Stiffness!$C$145=4,IF(0=Element_Stiffness!$C$145,Element_Stiffness!U167,IF(0=Element_Stiffness!$E$145,Element_Stiffness!AA167,0)),IF(Element_Stiffness!$E$145=4,IF(0=Element_Stiffness!$C$145,Element_Stiffness!U173,IF(0=Element_Stiffness!$E$145,Element_Stiffness!AA173,0)),0)),0)+IF(Element_Stiffness!$C$181,IF(Element_Stiffness!$C$180=4,IF(0=Element_Stiffness!$C$180,Element_Stiffness!U202,IF(0=Element_Stiffness!$E$180,Element_Stiffness!AA202,0)),IF(Element_Stiffness!$E$180=4,IF(0=Element_Stiffness!$C$180,Element_Stiffness!U208,IF(0=Element_Stiffness!$E$180,Element_Stiffness!AA208,0)),0)),0)+IF(Element_Stiffness!$C$216,IF(Element_Stiffness!$C$215=4,IF(0=Element_Stiffness!$C$215,Element_Stiffness!U237,IF(0=Element_Stiffness!$E$215,Element_Stiffness!AA237,0)),IF(Element_Stiffness!$E$215=4,IF(0=Element_Stiffness!$C$215,Element_Stiffness!U243,IF(0=Element_Stiffness!$E$215,Element_Stiffness!AA243,0)),0)),0)</f>
        <v/>
      </c>
      <c r="I30" s="21">
        <f>IF(Element_Stiffness!$C$6,IF(Element_Stiffness!$C$5=4,IF(1=Element_Stiffness!$C$5,Element_Stiffness!P27,IF(1=Element_Stiffness!$E$5,Element_Stiffness!V27,0)),IF(Element_Stiffness!$E$5=4,IF(1=Element_Stiffness!$C$5,Element_Stiffness!P33,IF(1=Element_Stiffness!$E$5,Element_Stiffness!V33,0)),0)),0)+IF(Element_Stiffness!$C$41,IF(Element_Stiffness!$C$40=4,IF(1=Element_Stiffness!$C$40,Element_Stiffness!P62,IF(1=Element_Stiffness!$E$40,Element_Stiffness!V62,0)),IF(Element_Stiffness!$E$40=4,IF(1=Element_Stiffness!$C$40,Element_Stiffness!P68,IF(1=Element_Stiffness!$E$40,Element_Stiffness!V68,0)),0)),0)+IF(Element_Stiffness!$C$76,IF(Element_Stiffness!$C$75=4,IF(1=Element_Stiffness!$C$75,Element_Stiffness!P97,IF(1=Element_Stiffness!$E$75,Element_Stiffness!V97,0)),IF(Element_Stiffness!$E$75=4,IF(1=Element_Stiffness!$C$75,Element_Stiffness!P103,IF(1=Element_Stiffness!$E$75,Element_Stiffness!V103,0)),0)),0)+IF(Element_Stiffness!$C$111,IF(Element_Stiffness!$C$110=4,IF(1=Element_Stiffness!$C$110,Element_Stiffness!P132,IF(1=Element_Stiffness!$E$110,Element_Stiffness!V132,0)),IF(Element_Stiffness!$E$110=4,IF(1=Element_Stiffness!$C$110,Element_Stiffness!P138,IF(1=Element_Stiffness!$E$110,Element_Stiffness!V138,0)),0)),0)+IF(Element_Stiffness!$C$146,IF(Element_Stiffness!$C$145=4,IF(1=Element_Stiffness!$C$145,Element_Stiffness!P167,IF(1=Element_Stiffness!$E$145,Element_Stiffness!V167,0)),IF(Element_Stiffness!$E$145=4,IF(1=Element_Stiffness!$C$145,Element_Stiffness!P173,IF(1=Element_Stiffness!$E$145,Element_Stiffness!V173,0)),0)),0)+IF(Element_Stiffness!$C$181,IF(Element_Stiffness!$C$180=4,IF(1=Element_Stiffness!$C$180,Element_Stiffness!P202,IF(1=Element_Stiffness!$E$180,Element_Stiffness!V202,0)),IF(Element_Stiffness!$E$180=4,IF(1=Element_Stiffness!$C$180,Element_Stiffness!P208,IF(1=Element_Stiffness!$E$180,Element_Stiffness!V208,0)),0)),0)+IF(Element_Stiffness!$C$216,IF(Element_Stiffness!$C$215=4,IF(1=Element_Stiffness!$C$215,Element_Stiffness!P237,IF(1=Element_Stiffness!$E$215,Element_Stiffness!V237,0)),IF(Element_Stiffness!$E$215=4,IF(1=Element_Stiffness!$C$215,Element_Stiffness!P243,IF(1=Element_Stiffness!$E$215,Element_Stiffness!V243,0)),0)),0)</f>
        <v/>
      </c>
      <c r="J30" s="21">
        <f>IF(Element_Stiffness!$C$6,IF(Element_Stiffness!$C$5=4,IF(1=Element_Stiffness!$C$5,Element_Stiffness!Q27,IF(1=Element_Stiffness!$E$5,Element_Stiffness!W27,0)),IF(Element_Stiffness!$E$5=4,IF(1=Element_Stiffness!$C$5,Element_Stiffness!Q33,IF(1=Element_Stiffness!$E$5,Element_Stiffness!W33,0)),0)),0)+IF(Element_Stiffness!$C$41,IF(Element_Stiffness!$C$40=4,IF(1=Element_Stiffness!$C$40,Element_Stiffness!Q62,IF(1=Element_Stiffness!$E$40,Element_Stiffness!W62,0)),IF(Element_Stiffness!$E$40=4,IF(1=Element_Stiffness!$C$40,Element_Stiffness!Q68,IF(1=Element_Stiffness!$E$40,Element_Stiffness!W68,0)),0)),0)+IF(Element_Stiffness!$C$76,IF(Element_Stiffness!$C$75=4,IF(1=Element_Stiffness!$C$75,Element_Stiffness!Q97,IF(1=Element_Stiffness!$E$75,Element_Stiffness!W97,0)),IF(Element_Stiffness!$E$75=4,IF(1=Element_Stiffness!$C$75,Element_Stiffness!Q103,IF(1=Element_Stiffness!$E$75,Element_Stiffness!W103,0)),0)),0)+IF(Element_Stiffness!$C$111,IF(Element_Stiffness!$C$110=4,IF(1=Element_Stiffness!$C$110,Element_Stiffness!Q132,IF(1=Element_Stiffness!$E$110,Element_Stiffness!W132,0)),IF(Element_Stiffness!$E$110=4,IF(1=Element_Stiffness!$C$110,Element_Stiffness!Q138,IF(1=Element_Stiffness!$E$110,Element_Stiffness!W138,0)),0)),0)+IF(Element_Stiffness!$C$146,IF(Element_Stiffness!$C$145=4,IF(1=Element_Stiffness!$C$145,Element_Stiffness!Q167,IF(1=Element_Stiffness!$E$145,Element_Stiffness!W167,0)),IF(Element_Stiffness!$E$145=4,IF(1=Element_Stiffness!$C$145,Element_Stiffness!Q173,IF(1=Element_Stiffness!$E$145,Element_Stiffness!W173,0)),0)),0)+IF(Element_Stiffness!$C$181,IF(Element_Stiffness!$C$180=4,IF(1=Element_Stiffness!$C$180,Element_Stiffness!Q202,IF(1=Element_Stiffness!$E$180,Element_Stiffness!W202,0)),IF(Element_Stiffness!$E$180=4,IF(1=Element_Stiffness!$C$180,Element_Stiffness!Q208,IF(1=Element_Stiffness!$E$180,Element_Stiffness!W208,0)),0)),0)+IF(Element_Stiffness!$C$216,IF(Element_Stiffness!$C$215=4,IF(1=Element_Stiffness!$C$215,Element_Stiffness!Q237,IF(1=Element_Stiffness!$E$215,Element_Stiffness!W237,0)),IF(Element_Stiffness!$E$215=4,IF(1=Element_Stiffness!$C$215,Element_Stiffness!Q243,IF(1=Element_Stiffness!$E$215,Element_Stiffness!W243,0)),0)),0)</f>
        <v/>
      </c>
      <c r="K30" s="21">
        <f>IF(Element_Stiffness!$C$6,IF(Element_Stiffness!$C$5=4,IF(1=Element_Stiffness!$C$5,Element_Stiffness!R27,IF(1=Element_Stiffness!$E$5,Element_Stiffness!X27,0)),IF(Element_Stiffness!$E$5=4,IF(1=Element_Stiffness!$C$5,Element_Stiffness!R33,IF(1=Element_Stiffness!$E$5,Element_Stiffness!X33,0)),0)),0)+IF(Element_Stiffness!$C$41,IF(Element_Stiffness!$C$40=4,IF(1=Element_Stiffness!$C$40,Element_Stiffness!R62,IF(1=Element_Stiffness!$E$40,Element_Stiffness!X62,0)),IF(Element_Stiffness!$E$40=4,IF(1=Element_Stiffness!$C$40,Element_Stiffness!R68,IF(1=Element_Stiffness!$E$40,Element_Stiffness!X68,0)),0)),0)+IF(Element_Stiffness!$C$76,IF(Element_Stiffness!$C$75=4,IF(1=Element_Stiffness!$C$75,Element_Stiffness!R97,IF(1=Element_Stiffness!$E$75,Element_Stiffness!X97,0)),IF(Element_Stiffness!$E$75=4,IF(1=Element_Stiffness!$C$75,Element_Stiffness!R103,IF(1=Element_Stiffness!$E$75,Element_Stiffness!X103,0)),0)),0)+IF(Element_Stiffness!$C$111,IF(Element_Stiffness!$C$110=4,IF(1=Element_Stiffness!$C$110,Element_Stiffness!R132,IF(1=Element_Stiffness!$E$110,Element_Stiffness!X132,0)),IF(Element_Stiffness!$E$110=4,IF(1=Element_Stiffness!$C$110,Element_Stiffness!R138,IF(1=Element_Stiffness!$E$110,Element_Stiffness!X138,0)),0)),0)+IF(Element_Stiffness!$C$146,IF(Element_Stiffness!$C$145=4,IF(1=Element_Stiffness!$C$145,Element_Stiffness!R167,IF(1=Element_Stiffness!$E$145,Element_Stiffness!X167,0)),IF(Element_Stiffness!$E$145=4,IF(1=Element_Stiffness!$C$145,Element_Stiffness!R173,IF(1=Element_Stiffness!$E$145,Element_Stiffness!X173,0)),0)),0)+IF(Element_Stiffness!$C$181,IF(Element_Stiffness!$C$180=4,IF(1=Element_Stiffness!$C$180,Element_Stiffness!R202,IF(1=Element_Stiffness!$E$180,Element_Stiffness!X202,0)),IF(Element_Stiffness!$E$180=4,IF(1=Element_Stiffness!$C$180,Element_Stiffness!R208,IF(1=Element_Stiffness!$E$180,Element_Stiffness!X208,0)),0)),0)+IF(Element_Stiffness!$C$216,IF(Element_Stiffness!$C$215=4,IF(1=Element_Stiffness!$C$215,Element_Stiffness!R237,IF(1=Element_Stiffness!$E$215,Element_Stiffness!X237,0)),IF(Element_Stiffness!$E$215=4,IF(1=Element_Stiffness!$C$215,Element_Stiffness!R243,IF(1=Element_Stiffness!$E$215,Element_Stiffness!X243,0)),0)),0)</f>
        <v/>
      </c>
      <c r="L30" s="21">
        <f>IF(Element_Stiffness!$C$6,IF(Element_Stiffness!$C$5=4,IF(1=Element_Stiffness!$C$5,Element_Stiffness!S27,IF(1=Element_Stiffness!$E$5,Element_Stiffness!Y27,0)),IF(Element_Stiffness!$E$5=4,IF(1=Element_Stiffness!$C$5,Element_Stiffness!S33,IF(1=Element_Stiffness!$E$5,Element_Stiffness!Y33,0)),0)),0)+IF(Element_Stiffness!$C$41,IF(Element_Stiffness!$C$40=4,IF(1=Element_Stiffness!$C$40,Element_Stiffness!S62,IF(1=Element_Stiffness!$E$40,Element_Stiffness!Y62,0)),IF(Element_Stiffness!$E$40=4,IF(1=Element_Stiffness!$C$40,Element_Stiffness!S68,IF(1=Element_Stiffness!$E$40,Element_Stiffness!Y68,0)),0)),0)+IF(Element_Stiffness!$C$76,IF(Element_Stiffness!$C$75=4,IF(1=Element_Stiffness!$C$75,Element_Stiffness!S97,IF(1=Element_Stiffness!$E$75,Element_Stiffness!Y97,0)),IF(Element_Stiffness!$E$75=4,IF(1=Element_Stiffness!$C$75,Element_Stiffness!S103,IF(1=Element_Stiffness!$E$75,Element_Stiffness!Y103,0)),0)),0)+IF(Element_Stiffness!$C$111,IF(Element_Stiffness!$C$110=4,IF(1=Element_Stiffness!$C$110,Element_Stiffness!S132,IF(1=Element_Stiffness!$E$110,Element_Stiffness!Y132,0)),IF(Element_Stiffness!$E$110=4,IF(1=Element_Stiffness!$C$110,Element_Stiffness!S138,IF(1=Element_Stiffness!$E$110,Element_Stiffness!Y138,0)),0)),0)+IF(Element_Stiffness!$C$146,IF(Element_Stiffness!$C$145=4,IF(1=Element_Stiffness!$C$145,Element_Stiffness!S167,IF(1=Element_Stiffness!$E$145,Element_Stiffness!Y167,0)),IF(Element_Stiffness!$E$145=4,IF(1=Element_Stiffness!$C$145,Element_Stiffness!S173,IF(1=Element_Stiffness!$E$145,Element_Stiffness!Y173,0)),0)),0)+IF(Element_Stiffness!$C$181,IF(Element_Stiffness!$C$180=4,IF(1=Element_Stiffness!$C$180,Element_Stiffness!S202,IF(1=Element_Stiffness!$E$180,Element_Stiffness!Y202,0)),IF(Element_Stiffness!$E$180=4,IF(1=Element_Stiffness!$C$180,Element_Stiffness!S208,IF(1=Element_Stiffness!$E$180,Element_Stiffness!Y208,0)),0)),0)+IF(Element_Stiffness!$C$216,IF(Element_Stiffness!$C$215=4,IF(1=Element_Stiffness!$C$215,Element_Stiffness!S237,IF(1=Element_Stiffness!$E$215,Element_Stiffness!Y237,0)),IF(Element_Stiffness!$E$215=4,IF(1=Element_Stiffness!$C$215,Element_Stiffness!S243,IF(1=Element_Stiffness!$E$215,Element_Stiffness!Y243,0)),0)),0)</f>
        <v/>
      </c>
      <c r="M30" s="21">
        <f>IF(Element_Stiffness!$C$6,IF(Element_Stiffness!$C$5=4,IF(1=Element_Stiffness!$C$5,Element_Stiffness!T27,IF(1=Element_Stiffness!$E$5,Element_Stiffness!Z27,0)),IF(Element_Stiffness!$E$5=4,IF(1=Element_Stiffness!$C$5,Element_Stiffness!T33,IF(1=Element_Stiffness!$E$5,Element_Stiffness!Z33,0)),0)),0)+IF(Element_Stiffness!$C$41,IF(Element_Stiffness!$C$40=4,IF(1=Element_Stiffness!$C$40,Element_Stiffness!T62,IF(1=Element_Stiffness!$E$40,Element_Stiffness!Z62,0)),IF(Element_Stiffness!$E$40=4,IF(1=Element_Stiffness!$C$40,Element_Stiffness!T68,IF(1=Element_Stiffness!$E$40,Element_Stiffness!Z68,0)),0)),0)+IF(Element_Stiffness!$C$76,IF(Element_Stiffness!$C$75=4,IF(1=Element_Stiffness!$C$75,Element_Stiffness!T97,IF(1=Element_Stiffness!$E$75,Element_Stiffness!Z97,0)),IF(Element_Stiffness!$E$75=4,IF(1=Element_Stiffness!$C$75,Element_Stiffness!T103,IF(1=Element_Stiffness!$E$75,Element_Stiffness!Z103,0)),0)),0)+IF(Element_Stiffness!$C$111,IF(Element_Stiffness!$C$110=4,IF(1=Element_Stiffness!$C$110,Element_Stiffness!T132,IF(1=Element_Stiffness!$E$110,Element_Stiffness!Z132,0)),IF(Element_Stiffness!$E$110=4,IF(1=Element_Stiffness!$C$110,Element_Stiffness!T138,IF(1=Element_Stiffness!$E$110,Element_Stiffness!Z138,0)),0)),0)+IF(Element_Stiffness!$C$146,IF(Element_Stiffness!$C$145=4,IF(1=Element_Stiffness!$C$145,Element_Stiffness!T167,IF(1=Element_Stiffness!$E$145,Element_Stiffness!Z167,0)),IF(Element_Stiffness!$E$145=4,IF(1=Element_Stiffness!$C$145,Element_Stiffness!T173,IF(1=Element_Stiffness!$E$145,Element_Stiffness!Z173,0)),0)),0)+IF(Element_Stiffness!$C$181,IF(Element_Stiffness!$C$180=4,IF(1=Element_Stiffness!$C$180,Element_Stiffness!T202,IF(1=Element_Stiffness!$E$180,Element_Stiffness!Z202,0)),IF(Element_Stiffness!$E$180=4,IF(1=Element_Stiffness!$C$180,Element_Stiffness!T208,IF(1=Element_Stiffness!$E$180,Element_Stiffness!Z208,0)),0)),0)+IF(Element_Stiffness!$C$216,IF(Element_Stiffness!$C$215=4,IF(1=Element_Stiffness!$C$215,Element_Stiffness!T237,IF(1=Element_Stiffness!$E$215,Element_Stiffness!Z237,0)),IF(Element_Stiffness!$E$215=4,IF(1=Element_Stiffness!$C$215,Element_Stiffness!T243,IF(1=Element_Stiffness!$E$215,Element_Stiffness!Z243,0)),0)),0)</f>
        <v/>
      </c>
      <c r="N30" s="21">
        <f>IF(Element_Stiffness!$C$6,IF(Element_Stiffness!$C$5=4,IF(1=Element_Stiffness!$C$5,Element_Stiffness!U27,IF(1=Element_Stiffness!$E$5,Element_Stiffness!AA27,0)),IF(Element_Stiffness!$E$5=4,IF(1=Element_Stiffness!$C$5,Element_Stiffness!U33,IF(1=Element_Stiffness!$E$5,Element_Stiffness!AA33,0)),0)),0)+IF(Element_Stiffness!$C$41,IF(Element_Stiffness!$C$40=4,IF(1=Element_Stiffness!$C$40,Element_Stiffness!U62,IF(1=Element_Stiffness!$E$40,Element_Stiffness!AA62,0)),IF(Element_Stiffness!$E$40=4,IF(1=Element_Stiffness!$C$40,Element_Stiffness!U68,IF(1=Element_Stiffness!$E$40,Element_Stiffness!AA68,0)),0)),0)+IF(Element_Stiffness!$C$76,IF(Element_Stiffness!$C$75=4,IF(1=Element_Stiffness!$C$75,Element_Stiffness!U97,IF(1=Element_Stiffness!$E$75,Element_Stiffness!AA97,0)),IF(Element_Stiffness!$E$75=4,IF(1=Element_Stiffness!$C$75,Element_Stiffness!U103,IF(1=Element_Stiffness!$E$75,Element_Stiffness!AA103,0)),0)),0)+IF(Element_Stiffness!$C$111,IF(Element_Stiffness!$C$110=4,IF(1=Element_Stiffness!$C$110,Element_Stiffness!U132,IF(1=Element_Stiffness!$E$110,Element_Stiffness!AA132,0)),IF(Element_Stiffness!$E$110=4,IF(1=Element_Stiffness!$C$110,Element_Stiffness!U138,IF(1=Element_Stiffness!$E$110,Element_Stiffness!AA138,0)),0)),0)+IF(Element_Stiffness!$C$146,IF(Element_Stiffness!$C$145=4,IF(1=Element_Stiffness!$C$145,Element_Stiffness!U167,IF(1=Element_Stiffness!$E$145,Element_Stiffness!AA167,0)),IF(Element_Stiffness!$E$145=4,IF(1=Element_Stiffness!$C$145,Element_Stiffness!U173,IF(1=Element_Stiffness!$E$145,Element_Stiffness!AA173,0)),0)),0)+IF(Element_Stiffness!$C$181,IF(Element_Stiffness!$C$180=4,IF(1=Element_Stiffness!$C$180,Element_Stiffness!U202,IF(1=Element_Stiffness!$E$180,Element_Stiffness!AA202,0)),IF(Element_Stiffness!$E$180=4,IF(1=Element_Stiffness!$C$180,Element_Stiffness!U208,IF(1=Element_Stiffness!$E$180,Element_Stiffness!AA208,0)),0)),0)+IF(Element_Stiffness!$C$216,IF(Element_Stiffness!$C$215=4,IF(1=Element_Stiffness!$C$215,Element_Stiffness!U237,IF(1=Element_Stiffness!$E$215,Element_Stiffness!AA237,0)),IF(Element_Stiffness!$E$215=4,IF(1=Element_Stiffness!$C$215,Element_Stiffness!U243,IF(1=Element_Stiffness!$E$215,Element_Stiffness!AA243,0)),0)),0)</f>
        <v/>
      </c>
      <c r="O30" s="21">
        <f>IF(Element_Stiffness!$C$6,IF(Element_Stiffness!$C$5=4,IF(2=Element_Stiffness!$C$5,Element_Stiffness!P27,IF(2=Element_Stiffness!$E$5,Element_Stiffness!V27,0)),IF(Element_Stiffness!$E$5=4,IF(2=Element_Stiffness!$C$5,Element_Stiffness!P33,IF(2=Element_Stiffness!$E$5,Element_Stiffness!V33,0)),0)),0)+IF(Element_Stiffness!$C$41,IF(Element_Stiffness!$C$40=4,IF(2=Element_Stiffness!$C$40,Element_Stiffness!P62,IF(2=Element_Stiffness!$E$40,Element_Stiffness!V62,0)),IF(Element_Stiffness!$E$40=4,IF(2=Element_Stiffness!$C$40,Element_Stiffness!P68,IF(2=Element_Stiffness!$E$40,Element_Stiffness!V68,0)),0)),0)+IF(Element_Stiffness!$C$76,IF(Element_Stiffness!$C$75=4,IF(2=Element_Stiffness!$C$75,Element_Stiffness!P97,IF(2=Element_Stiffness!$E$75,Element_Stiffness!V97,0)),IF(Element_Stiffness!$E$75=4,IF(2=Element_Stiffness!$C$75,Element_Stiffness!P103,IF(2=Element_Stiffness!$E$75,Element_Stiffness!V103,0)),0)),0)+IF(Element_Stiffness!$C$111,IF(Element_Stiffness!$C$110=4,IF(2=Element_Stiffness!$C$110,Element_Stiffness!P132,IF(2=Element_Stiffness!$E$110,Element_Stiffness!V132,0)),IF(Element_Stiffness!$E$110=4,IF(2=Element_Stiffness!$C$110,Element_Stiffness!P138,IF(2=Element_Stiffness!$E$110,Element_Stiffness!V138,0)),0)),0)+IF(Element_Stiffness!$C$146,IF(Element_Stiffness!$C$145=4,IF(2=Element_Stiffness!$C$145,Element_Stiffness!P167,IF(2=Element_Stiffness!$E$145,Element_Stiffness!V167,0)),IF(Element_Stiffness!$E$145=4,IF(2=Element_Stiffness!$C$145,Element_Stiffness!P173,IF(2=Element_Stiffness!$E$145,Element_Stiffness!V173,0)),0)),0)+IF(Element_Stiffness!$C$181,IF(Element_Stiffness!$C$180=4,IF(2=Element_Stiffness!$C$180,Element_Stiffness!P202,IF(2=Element_Stiffness!$E$180,Element_Stiffness!V202,0)),IF(Element_Stiffness!$E$180=4,IF(2=Element_Stiffness!$C$180,Element_Stiffness!P208,IF(2=Element_Stiffness!$E$180,Element_Stiffness!V208,0)),0)),0)+IF(Element_Stiffness!$C$216,IF(Element_Stiffness!$C$215=4,IF(2=Element_Stiffness!$C$215,Element_Stiffness!P237,IF(2=Element_Stiffness!$E$215,Element_Stiffness!V237,0)),IF(Element_Stiffness!$E$215=4,IF(2=Element_Stiffness!$C$215,Element_Stiffness!P243,IF(2=Element_Stiffness!$E$215,Element_Stiffness!V243,0)),0)),0)</f>
        <v/>
      </c>
      <c r="P30" s="21">
        <f>IF(Element_Stiffness!$C$6,IF(Element_Stiffness!$C$5=4,IF(2=Element_Stiffness!$C$5,Element_Stiffness!Q27,IF(2=Element_Stiffness!$E$5,Element_Stiffness!W27,0)),IF(Element_Stiffness!$E$5=4,IF(2=Element_Stiffness!$C$5,Element_Stiffness!Q33,IF(2=Element_Stiffness!$E$5,Element_Stiffness!W33,0)),0)),0)+IF(Element_Stiffness!$C$41,IF(Element_Stiffness!$C$40=4,IF(2=Element_Stiffness!$C$40,Element_Stiffness!Q62,IF(2=Element_Stiffness!$E$40,Element_Stiffness!W62,0)),IF(Element_Stiffness!$E$40=4,IF(2=Element_Stiffness!$C$40,Element_Stiffness!Q68,IF(2=Element_Stiffness!$E$40,Element_Stiffness!W68,0)),0)),0)+IF(Element_Stiffness!$C$76,IF(Element_Stiffness!$C$75=4,IF(2=Element_Stiffness!$C$75,Element_Stiffness!Q97,IF(2=Element_Stiffness!$E$75,Element_Stiffness!W97,0)),IF(Element_Stiffness!$E$75=4,IF(2=Element_Stiffness!$C$75,Element_Stiffness!Q103,IF(2=Element_Stiffness!$E$75,Element_Stiffness!W103,0)),0)),0)+IF(Element_Stiffness!$C$111,IF(Element_Stiffness!$C$110=4,IF(2=Element_Stiffness!$C$110,Element_Stiffness!Q132,IF(2=Element_Stiffness!$E$110,Element_Stiffness!W132,0)),IF(Element_Stiffness!$E$110=4,IF(2=Element_Stiffness!$C$110,Element_Stiffness!Q138,IF(2=Element_Stiffness!$E$110,Element_Stiffness!W138,0)),0)),0)+IF(Element_Stiffness!$C$146,IF(Element_Stiffness!$C$145=4,IF(2=Element_Stiffness!$C$145,Element_Stiffness!Q167,IF(2=Element_Stiffness!$E$145,Element_Stiffness!W167,0)),IF(Element_Stiffness!$E$145=4,IF(2=Element_Stiffness!$C$145,Element_Stiffness!Q173,IF(2=Element_Stiffness!$E$145,Element_Stiffness!W173,0)),0)),0)+IF(Element_Stiffness!$C$181,IF(Element_Stiffness!$C$180=4,IF(2=Element_Stiffness!$C$180,Element_Stiffness!Q202,IF(2=Element_Stiffness!$E$180,Element_Stiffness!W202,0)),IF(Element_Stiffness!$E$180=4,IF(2=Element_Stiffness!$C$180,Element_Stiffness!Q208,IF(2=Element_Stiffness!$E$180,Element_Stiffness!W208,0)),0)),0)+IF(Element_Stiffness!$C$216,IF(Element_Stiffness!$C$215=4,IF(2=Element_Stiffness!$C$215,Element_Stiffness!Q237,IF(2=Element_Stiffness!$E$215,Element_Stiffness!W237,0)),IF(Element_Stiffness!$E$215=4,IF(2=Element_Stiffness!$C$215,Element_Stiffness!Q243,IF(2=Element_Stiffness!$E$215,Element_Stiffness!W243,0)),0)),0)</f>
        <v/>
      </c>
      <c r="Q30" s="21">
        <f>IF(Element_Stiffness!$C$6,IF(Element_Stiffness!$C$5=4,IF(2=Element_Stiffness!$C$5,Element_Stiffness!R27,IF(2=Element_Stiffness!$E$5,Element_Stiffness!X27,0)),IF(Element_Stiffness!$E$5=4,IF(2=Element_Stiffness!$C$5,Element_Stiffness!R33,IF(2=Element_Stiffness!$E$5,Element_Stiffness!X33,0)),0)),0)+IF(Element_Stiffness!$C$41,IF(Element_Stiffness!$C$40=4,IF(2=Element_Stiffness!$C$40,Element_Stiffness!R62,IF(2=Element_Stiffness!$E$40,Element_Stiffness!X62,0)),IF(Element_Stiffness!$E$40=4,IF(2=Element_Stiffness!$C$40,Element_Stiffness!R68,IF(2=Element_Stiffness!$E$40,Element_Stiffness!X68,0)),0)),0)+IF(Element_Stiffness!$C$76,IF(Element_Stiffness!$C$75=4,IF(2=Element_Stiffness!$C$75,Element_Stiffness!R97,IF(2=Element_Stiffness!$E$75,Element_Stiffness!X97,0)),IF(Element_Stiffness!$E$75=4,IF(2=Element_Stiffness!$C$75,Element_Stiffness!R103,IF(2=Element_Stiffness!$E$75,Element_Stiffness!X103,0)),0)),0)+IF(Element_Stiffness!$C$111,IF(Element_Stiffness!$C$110=4,IF(2=Element_Stiffness!$C$110,Element_Stiffness!R132,IF(2=Element_Stiffness!$E$110,Element_Stiffness!X132,0)),IF(Element_Stiffness!$E$110=4,IF(2=Element_Stiffness!$C$110,Element_Stiffness!R138,IF(2=Element_Stiffness!$E$110,Element_Stiffness!X138,0)),0)),0)+IF(Element_Stiffness!$C$146,IF(Element_Stiffness!$C$145=4,IF(2=Element_Stiffness!$C$145,Element_Stiffness!R167,IF(2=Element_Stiffness!$E$145,Element_Stiffness!X167,0)),IF(Element_Stiffness!$E$145=4,IF(2=Element_Stiffness!$C$145,Element_Stiffness!R173,IF(2=Element_Stiffness!$E$145,Element_Stiffness!X173,0)),0)),0)+IF(Element_Stiffness!$C$181,IF(Element_Stiffness!$C$180=4,IF(2=Element_Stiffness!$C$180,Element_Stiffness!R202,IF(2=Element_Stiffness!$E$180,Element_Stiffness!X202,0)),IF(Element_Stiffness!$E$180=4,IF(2=Element_Stiffness!$C$180,Element_Stiffness!R208,IF(2=Element_Stiffness!$E$180,Element_Stiffness!X208,0)),0)),0)+IF(Element_Stiffness!$C$216,IF(Element_Stiffness!$C$215=4,IF(2=Element_Stiffness!$C$215,Element_Stiffness!R237,IF(2=Element_Stiffness!$E$215,Element_Stiffness!X237,0)),IF(Element_Stiffness!$E$215=4,IF(2=Element_Stiffness!$C$215,Element_Stiffness!R243,IF(2=Element_Stiffness!$E$215,Element_Stiffness!X243,0)),0)),0)</f>
        <v/>
      </c>
      <c r="R30" s="21">
        <f>IF(Element_Stiffness!$C$6,IF(Element_Stiffness!$C$5=4,IF(2=Element_Stiffness!$C$5,Element_Stiffness!S27,IF(2=Element_Stiffness!$E$5,Element_Stiffness!Y27,0)),IF(Element_Stiffness!$E$5=4,IF(2=Element_Stiffness!$C$5,Element_Stiffness!S33,IF(2=Element_Stiffness!$E$5,Element_Stiffness!Y33,0)),0)),0)+IF(Element_Stiffness!$C$41,IF(Element_Stiffness!$C$40=4,IF(2=Element_Stiffness!$C$40,Element_Stiffness!S62,IF(2=Element_Stiffness!$E$40,Element_Stiffness!Y62,0)),IF(Element_Stiffness!$E$40=4,IF(2=Element_Stiffness!$C$40,Element_Stiffness!S68,IF(2=Element_Stiffness!$E$40,Element_Stiffness!Y68,0)),0)),0)+IF(Element_Stiffness!$C$76,IF(Element_Stiffness!$C$75=4,IF(2=Element_Stiffness!$C$75,Element_Stiffness!S97,IF(2=Element_Stiffness!$E$75,Element_Stiffness!Y97,0)),IF(Element_Stiffness!$E$75=4,IF(2=Element_Stiffness!$C$75,Element_Stiffness!S103,IF(2=Element_Stiffness!$E$75,Element_Stiffness!Y103,0)),0)),0)+IF(Element_Stiffness!$C$111,IF(Element_Stiffness!$C$110=4,IF(2=Element_Stiffness!$C$110,Element_Stiffness!S132,IF(2=Element_Stiffness!$E$110,Element_Stiffness!Y132,0)),IF(Element_Stiffness!$E$110=4,IF(2=Element_Stiffness!$C$110,Element_Stiffness!S138,IF(2=Element_Stiffness!$E$110,Element_Stiffness!Y138,0)),0)),0)+IF(Element_Stiffness!$C$146,IF(Element_Stiffness!$C$145=4,IF(2=Element_Stiffness!$C$145,Element_Stiffness!S167,IF(2=Element_Stiffness!$E$145,Element_Stiffness!Y167,0)),IF(Element_Stiffness!$E$145=4,IF(2=Element_Stiffness!$C$145,Element_Stiffness!S173,IF(2=Element_Stiffness!$E$145,Element_Stiffness!Y173,0)),0)),0)+IF(Element_Stiffness!$C$181,IF(Element_Stiffness!$C$180=4,IF(2=Element_Stiffness!$C$180,Element_Stiffness!S202,IF(2=Element_Stiffness!$E$180,Element_Stiffness!Y202,0)),IF(Element_Stiffness!$E$180=4,IF(2=Element_Stiffness!$C$180,Element_Stiffness!S208,IF(2=Element_Stiffness!$E$180,Element_Stiffness!Y208,0)),0)),0)+IF(Element_Stiffness!$C$216,IF(Element_Stiffness!$C$215=4,IF(2=Element_Stiffness!$C$215,Element_Stiffness!S237,IF(2=Element_Stiffness!$E$215,Element_Stiffness!Y237,0)),IF(Element_Stiffness!$E$215=4,IF(2=Element_Stiffness!$C$215,Element_Stiffness!S243,IF(2=Element_Stiffness!$E$215,Element_Stiffness!Y243,0)),0)),0)</f>
        <v/>
      </c>
      <c r="S30" s="21">
        <f>IF(Element_Stiffness!$C$6,IF(Element_Stiffness!$C$5=4,IF(2=Element_Stiffness!$C$5,Element_Stiffness!T27,IF(2=Element_Stiffness!$E$5,Element_Stiffness!Z27,0)),IF(Element_Stiffness!$E$5=4,IF(2=Element_Stiffness!$C$5,Element_Stiffness!T33,IF(2=Element_Stiffness!$E$5,Element_Stiffness!Z33,0)),0)),0)+IF(Element_Stiffness!$C$41,IF(Element_Stiffness!$C$40=4,IF(2=Element_Stiffness!$C$40,Element_Stiffness!T62,IF(2=Element_Stiffness!$E$40,Element_Stiffness!Z62,0)),IF(Element_Stiffness!$E$40=4,IF(2=Element_Stiffness!$C$40,Element_Stiffness!T68,IF(2=Element_Stiffness!$E$40,Element_Stiffness!Z68,0)),0)),0)+IF(Element_Stiffness!$C$76,IF(Element_Stiffness!$C$75=4,IF(2=Element_Stiffness!$C$75,Element_Stiffness!T97,IF(2=Element_Stiffness!$E$75,Element_Stiffness!Z97,0)),IF(Element_Stiffness!$E$75=4,IF(2=Element_Stiffness!$C$75,Element_Stiffness!T103,IF(2=Element_Stiffness!$E$75,Element_Stiffness!Z103,0)),0)),0)+IF(Element_Stiffness!$C$111,IF(Element_Stiffness!$C$110=4,IF(2=Element_Stiffness!$C$110,Element_Stiffness!T132,IF(2=Element_Stiffness!$E$110,Element_Stiffness!Z132,0)),IF(Element_Stiffness!$E$110=4,IF(2=Element_Stiffness!$C$110,Element_Stiffness!T138,IF(2=Element_Stiffness!$E$110,Element_Stiffness!Z138,0)),0)),0)+IF(Element_Stiffness!$C$146,IF(Element_Stiffness!$C$145=4,IF(2=Element_Stiffness!$C$145,Element_Stiffness!T167,IF(2=Element_Stiffness!$E$145,Element_Stiffness!Z167,0)),IF(Element_Stiffness!$E$145=4,IF(2=Element_Stiffness!$C$145,Element_Stiffness!T173,IF(2=Element_Stiffness!$E$145,Element_Stiffness!Z173,0)),0)),0)+IF(Element_Stiffness!$C$181,IF(Element_Stiffness!$C$180=4,IF(2=Element_Stiffness!$C$180,Element_Stiffness!T202,IF(2=Element_Stiffness!$E$180,Element_Stiffness!Z202,0)),IF(Element_Stiffness!$E$180=4,IF(2=Element_Stiffness!$C$180,Element_Stiffness!T208,IF(2=Element_Stiffness!$E$180,Element_Stiffness!Z208,0)),0)),0)+IF(Element_Stiffness!$C$216,IF(Element_Stiffness!$C$215=4,IF(2=Element_Stiffness!$C$215,Element_Stiffness!T237,IF(2=Element_Stiffness!$E$215,Element_Stiffness!Z237,0)),IF(Element_Stiffness!$E$215=4,IF(2=Element_Stiffness!$C$215,Element_Stiffness!T243,IF(2=Element_Stiffness!$E$215,Element_Stiffness!Z243,0)),0)),0)</f>
        <v/>
      </c>
      <c r="T30" s="21">
        <f>IF(Element_Stiffness!$C$6,IF(Element_Stiffness!$C$5=4,IF(2=Element_Stiffness!$C$5,Element_Stiffness!U27,IF(2=Element_Stiffness!$E$5,Element_Stiffness!AA27,0)),IF(Element_Stiffness!$E$5=4,IF(2=Element_Stiffness!$C$5,Element_Stiffness!U33,IF(2=Element_Stiffness!$E$5,Element_Stiffness!AA33,0)),0)),0)+IF(Element_Stiffness!$C$41,IF(Element_Stiffness!$C$40=4,IF(2=Element_Stiffness!$C$40,Element_Stiffness!U62,IF(2=Element_Stiffness!$E$40,Element_Stiffness!AA62,0)),IF(Element_Stiffness!$E$40=4,IF(2=Element_Stiffness!$C$40,Element_Stiffness!U68,IF(2=Element_Stiffness!$E$40,Element_Stiffness!AA68,0)),0)),0)+IF(Element_Stiffness!$C$76,IF(Element_Stiffness!$C$75=4,IF(2=Element_Stiffness!$C$75,Element_Stiffness!U97,IF(2=Element_Stiffness!$E$75,Element_Stiffness!AA97,0)),IF(Element_Stiffness!$E$75=4,IF(2=Element_Stiffness!$C$75,Element_Stiffness!U103,IF(2=Element_Stiffness!$E$75,Element_Stiffness!AA103,0)),0)),0)+IF(Element_Stiffness!$C$111,IF(Element_Stiffness!$C$110=4,IF(2=Element_Stiffness!$C$110,Element_Stiffness!U132,IF(2=Element_Stiffness!$E$110,Element_Stiffness!AA132,0)),IF(Element_Stiffness!$E$110=4,IF(2=Element_Stiffness!$C$110,Element_Stiffness!U138,IF(2=Element_Stiffness!$E$110,Element_Stiffness!AA138,0)),0)),0)+IF(Element_Stiffness!$C$146,IF(Element_Stiffness!$C$145=4,IF(2=Element_Stiffness!$C$145,Element_Stiffness!U167,IF(2=Element_Stiffness!$E$145,Element_Stiffness!AA167,0)),IF(Element_Stiffness!$E$145=4,IF(2=Element_Stiffness!$C$145,Element_Stiffness!U173,IF(2=Element_Stiffness!$E$145,Element_Stiffness!AA173,0)),0)),0)+IF(Element_Stiffness!$C$181,IF(Element_Stiffness!$C$180=4,IF(2=Element_Stiffness!$C$180,Element_Stiffness!U202,IF(2=Element_Stiffness!$E$180,Element_Stiffness!AA202,0)),IF(Element_Stiffness!$E$180=4,IF(2=Element_Stiffness!$C$180,Element_Stiffness!U208,IF(2=Element_Stiffness!$E$180,Element_Stiffness!AA208,0)),0)),0)+IF(Element_Stiffness!$C$216,IF(Element_Stiffness!$C$215=4,IF(2=Element_Stiffness!$C$215,Element_Stiffness!U237,IF(2=Element_Stiffness!$E$215,Element_Stiffness!AA237,0)),IF(Element_Stiffness!$E$215=4,IF(2=Element_Stiffness!$C$215,Element_Stiffness!U243,IF(2=Element_Stiffness!$E$215,Element_Stiffness!AA243,0)),0)),0)</f>
        <v/>
      </c>
      <c r="U30" s="21">
        <f>IF(Element_Stiffness!$C$6,IF(Element_Stiffness!$C$5=4,IF(3=Element_Stiffness!$C$5,Element_Stiffness!P27,IF(3=Element_Stiffness!$E$5,Element_Stiffness!V27,0)),IF(Element_Stiffness!$E$5=4,IF(3=Element_Stiffness!$C$5,Element_Stiffness!P33,IF(3=Element_Stiffness!$E$5,Element_Stiffness!V33,0)),0)),0)+IF(Element_Stiffness!$C$41,IF(Element_Stiffness!$C$40=4,IF(3=Element_Stiffness!$C$40,Element_Stiffness!P62,IF(3=Element_Stiffness!$E$40,Element_Stiffness!V62,0)),IF(Element_Stiffness!$E$40=4,IF(3=Element_Stiffness!$C$40,Element_Stiffness!P68,IF(3=Element_Stiffness!$E$40,Element_Stiffness!V68,0)),0)),0)+IF(Element_Stiffness!$C$76,IF(Element_Stiffness!$C$75=4,IF(3=Element_Stiffness!$C$75,Element_Stiffness!P97,IF(3=Element_Stiffness!$E$75,Element_Stiffness!V97,0)),IF(Element_Stiffness!$E$75=4,IF(3=Element_Stiffness!$C$75,Element_Stiffness!P103,IF(3=Element_Stiffness!$E$75,Element_Stiffness!V103,0)),0)),0)+IF(Element_Stiffness!$C$111,IF(Element_Stiffness!$C$110=4,IF(3=Element_Stiffness!$C$110,Element_Stiffness!P132,IF(3=Element_Stiffness!$E$110,Element_Stiffness!V132,0)),IF(Element_Stiffness!$E$110=4,IF(3=Element_Stiffness!$C$110,Element_Stiffness!P138,IF(3=Element_Stiffness!$E$110,Element_Stiffness!V138,0)),0)),0)+IF(Element_Stiffness!$C$146,IF(Element_Stiffness!$C$145=4,IF(3=Element_Stiffness!$C$145,Element_Stiffness!P167,IF(3=Element_Stiffness!$E$145,Element_Stiffness!V167,0)),IF(Element_Stiffness!$E$145=4,IF(3=Element_Stiffness!$C$145,Element_Stiffness!P173,IF(3=Element_Stiffness!$E$145,Element_Stiffness!V173,0)),0)),0)+IF(Element_Stiffness!$C$181,IF(Element_Stiffness!$C$180=4,IF(3=Element_Stiffness!$C$180,Element_Stiffness!P202,IF(3=Element_Stiffness!$E$180,Element_Stiffness!V202,0)),IF(Element_Stiffness!$E$180=4,IF(3=Element_Stiffness!$C$180,Element_Stiffness!P208,IF(3=Element_Stiffness!$E$180,Element_Stiffness!V208,0)),0)),0)+IF(Element_Stiffness!$C$216,IF(Element_Stiffness!$C$215=4,IF(3=Element_Stiffness!$C$215,Element_Stiffness!P237,IF(3=Element_Stiffness!$E$215,Element_Stiffness!V237,0)),IF(Element_Stiffness!$E$215=4,IF(3=Element_Stiffness!$C$215,Element_Stiffness!P243,IF(3=Element_Stiffness!$E$215,Element_Stiffness!V243,0)),0)),0)</f>
        <v/>
      </c>
      <c r="V30" s="21">
        <f>IF(Element_Stiffness!$C$6,IF(Element_Stiffness!$C$5=4,IF(3=Element_Stiffness!$C$5,Element_Stiffness!Q27,IF(3=Element_Stiffness!$E$5,Element_Stiffness!W27,0)),IF(Element_Stiffness!$E$5=4,IF(3=Element_Stiffness!$C$5,Element_Stiffness!Q33,IF(3=Element_Stiffness!$E$5,Element_Stiffness!W33,0)),0)),0)+IF(Element_Stiffness!$C$41,IF(Element_Stiffness!$C$40=4,IF(3=Element_Stiffness!$C$40,Element_Stiffness!Q62,IF(3=Element_Stiffness!$E$40,Element_Stiffness!W62,0)),IF(Element_Stiffness!$E$40=4,IF(3=Element_Stiffness!$C$40,Element_Stiffness!Q68,IF(3=Element_Stiffness!$E$40,Element_Stiffness!W68,0)),0)),0)+IF(Element_Stiffness!$C$76,IF(Element_Stiffness!$C$75=4,IF(3=Element_Stiffness!$C$75,Element_Stiffness!Q97,IF(3=Element_Stiffness!$E$75,Element_Stiffness!W97,0)),IF(Element_Stiffness!$E$75=4,IF(3=Element_Stiffness!$C$75,Element_Stiffness!Q103,IF(3=Element_Stiffness!$E$75,Element_Stiffness!W103,0)),0)),0)+IF(Element_Stiffness!$C$111,IF(Element_Stiffness!$C$110=4,IF(3=Element_Stiffness!$C$110,Element_Stiffness!Q132,IF(3=Element_Stiffness!$E$110,Element_Stiffness!W132,0)),IF(Element_Stiffness!$E$110=4,IF(3=Element_Stiffness!$C$110,Element_Stiffness!Q138,IF(3=Element_Stiffness!$E$110,Element_Stiffness!W138,0)),0)),0)+IF(Element_Stiffness!$C$146,IF(Element_Stiffness!$C$145=4,IF(3=Element_Stiffness!$C$145,Element_Stiffness!Q167,IF(3=Element_Stiffness!$E$145,Element_Stiffness!W167,0)),IF(Element_Stiffness!$E$145=4,IF(3=Element_Stiffness!$C$145,Element_Stiffness!Q173,IF(3=Element_Stiffness!$E$145,Element_Stiffness!W173,0)),0)),0)+IF(Element_Stiffness!$C$181,IF(Element_Stiffness!$C$180=4,IF(3=Element_Stiffness!$C$180,Element_Stiffness!Q202,IF(3=Element_Stiffness!$E$180,Element_Stiffness!W202,0)),IF(Element_Stiffness!$E$180=4,IF(3=Element_Stiffness!$C$180,Element_Stiffness!Q208,IF(3=Element_Stiffness!$E$180,Element_Stiffness!W208,0)),0)),0)+IF(Element_Stiffness!$C$216,IF(Element_Stiffness!$C$215=4,IF(3=Element_Stiffness!$C$215,Element_Stiffness!Q237,IF(3=Element_Stiffness!$E$215,Element_Stiffness!W237,0)),IF(Element_Stiffness!$E$215=4,IF(3=Element_Stiffness!$C$215,Element_Stiffness!Q243,IF(3=Element_Stiffness!$E$215,Element_Stiffness!W243,0)),0)),0)</f>
        <v/>
      </c>
      <c r="W30" s="21">
        <f>IF(Element_Stiffness!$C$6,IF(Element_Stiffness!$C$5=4,IF(3=Element_Stiffness!$C$5,Element_Stiffness!R27,IF(3=Element_Stiffness!$E$5,Element_Stiffness!X27,0)),IF(Element_Stiffness!$E$5=4,IF(3=Element_Stiffness!$C$5,Element_Stiffness!R33,IF(3=Element_Stiffness!$E$5,Element_Stiffness!X33,0)),0)),0)+IF(Element_Stiffness!$C$41,IF(Element_Stiffness!$C$40=4,IF(3=Element_Stiffness!$C$40,Element_Stiffness!R62,IF(3=Element_Stiffness!$E$40,Element_Stiffness!X62,0)),IF(Element_Stiffness!$E$40=4,IF(3=Element_Stiffness!$C$40,Element_Stiffness!R68,IF(3=Element_Stiffness!$E$40,Element_Stiffness!X68,0)),0)),0)+IF(Element_Stiffness!$C$76,IF(Element_Stiffness!$C$75=4,IF(3=Element_Stiffness!$C$75,Element_Stiffness!R97,IF(3=Element_Stiffness!$E$75,Element_Stiffness!X97,0)),IF(Element_Stiffness!$E$75=4,IF(3=Element_Stiffness!$C$75,Element_Stiffness!R103,IF(3=Element_Stiffness!$E$75,Element_Stiffness!X103,0)),0)),0)+IF(Element_Stiffness!$C$111,IF(Element_Stiffness!$C$110=4,IF(3=Element_Stiffness!$C$110,Element_Stiffness!R132,IF(3=Element_Stiffness!$E$110,Element_Stiffness!X132,0)),IF(Element_Stiffness!$E$110=4,IF(3=Element_Stiffness!$C$110,Element_Stiffness!R138,IF(3=Element_Stiffness!$E$110,Element_Stiffness!X138,0)),0)),0)+IF(Element_Stiffness!$C$146,IF(Element_Stiffness!$C$145=4,IF(3=Element_Stiffness!$C$145,Element_Stiffness!R167,IF(3=Element_Stiffness!$E$145,Element_Stiffness!X167,0)),IF(Element_Stiffness!$E$145=4,IF(3=Element_Stiffness!$C$145,Element_Stiffness!R173,IF(3=Element_Stiffness!$E$145,Element_Stiffness!X173,0)),0)),0)+IF(Element_Stiffness!$C$181,IF(Element_Stiffness!$C$180=4,IF(3=Element_Stiffness!$C$180,Element_Stiffness!R202,IF(3=Element_Stiffness!$E$180,Element_Stiffness!X202,0)),IF(Element_Stiffness!$E$180=4,IF(3=Element_Stiffness!$C$180,Element_Stiffness!R208,IF(3=Element_Stiffness!$E$180,Element_Stiffness!X208,0)),0)),0)+IF(Element_Stiffness!$C$216,IF(Element_Stiffness!$C$215=4,IF(3=Element_Stiffness!$C$215,Element_Stiffness!R237,IF(3=Element_Stiffness!$E$215,Element_Stiffness!X237,0)),IF(Element_Stiffness!$E$215=4,IF(3=Element_Stiffness!$C$215,Element_Stiffness!R243,IF(3=Element_Stiffness!$E$215,Element_Stiffness!X243,0)),0)),0)</f>
        <v/>
      </c>
      <c r="X30" s="21">
        <f>IF(Element_Stiffness!$C$6,IF(Element_Stiffness!$C$5=4,IF(3=Element_Stiffness!$C$5,Element_Stiffness!S27,IF(3=Element_Stiffness!$E$5,Element_Stiffness!Y27,0)),IF(Element_Stiffness!$E$5=4,IF(3=Element_Stiffness!$C$5,Element_Stiffness!S33,IF(3=Element_Stiffness!$E$5,Element_Stiffness!Y33,0)),0)),0)+IF(Element_Stiffness!$C$41,IF(Element_Stiffness!$C$40=4,IF(3=Element_Stiffness!$C$40,Element_Stiffness!S62,IF(3=Element_Stiffness!$E$40,Element_Stiffness!Y62,0)),IF(Element_Stiffness!$E$40=4,IF(3=Element_Stiffness!$C$40,Element_Stiffness!S68,IF(3=Element_Stiffness!$E$40,Element_Stiffness!Y68,0)),0)),0)+IF(Element_Stiffness!$C$76,IF(Element_Stiffness!$C$75=4,IF(3=Element_Stiffness!$C$75,Element_Stiffness!S97,IF(3=Element_Stiffness!$E$75,Element_Stiffness!Y97,0)),IF(Element_Stiffness!$E$75=4,IF(3=Element_Stiffness!$C$75,Element_Stiffness!S103,IF(3=Element_Stiffness!$E$75,Element_Stiffness!Y103,0)),0)),0)+IF(Element_Stiffness!$C$111,IF(Element_Stiffness!$C$110=4,IF(3=Element_Stiffness!$C$110,Element_Stiffness!S132,IF(3=Element_Stiffness!$E$110,Element_Stiffness!Y132,0)),IF(Element_Stiffness!$E$110=4,IF(3=Element_Stiffness!$C$110,Element_Stiffness!S138,IF(3=Element_Stiffness!$E$110,Element_Stiffness!Y138,0)),0)),0)+IF(Element_Stiffness!$C$146,IF(Element_Stiffness!$C$145=4,IF(3=Element_Stiffness!$C$145,Element_Stiffness!S167,IF(3=Element_Stiffness!$E$145,Element_Stiffness!Y167,0)),IF(Element_Stiffness!$E$145=4,IF(3=Element_Stiffness!$C$145,Element_Stiffness!S173,IF(3=Element_Stiffness!$E$145,Element_Stiffness!Y173,0)),0)),0)+IF(Element_Stiffness!$C$181,IF(Element_Stiffness!$C$180=4,IF(3=Element_Stiffness!$C$180,Element_Stiffness!S202,IF(3=Element_Stiffness!$E$180,Element_Stiffness!Y202,0)),IF(Element_Stiffness!$E$180=4,IF(3=Element_Stiffness!$C$180,Element_Stiffness!S208,IF(3=Element_Stiffness!$E$180,Element_Stiffness!Y208,0)),0)),0)+IF(Element_Stiffness!$C$216,IF(Element_Stiffness!$C$215=4,IF(3=Element_Stiffness!$C$215,Element_Stiffness!S237,IF(3=Element_Stiffness!$E$215,Element_Stiffness!Y237,0)),IF(Element_Stiffness!$E$215=4,IF(3=Element_Stiffness!$C$215,Element_Stiffness!S243,IF(3=Element_Stiffness!$E$215,Element_Stiffness!Y243,0)),0)),0)</f>
        <v/>
      </c>
      <c r="Y30" s="21">
        <f>IF(Element_Stiffness!$C$6,IF(Element_Stiffness!$C$5=4,IF(3=Element_Stiffness!$C$5,Element_Stiffness!T27,IF(3=Element_Stiffness!$E$5,Element_Stiffness!Z27,0)),IF(Element_Stiffness!$E$5=4,IF(3=Element_Stiffness!$C$5,Element_Stiffness!T33,IF(3=Element_Stiffness!$E$5,Element_Stiffness!Z33,0)),0)),0)+IF(Element_Stiffness!$C$41,IF(Element_Stiffness!$C$40=4,IF(3=Element_Stiffness!$C$40,Element_Stiffness!T62,IF(3=Element_Stiffness!$E$40,Element_Stiffness!Z62,0)),IF(Element_Stiffness!$E$40=4,IF(3=Element_Stiffness!$C$40,Element_Stiffness!T68,IF(3=Element_Stiffness!$E$40,Element_Stiffness!Z68,0)),0)),0)+IF(Element_Stiffness!$C$76,IF(Element_Stiffness!$C$75=4,IF(3=Element_Stiffness!$C$75,Element_Stiffness!T97,IF(3=Element_Stiffness!$E$75,Element_Stiffness!Z97,0)),IF(Element_Stiffness!$E$75=4,IF(3=Element_Stiffness!$C$75,Element_Stiffness!T103,IF(3=Element_Stiffness!$E$75,Element_Stiffness!Z103,0)),0)),0)+IF(Element_Stiffness!$C$111,IF(Element_Stiffness!$C$110=4,IF(3=Element_Stiffness!$C$110,Element_Stiffness!T132,IF(3=Element_Stiffness!$E$110,Element_Stiffness!Z132,0)),IF(Element_Stiffness!$E$110=4,IF(3=Element_Stiffness!$C$110,Element_Stiffness!T138,IF(3=Element_Stiffness!$E$110,Element_Stiffness!Z138,0)),0)),0)+IF(Element_Stiffness!$C$146,IF(Element_Stiffness!$C$145=4,IF(3=Element_Stiffness!$C$145,Element_Stiffness!T167,IF(3=Element_Stiffness!$E$145,Element_Stiffness!Z167,0)),IF(Element_Stiffness!$E$145=4,IF(3=Element_Stiffness!$C$145,Element_Stiffness!T173,IF(3=Element_Stiffness!$E$145,Element_Stiffness!Z173,0)),0)),0)+IF(Element_Stiffness!$C$181,IF(Element_Stiffness!$C$180=4,IF(3=Element_Stiffness!$C$180,Element_Stiffness!T202,IF(3=Element_Stiffness!$E$180,Element_Stiffness!Z202,0)),IF(Element_Stiffness!$E$180=4,IF(3=Element_Stiffness!$C$180,Element_Stiffness!T208,IF(3=Element_Stiffness!$E$180,Element_Stiffness!Z208,0)),0)),0)+IF(Element_Stiffness!$C$216,IF(Element_Stiffness!$C$215=4,IF(3=Element_Stiffness!$C$215,Element_Stiffness!T237,IF(3=Element_Stiffness!$E$215,Element_Stiffness!Z237,0)),IF(Element_Stiffness!$E$215=4,IF(3=Element_Stiffness!$C$215,Element_Stiffness!T243,IF(3=Element_Stiffness!$E$215,Element_Stiffness!Z243,0)),0)),0)</f>
        <v/>
      </c>
      <c r="Z30" s="21">
        <f>IF(Element_Stiffness!$C$6,IF(Element_Stiffness!$C$5=4,IF(3=Element_Stiffness!$C$5,Element_Stiffness!U27,IF(3=Element_Stiffness!$E$5,Element_Stiffness!AA27,0)),IF(Element_Stiffness!$E$5=4,IF(3=Element_Stiffness!$C$5,Element_Stiffness!U33,IF(3=Element_Stiffness!$E$5,Element_Stiffness!AA33,0)),0)),0)+IF(Element_Stiffness!$C$41,IF(Element_Stiffness!$C$40=4,IF(3=Element_Stiffness!$C$40,Element_Stiffness!U62,IF(3=Element_Stiffness!$E$40,Element_Stiffness!AA62,0)),IF(Element_Stiffness!$E$40=4,IF(3=Element_Stiffness!$C$40,Element_Stiffness!U68,IF(3=Element_Stiffness!$E$40,Element_Stiffness!AA68,0)),0)),0)+IF(Element_Stiffness!$C$76,IF(Element_Stiffness!$C$75=4,IF(3=Element_Stiffness!$C$75,Element_Stiffness!U97,IF(3=Element_Stiffness!$E$75,Element_Stiffness!AA97,0)),IF(Element_Stiffness!$E$75=4,IF(3=Element_Stiffness!$C$75,Element_Stiffness!U103,IF(3=Element_Stiffness!$E$75,Element_Stiffness!AA103,0)),0)),0)+IF(Element_Stiffness!$C$111,IF(Element_Stiffness!$C$110=4,IF(3=Element_Stiffness!$C$110,Element_Stiffness!U132,IF(3=Element_Stiffness!$E$110,Element_Stiffness!AA132,0)),IF(Element_Stiffness!$E$110=4,IF(3=Element_Stiffness!$C$110,Element_Stiffness!U138,IF(3=Element_Stiffness!$E$110,Element_Stiffness!AA138,0)),0)),0)+IF(Element_Stiffness!$C$146,IF(Element_Stiffness!$C$145=4,IF(3=Element_Stiffness!$C$145,Element_Stiffness!U167,IF(3=Element_Stiffness!$E$145,Element_Stiffness!AA167,0)),IF(Element_Stiffness!$E$145=4,IF(3=Element_Stiffness!$C$145,Element_Stiffness!U173,IF(3=Element_Stiffness!$E$145,Element_Stiffness!AA173,0)),0)),0)+IF(Element_Stiffness!$C$181,IF(Element_Stiffness!$C$180=4,IF(3=Element_Stiffness!$C$180,Element_Stiffness!U202,IF(3=Element_Stiffness!$E$180,Element_Stiffness!AA202,0)),IF(Element_Stiffness!$E$180=4,IF(3=Element_Stiffness!$C$180,Element_Stiffness!U208,IF(3=Element_Stiffness!$E$180,Element_Stiffness!AA208,0)),0)),0)+IF(Element_Stiffness!$C$216,IF(Element_Stiffness!$C$215=4,IF(3=Element_Stiffness!$C$215,Element_Stiffness!U237,IF(3=Element_Stiffness!$E$215,Element_Stiffness!AA237,0)),IF(Element_Stiffness!$E$215=4,IF(3=Element_Stiffness!$C$215,Element_Stiffness!U243,IF(3=Element_Stiffness!$E$215,Element_Stiffness!AA243,0)),0)),0)</f>
        <v/>
      </c>
      <c r="AA30" s="21">
        <f>IF(Element_Stiffness!$C$6,IF(Element_Stiffness!$C$5=4,IF(4=Element_Stiffness!$C$5,Element_Stiffness!P27,IF(4=Element_Stiffness!$E$5,Element_Stiffness!V27,0)),IF(Element_Stiffness!$E$5=4,IF(4=Element_Stiffness!$C$5,Element_Stiffness!P33,IF(4=Element_Stiffness!$E$5,Element_Stiffness!V33,0)),0)),0)+IF(Element_Stiffness!$C$41,IF(Element_Stiffness!$C$40=4,IF(4=Element_Stiffness!$C$40,Element_Stiffness!P62,IF(4=Element_Stiffness!$E$40,Element_Stiffness!V62,0)),IF(Element_Stiffness!$E$40=4,IF(4=Element_Stiffness!$C$40,Element_Stiffness!P68,IF(4=Element_Stiffness!$E$40,Element_Stiffness!V68,0)),0)),0)+IF(Element_Stiffness!$C$76,IF(Element_Stiffness!$C$75=4,IF(4=Element_Stiffness!$C$75,Element_Stiffness!P97,IF(4=Element_Stiffness!$E$75,Element_Stiffness!V97,0)),IF(Element_Stiffness!$E$75=4,IF(4=Element_Stiffness!$C$75,Element_Stiffness!P103,IF(4=Element_Stiffness!$E$75,Element_Stiffness!V103,0)),0)),0)+IF(Element_Stiffness!$C$111,IF(Element_Stiffness!$C$110=4,IF(4=Element_Stiffness!$C$110,Element_Stiffness!P132,IF(4=Element_Stiffness!$E$110,Element_Stiffness!V132,0)),IF(Element_Stiffness!$E$110=4,IF(4=Element_Stiffness!$C$110,Element_Stiffness!P138,IF(4=Element_Stiffness!$E$110,Element_Stiffness!V138,0)),0)),0)+IF(Element_Stiffness!$C$146,IF(Element_Stiffness!$C$145=4,IF(4=Element_Stiffness!$C$145,Element_Stiffness!P167,IF(4=Element_Stiffness!$E$145,Element_Stiffness!V167,0)),IF(Element_Stiffness!$E$145=4,IF(4=Element_Stiffness!$C$145,Element_Stiffness!P173,IF(4=Element_Stiffness!$E$145,Element_Stiffness!V173,0)),0)),0)+IF(Element_Stiffness!$C$181,IF(Element_Stiffness!$C$180=4,IF(4=Element_Stiffness!$C$180,Element_Stiffness!P202,IF(4=Element_Stiffness!$E$180,Element_Stiffness!V202,0)),IF(Element_Stiffness!$E$180=4,IF(4=Element_Stiffness!$C$180,Element_Stiffness!P208,IF(4=Element_Stiffness!$E$180,Element_Stiffness!V208,0)),0)),0)+IF(Element_Stiffness!$C$216,IF(Element_Stiffness!$C$215=4,IF(4=Element_Stiffness!$C$215,Element_Stiffness!P237,IF(4=Element_Stiffness!$E$215,Element_Stiffness!V237,0)),IF(Element_Stiffness!$E$215=4,IF(4=Element_Stiffness!$C$215,Element_Stiffness!P243,IF(4=Element_Stiffness!$E$215,Element_Stiffness!V243,0)),0)),0)</f>
        <v/>
      </c>
      <c r="AB30" s="21">
        <f>IF(Element_Stiffness!$C$6,IF(Element_Stiffness!$C$5=4,IF(4=Element_Stiffness!$C$5,Element_Stiffness!Q27,IF(4=Element_Stiffness!$E$5,Element_Stiffness!W27,0)),IF(Element_Stiffness!$E$5=4,IF(4=Element_Stiffness!$C$5,Element_Stiffness!Q33,IF(4=Element_Stiffness!$E$5,Element_Stiffness!W33,0)),0)),0)+IF(Element_Stiffness!$C$41,IF(Element_Stiffness!$C$40=4,IF(4=Element_Stiffness!$C$40,Element_Stiffness!Q62,IF(4=Element_Stiffness!$E$40,Element_Stiffness!W62,0)),IF(Element_Stiffness!$E$40=4,IF(4=Element_Stiffness!$C$40,Element_Stiffness!Q68,IF(4=Element_Stiffness!$E$40,Element_Stiffness!W68,0)),0)),0)+IF(Element_Stiffness!$C$76,IF(Element_Stiffness!$C$75=4,IF(4=Element_Stiffness!$C$75,Element_Stiffness!Q97,IF(4=Element_Stiffness!$E$75,Element_Stiffness!W97,0)),IF(Element_Stiffness!$E$75=4,IF(4=Element_Stiffness!$C$75,Element_Stiffness!Q103,IF(4=Element_Stiffness!$E$75,Element_Stiffness!W103,0)),0)),0)+IF(Element_Stiffness!$C$111,IF(Element_Stiffness!$C$110=4,IF(4=Element_Stiffness!$C$110,Element_Stiffness!Q132,IF(4=Element_Stiffness!$E$110,Element_Stiffness!W132,0)),IF(Element_Stiffness!$E$110=4,IF(4=Element_Stiffness!$C$110,Element_Stiffness!Q138,IF(4=Element_Stiffness!$E$110,Element_Stiffness!W138,0)),0)),0)+IF(Element_Stiffness!$C$146,IF(Element_Stiffness!$C$145=4,IF(4=Element_Stiffness!$C$145,Element_Stiffness!Q167,IF(4=Element_Stiffness!$E$145,Element_Stiffness!W167,0)),IF(Element_Stiffness!$E$145=4,IF(4=Element_Stiffness!$C$145,Element_Stiffness!Q173,IF(4=Element_Stiffness!$E$145,Element_Stiffness!W173,0)),0)),0)+IF(Element_Stiffness!$C$181,IF(Element_Stiffness!$C$180=4,IF(4=Element_Stiffness!$C$180,Element_Stiffness!Q202,IF(4=Element_Stiffness!$E$180,Element_Stiffness!W202,0)),IF(Element_Stiffness!$E$180=4,IF(4=Element_Stiffness!$C$180,Element_Stiffness!Q208,IF(4=Element_Stiffness!$E$180,Element_Stiffness!W208,0)),0)),0)+IF(Element_Stiffness!$C$216,IF(Element_Stiffness!$C$215=4,IF(4=Element_Stiffness!$C$215,Element_Stiffness!Q237,IF(4=Element_Stiffness!$E$215,Element_Stiffness!W237,0)),IF(Element_Stiffness!$E$215=4,IF(4=Element_Stiffness!$C$215,Element_Stiffness!Q243,IF(4=Element_Stiffness!$E$215,Element_Stiffness!W243,0)),0)),0)+IF(Inputs!D44=TRUE,1E15,IF(ISNUMBER(Inputs!D44),Inputs!D44,0))</f>
        <v/>
      </c>
      <c r="AC30" s="21">
        <f>IF(Element_Stiffness!$C$6,IF(Element_Stiffness!$C$5=4,IF(4=Element_Stiffness!$C$5,Element_Stiffness!R27,IF(4=Element_Stiffness!$E$5,Element_Stiffness!X27,0)),IF(Element_Stiffness!$E$5=4,IF(4=Element_Stiffness!$C$5,Element_Stiffness!R33,IF(4=Element_Stiffness!$E$5,Element_Stiffness!X33,0)),0)),0)+IF(Element_Stiffness!$C$41,IF(Element_Stiffness!$C$40=4,IF(4=Element_Stiffness!$C$40,Element_Stiffness!R62,IF(4=Element_Stiffness!$E$40,Element_Stiffness!X62,0)),IF(Element_Stiffness!$E$40=4,IF(4=Element_Stiffness!$C$40,Element_Stiffness!R68,IF(4=Element_Stiffness!$E$40,Element_Stiffness!X68,0)),0)),0)+IF(Element_Stiffness!$C$76,IF(Element_Stiffness!$C$75=4,IF(4=Element_Stiffness!$C$75,Element_Stiffness!R97,IF(4=Element_Stiffness!$E$75,Element_Stiffness!X97,0)),IF(Element_Stiffness!$E$75=4,IF(4=Element_Stiffness!$C$75,Element_Stiffness!R103,IF(4=Element_Stiffness!$E$75,Element_Stiffness!X103,0)),0)),0)+IF(Element_Stiffness!$C$111,IF(Element_Stiffness!$C$110=4,IF(4=Element_Stiffness!$C$110,Element_Stiffness!R132,IF(4=Element_Stiffness!$E$110,Element_Stiffness!X132,0)),IF(Element_Stiffness!$E$110=4,IF(4=Element_Stiffness!$C$110,Element_Stiffness!R138,IF(4=Element_Stiffness!$E$110,Element_Stiffness!X138,0)),0)),0)+IF(Element_Stiffness!$C$146,IF(Element_Stiffness!$C$145=4,IF(4=Element_Stiffness!$C$145,Element_Stiffness!R167,IF(4=Element_Stiffness!$E$145,Element_Stiffness!X167,0)),IF(Element_Stiffness!$E$145=4,IF(4=Element_Stiffness!$C$145,Element_Stiffness!R173,IF(4=Element_Stiffness!$E$145,Element_Stiffness!X173,0)),0)),0)+IF(Element_Stiffness!$C$181,IF(Element_Stiffness!$C$180=4,IF(4=Element_Stiffness!$C$180,Element_Stiffness!R202,IF(4=Element_Stiffness!$E$180,Element_Stiffness!X202,0)),IF(Element_Stiffness!$E$180=4,IF(4=Element_Stiffness!$C$180,Element_Stiffness!R208,IF(4=Element_Stiffness!$E$180,Element_Stiffness!X208,0)),0)),0)+IF(Element_Stiffness!$C$216,IF(Element_Stiffness!$C$215=4,IF(4=Element_Stiffness!$C$215,Element_Stiffness!R237,IF(4=Element_Stiffness!$E$215,Element_Stiffness!X237,0)),IF(Element_Stiffness!$E$215=4,IF(4=Element_Stiffness!$C$215,Element_Stiffness!R243,IF(4=Element_Stiffness!$E$215,Element_Stiffness!X243,0)),0)),0)</f>
        <v/>
      </c>
      <c r="AD30" s="21">
        <f>IF(Element_Stiffness!$C$6,IF(Element_Stiffness!$C$5=4,IF(4=Element_Stiffness!$C$5,Element_Stiffness!S27,IF(4=Element_Stiffness!$E$5,Element_Stiffness!Y27,0)),IF(Element_Stiffness!$E$5=4,IF(4=Element_Stiffness!$C$5,Element_Stiffness!S33,IF(4=Element_Stiffness!$E$5,Element_Stiffness!Y33,0)),0)),0)+IF(Element_Stiffness!$C$41,IF(Element_Stiffness!$C$40=4,IF(4=Element_Stiffness!$C$40,Element_Stiffness!S62,IF(4=Element_Stiffness!$E$40,Element_Stiffness!Y62,0)),IF(Element_Stiffness!$E$40=4,IF(4=Element_Stiffness!$C$40,Element_Stiffness!S68,IF(4=Element_Stiffness!$E$40,Element_Stiffness!Y68,0)),0)),0)+IF(Element_Stiffness!$C$76,IF(Element_Stiffness!$C$75=4,IF(4=Element_Stiffness!$C$75,Element_Stiffness!S97,IF(4=Element_Stiffness!$E$75,Element_Stiffness!Y97,0)),IF(Element_Stiffness!$E$75=4,IF(4=Element_Stiffness!$C$75,Element_Stiffness!S103,IF(4=Element_Stiffness!$E$75,Element_Stiffness!Y103,0)),0)),0)+IF(Element_Stiffness!$C$111,IF(Element_Stiffness!$C$110=4,IF(4=Element_Stiffness!$C$110,Element_Stiffness!S132,IF(4=Element_Stiffness!$E$110,Element_Stiffness!Y132,0)),IF(Element_Stiffness!$E$110=4,IF(4=Element_Stiffness!$C$110,Element_Stiffness!S138,IF(4=Element_Stiffness!$E$110,Element_Stiffness!Y138,0)),0)),0)+IF(Element_Stiffness!$C$146,IF(Element_Stiffness!$C$145=4,IF(4=Element_Stiffness!$C$145,Element_Stiffness!S167,IF(4=Element_Stiffness!$E$145,Element_Stiffness!Y167,0)),IF(Element_Stiffness!$E$145=4,IF(4=Element_Stiffness!$C$145,Element_Stiffness!S173,IF(4=Element_Stiffness!$E$145,Element_Stiffness!Y173,0)),0)),0)+IF(Element_Stiffness!$C$181,IF(Element_Stiffness!$C$180=4,IF(4=Element_Stiffness!$C$180,Element_Stiffness!S202,IF(4=Element_Stiffness!$E$180,Element_Stiffness!Y202,0)),IF(Element_Stiffness!$E$180=4,IF(4=Element_Stiffness!$C$180,Element_Stiffness!S208,IF(4=Element_Stiffness!$E$180,Element_Stiffness!Y208,0)),0)),0)+IF(Element_Stiffness!$C$216,IF(Element_Stiffness!$C$215=4,IF(4=Element_Stiffness!$C$215,Element_Stiffness!S237,IF(4=Element_Stiffness!$E$215,Element_Stiffness!Y237,0)),IF(Element_Stiffness!$E$215=4,IF(4=Element_Stiffness!$C$215,Element_Stiffness!S243,IF(4=Element_Stiffness!$E$215,Element_Stiffness!Y243,0)),0)),0)</f>
        <v/>
      </c>
      <c r="AE30" s="21">
        <f>IF(Element_Stiffness!$C$6,IF(Element_Stiffness!$C$5=4,IF(4=Element_Stiffness!$C$5,Element_Stiffness!T27,IF(4=Element_Stiffness!$E$5,Element_Stiffness!Z27,0)),IF(Element_Stiffness!$E$5=4,IF(4=Element_Stiffness!$C$5,Element_Stiffness!T33,IF(4=Element_Stiffness!$E$5,Element_Stiffness!Z33,0)),0)),0)+IF(Element_Stiffness!$C$41,IF(Element_Stiffness!$C$40=4,IF(4=Element_Stiffness!$C$40,Element_Stiffness!T62,IF(4=Element_Stiffness!$E$40,Element_Stiffness!Z62,0)),IF(Element_Stiffness!$E$40=4,IF(4=Element_Stiffness!$C$40,Element_Stiffness!T68,IF(4=Element_Stiffness!$E$40,Element_Stiffness!Z68,0)),0)),0)+IF(Element_Stiffness!$C$76,IF(Element_Stiffness!$C$75=4,IF(4=Element_Stiffness!$C$75,Element_Stiffness!T97,IF(4=Element_Stiffness!$E$75,Element_Stiffness!Z97,0)),IF(Element_Stiffness!$E$75=4,IF(4=Element_Stiffness!$C$75,Element_Stiffness!T103,IF(4=Element_Stiffness!$E$75,Element_Stiffness!Z103,0)),0)),0)+IF(Element_Stiffness!$C$111,IF(Element_Stiffness!$C$110=4,IF(4=Element_Stiffness!$C$110,Element_Stiffness!T132,IF(4=Element_Stiffness!$E$110,Element_Stiffness!Z132,0)),IF(Element_Stiffness!$E$110=4,IF(4=Element_Stiffness!$C$110,Element_Stiffness!T138,IF(4=Element_Stiffness!$E$110,Element_Stiffness!Z138,0)),0)),0)+IF(Element_Stiffness!$C$146,IF(Element_Stiffness!$C$145=4,IF(4=Element_Stiffness!$C$145,Element_Stiffness!T167,IF(4=Element_Stiffness!$E$145,Element_Stiffness!Z167,0)),IF(Element_Stiffness!$E$145=4,IF(4=Element_Stiffness!$C$145,Element_Stiffness!T173,IF(4=Element_Stiffness!$E$145,Element_Stiffness!Z173,0)),0)),0)+IF(Element_Stiffness!$C$181,IF(Element_Stiffness!$C$180=4,IF(4=Element_Stiffness!$C$180,Element_Stiffness!T202,IF(4=Element_Stiffness!$E$180,Element_Stiffness!Z202,0)),IF(Element_Stiffness!$E$180=4,IF(4=Element_Stiffness!$C$180,Element_Stiffness!T208,IF(4=Element_Stiffness!$E$180,Element_Stiffness!Z208,0)),0)),0)+IF(Element_Stiffness!$C$216,IF(Element_Stiffness!$C$215=4,IF(4=Element_Stiffness!$C$215,Element_Stiffness!T237,IF(4=Element_Stiffness!$E$215,Element_Stiffness!Z237,0)),IF(Element_Stiffness!$E$215=4,IF(4=Element_Stiffness!$C$215,Element_Stiffness!T243,IF(4=Element_Stiffness!$E$215,Element_Stiffness!Z243,0)),0)),0)</f>
        <v/>
      </c>
      <c r="AF30" s="21">
        <f>IF(Element_Stiffness!$C$6,IF(Element_Stiffness!$C$5=4,IF(4=Element_Stiffness!$C$5,Element_Stiffness!U27,IF(4=Element_Stiffness!$E$5,Element_Stiffness!AA27,0)),IF(Element_Stiffness!$E$5=4,IF(4=Element_Stiffness!$C$5,Element_Stiffness!U33,IF(4=Element_Stiffness!$E$5,Element_Stiffness!AA33,0)),0)),0)+IF(Element_Stiffness!$C$41,IF(Element_Stiffness!$C$40=4,IF(4=Element_Stiffness!$C$40,Element_Stiffness!U62,IF(4=Element_Stiffness!$E$40,Element_Stiffness!AA62,0)),IF(Element_Stiffness!$E$40=4,IF(4=Element_Stiffness!$C$40,Element_Stiffness!U68,IF(4=Element_Stiffness!$E$40,Element_Stiffness!AA68,0)),0)),0)+IF(Element_Stiffness!$C$76,IF(Element_Stiffness!$C$75=4,IF(4=Element_Stiffness!$C$75,Element_Stiffness!U97,IF(4=Element_Stiffness!$E$75,Element_Stiffness!AA97,0)),IF(Element_Stiffness!$E$75=4,IF(4=Element_Stiffness!$C$75,Element_Stiffness!U103,IF(4=Element_Stiffness!$E$75,Element_Stiffness!AA103,0)),0)),0)+IF(Element_Stiffness!$C$111,IF(Element_Stiffness!$C$110=4,IF(4=Element_Stiffness!$C$110,Element_Stiffness!U132,IF(4=Element_Stiffness!$E$110,Element_Stiffness!AA132,0)),IF(Element_Stiffness!$E$110=4,IF(4=Element_Stiffness!$C$110,Element_Stiffness!U138,IF(4=Element_Stiffness!$E$110,Element_Stiffness!AA138,0)),0)),0)+IF(Element_Stiffness!$C$146,IF(Element_Stiffness!$C$145=4,IF(4=Element_Stiffness!$C$145,Element_Stiffness!U167,IF(4=Element_Stiffness!$E$145,Element_Stiffness!AA167,0)),IF(Element_Stiffness!$E$145=4,IF(4=Element_Stiffness!$C$145,Element_Stiffness!U173,IF(4=Element_Stiffness!$E$145,Element_Stiffness!AA173,0)),0)),0)+IF(Element_Stiffness!$C$181,IF(Element_Stiffness!$C$180=4,IF(4=Element_Stiffness!$C$180,Element_Stiffness!U202,IF(4=Element_Stiffness!$E$180,Element_Stiffness!AA202,0)),IF(Element_Stiffness!$E$180=4,IF(4=Element_Stiffness!$C$180,Element_Stiffness!U208,IF(4=Element_Stiffness!$E$180,Element_Stiffness!AA208,0)),0)),0)+IF(Element_Stiffness!$C$216,IF(Element_Stiffness!$C$215=4,IF(4=Element_Stiffness!$C$215,Element_Stiffness!U237,IF(4=Element_Stiffness!$E$215,Element_Stiffness!AA237,0)),IF(Element_Stiffness!$E$215=4,IF(4=Element_Stiffness!$C$215,Element_Stiffness!U243,IF(4=Element_Stiffness!$E$215,Element_Stiffness!AA243,0)),0)),0)</f>
        <v/>
      </c>
      <c r="AG30" s="21">
        <f>IF(Element_Stiffness!$C$6,IF(Element_Stiffness!$C$5=4,IF(5=Element_Stiffness!$C$5,Element_Stiffness!P27,IF(5=Element_Stiffness!$E$5,Element_Stiffness!V27,0)),IF(Element_Stiffness!$E$5=4,IF(5=Element_Stiffness!$C$5,Element_Stiffness!P33,IF(5=Element_Stiffness!$E$5,Element_Stiffness!V33,0)),0)),0)+IF(Element_Stiffness!$C$41,IF(Element_Stiffness!$C$40=4,IF(5=Element_Stiffness!$C$40,Element_Stiffness!P62,IF(5=Element_Stiffness!$E$40,Element_Stiffness!V62,0)),IF(Element_Stiffness!$E$40=4,IF(5=Element_Stiffness!$C$40,Element_Stiffness!P68,IF(5=Element_Stiffness!$E$40,Element_Stiffness!V68,0)),0)),0)+IF(Element_Stiffness!$C$76,IF(Element_Stiffness!$C$75=4,IF(5=Element_Stiffness!$C$75,Element_Stiffness!P97,IF(5=Element_Stiffness!$E$75,Element_Stiffness!V97,0)),IF(Element_Stiffness!$E$75=4,IF(5=Element_Stiffness!$C$75,Element_Stiffness!P103,IF(5=Element_Stiffness!$E$75,Element_Stiffness!V103,0)),0)),0)+IF(Element_Stiffness!$C$111,IF(Element_Stiffness!$C$110=4,IF(5=Element_Stiffness!$C$110,Element_Stiffness!P132,IF(5=Element_Stiffness!$E$110,Element_Stiffness!V132,0)),IF(Element_Stiffness!$E$110=4,IF(5=Element_Stiffness!$C$110,Element_Stiffness!P138,IF(5=Element_Stiffness!$E$110,Element_Stiffness!V138,0)),0)),0)+IF(Element_Stiffness!$C$146,IF(Element_Stiffness!$C$145=4,IF(5=Element_Stiffness!$C$145,Element_Stiffness!P167,IF(5=Element_Stiffness!$E$145,Element_Stiffness!V167,0)),IF(Element_Stiffness!$E$145=4,IF(5=Element_Stiffness!$C$145,Element_Stiffness!P173,IF(5=Element_Stiffness!$E$145,Element_Stiffness!V173,0)),0)),0)+IF(Element_Stiffness!$C$181,IF(Element_Stiffness!$C$180=4,IF(5=Element_Stiffness!$C$180,Element_Stiffness!P202,IF(5=Element_Stiffness!$E$180,Element_Stiffness!V202,0)),IF(Element_Stiffness!$E$180=4,IF(5=Element_Stiffness!$C$180,Element_Stiffness!P208,IF(5=Element_Stiffness!$E$180,Element_Stiffness!V208,0)),0)),0)+IF(Element_Stiffness!$C$216,IF(Element_Stiffness!$C$215=4,IF(5=Element_Stiffness!$C$215,Element_Stiffness!P237,IF(5=Element_Stiffness!$E$215,Element_Stiffness!V237,0)),IF(Element_Stiffness!$E$215=4,IF(5=Element_Stiffness!$C$215,Element_Stiffness!P243,IF(5=Element_Stiffness!$E$215,Element_Stiffness!V243,0)),0)),0)</f>
        <v/>
      </c>
      <c r="AH30" s="21">
        <f>IF(Element_Stiffness!$C$6,IF(Element_Stiffness!$C$5=4,IF(5=Element_Stiffness!$C$5,Element_Stiffness!Q27,IF(5=Element_Stiffness!$E$5,Element_Stiffness!W27,0)),IF(Element_Stiffness!$E$5=4,IF(5=Element_Stiffness!$C$5,Element_Stiffness!Q33,IF(5=Element_Stiffness!$E$5,Element_Stiffness!W33,0)),0)),0)+IF(Element_Stiffness!$C$41,IF(Element_Stiffness!$C$40=4,IF(5=Element_Stiffness!$C$40,Element_Stiffness!Q62,IF(5=Element_Stiffness!$E$40,Element_Stiffness!W62,0)),IF(Element_Stiffness!$E$40=4,IF(5=Element_Stiffness!$C$40,Element_Stiffness!Q68,IF(5=Element_Stiffness!$E$40,Element_Stiffness!W68,0)),0)),0)+IF(Element_Stiffness!$C$76,IF(Element_Stiffness!$C$75=4,IF(5=Element_Stiffness!$C$75,Element_Stiffness!Q97,IF(5=Element_Stiffness!$E$75,Element_Stiffness!W97,0)),IF(Element_Stiffness!$E$75=4,IF(5=Element_Stiffness!$C$75,Element_Stiffness!Q103,IF(5=Element_Stiffness!$E$75,Element_Stiffness!W103,0)),0)),0)+IF(Element_Stiffness!$C$111,IF(Element_Stiffness!$C$110=4,IF(5=Element_Stiffness!$C$110,Element_Stiffness!Q132,IF(5=Element_Stiffness!$E$110,Element_Stiffness!W132,0)),IF(Element_Stiffness!$E$110=4,IF(5=Element_Stiffness!$C$110,Element_Stiffness!Q138,IF(5=Element_Stiffness!$E$110,Element_Stiffness!W138,0)),0)),0)+IF(Element_Stiffness!$C$146,IF(Element_Stiffness!$C$145=4,IF(5=Element_Stiffness!$C$145,Element_Stiffness!Q167,IF(5=Element_Stiffness!$E$145,Element_Stiffness!W167,0)),IF(Element_Stiffness!$E$145=4,IF(5=Element_Stiffness!$C$145,Element_Stiffness!Q173,IF(5=Element_Stiffness!$E$145,Element_Stiffness!W173,0)),0)),0)+IF(Element_Stiffness!$C$181,IF(Element_Stiffness!$C$180=4,IF(5=Element_Stiffness!$C$180,Element_Stiffness!Q202,IF(5=Element_Stiffness!$E$180,Element_Stiffness!W202,0)),IF(Element_Stiffness!$E$180=4,IF(5=Element_Stiffness!$C$180,Element_Stiffness!Q208,IF(5=Element_Stiffness!$E$180,Element_Stiffness!W208,0)),0)),0)+IF(Element_Stiffness!$C$216,IF(Element_Stiffness!$C$215=4,IF(5=Element_Stiffness!$C$215,Element_Stiffness!Q237,IF(5=Element_Stiffness!$E$215,Element_Stiffness!W237,0)),IF(Element_Stiffness!$E$215=4,IF(5=Element_Stiffness!$C$215,Element_Stiffness!Q243,IF(5=Element_Stiffness!$E$215,Element_Stiffness!W243,0)),0)),0)</f>
        <v/>
      </c>
      <c r="AI30" s="21">
        <f>IF(Element_Stiffness!$C$6,IF(Element_Stiffness!$C$5=4,IF(5=Element_Stiffness!$C$5,Element_Stiffness!R27,IF(5=Element_Stiffness!$E$5,Element_Stiffness!X27,0)),IF(Element_Stiffness!$E$5=4,IF(5=Element_Stiffness!$C$5,Element_Stiffness!R33,IF(5=Element_Stiffness!$E$5,Element_Stiffness!X33,0)),0)),0)+IF(Element_Stiffness!$C$41,IF(Element_Stiffness!$C$40=4,IF(5=Element_Stiffness!$C$40,Element_Stiffness!R62,IF(5=Element_Stiffness!$E$40,Element_Stiffness!X62,0)),IF(Element_Stiffness!$E$40=4,IF(5=Element_Stiffness!$C$40,Element_Stiffness!R68,IF(5=Element_Stiffness!$E$40,Element_Stiffness!X68,0)),0)),0)+IF(Element_Stiffness!$C$76,IF(Element_Stiffness!$C$75=4,IF(5=Element_Stiffness!$C$75,Element_Stiffness!R97,IF(5=Element_Stiffness!$E$75,Element_Stiffness!X97,0)),IF(Element_Stiffness!$E$75=4,IF(5=Element_Stiffness!$C$75,Element_Stiffness!R103,IF(5=Element_Stiffness!$E$75,Element_Stiffness!X103,0)),0)),0)+IF(Element_Stiffness!$C$111,IF(Element_Stiffness!$C$110=4,IF(5=Element_Stiffness!$C$110,Element_Stiffness!R132,IF(5=Element_Stiffness!$E$110,Element_Stiffness!X132,0)),IF(Element_Stiffness!$E$110=4,IF(5=Element_Stiffness!$C$110,Element_Stiffness!R138,IF(5=Element_Stiffness!$E$110,Element_Stiffness!X138,0)),0)),0)+IF(Element_Stiffness!$C$146,IF(Element_Stiffness!$C$145=4,IF(5=Element_Stiffness!$C$145,Element_Stiffness!R167,IF(5=Element_Stiffness!$E$145,Element_Stiffness!X167,0)),IF(Element_Stiffness!$E$145=4,IF(5=Element_Stiffness!$C$145,Element_Stiffness!R173,IF(5=Element_Stiffness!$E$145,Element_Stiffness!X173,0)),0)),0)+IF(Element_Stiffness!$C$181,IF(Element_Stiffness!$C$180=4,IF(5=Element_Stiffness!$C$180,Element_Stiffness!R202,IF(5=Element_Stiffness!$E$180,Element_Stiffness!X202,0)),IF(Element_Stiffness!$E$180=4,IF(5=Element_Stiffness!$C$180,Element_Stiffness!R208,IF(5=Element_Stiffness!$E$180,Element_Stiffness!X208,0)),0)),0)+IF(Element_Stiffness!$C$216,IF(Element_Stiffness!$C$215=4,IF(5=Element_Stiffness!$C$215,Element_Stiffness!R237,IF(5=Element_Stiffness!$E$215,Element_Stiffness!X237,0)),IF(Element_Stiffness!$E$215=4,IF(5=Element_Stiffness!$C$215,Element_Stiffness!R243,IF(5=Element_Stiffness!$E$215,Element_Stiffness!X243,0)),0)),0)</f>
        <v/>
      </c>
      <c r="AJ30" s="21">
        <f>IF(Element_Stiffness!$C$6,IF(Element_Stiffness!$C$5=4,IF(5=Element_Stiffness!$C$5,Element_Stiffness!S27,IF(5=Element_Stiffness!$E$5,Element_Stiffness!Y27,0)),IF(Element_Stiffness!$E$5=4,IF(5=Element_Stiffness!$C$5,Element_Stiffness!S33,IF(5=Element_Stiffness!$E$5,Element_Stiffness!Y33,0)),0)),0)+IF(Element_Stiffness!$C$41,IF(Element_Stiffness!$C$40=4,IF(5=Element_Stiffness!$C$40,Element_Stiffness!S62,IF(5=Element_Stiffness!$E$40,Element_Stiffness!Y62,0)),IF(Element_Stiffness!$E$40=4,IF(5=Element_Stiffness!$C$40,Element_Stiffness!S68,IF(5=Element_Stiffness!$E$40,Element_Stiffness!Y68,0)),0)),0)+IF(Element_Stiffness!$C$76,IF(Element_Stiffness!$C$75=4,IF(5=Element_Stiffness!$C$75,Element_Stiffness!S97,IF(5=Element_Stiffness!$E$75,Element_Stiffness!Y97,0)),IF(Element_Stiffness!$E$75=4,IF(5=Element_Stiffness!$C$75,Element_Stiffness!S103,IF(5=Element_Stiffness!$E$75,Element_Stiffness!Y103,0)),0)),0)+IF(Element_Stiffness!$C$111,IF(Element_Stiffness!$C$110=4,IF(5=Element_Stiffness!$C$110,Element_Stiffness!S132,IF(5=Element_Stiffness!$E$110,Element_Stiffness!Y132,0)),IF(Element_Stiffness!$E$110=4,IF(5=Element_Stiffness!$C$110,Element_Stiffness!S138,IF(5=Element_Stiffness!$E$110,Element_Stiffness!Y138,0)),0)),0)+IF(Element_Stiffness!$C$146,IF(Element_Stiffness!$C$145=4,IF(5=Element_Stiffness!$C$145,Element_Stiffness!S167,IF(5=Element_Stiffness!$E$145,Element_Stiffness!Y167,0)),IF(Element_Stiffness!$E$145=4,IF(5=Element_Stiffness!$C$145,Element_Stiffness!S173,IF(5=Element_Stiffness!$E$145,Element_Stiffness!Y173,0)),0)),0)+IF(Element_Stiffness!$C$181,IF(Element_Stiffness!$C$180=4,IF(5=Element_Stiffness!$C$180,Element_Stiffness!S202,IF(5=Element_Stiffness!$E$180,Element_Stiffness!Y202,0)),IF(Element_Stiffness!$E$180=4,IF(5=Element_Stiffness!$C$180,Element_Stiffness!S208,IF(5=Element_Stiffness!$E$180,Element_Stiffness!Y208,0)),0)),0)+IF(Element_Stiffness!$C$216,IF(Element_Stiffness!$C$215=4,IF(5=Element_Stiffness!$C$215,Element_Stiffness!S237,IF(5=Element_Stiffness!$E$215,Element_Stiffness!Y237,0)),IF(Element_Stiffness!$E$215=4,IF(5=Element_Stiffness!$C$215,Element_Stiffness!S243,IF(5=Element_Stiffness!$E$215,Element_Stiffness!Y243,0)),0)),0)</f>
        <v/>
      </c>
      <c r="AK30" s="21">
        <f>IF(Element_Stiffness!$C$6,IF(Element_Stiffness!$C$5=4,IF(5=Element_Stiffness!$C$5,Element_Stiffness!T27,IF(5=Element_Stiffness!$E$5,Element_Stiffness!Z27,0)),IF(Element_Stiffness!$E$5=4,IF(5=Element_Stiffness!$C$5,Element_Stiffness!T33,IF(5=Element_Stiffness!$E$5,Element_Stiffness!Z33,0)),0)),0)+IF(Element_Stiffness!$C$41,IF(Element_Stiffness!$C$40=4,IF(5=Element_Stiffness!$C$40,Element_Stiffness!T62,IF(5=Element_Stiffness!$E$40,Element_Stiffness!Z62,0)),IF(Element_Stiffness!$E$40=4,IF(5=Element_Stiffness!$C$40,Element_Stiffness!T68,IF(5=Element_Stiffness!$E$40,Element_Stiffness!Z68,0)),0)),0)+IF(Element_Stiffness!$C$76,IF(Element_Stiffness!$C$75=4,IF(5=Element_Stiffness!$C$75,Element_Stiffness!T97,IF(5=Element_Stiffness!$E$75,Element_Stiffness!Z97,0)),IF(Element_Stiffness!$E$75=4,IF(5=Element_Stiffness!$C$75,Element_Stiffness!T103,IF(5=Element_Stiffness!$E$75,Element_Stiffness!Z103,0)),0)),0)+IF(Element_Stiffness!$C$111,IF(Element_Stiffness!$C$110=4,IF(5=Element_Stiffness!$C$110,Element_Stiffness!T132,IF(5=Element_Stiffness!$E$110,Element_Stiffness!Z132,0)),IF(Element_Stiffness!$E$110=4,IF(5=Element_Stiffness!$C$110,Element_Stiffness!T138,IF(5=Element_Stiffness!$E$110,Element_Stiffness!Z138,0)),0)),0)+IF(Element_Stiffness!$C$146,IF(Element_Stiffness!$C$145=4,IF(5=Element_Stiffness!$C$145,Element_Stiffness!T167,IF(5=Element_Stiffness!$E$145,Element_Stiffness!Z167,0)),IF(Element_Stiffness!$E$145=4,IF(5=Element_Stiffness!$C$145,Element_Stiffness!T173,IF(5=Element_Stiffness!$E$145,Element_Stiffness!Z173,0)),0)),0)+IF(Element_Stiffness!$C$181,IF(Element_Stiffness!$C$180=4,IF(5=Element_Stiffness!$C$180,Element_Stiffness!T202,IF(5=Element_Stiffness!$E$180,Element_Stiffness!Z202,0)),IF(Element_Stiffness!$E$180=4,IF(5=Element_Stiffness!$C$180,Element_Stiffness!T208,IF(5=Element_Stiffness!$E$180,Element_Stiffness!Z208,0)),0)),0)+IF(Element_Stiffness!$C$216,IF(Element_Stiffness!$C$215=4,IF(5=Element_Stiffness!$C$215,Element_Stiffness!T237,IF(5=Element_Stiffness!$E$215,Element_Stiffness!Z237,0)),IF(Element_Stiffness!$E$215=4,IF(5=Element_Stiffness!$C$215,Element_Stiffness!T243,IF(5=Element_Stiffness!$E$215,Element_Stiffness!Z243,0)),0)),0)</f>
        <v/>
      </c>
      <c r="AL30" s="21">
        <f>IF(Element_Stiffness!$C$6,IF(Element_Stiffness!$C$5=4,IF(5=Element_Stiffness!$C$5,Element_Stiffness!U27,IF(5=Element_Stiffness!$E$5,Element_Stiffness!AA27,0)),IF(Element_Stiffness!$E$5=4,IF(5=Element_Stiffness!$C$5,Element_Stiffness!U33,IF(5=Element_Stiffness!$E$5,Element_Stiffness!AA33,0)),0)),0)+IF(Element_Stiffness!$C$41,IF(Element_Stiffness!$C$40=4,IF(5=Element_Stiffness!$C$40,Element_Stiffness!U62,IF(5=Element_Stiffness!$E$40,Element_Stiffness!AA62,0)),IF(Element_Stiffness!$E$40=4,IF(5=Element_Stiffness!$C$40,Element_Stiffness!U68,IF(5=Element_Stiffness!$E$40,Element_Stiffness!AA68,0)),0)),0)+IF(Element_Stiffness!$C$76,IF(Element_Stiffness!$C$75=4,IF(5=Element_Stiffness!$C$75,Element_Stiffness!U97,IF(5=Element_Stiffness!$E$75,Element_Stiffness!AA97,0)),IF(Element_Stiffness!$E$75=4,IF(5=Element_Stiffness!$C$75,Element_Stiffness!U103,IF(5=Element_Stiffness!$E$75,Element_Stiffness!AA103,0)),0)),0)+IF(Element_Stiffness!$C$111,IF(Element_Stiffness!$C$110=4,IF(5=Element_Stiffness!$C$110,Element_Stiffness!U132,IF(5=Element_Stiffness!$E$110,Element_Stiffness!AA132,0)),IF(Element_Stiffness!$E$110=4,IF(5=Element_Stiffness!$C$110,Element_Stiffness!U138,IF(5=Element_Stiffness!$E$110,Element_Stiffness!AA138,0)),0)),0)+IF(Element_Stiffness!$C$146,IF(Element_Stiffness!$C$145=4,IF(5=Element_Stiffness!$C$145,Element_Stiffness!U167,IF(5=Element_Stiffness!$E$145,Element_Stiffness!AA167,0)),IF(Element_Stiffness!$E$145=4,IF(5=Element_Stiffness!$C$145,Element_Stiffness!U173,IF(5=Element_Stiffness!$E$145,Element_Stiffness!AA173,0)),0)),0)+IF(Element_Stiffness!$C$181,IF(Element_Stiffness!$C$180=4,IF(5=Element_Stiffness!$C$180,Element_Stiffness!U202,IF(5=Element_Stiffness!$E$180,Element_Stiffness!AA202,0)),IF(Element_Stiffness!$E$180=4,IF(5=Element_Stiffness!$C$180,Element_Stiffness!U208,IF(5=Element_Stiffness!$E$180,Element_Stiffness!AA208,0)),0)),0)+IF(Element_Stiffness!$C$216,IF(Element_Stiffness!$C$215=4,IF(5=Element_Stiffness!$C$215,Element_Stiffness!U237,IF(5=Element_Stiffness!$E$215,Element_Stiffness!AA237,0)),IF(Element_Stiffness!$E$215=4,IF(5=Element_Stiffness!$C$215,Element_Stiffness!U243,IF(5=Element_Stiffness!$E$215,Element_Stiffness!AA243,0)),0)),0)</f>
        <v/>
      </c>
      <c r="AM30" s="21">
        <f>IF(Element_Stiffness!$C$6,IF(Element_Stiffness!$C$5=4,IF(6=Element_Stiffness!$C$5,Element_Stiffness!P27,IF(6=Element_Stiffness!$E$5,Element_Stiffness!V27,0)),IF(Element_Stiffness!$E$5=4,IF(6=Element_Stiffness!$C$5,Element_Stiffness!P33,IF(6=Element_Stiffness!$E$5,Element_Stiffness!V33,0)),0)),0)+IF(Element_Stiffness!$C$41,IF(Element_Stiffness!$C$40=4,IF(6=Element_Stiffness!$C$40,Element_Stiffness!P62,IF(6=Element_Stiffness!$E$40,Element_Stiffness!V62,0)),IF(Element_Stiffness!$E$40=4,IF(6=Element_Stiffness!$C$40,Element_Stiffness!P68,IF(6=Element_Stiffness!$E$40,Element_Stiffness!V68,0)),0)),0)+IF(Element_Stiffness!$C$76,IF(Element_Stiffness!$C$75=4,IF(6=Element_Stiffness!$C$75,Element_Stiffness!P97,IF(6=Element_Stiffness!$E$75,Element_Stiffness!V97,0)),IF(Element_Stiffness!$E$75=4,IF(6=Element_Stiffness!$C$75,Element_Stiffness!P103,IF(6=Element_Stiffness!$E$75,Element_Stiffness!V103,0)),0)),0)+IF(Element_Stiffness!$C$111,IF(Element_Stiffness!$C$110=4,IF(6=Element_Stiffness!$C$110,Element_Stiffness!P132,IF(6=Element_Stiffness!$E$110,Element_Stiffness!V132,0)),IF(Element_Stiffness!$E$110=4,IF(6=Element_Stiffness!$C$110,Element_Stiffness!P138,IF(6=Element_Stiffness!$E$110,Element_Stiffness!V138,0)),0)),0)+IF(Element_Stiffness!$C$146,IF(Element_Stiffness!$C$145=4,IF(6=Element_Stiffness!$C$145,Element_Stiffness!P167,IF(6=Element_Stiffness!$E$145,Element_Stiffness!V167,0)),IF(Element_Stiffness!$E$145=4,IF(6=Element_Stiffness!$C$145,Element_Stiffness!P173,IF(6=Element_Stiffness!$E$145,Element_Stiffness!V173,0)),0)),0)+IF(Element_Stiffness!$C$181,IF(Element_Stiffness!$C$180=4,IF(6=Element_Stiffness!$C$180,Element_Stiffness!P202,IF(6=Element_Stiffness!$E$180,Element_Stiffness!V202,0)),IF(Element_Stiffness!$E$180=4,IF(6=Element_Stiffness!$C$180,Element_Stiffness!P208,IF(6=Element_Stiffness!$E$180,Element_Stiffness!V208,0)),0)),0)+IF(Element_Stiffness!$C$216,IF(Element_Stiffness!$C$215=4,IF(6=Element_Stiffness!$C$215,Element_Stiffness!P237,IF(6=Element_Stiffness!$E$215,Element_Stiffness!V237,0)),IF(Element_Stiffness!$E$215=4,IF(6=Element_Stiffness!$C$215,Element_Stiffness!P243,IF(6=Element_Stiffness!$E$215,Element_Stiffness!V243,0)),0)),0)</f>
        <v/>
      </c>
      <c r="AN30" s="21">
        <f>IF(Element_Stiffness!$C$6,IF(Element_Stiffness!$C$5=4,IF(6=Element_Stiffness!$C$5,Element_Stiffness!Q27,IF(6=Element_Stiffness!$E$5,Element_Stiffness!W27,0)),IF(Element_Stiffness!$E$5=4,IF(6=Element_Stiffness!$C$5,Element_Stiffness!Q33,IF(6=Element_Stiffness!$E$5,Element_Stiffness!W33,0)),0)),0)+IF(Element_Stiffness!$C$41,IF(Element_Stiffness!$C$40=4,IF(6=Element_Stiffness!$C$40,Element_Stiffness!Q62,IF(6=Element_Stiffness!$E$40,Element_Stiffness!W62,0)),IF(Element_Stiffness!$E$40=4,IF(6=Element_Stiffness!$C$40,Element_Stiffness!Q68,IF(6=Element_Stiffness!$E$40,Element_Stiffness!W68,0)),0)),0)+IF(Element_Stiffness!$C$76,IF(Element_Stiffness!$C$75=4,IF(6=Element_Stiffness!$C$75,Element_Stiffness!Q97,IF(6=Element_Stiffness!$E$75,Element_Stiffness!W97,0)),IF(Element_Stiffness!$E$75=4,IF(6=Element_Stiffness!$C$75,Element_Stiffness!Q103,IF(6=Element_Stiffness!$E$75,Element_Stiffness!W103,0)),0)),0)+IF(Element_Stiffness!$C$111,IF(Element_Stiffness!$C$110=4,IF(6=Element_Stiffness!$C$110,Element_Stiffness!Q132,IF(6=Element_Stiffness!$E$110,Element_Stiffness!W132,0)),IF(Element_Stiffness!$E$110=4,IF(6=Element_Stiffness!$C$110,Element_Stiffness!Q138,IF(6=Element_Stiffness!$E$110,Element_Stiffness!W138,0)),0)),0)+IF(Element_Stiffness!$C$146,IF(Element_Stiffness!$C$145=4,IF(6=Element_Stiffness!$C$145,Element_Stiffness!Q167,IF(6=Element_Stiffness!$E$145,Element_Stiffness!W167,0)),IF(Element_Stiffness!$E$145=4,IF(6=Element_Stiffness!$C$145,Element_Stiffness!Q173,IF(6=Element_Stiffness!$E$145,Element_Stiffness!W173,0)),0)),0)+IF(Element_Stiffness!$C$181,IF(Element_Stiffness!$C$180=4,IF(6=Element_Stiffness!$C$180,Element_Stiffness!Q202,IF(6=Element_Stiffness!$E$180,Element_Stiffness!W202,0)),IF(Element_Stiffness!$E$180=4,IF(6=Element_Stiffness!$C$180,Element_Stiffness!Q208,IF(6=Element_Stiffness!$E$180,Element_Stiffness!W208,0)),0)),0)+IF(Element_Stiffness!$C$216,IF(Element_Stiffness!$C$215=4,IF(6=Element_Stiffness!$C$215,Element_Stiffness!Q237,IF(6=Element_Stiffness!$E$215,Element_Stiffness!W237,0)),IF(Element_Stiffness!$E$215=4,IF(6=Element_Stiffness!$C$215,Element_Stiffness!Q243,IF(6=Element_Stiffness!$E$215,Element_Stiffness!W243,0)),0)),0)</f>
        <v/>
      </c>
      <c r="AO30" s="21">
        <f>IF(Element_Stiffness!$C$6,IF(Element_Stiffness!$C$5=4,IF(6=Element_Stiffness!$C$5,Element_Stiffness!R27,IF(6=Element_Stiffness!$E$5,Element_Stiffness!X27,0)),IF(Element_Stiffness!$E$5=4,IF(6=Element_Stiffness!$C$5,Element_Stiffness!R33,IF(6=Element_Stiffness!$E$5,Element_Stiffness!X33,0)),0)),0)+IF(Element_Stiffness!$C$41,IF(Element_Stiffness!$C$40=4,IF(6=Element_Stiffness!$C$40,Element_Stiffness!R62,IF(6=Element_Stiffness!$E$40,Element_Stiffness!X62,0)),IF(Element_Stiffness!$E$40=4,IF(6=Element_Stiffness!$C$40,Element_Stiffness!R68,IF(6=Element_Stiffness!$E$40,Element_Stiffness!X68,0)),0)),0)+IF(Element_Stiffness!$C$76,IF(Element_Stiffness!$C$75=4,IF(6=Element_Stiffness!$C$75,Element_Stiffness!R97,IF(6=Element_Stiffness!$E$75,Element_Stiffness!X97,0)),IF(Element_Stiffness!$E$75=4,IF(6=Element_Stiffness!$C$75,Element_Stiffness!R103,IF(6=Element_Stiffness!$E$75,Element_Stiffness!X103,0)),0)),0)+IF(Element_Stiffness!$C$111,IF(Element_Stiffness!$C$110=4,IF(6=Element_Stiffness!$C$110,Element_Stiffness!R132,IF(6=Element_Stiffness!$E$110,Element_Stiffness!X132,0)),IF(Element_Stiffness!$E$110=4,IF(6=Element_Stiffness!$C$110,Element_Stiffness!R138,IF(6=Element_Stiffness!$E$110,Element_Stiffness!X138,0)),0)),0)+IF(Element_Stiffness!$C$146,IF(Element_Stiffness!$C$145=4,IF(6=Element_Stiffness!$C$145,Element_Stiffness!R167,IF(6=Element_Stiffness!$E$145,Element_Stiffness!X167,0)),IF(Element_Stiffness!$E$145=4,IF(6=Element_Stiffness!$C$145,Element_Stiffness!R173,IF(6=Element_Stiffness!$E$145,Element_Stiffness!X173,0)),0)),0)+IF(Element_Stiffness!$C$181,IF(Element_Stiffness!$C$180=4,IF(6=Element_Stiffness!$C$180,Element_Stiffness!R202,IF(6=Element_Stiffness!$E$180,Element_Stiffness!X202,0)),IF(Element_Stiffness!$E$180=4,IF(6=Element_Stiffness!$C$180,Element_Stiffness!R208,IF(6=Element_Stiffness!$E$180,Element_Stiffness!X208,0)),0)),0)+IF(Element_Stiffness!$C$216,IF(Element_Stiffness!$C$215=4,IF(6=Element_Stiffness!$C$215,Element_Stiffness!R237,IF(6=Element_Stiffness!$E$215,Element_Stiffness!X237,0)),IF(Element_Stiffness!$E$215=4,IF(6=Element_Stiffness!$C$215,Element_Stiffness!R243,IF(6=Element_Stiffness!$E$215,Element_Stiffness!X243,0)),0)),0)</f>
        <v/>
      </c>
      <c r="AP30" s="21">
        <f>IF(Element_Stiffness!$C$6,IF(Element_Stiffness!$C$5=4,IF(6=Element_Stiffness!$C$5,Element_Stiffness!S27,IF(6=Element_Stiffness!$E$5,Element_Stiffness!Y27,0)),IF(Element_Stiffness!$E$5=4,IF(6=Element_Stiffness!$C$5,Element_Stiffness!S33,IF(6=Element_Stiffness!$E$5,Element_Stiffness!Y33,0)),0)),0)+IF(Element_Stiffness!$C$41,IF(Element_Stiffness!$C$40=4,IF(6=Element_Stiffness!$C$40,Element_Stiffness!S62,IF(6=Element_Stiffness!$E$40,Element_Stiffness!Y62,0)),IF(Element_Stiffness!$E$40=4,IF(6=Element_Stiffness!$C$40,Element_Stiffness!S68,IF(6=Element_Stiffness!$E$40,Element_Stiffness!Y68,0)),0)),0)+IF(Element_Stiffness!$C$76,IF(Element_Stiffness!$C$75=4,IF(6=Element_Stiffness!$C$75,Element_Stiffness!S97,IF(6=Element_Stiffness!$E$75,Element_Stiffness!Y97,0)),IF(Element_Stiffness!$E$75=4,IF(6=Element_Stiffness!$C$75,Element_Stiffness!S103,IF(6=Element_Stiffness!$E$75,Element_Stiffness!Y103,0)),0)),0)+IF(Element_Stiffness!$C$111,IF(Element_Stiffness!$C$110=4,IF(6=Element_Stiffness!$C$110,Element_Stiffness!S132,IF(6=Element_Stiffness!$E$110,Element_Stiffness!Y132,0)),IF(Element_Stiffness!$E$110=4,IF(6=Element_Stiffness!$C$110,Element_Stiffness!S138,IF(6=Element_Stiffness!$E$110,Element_Stiffness!Y138,0)),0)),0)+IF(Element_Stiffness!$C$146,IF(Element_Stiffness!$C$145=4,IF(6=Element_Stiffness!$C$145,Element_Stiffness!S167,IF(6=Element_Stiffness!$E$145,Element_Stiffness!Y167,0)),IF(Element_Stiffness!$E$145=4,IF(6=Element_Stiffness!$C$145,Element_Stiffness!S173,IF(6=Element_Stiffness!$E$145,Element_Stiffness!Y173,0)),0)),0)+IF(Element_Stiffness!$C$181,IF(Element_Stiffness!$C$180=4,IF(6=Element_Stiffness!$C$180,Element_Stiffness!S202,IF(6=Element_Stiffness!$E$180,Element_Stiffness!Y202,0)),IF(Element_Stiffness!$E$180=4,IF(6=Element_Stiffness!$C$180,Element_Stiffness!S208,IF(6=Element_Stiffness!$E$180,Element_Stiffness!Y208,0)),0)),0)+IF(Element_Stiffness!$C$216,IF(Element_Stiffness!$C$215=4,IF(6=Element_Stiffness!$C$215,Element_Stiffness!S237,IF(6=Element_Stiffness!$E$215,Element_Stiffness!Y237,0)),IF(Element_Stiffness!$E$215=4,IF(6=Element_Stiffness!$C$215,Element_Stiffness!S243,IF(6=Element_Stiffness!$E$215,Element_Stiffness!Y243,0)),0)),0)</f>
        <v/>
      </c>
      <c r="AQ30" s="21">
        <f>IF(Element_Stiffness!$C$6,IF(Element_Stiffness!$C$5=4,IF(6=Element_Stiffness!$C$5,Element_Stiffness!T27,IF(6=Element_Stiffness!$E$5,Element_Stiffness!Z27,0)),IF(Element_Stiffness!$E$5=4,IF(6=Element_Stiffness!$C$5,Element_Stiffness!T33,IF(6=Element_Stiffness!$E$5,Element_Stiffness!Z33,0)),0)),0)+IF(Element_Stiffness!$C$41,IF(Element_Stiffness!$C$40=4,IF(6=Element_Stiffness!$C$40,Element_Stiffness!T62,IF(6=Element_Stiffness!$E$40,Element_Stiffness!Z62,0)),IF(Element_Stiffness!$E$40=4,IF(6=Element_Stiffness!$C$40,Element_Stiffness!T68,IF(6=Element_Stiffness!$E$40,Element_Stiffness!Z68,0)),0)),0)+IF(Element_Stiffness!$C$76,IF(Element_Stiffness!$C$75=4,IF(6=Element_Stiffness!$C$75,Element_Stiffness!T97,IF(6=Element_Stiffness!$E$75,Element_Stiffness!Z97,0)),IF(Element_Stiffness!$E$75=4,IF(6=Element_Stiffness!$C$75,Element_Stiffness!T103,IF(6=Element_Stiffness!$E$75,Element_Stiffness!Z103,0)),0)),0)+IF(Element_Stiffness!$C$111,IF(Element_Stiffness!$C$110=4,IF(6=Element_Stiffness!$C$110,Element_Stiffness!T132,IF(6=Element_Stiffness!$E$110,Element_Stiffness!Z132,0)),IF(Element_Stiffness!$E$110=4,IF(6=Element_Stiffness!$C$110,Element_Stiffness!T138,IF(6=Element_Stiffness!$E$110,Element_Stiffness!Z138,0)),0)),0)+IF(Element_Stiffness!$C$146,IF(Element_Stiffness!$C$145=4,IF(6=Element_Stiffness!$C$145,Element_Stiffness!T167,IF(6=Element_Stiffness!$E$145,Element_Stiffness!Z167,0)),IF(Element_Stiffness!$E$145=4,IF(6=Element_Stiffness!$C$145,Element_Stiffness!T173,IF(6=Element_Stiffness!$E$145,Element_Stiffness!Z173,0)),0)),0)+IF(Element_Stiffness!$C$181,IF(Element_Stiffness!$C$180=4,IF(6=Element_Stiffness!$C$180,Element_Stiffness!T202,IF(6=Element_Stiffness!$E$180,Element_Stiffness!Z202,0)),IF(Element_Stiffness!$E$180=4,IF(6=Element_Stiffness!$C$180,Element_Stiffness!T208,IF(6=Element_Stiffness!$E$180,Element_Stiffness!Z208,0)),0)),0)+IF(Element_Stiffness!$C$216,IF(Element_Stiffness!$C$215=4,IF(6=Element_Stiffness!$C$215,Element_Stiffness!T237,IF(6=Element_Stiffness!$E$215,Element_Stiffness!Z237,0)),IF(Element_Stiffness!$E$215=4,IF(6=Element_Stiffness!$C$215,Element_Stiffness!T243,IF(6=Element_Stiffness!$E$215,Element_Stiffness!Z243,0)),0)),0)</f>
        <v/>
      </c>
      <c r="AR30" s="21">
        <f>IF(Element_Stiffness!$C$6,IF(Element_Stiffness!$C$5=4,IF(6=Element_Stiffness!$C$5,Element_Stiffness!U27,IF(6=Element_Stiffness!$E$5,Element_Stiffness!AA27,0)),IF(Element_Stiffness!$E$5=4,IF(6=Element_Stiffness!$C$5,Element_Stiffness!U33,IF(6=Element_Stiffness!$E$5,Element_Stiffness!AA33,0)),0)),0)+IF(Element_Stiffness!$C$41,IF(Element_Stiffness!$C$40=4,IF(6=Element_Stiffness!$C$40,Element_Stiffness!U62,IF(6=Element_Stiffness!$E$40,Element_Stiffness!AA62,0)),IF(Element_Stiffness!$E$40=4,IF(6=Element_Stiffness!$C$40,Element_Stiffness!U68,IF(6=Element_Stiffness!$E$40,Element_Stiffness!AA68,0)),0)),0)+IF(Element_Stiffness!$C$76,IF(Element_Stiffness!$C$75=4,IF(6=Element_Stiffness!$C$75,Element_Stiffness!U97,IF(6=Element_Stiffness!$E$75,Element_Stiffness!AA97,0)),IF(Element_Stiffness!$E$75=4,IF(6=Element_Stiffness!$C$75,Element_Stiffness!U103,IF(6=Element_Stiffness!$E$75,Element_Stiffness!AA103,0)),0)),0)+IF(Element_Stiffness!$C$111,IF(Element_Stiffness!$C$110=4,IF(6=Element_Stiffness!$C$110,Element_Stiffness!U132,IF(6=Element_Stiffness!$E$110,Element_Stiffness!AA132,0)),IF(Element_Stiffness!$E$110=4,IF(6=Element_Stiffness!$C$110,Element_Stiffness!U138,IF(6=Element_Stiffness!$E$110,Element_Stiffness!AA138,0)),0)),0)+IF(Element_Stiffness!$C$146,IF(Element_Stiffness!$C$145=4,IF(6=Element_Stiffness!$C$145,Element_Stiffness!U167,IF(6=Element_Stiffness!$E$145,Element_Stiffness!AA167,0)),IF(Element_Stiffness!$E$145=4,IF(6=Element_Stiffness!$C$145,Element_Stiffness!U173,IF(6=Element_Stiffness!$E$145,Element_Stiffness!AA173,0)),0)),0)+IF(Element_Stiffness!$C$181,IF(Element_Stiffness!$C$180=4,IF(6=Element_Stiffness!$C$180,Element_Stiffness!U202,IF(6=Element_Stiffness!$E$180,Element_Stiffness!AA202,0)),IF(Element_Stiffness!$E$180=4,IF(6=Element_Stiffness!$C$180,Element_Stiffness!U208,IF(6=Element_Stiffness!$E$180,Element_Stiffness!AA208,0)),0)),0)+IF(Element_Stiffness!$C$216,IF(Element_Stiffness!$C$215=4,IF(6=Element_Stiffness!$C$215,Element_Stiffness!U237,IF(6=Element_Stiffness!$E$215,Element_Stiffness!AA237,0)),IF(Element_Stiffness!$E$215=4,IF(6=Element_Stiffness!$C$215,Element_Stiffness!U243,IF(6=Element_Stiffness!$E$215,Element_Stiffness!AA243,0)),0)),0)</f>
        <v/>
      </c>
      <c r="AS30" s="21">
        <f>IF(Element_Stiffness!$C$6,IF(Element_Stiffness!$C$5=4,IF(7=Element_Stiffness!$C$5,Element_Stiffness!P27,IF(7=Element_Stiffness!$E$5,Element_Stiffness!V27,0)),IF(Element_Stiffness!$E$5=4,IF(7=Element_Stiffness!$C$5,Element_Stiffness!P33,IF(7=Element_Stiffness!$E$5,Element_Stiffness!V33,0)),0)),0)+IF(Element_Stiffness!$C$41,IF(Element_Stiffness!$C$40=4,IF(7=Element_Stiffness!$C$40,Element_Stiffness!P62,IF(7=Element_Stiffness!$E$40,Element_Stiffness!V62,0)),IF(Element_Stiffness!$E$40=4,IF(7=Element_Stiffness!$C$40,Element_Stiffness!P68,IF(7=Element_Stiffness!$E$40,Element_Stiffness!V68,0)),0)),0)+IF(Element_Stiffness!$C$76,IF(Element_Stiffness!$C$75=4,IF(7=Element_Stiffness!$C$75,Element_Stiffness!P97,IF(7=Element_Stiffness!$E$75,Element_Stiffness!V97,0)),IF(Element_Stiffness!$E$75=4,IF(7=Element_Stiffness!$C$75,Element_Stiffness!P103,IF(7=Element_Stiffness!$E$75,Element_Stiffness!V103,0)),0)),0)+IF(Element_Stiffness!$C$111,IF(Element_Stiffness!$C$110=4,IF(7=Element_Stiffness!$C$110,Element_Stiffness!P132,IF(7=Element_Stiffness!$E$110,Element_Stiffness!V132,0)),IF(Element_Stiffness!$E$110=4,IF(7=Element_Stiffness!$C$110,Element_Stiffness!P138,IF(7=Element_Stiffness!$E$110,Element_Stiffness!V138,0)),0)),0)+IF(Element_Stiffness!$C$146,IF(Element_Stiffness!$C$145=4,IF(7=Element_Stiffness!$C$145,Element_Stiffness!P167,IF(7=Element_Stiffness!$E$145,Element_Stiffness!V167,0)),IF(Element_Stiffness!$E$145=4,IF(7=Element_Stiffness!$C$145,Element_Stiffness!P173,IF(7=Element_Stiffness!$E$145,Element_Stiffness!V173,0)),0)),0)+IF(Element_Stiffness!$C$181,IF(Element_Stiffness!$C$180=4,IF(7=Element_Stiffness!$C$180,Element_Stiffness!P202,IF(7=Element_Stiffness!$E$180,Element_Stiffness!V202,0)),IF(Element_Stiffness!$E$180=4,IF(7=Element_Stiffness!$C$180,Element_Stiffness!P208,IF(7=Element_Stiffness!$E$180,Element_Stiffness!V208,0)),0)),0)+IF(Element_Stiffness!$C$216,IF(Element_Stiffness!$C$215=4,IF(7=Element_Stiffness!$C$215,Element_Stiffness!P237,IF(7=Element_Stiffness!$E$215,Element_Stiffness!V237,0)),IF(Element_Stiffness!$E$215=4,IF(7=Element_Stiffness!$C$215,Element_Stiffness!P243,IF(7=Element_Stiffness!$E$215,Element_Stiffness!V243,0)),0)),0)</f>
        <v/>
      </c>
      <c r="AT30" s="21">
        <f>IF(Element_Stiffness!$C$6,IF(Element_Stiffness!$C$5=4,IF(7=Element_Stiffness!$C$5,Element_Stiffness!Q27,IF(7=Element_Stiffness!$E$5,Element_Stiffness!W27,0)),IF(Element_Stiffness!$E$5=4,IF(7=Element_Stiffness!$C$5,Element_Stiffness!Q33,IF(7=Element_Stiffness!$E$5,Element_Stiffness!W33,0)),0)),0)+IF(Element_Stiffness!$C$41,IF(Element_Stiffness!$C$40=4,IF(7=Element_Stiffness!$C$40,Element_Stiffness!Q62,IF(7=Element_Stiffness!$E$40,Element_Stiffness!W62,0)),IF(Element_Stiffness!$E$40=4,IF(7=Element_Stiffness!$C$40,Element_Stiffness!Q68,IF(7=Element_Stiffness!$E$40,Element_Stiffness!W68,0)),0)),0)+IF(Element_Stiffness!$C$76,IF(Element_Stiffness!$C$75=4,IF(7=Element_Stiffness!$C$75,Element_Stiffness!Q97,IF(7=Element_Stiffness!$E$75,Element_Stiffness!W97,0)),IF(Element_Stiffness!$E$75=4,IF(7=Element_Stiffness!$C$75,Element_Stiffness!Q103,IF(7=Element_Stiffness!$E$75,Element_Stiffness!W103,0)),0)),0)+IF(Element_Stiffness!$C$111,IF(Element_Stiffness!$C$110=4,IF(7=Element_Stiffness!$C$110,Element_Stiffness!Q132,IF(7=Element_Stiffness!$E$110,Element_Stiffness!W132,0)),IF(Element_Stiffness!$E$110=4,IF(7=Element_Stiffness!$C$110,Element_Stiffness!Q138,IF(7=Element_Stiffness!$E$110,Element_Stiffness!W138,0)),0)),0)+IF(Element_Stiffness!$C$146,IF(Element_Stiffness!$C$145=4,IF(7=Element_Stiffness!$C$145,Element_Stiffness!Q167,IF(7=Element_Stiffness!$E$145,Element_Stiffness!W167,0)),IF(Element_Stiffness!$E$145=4,IF(7=Element_Stiffness!$C$145,Element_Stiffness!Q173,IF(7=Element_Stiffness!$E$145,Element_Stiffness!W173,0)),0)),0)+IF(Element_Stiffness!$C$181,IF(Element_Stiffness!$C$180=4,IF(7=Element_Stiffness!$C$180,Element_Stiffness!Q202,IF(7=Element_Stiffness!$E$180,Element_Stiffness!W202,0)),IF(Element_Stiffness!$E$180=4,IF(7=Element_Stiffness!$C$180,Element_Stiffness!Q208,IF(7=Element_Stiffness!$E$180,Element_Stiffness!W208,0)),0)),0)+IF(Element_Stiffness!$C$216,IF(Element_Stiffness!$C$215=4,IF(7=Element_Stiffness!$C$215,Element_Stiffness!Q237,IF(7=Element_Stiffness!$E$215,Element_Stiffness!W237,0)),IF(Element_Stiffness!$E$215=4,IF(7=Element_Stiffness!$C$215,Element_Stiffness!Q243,IF(7=Element_Stiffness!$E$215,Element_Stiffness!W243,0)),0)),0)</f>
        <v/>
      </c>
      <c r="AU30" s="21">
        <f>IF(Element_Stiffness!$C$6,IF(Element_Stiffness!$C$5=4,IF(7=Element_Stiffness!$C$5,Element_Stiffness!R27,IF(7=Element_Stiffness!$E$5,Element_Stiffness!X27,0)),IF(Element_Stiffness!$E$5=4,IF(7=Element_Stiffness!$C$5,Element_Stiffness!R33,IF(7=Element_Stiffness!$E$5,Element_Stiffness!X33,0)),0)),0)+IF(Element_Stiffness!$C$41,IF(Element_Stiffness!$C$40=4,IF(7=Element_Stiffness!$C$40,Element_Stiffness!R62,IF(7=Element_Stiffness!$E$40,Element_Stiffness!X62,0)),IF(Element_Stiffness!$E$40=4,IF(7=Element_Stiffness!$C$40,Element_Stiffness!R68,IF(7=Element_Stiffness!$E$40,Element_Stiffness!X68,0)),0)),0)+IF(Element_Stiffness!$C$76,IF(Element_Stiffness!$C$75=4,IF(7=Element_Stiffness!$C$75,Element_Stiffness!R97,IF(7=Element_Stiffness!$E$75,Element_Stiffness!X97,0)),IF(Element_Stiffness!$E$75=4,IF(7=Element_Stiffness!$C$75,Element_Stiffness!R103,IF(7=Element_Stiffness!$E$75,Element_Stiffness!X103,0)),0)),0)+IF(Element_Stiffness!$C$111,IF(Element_Stiffness!$C$110=4,IF(7=Element_Stiffness!$C$110,Element_Stiffness!R132,IF(7=Element_Stiffness!$E$110,Element_Stiffness!X132,0)),IF(Element_Stiffness!$E$110=4,IF(7=Element_Stiffness!$C$110,Element_Stiffness!R138,IF(7=Element_Stiffness!$E$110,Element_Stiffness!X138,0)),0)),0)+IF(Element_Stiffness!$C$146,IF(Element_Stiffness!$C$145=4,IF(7=Element_Stiffness!$C$145,Element_Stiffness!R167,IF(7=Element_Stiffness!$E$145,Element_Stiffness!X167,0)),IF(Element_Stiffness!$E$145=4,IF(7=Element_Stiffness!$C$145,Element_Stiffness!R173,IF(7=Element_Stiffness!$E$145,Element_Stiffness!X173,0)),0)),0)+IF(Element_Stiffness!$C$181,IF(Element_Stiffness!$C$180=4,IF(7=Element_Stiffness!$C$180,Element_Stiffness!R202,IF(7=Element_Stiffness!$E$180,Element_Stiffness!X202,0)),IF(Element_Stiffness!$E$180=4,IF(7=Element_Stiffness!$C$180,Element_Stiffness!R208,IF(7=Element_Stiffness!$E$180,Element_Stiffness!X208,0)),0)),0)+IF(Element_Stiffness!$C$216,IF(Element_Stiffness!$C$215=4,IF(7=Element_Stiffness!$C$215,Element_Stiffness!R237,IF(7=Element_Stiffness!$E$215,Element_Stiffness!X237,0)),IF(Element_Stiffness!$E$215=4,IF(7=Element_Stiffness!$C$215,Element_Stiffness!R243,IF(7=Element_Stiffness!$E$215,Element_Stiffness!X243,0)),0)),0)</f>
        <v/>
      </c>
      <c r="AV30" s="21">
        <f>IF(Element_Stiffness!$C$6,IF(Element_Stiffness!$C$5=4,IF(7=Element_Stiffness!$C$5,Element_Stiffness!S27,IF(7=Element_Stiffness!$E$5,Element_Stiffness!Y27,0)),IF(Element_Stiffness!$E$5=4,IF(7=Element_Stiffness!$C$5,Element_Stiffness!S33,IF(7=Element_Stiffness!$E$5,Element_Stiffness!Y33,0)),0)),0)+IF(Element_Stiffness!$C$41,IF(Element_Stiffness!$C$40=4,IF(7=Element_Stiffness!$C$40,Element_Stiffness!S62,IF(7=Element_Stiffness!$E$40,Element_Stiffness!Y62,0)),IF(Element_Stiffness!$E$40=4,IF(7=Element_Stiffness!$C$40,Element_Stiffness!S68,IF(7=Element_Stiffness!$E$40,Element_Stiffness!Y68,0)),0)),0)+IF(Element_Stiffness!$C$76,IF(Element_Stiffness!$C$75=4,IF(7=Element_Stiffness!$C$75,Element_Stiffness!S97,IF(7=Element_Stiffness!$E$75,Element_Stiffness!Y97,0)),IF(Element_Stiffness!$E$75=4,IF(7=Element_Stiffness!$C$75,Element_Stiffness!S103,IF(7=Element_Stiffness!$E$75,Element_Stiffness!Y103,0)),0)),0)+IF(Element_Stiffness!$C$111,IF(Element_Stiffness!$C$110=4,IF(7=Element_Stiffness!$C$110,Element_Stiffness!S132,IF(7=Element_Stiffness!$E$110,Element_Stiffness!Y132,0)),IF(Element_Stiffness!$E$110=4,IF(7=Element_Stiffness!$C$110,Element_Stiffness!S138,IF(7=Element_Stiffness!$E$110,Element_Stiffness!Y138,0)),0)),0)+IF(Element_Stiffness!$C$146,IF(Element_Stiffness!$C$145=4,IF(7=Element_Stiffness!$C$145,Element_Stiffness!S167,IF(7=Element_Stiffness!$E$145,Element_Stiffness!Y167,0)),IF(Element_Stiffness!$E$145=4,IF(7=Element_Stiffness!$C$145,Element_Stiffness!S173,IF(7=Element_Stiffness!$E$145,Element_Stiffness!Y173,0)),0)),0)+IF(Element_Stiffness!$C$181,IF(Element_Stiffness!$C$180=4,IF(7=Element_Stiffness!$C$180,Element_Stiffness!S202,IF(7=Element_Stiffness!$E$180,Element_Stiffness!Y202,0)),IF(Element_Stiffness!$E$180=4,IF(7=Element_Stiffness!$C$180,Element_Stiffness!S208,IF(7=Element_Stiffness!$E$180,Element_Stiffness!Y208,0)),0)),0)+IF(Element_Stiffness!$C$216,IF(Element_Stiffness!$C$215=4,IF(7=Element_Stiffness!$C$215,Element_Stiffness!S237,IF(7=Element_Stiffness!$E$215,Element_Stiffness!Y237,0)),IF(Element_Stiffness!$E$215=4,IF(7=Element_Stiffness!$C$215,Element_Stiffness!S243,IF(7=Element_Stiffness!$E$215,Element_Stiffness!Y243,0)),0)),0)</f>
        <v/>
      </c>
      <c r="AW30" s="21">
        <f>IF(Element_Stiffness!$C$6,IF(Element_Stiffness!$C$5=4,IF(7=Element_Stiffness!$C$5,Element_Stiffness!T27,IF(7=Element_Stiffness!$E$5,Element_Stiffness!Z27,0)),IF(Element_Stiffness!$E$5=4,IF(7=Element_Stiffness!$C$5,Element_Stiffness!T33,IF(7=Element_Stiffness!$E$5,Element_Stiffness!Z33,0)),0)),0)+IF(Element_Stiffness!$C$41,IF(Element_Stiffness!$C$40=4,IF(7=Element_Stiffness!$C$40,Element_Stiffness!T62,IF(7=Element_Stiffness!$E$40,Element_Stiffness!Z62,0)),IF(Element_Stiffness!$E$40=4,IF(7=Element_Stiffness!$C$40,Element_Stiffness!T68,IF(7=Element_Stiffness!$E$40,Element_Stiffness!Z68,0)),0)),0)+IF(Element_Stiffness!$C$76,IF(Element_Stiffness!$C$75=4,IF(7=Element_Stiffness!$C$75,Element_Stiffness!T97,IF(7=Element_Stiffness!$E$75,Element_Stiffness!Z97,0)),IF(Element_Stiffness!$E$75=4,IF(7=Element_Stiffness!$C$75,Element_Stiffness!T103,IF(7=Element_Stiffness!$E$75,Element_Stiffness!Z103,0)),0)),0)+IF(Element_Stiffness!$C$111,IF(Element_Stiffness!$C$110=4,IF(7=Element_Stiffness!$C$110,Element_Stiffness!T132,IF(7=Element_Stiffness!$E$110,Element_Stiffness!Z132,0)),IF(Element_Stiffness!$E$110=4,IF(7=Element_Stiffness!$C$110,Element_Stiffness!T138,IF(7=Element_Stiffness!$E$110,Element_Stiffness!Z138,0)),0)),0)+IF(Element_Stiffness!$C$146,IF(Element_Stiffness!$C$145=4,IF(7=Element_Stiffness!$C$145,Element_Stiffness!T167,IF(7=Element_Stiffness!$E$145,Element_Stiffness!Z167,0)),IF(Element_Stiffness!$E$145=4,IF(7=Element_Stiffness!$C$145,Element_Stiffness!T173,IF(7=Element_Stiffness!$E$145,Element_Stiffness!Z173,0)),0)),0)+IF(Element_Stiffness!$C$181,IF(Element_Stiffness!$C$180=4,IF(7=Element_Stiffness!$C$180,Element_Stiffness!T202,IF(7=Element_Stiffness!$E$180,Element_Stiffness!Z202,0)),IF(Element_Stiffness!$E$180=4,IF(7=Element_Stiffness!$C$180,Element_Stiffness!T208,IF(7=Element_Stiffness!$E$180,Element_Stiffness!Z208,0)),0)),0)+IF(Element_Stiffness!$C$216,IF(Element_Stiffness!$C$215=4,IF(7=Element_Stiffness!$C$215,Element_Stiffness!T237,IF(7=Element_Stiffness!$E$215,Element_Stiffness!Z237,0)),IF(Element_Stiffness!$E$215=4,IF(7=Element_Stiffness!$C$215,Element_Stiffness!T243,IF(7=Element_Stiffness!$E$215,Element_Stiffness!Z243,0)),0)),0)</f>
        <v/>
      </c>
      <c r="AX30" s="21">
        <f>IF(Element_Stiffness!$C$6,IF(Element_Stiffness!$C$5=4,IF(7=Element_Stiffness!$C$5,Element_Stiffness!U27,IF(7=Element_Stiffness!$E$5,Element_Stiffness!AA27,0)),IF(Element_Stiffness!$E$5=4,IF(7=Element_Stiffness!$C$5,Element_Stiffness!U33,IF(7=Element_Stiffness!$E$5,Element_Stiffness!AA33,0)),0)),0)+IF(Element_Stiffness!$C$41,IF(Element_Stiffness!$C$40=4,IF(7=Element_Stiffness!$C$40,Element_Stiffness!U62,IF(7=Element_Stiffness!$E$40,Element_Stiffness!AA62,0)),IF(Element_Stiffness!$E$40=4,IF(7=Element_Stiffness!$C$40,Element_Stiffness!U68,IF(7=Element_Stiffness!$E$40,Element_Stiffness!AA68,0)),0)),0)+IF(Element_Stiffness!$C$76,IF(Element_Stiffness!$C$75=4,IF(7=Element_Stiffness!$C$75,Element_Stiffness!U97,IF(7=Element_Stiffness!$E$75,Element_Stiffness!AA97,0)),IF(Element_Stiffness!$E$75=4,IF(7=Element_Stiffness!$C$75,Element_Stiffness!U103,IF(7=Element_Stiffness!$E$75,Element_Stiffness!AA103,0)),0)),0)+IF(Element_Stiffness!$C$111,IF(Element_Stiffness!$C$110=4,IF(7=Element_Stiffness!$C$110,Element_Stiffness!U132,IF(7=Element_Stiffness!$E$110,Element_Stiffness!AA132,0)),IF(Element_Stiffness!$E$110=4,IF(7=Element_Stiffness!$C$110,Element_Stiffness!U138,IF(7=Element_Stiffness!$E$110,Element_Stiffness!AA138,0)),0)),0)+IF(Element_Stiffness!$C$146,IF(Element_Stiffness!$C$145=4,IF(7=Element_Stiffness!$C$145,Element_Stiffness!U167,IF(7=Element_Stiffness!$E$145,Element_Stiffness!AA167,0)),IF(Element_Stiffness!$E$145=4,IF(7=Element_Stiffness!$C$145,Element_Stiffness!U173,IF(7=Element_Stiffness!$E$145,Element_Stiffness!AA173,0)),0)),0)+IF(Element_Stiffness!$C$181,IF(Element_Stiffness!$C$180=4,IF(7=Element_Stiffness!$C$180,Element_Stiffness!U202,IF(7=Element_Stiffness!$E$180,Element_Stiffness!AA202,0)),IF(Element_Stiffness!$E$180=4,IF(7=Element_Stiffness!$C$180,Element_Stiffness!U208,IF(7=Element_Stiffness!$E$180,Element_Stiffness!AA208,0)),0)),0)+IF(Element_Stiffness!$C$216,IF(Element_Stiffness!$C$215=4,IF(7=Element_Stiffness!$C$215,Element_Stiffness!U237,IF(7=Element_Stiffness!$E$215,Element_Stiffness!AA237,0)),IF(Element_Stiffness!$E$215=4,IF(7=Element_Stiffness!$C$215,Element_Stiffness!U243,IF(7=Element_Stiffness!$E$215,Element_Stiffness!AA243,0)),0)),0)</f>
        <v/>
      </c>
      <c r="AY30" s="21" t="n">
        <v>0</v>
      </c>
      <c r="AZ30" s="21">
        <f>IF(Element_Stiffness!$C$6,IF(Element_Stiffness!$C$5=4,Element_Stiffness!C27,IF(Element_Stiffness!$E$5=4,Element_Stiffness!C33,0)),0)+IF(Element_Stiffness!$C$41,IF(Element_Stiffness!$C$40=4,Element_Stiffness!C62,IF(Element_Stiffness!$E$40=4,Element_Stiffness!C68,0)),0)+IF(Element_Stiffness!$C$76,IF(Element_Stiffness!$C$75=4,Element_Stiffness!C97,IF(Element_Stiffness!$E$75=4,Element_Stiffness!C103,0)),0)+IF(Element_Stiffness!$C$111,IF(Element_Stiffness!$C$110=4,Element_Stiffness!C132,IF(Element_Stiffness!$E$110=4,Element_Stiffness!C138,0)),0)+IF(Element_Stiffness!$C$146,IF(Element_Stiffness!$C$145=4,Element_Stiffness!C167,IF(Element_Stiffness!$E$145=4,Element_Stiffness!C173,0)),0)+IF(Element_Stiffness!$C$181,IF(Element_Stiffness!$C$180=4,Element_Stiffness!C202,IF(Element_Stiffness!$E$180=4,Element_Stiffness!C208,0)),0)+IF(Element_Stiffness!$C$216,IF(Element_Stiffness!$C$215=4,Element_Stiffness!C237,IF(Element_Stiffness!$E$215=4,Element_Stiffness!C243,0)),0)</f>
        <v/>
      </c>
      <c r="BB30" s="28">
        <f>INDEX(MMULT(MINVERSE(C5:AX52), AY5:AY52), 26, 1)</f>
        <v/>
      </c>
      <c r="BC30" s="28">
        <f>INDEX(MMULT(MINVERSE(C5:AX52), AZ5:AZ52), 26, 1)</f>
        <v/>
      </c>
    </row>
    <row r="31">
      <c r="B31" s="27" t="inlineStr">
        <is>
          <t>N4_tz</t>
        </is>
      </c>
      <c r="C31" s="21">
        <f>IF(Element_Stiffness!$C$6,IF(Element_Stiffness!$C$5=4,IF(0=Element_Stiffness!$C$5,Element_Stiffness!P28,IF(0=Element_Stiffness!$E$5,Element_Stiffness!V28,0)),IF(Element_Stiffness!$E$5=4,IF(0=Element_Stiffness!$C$5,Element_Stiffness!P34,IF(0=Element_Stiffness!$E$5,Element_Stiffness!V34,0)),0)),0)+IF(Element_Stiffness!$C$41,IF(Element_Stiffness!$C$40=4,IF(0=Element_Stiffness!$C$40,Element_Stiffness!P63,IF(0=Element_Stiffness!$E$40,Element_Stiffness!V63,0)),IF(Element_Stiffness!$E$40=4,IF(0=Element_Stiffness!$C$40,Element_Stiffness!P69,IF(0=Element_Stiffness!$E$40,Element_Stiffness!V69,0)),0)),0)+IF(Element_Stiffness!$C$76,IF(Element_Stiffness!$C$75=4,IF(0=Element_Stiffness!$C$75,Element_Stiffness!P98,IF(0=Element_Stiffness!$E$75,Element_Stiffness!V98,0)),IF(Element_Stiffness!$E$75=4,IF(0=Element_Stiffness!$C$75,Element_Stiffness!P104,IF(0=Element_Stiffness!$E$75,Element_Stiffness!V104,0)),0)),0)+IF(Element_Stiffness!$C$111,IF(Element_Stiffness!$C$110=4,IF(0=Element_Stiffness!$C$110,Element_Stiffness!P133,IF(0=Element_Stiffness!$E$110,Element_Stiffness!V133,0)),IF(Element_Stiffness!$E$110=4,IF(0=Element_Stiffness!$C$110,Element_Stiffness!P139,IF(0=Element_Stiffness!$E$110,Element_Stiffness!V139,0)),0)),0)+IF(Element_Stiffness!$C$146,IF(Element_Stiffness!$C$145=4,IF(0=Element_Stiffness!$C$145,Element_Stiffness!P168,IF(0=Element_Stiffness!$E$145,Element_Stiffness!V168,0)),IF(Element_Stiffness!$E$145=4,IF(0=Element_Stiffness!$C$145,Element_Stiffness!P174,IF(0=Element_Stiffness!$E$145,Element_Stiffness!V174,0)),0)),0)+IF(Element_Stiffness!$C$181,IF(Element_Stiffness!$C$180=4,IF(0=Element_Stiffness!$C$180,Element_Stiffness!P203,IF(0=Element_Stiffness!$E$180,Element_Stiffness!V203,0)),IF(Element_Stiffness!$E$180=4,IF(0=Element_Stiffness!$C$180,Element_Stiffness!P209,IF(0=Element_Stiffness!$E$180,Element_Stiffness!V209,0)),0)),0)+IF(Element_Stiffness!$C$216,IF(Element_Stiffness!$C$215=4,IF(0=Element_Stiffness!$C$215,Element_Stiffness!P238,IF(0=Element_Stiffness!$E$215,Element_Stiffness!V238,0)),IF(Element_Stiffness!$E$215=4,IF(0=Element_Stiffness!$C$215,Element_Stiffness!P244,IF(0=Element_Stiffness!$E$215,Element_Stiffness!V244,0)),0)),0)</f>
        <v/>
      </c>
      <c r="D31" s="21">
        <f>IF(Element_Stiffness!$C$6,IF(Element_Stiffness!$C$5=4,IF(0=Element_Stiffness!$C$5,Element_Stiffness!Q28,IF(0=Element_Stiffness!$E$5,Element_Stiffness!W28,0)),IF(Element_Stiffness!$E$5=4,IF(0=Element_Stiffness!$C$5,Element_Stiffness!Q34,IF(0=Element_Stiffness!$E$5,Element_Stiffness!W34,0)),0)),0)+IF(Element_Stiffness!$C$41,IF(Element_Stiffness!$C$40=4,IF(0=Element_Stiffness!$C$40,Element_Stiffness!Q63,IF(0=Element_Stiffness!$E$40,Element_Stiffness!W63,0)),IF(Element_Stiffness!$E$40=4,IF(0=Element_Stiffness!$C$40,Element_Stiffness!Q69,IF(0=Element_Stiffness!$E$40,Element_Stiffness!W69,0)),0)),0)+IF(Element_Stiffness!$C$76,IF(Element_Stiffness!$C$75=4,IF(0=Element_Stiffness!$C$75,Element_Stiffness!Q98,IF(0=Element_Stiffness!$E$75,Element_Stiffness!W98,0)),IF(Element_Stiffness!$E$75=4,IF(0=Element_Stiffness!$C$75,Element_Stiffness!Q104,IF(0=Element_Stiffness!$E$75,Element_Stiffness!W104,0)),0)),0)+IF(Element_Stiffness!$C$111,IF(Element_Stiffness!$C$110=4,IF(0=Element_Stiffness!$C$110,Element_Stiffness!Q133,IF(0=Element_Stiffness!$E$110,Element_Stiffness!W133,0)),IF(Element_Stiffness!$E$110=4,IF(0=Element_Stiffness!$C$110,Element_Stiffness!Q139,IF(0=Element_Stiffness!$E$110,Element_Stiffness!W139,0)),0)),0)+IF(Element_Stiffness!$C$146,IF(Element_Stiffness!$C$145=4,IF(0=Element_Stiffness!$C$145,Element_Stiffness!Q168,IF(0=Element_Stiffness!$E$145,Element_Stiffness!W168,0)),IF(Element_Stiffness!$E$145=4,IF(0=Element_Stiffness!$C$145,Element_Stiffness!Q174,IF(0=Element_Stiffness!$E$145,Element_Stiffness!W174,0)),0)),0)+IF(Element_Stiffness!$C$181,IF(Element_Stiffness!$C$180=4,IF(0=Element_Stiffness!$C$180,Element_Stiffness!Q203,IF(0=Element_Stiffness!$E$180,Element_Stiffness!W203,0)),IF(Element_Stiffness!$E$180=4,IF(0=Element_Stiffness!$C$180,Element_Stiffness!Q209,IF(0=Element_Stiffness!$E$180,Element_Stiffness!W209,0)),0)),0)+IF(Element_Stiffness!$C$216,IF(Element_Stiffness!$C$215=4,IF(0=Element_Stiffness!$C$215,Element_Stiffness!Q238,IF(0=Element_Stiffness!$E$215,Element_Stiffness!W238,0)),IF(Element_Stiffness!$E$215=4,IF(0=Element_Stiffness!$C$215,Element_Stiffness!Q244,IF(0=Element_Stiffness!$E$215,Element_Stiffness!W244,0)),0)),0)</f>
        <v/>
      </c>
      <c r="E31" s="21">
        <f>IF(Element_Stiffness!$C$6,IF(Element_Stiffness!$C$5=4,IF(0=Element_Stiffness!$C$5,Element_Stiffness!R28,IF(0=Element_Stiffness!$E$5,Element_Stiffness!X28,0)),IF(Element_Stiffness!$E$5=4,IF(0=Element_Stiffness!$C$5,Element_Stiffness!R34,IF(0=Element_Stiffness!$E$5,Element_Stiffness!X34,0)),0)),0)+IF(Element_Stiffness!$C$41,IF(Element_Stiffness!$C$40=4,IF(0=Element_Stiffness!$C$40,Element_Stiffness!R63,IF(0=Element_Stiffness!$E$40,Element_Stiffness!X63,0)),IF(Element_Stiffness!$E$40=4,IF(0=Element_Stiffness!$C$40,Element_Stiffness!R69,IF(0=Element_Stiffness!$E$40,Element_Stiffness!X69,0)),0)),0)+IF(Element_Stiffness!$C$76,IF(Element_Stiffness!$C$75=4,IF(0=Element_Stiffness!$C$75,Element_Stiffness!R98,IF(0=Element_Stiffness!$E$75,Element_Stiffness!X98,0)),IF(Element_Stiffness!$E$75=4,IF(0=Element_Stiffness!$C$75,Element_Stiffness!R104,IF(0=Element_Stiffness!$E$75,Element_Stiffness!X104,0)),0)),0)+IF(Element_Stiffness!$C$111,IF(Element_Stiffness!$C$110=4,IF(0=Element_Stiffness!$C$110,Element_Stiffness!R133,IF(0=Element_Stiffness!$E$110,Element_Stiffness!X133,0)),IF(Element_Stiffness!$E$110=4,IF(0=Element_Stiffness!$C$110,Element_Stiffness!R139,IF(0=Element_Stiffness!$E$110,Element_Stiffness!X139,0)),0)),0)+IF(Element_Stiffness!$C$146,IF(Element_Stiffness!$C$145=4,IF(0=Element_Stiffness!$C$145,Element_Stiffness!R168,IF(0=Element_Stiffness!$E$145,Element_Stiffness!X168,0)),IF(Element_Stiffness!$E$145=4,IF(0=Element_Stiffness!$C$145,Element_Stiffness!R174,IF(0=Element_Stiffness!$E$145,Element_Stiffness!X174,0)),0)),0)+IF(Element_Stiffness!$C$181,IF(Element_Stiffness!$C$180=4,IF(0=Element_Stiffness!$C$180,Element_Stiffness!R203,IF(0=Element_Stiffness!$E$180,Element_Stiffness!X203,0)),IF(Element_Stiffness!$E$180=4,IF(0=Element_Stiffness!$C$180,Element_Stiffness!R209,IF(0=Element_Stiffness!$E$180,Element_Stiffness!X209,0)),0)),0)+IF(Element_Stiffness!$C$216,IF(Element_Stiffness!$C$215=4,IF(0=Element_Stiffness!$C$215,Element_Stiffness!R238,IF(0=Element_Stiffness!$E$215,Element_Stiffness!X238,0)),IF(Element_Stiffness!$E$215=4,IF(0=Element_Stiffness!$C$215,Element_Stiffness!R244,IF(0=Element_Stiffness!$E$215,Element_Stiffness!X244,0)),0)),0)</f>
        <v/>
      </c>
      <c r="F31" s="21">
        <f>IF(Element_Stiffness!$C$6,IF(Element_Stiffness!$C$5=4,IF(0=Element_Stiffness!$C$5,Element_Stiffness!S28,IF(0=Element_Stiffness!$E$5,Element_Stiffness!Y28,0)),IF(Element_Stiffness!$E$5=4,IF(0=Element_Stiffness!$C$5,Element_Stiffness!S34,IF(0=Element_Stiffness!$E$5,Element_Stiffness!Y34,0)),0)),0)+IF(Element_Stiffness!$C$41,IF(Element_Stiffness!$C$40=4,IF(0=Element_Stiffness!$C$40,Element_Stiffness!S63,IF(0=Element_Stiffness!$E$40,Element_Stiffness!Y63,0)),IF(Element_Stiffness!$E$40=4,IF(0=Element_Stiffness!$C$40,Element_Stiffness!S69,IF(0=Element_Stiffness!$E$40,Element_Stiffness!Y69,0)),0)),0)+IF(Element_Stiffness!$C$76,IF(Element_Stiffness!$C$75=4,IF(0=Element_Stiffness!$C$75,Element_Stiffness!S98,IF(0=Element_Stiffness!$E$75,Element_Stiffness!Y98,0)),IF(Element_Stiffness!$E$75=4,IF(0=Element_Stiffness!$C$75,Element_Stiffness!S104,IF(0=Element_Stiffness!$E$75,Element_Stiffness!Y104,0)),0)),0)+IF(Element_Stiffness!$C$111,IF(Element_Stiffness!$C$110=4,IF(0=Element_Stiffness!$C$110,Element_Stiffness!S133,IF(0=Element_Stiffness!$E$110,Element_Stiffness!Y133,0)),IF(Element_Stiffness!$E$110=4,IF(0=Element_Stiffness!$C$110,Element_Stiffness!S139,IF(0=Element_Stiffness!$E$110,Element_Stiffness!Y139,0)),0)),0)+IF(Element_Stiffness!$C$146,IF(Element_Stiffness!$C$145=4,IF(0=Element_Stiffness!$C$145,Element_Stiffness!S168,IF(0=Element_Stiffness!$E$145,Element_Stiffness!Y168,0)),IF(Element_Stiffness!$E$145=4,IF(0=Element_Stiffness!$C$145,Element_Stiffness!S174,IF(0=Element_Stiffness!$E$145,Element_Stiffness!Y174,0)),0)),0)+IF(Element_Stiffness!$C$181,IF(Element_Stiffness!$C$180=4,IF(0=Element_Stiffness!$C$180,Element_Stiffness!S203,IF(0=Element_Stiffness!$E$180,Element_Stiffness!Y203,0)),IF(Element_Stiffness!$E$180=4,IF(0=Element_Stiffness!$C$180,Element_Stiffness!S209,IF(0=Element_Stiffness!$E$180,Element_Stiffness!Y209,0)),0)),0)+IF(Element_Stiffness!$C$216,IF(Element_Stiffness!$C$215=4,IF(0=Element_Stiffness!$C$215,Element_Stiffness!S238,IF(0=Element_Stiffness!$E$215,Element_Stiffness!Y238,0)),IF(Element_Stiffness!$E$215=4,IF(0=Element_Stiffness!$C$215,Element_Stiffness!S244,IF(0=Element_Stiffness!$E$215,Element_Stiffness!Y244,0)),0)),0)</f>
        <v/>
      </c>
      <c r="G31" s="21">
        <f>IF(Element_Stiffness!$C$6,IF(Element_Stiffness!$C$5=4,IF(0=Element_Stiffness!$C$5,Element_Stiffness!T28,IF(0=Element_Stiffness!$E$5,Element_Stiffness!Z28,0)),IF(Element_Stiffness!$E$5=4,IF(0=Element_Stiffness!$C$5,Element_Stiffness!T34,IF(0=Element_Stiffness!$E$5,Element_Stiffness!Z34,0)),0)),0)+IF(Element_Stiffness!$C$41,IF(Element_Stiffness!$C$40=4,IF(0=Element_Stiffness!$C$40,Element_Stiffness!T63,IF(0=Element_Stiffness!$E$40,Element_Stiffness!Z63,0)),IF(Element_Stiffness!$E$40=4,IF(0=Element_Stiffness!$C$40,Element_Stiffness!T69,IF(0=Element_Stiffness!$E$40,Element_Stiffness!Z69,0)),0)),0)+IF(Element_Stiffness!$C$76,IF(Element_Stiffness!$C$75=4,IF(0=Element_Stiffness!$C$75,Element_Stiffness!T98,IF(0=Element_Stiffness!$E$75,Element_Stiffness!Z98,0)),IF(Element_Stiffness!$E$75=4,IF(0=Element_Stiffness!$C$75,Element_Stiffness!T104,IF(0=Element_Stiffness!$E$75,Element_Stiffness!Z104,0)),0)),0)+IF(Element_Stiffness!$C$111,IF(Element_Stiffness!$C$110=4,IF(0=Element_Stiffness!$C$110,Element_Stiffness!T133,IF(0=Element_Stiffness!$E$110,Element_Stiffness!Z133,0)),IF(Element_Stiffness!$E$110=4,IF(0=Element_Stiffness!$C$110,Element_Stiffness!T139,IF(0=Element_Stiffness!$E$110,Element_Stiffness!Z139,0)),0)),0)+IF(Element_Stiffness!$C$146,IF(Element_Stiffness!$C$145=4,IF(0=Element_Stiffness!$C$145,Element_Stiffness!T168,IF(0=Element_Stiffness!$E$145,Element_Stiffness!Z168,0)),IF(Element_Stiffness!$E$145=4,IF(0=Element_Stiffness!$C$145,Element_Stiffness!T174,IF(0=Element_Stiffness!$E$145,Element_Stiffness!Z174,0)),0)),0)+IF(Element_Stiffness!$C$181,IF(Element_Stiffness!$C$180=4,IF(0=Element_Stiffness!$C$180,Element_Stiffness!T203,IF(0=Element_Stiffness!$E$180,Element_Stiffness!Z203,0)),IF(Element_Stiffness!$E$180=4,IF(0=Element_Stiffness!$C$180,Element_Stiffness!T209,IF(0=Element_Stiffness!$E$180,Element_Stiffness!Z209,0)),0)),0)+IF(Element_Stiffness!$C$216,IF(Element_Stiffness!$C$215=4,IF(0=Element_Stiffness!$C$215,Element_Stiffness!T238,IF(0=Element_Stiffness!$E$215,Element_Stiffness!Z238,0)),IF(Element_Stiffness!$E$215=4,IF(0=Element_Stiffness!$C$215,Element_Stiffness!T244,IF(0=Element_Stiffness!$E$215,Element_Stiffness!Z244,0)),0)),0)</f>
        <v/>
      </c>
      <c r="H31" s="21">
        <f>IF(Element_Stiffness!$C$6,IF(Element_Stiffness!$C$5=4,IF(0=Element_Stiffness!$C$5,Element_Stiffness!U28,IF(0=Element_Stiffness!$E$5,Element_Stiffness!AA28,0)),IF(Element_Stiffness!$E$5=4,IF(0=Element_Stiffness!$C$5,Element_Stiffness!U34,IF(0=Element_Stiffness!$E$5,Element_Stiffness!AA34,0)),0)),0)+IF(Element_Stiffness!$C$41,IF(Element_Stiffness!$C$40=4,IF(0=Element_Stiffness!$C$40,Element_Stiffness!U63,IF(0=Element_Stiffness!$E$40,Element_Stiffness!AA63,0)),IF(Element_Stiffness!$E$40=4,IF(0=Element_Stiffness!$C$40,Element_Stiffness!U69,IF(0=Element_Stiffness!$E$40,Element_Stiffness!AA69,0)),0)),0)+IF(Element_Stiffness!$C$76,IF(Element_Stiffness!$C$75=4,IF(0=Element_Stiffness!$C$75,Element_Stiffness!U98,IF(0=Element_Stiffness!$E$75,Element_Stiffness!AA98,0)),IF(Element_Stiffness!$E$75=4,IF(0=Element_Stiffness!$C$75,Element_Stiffness!U104,IF(0=Element_Stiffness!$E$75,Element_Stiffness!AA104,0)),0)),0)+IF(Element_Stiffness!$C$111,IF(Element_Stiffness!$C$110=4,IF(0=Element_Stiffness!$C$110,Element_Stiffness!U133,IF(0=Element_Stiffness!$E$110,Element_Stiffness!AA133,0)),IF(Element_Stiffness!$E$110=4,IF(0=Element_Stiffness!$C$110,Element_Stiffness!U139,IF(0=Element_Stiffness!$E$110,Element_Stiffness!AA139,0)),0)),0)+IF(Element_Stiffness!$C$146,IF(Element_Stiffness!$C$145=4,IF(0=Element_Stiffness!$C$145,Element_Stiffness!U168,IF(0=Element_Stiffness!$E$145,Element_Stiffness!AA168,0)),IF(Element_Stiffness!$E$145=4,IF(0=Element_Stiffness!$C$145,Element_Stiffness!U174,IF(0=Element_Stiffness!$E$145,Element_Stiffness!AA174,0)),0)),0)+IF(Element_Stiffness!$C$181,IF(Element_Stiffness!$C$180=4,IF(0=Element_Stiffness!$C$180,Element_Stiffness!U203,IF(0=Element_Stiffness!$E$180,Element_Stiffness!AA203,0)),IF(Element_Stiffness!$E$180=4,IF(0=Element_Stiffness!$C$180,Element_Stiffness!U209,IF(0=Element_Stiffness!$E$180,Element_Stiffness!AA209,0)),0)),0)+IF(Element_Stiffness!$C$216,IF(Element_Stiffness!$C$215=4,IF(0=Element_Stiffness!$C$215,Element_Stiffness!U238,IF(0=Element_Stiffness!$E$215,Element_Stiffness!AA238,0)),IF(Element_Stiffness!$E$215=4,IF(0=Element_Stiffness!$C$215,Element_Stiffness!U244,IF(0=Element_Stiffness!$E$215,Element_Stiffness!AA244,0)),0)),0)</f>
        <v/>
      </c>
      <c r="I31" s="21">
        <f>IF(Element_Stiffness!$C$6,IF(Element_Stiffness!$C$5=4,IF(1=Element_Stiffness!$C$5,Element_Stiffness!P28,IF(1=Element_Stiffness!$E$5,Element_Stiffness!V28,0)),IF(Element_Stiffness!$E$5=4,IF(1=Element_Stiffness!$C$5,Element_Stiffness!P34,IF(1=Element_Stiffness!$E$5,Element_Stiffness!V34,0)),0)),0)+IF(Element_Stiffness!$C$41,IF(Element_Stiffness!$C$40=4,IF(1=Element_Stiffness!$C$40,Element_Stiffness!P63,IF(1=Element_Stiffness!$E$40,Element_Stiffness!V63,0)),IF(Element_Stiffness!$E$40=4,IF(1=Element_Stiffness!$C$40,Element_Stiffness!P69,IF(1=Element_Stiffness!$E$40,Element_Stiffness!V69,0)),0)),0)+IF(Element_Stiffness!$C$76,IF(Element_Stiffness!$C$75=4,IF(1=Element_Stiffness!$C$75,Element_Stiffness!P98,IF(1=Element_Stiffness!$E$75,Element_Stiffness!V98,0)),IF(Element_Stiffness!$E$75=4,IF(1=Element_Stiffness!$C$75,Element_Stiffness!P104,IF(1=Element_Stiffness!$E$75,Element_Stiffness!V104,0)),0)),0)+IF(Element_Stiffness!$C$111,IF(Element_Stiffness!$C$110=4,IF(1=Element_Stiffness!$C$110,Element_Stiffness!P133,IF(1=Element_Stiffness!$E$110,Element_Stiffness!V133,0)),IF(Element_Stiffness!$E$110=4,IF(1=Element_Stiffness!$C$110,Element_Stiffness!P139,IF(1=Element_Stiffness!$E$110,Element_Stiffness!V139,0)),0)),0)+IF(Element_Stiffness!$C$146,IF(Element_Stiffness!$C$145=4,IF(1=Element_Stiffness!$C$145,Element_Stiffness!P168,IF(1=Element_Stiffness!$E$145,Element_Stiffness!V168,0)),IF(Element_Stiffness!$E$145=4,IF(1=Element_Stiffness!$C$145,Element_Stiffness!P174,IF(1=Element_Stiffness!$E$145,Element_Stiffness!V174,0)),0)),0)+IF(Element_Stiffness!$C$181,IF(Element_Stiffness!$C$180=4,IF(1=Element_Stiffness!$C$180,Element_Stiffness!P203,IF(1=Element_Stiffness!$E$180,Element_Stiffness!V203,0)),IF(Element_Stiffness!$E$180=4,IF(1=Element_Stiffness!$C$180,Element_Stiffness!P209,IF(1=Element_Stiffness!$E$180,Element_Stiffness!V209,0)),0)),0)+IF(Element_Stiffness!$C$216,IF(Element_Stiffness!$C$215=4,IF(1=Element_Stiffness!$C$215,Element_Stiffness!P238,IF(1=Element_Stiffness!$E$215,Element_Stiffness!V238,0)),IF(Element_Stiffness!$E$215=4,IF(1=Element_Stiffness!$C$215,Element_Stiffness!P244,IF(1=Element_Stiffness!$E$215,Element_Stiffness!V244,0)),0)),0)</f>
        <v/>
      </c>
      <c r="J31" s="21">
        <f>IF(Element_Stiffness!$C$6,IF(Element_Stiffness!$C$5=4,IF(1=Element_Stiffness!$C$5,Element_Stiffness!Q28,IF(1=Element_Stiffness!$E$5,Element_Stiffness!W28,0)),IF(Element_Stiffness!$E$5=4,IF(1=Element_Stiffness!$C$5,Element_Stiffness!Q34,IF(1=Element_Stiffness!$E$5,Element_Stiffness!W34,0)),0)),0)+IF(Element_Stiffness!$C$41,IF(Element_Stiffness!$C$40=4,IF(1=Element_Stiffness!$C$40,Element_Stiffness!Q63,IF(1=Element_Stiffness!$E$40,Element_Stiffness!W63,0)),IF(Element_Stiffness!$E$40=4,IF(1=Element_Stiffness!$C$40,Element_Stiffness!Q69,IF(1=Element_Stiffness!$E$40,Element_Stiffness!W69,0)),0)),0)+IF(Element_Stiffness!$C$76,IF(Element_Stiffness!$C$75=4,IF(1=Element_Stiffness!$C$75,Element_Stiffness!Q98,IF(1=Element_Stiffness!$E$75,Element_Stiffness!W98,0)),IF(Element_Stiffness!$E$75=4,IF(1=Element_Stiffness!$C$75,Element_Stiffness!Q104,IF(1=Element_Stiffness!$E$75,Element_Stiffness!W104,0)),0)),0)+IF(Element_Stiffness!$C$111,IF(Element_Stiffness!$C$110=4,IF(1=Element_Stiffness!$C$110,Element_Stiffness!Q133,IF(1=Element_Stiffness!$E$110,Element_Stiffness!W133,0)),IF(Element_Stiffness!$E$110=4,IF(1=Element_Stiffness!$C$110,Element_Stiffness!Q139,IF(1=Element_Stiffness!$E$110,Element_Stiffness!W139,0)),0)),0)+IF(Element_Stiffness!$C$146,IF(Element_Stiffness!$C$145=4,IF(1=Element_Stiffness!$C$145,Element_Stiffness!Q168,IF(1=Element_Stiffness!$E$145,Element_Stiffness!W168,0)),IF(Element_Stiffness!$E$145=4,IF(1=Element_Stiffness!$C$145,Element_Stiffness!Q174,IF(1=Element_Stiffness!$E$145,Element_Stiffness!W174,0)),0)),0)+IF(Element_Stiffness!$C$181,IF(Element_Stiffness!$C$180=4,IF(1=Element_Stiffness!$C$180,Element_Stiffness!Q203,IF(1=Element_Stiffness!$E$180,Element_Stiffness!W203,0)),IF(Element_Stiffness!$E$180=4,IF(1=Element_Stiffness!$C$180,Element_Stiffness!Q209,IF(1=Element_Stiffness!$E$180,Element_Stiffness!W209,0)),0)),0)+IF(Element_Stiffness!$C$216,IF(Element_Stiffness!$C$215=4,IF(1=Element_Stiffness!$C$215,Element_Stiffness!Q238,IF(1=Element_Stiffness!$E$215,Element_Stiffness!W238,0)),IF(Element_Stiffness!$E$215=4,IF(1=Element_Stiffness!$C$215,Element_Stiffness!Q244,IF(1=Element_Stiffness!$E$215,Element_Stiffness!W244,0)),0)),0)</f>
        <v/>
      </c>
      <c r="K31" s="21">
        <f>IF(Element_Stiffness!$C$6,IF(Element_Stiffness!$C$5=4,IF(1=Element_Stiffness!$C$5,Element_Stiffness!R28,IF(1=Element_Stiffness!$E$5,Element_Stiffness!X28,0)),IF(Element_Stiffness!$E$5=4,IF(1=Element_Stiffness!$C$5,Element_Stiffness!R34,IF(1=Element_Stiffness!$E$5,Element_Stiffness!X34,0)),0)),0)+IF(Element_Stiffness!$C$41,IF(Element_Stiffness!$C$40=4,IF(1=Element_Stiffness!$C$40,Element_Stiffness!R63,IF(1=Element_Stiffness!$E$40,Element_Stiffness!X63,0)),IF(Element_Stiffness!$E$40=4,IF(1=Element_Stiffness!$C$40,Element_Stiffness!R69,IF(1=Element_Stiffness!$E$40,Element_Stiffness!X69,0)),0)),0)+IF(Element_Stiffness!$C$76,IF(Element_Stiffness!$C$75=4,IF(1=Element_Stiffness!$C$75,Element_Stiffness!R98,IF(1=Element_Stiffness!$E$75,Element_Stiffness!X98,0)),IF(Element_Stiffness!$E$75=4,IF(1=Element_Stiffness!$C$75,Element_Stiffness!R104,IF(1=Element_Stiffness!$E$75,Element_Stiffness!X104,0)),0)),0)+IF(Element_Stiffness!$C$111,IF(Element_Stiffness!$C$110=4,IF(1=Element_Stiffness!$C$110,Element_Stiffness!R133,IF(1=Element_Stiffness!$E$110,Element_Stiffness!X133,0)),IF(Element_Stiffness!$E$110=4,IF(1=Element_Stiffness!$C$110,Element_Stiffness!R139,IF(1=Element_Stiffness!$E$110,Element_Stiffness!X139,0)),0)),0)+IF(Element_Stiffness!$C$146,IF(Element_Stiffness!$C$145=4,IF(1=Element_Stiffness!$C$145,Element_Stiffness!R168,IF(1=Element_Stiffness!$E$145,Element_Stiffness!X168,0)),IF(Element_Stiffness!$E$145=4,IF(1=Element_Stiffness!$C$145,Element_Stiffness!R174,IF(1=Element_Stiffness!$E$145,Element_Stiffness!X174,0)),0)),0)+IF(Element_Stiffness!$C$181,IF(Element_Stiffness!$C$180=4,IF(1=Element_Stiffness!$C$180,Element_Stiffness!R203,IF(1=Element_Stiffness!$E$180,Element_Stiffness!X203,0)),IF(Element_Stiffness!$E$180=4,IF(1=Element_Stiffness!$C$180,Element_Stiffness!R209,IF(1=Element_Stiffness!$E$180,Element_Stiffness!X209,0)),0)),0)+IF(Element_Stiffness!$C$216,IF(Element_Stiffness!$C$215=4,IF(1=Element_Stiffness!$C$215,Element_Stiffness!R238,IF(1=Element_Stiffness!$E$215,Element_Stiffness!X238,0)),IF(Element_Stiffness!$E$215=4,IF(1=Element_Stiffness!$C$215,Element_Stiffness!R244,IF(1=Element_Stiffness!$E$215,Element_Stiffness!X244,0)),0)),0)</f>
        <v/>
      </c>
      <c r="L31" s="21">
        <f>IF(Element_Stiffness!$C$6,IF(Element_Stiffness!$C$5=4,IF(1=Element_Stiffness!$C$5,Element_Stiffness!S28,IF(1=Element_Stiffness!$E$5,Element_Stiffness!Y28,0)),IF(Element_Stiffness!$E$5=4,IF(1=Element_Stiffness!$C$5,Element_Stiffness!S34,IF(1=Element_Stiffness!$E$5,Element_Stiffness!Y34,0)),0)),0)+IF(Element_Stiffness!$C$41,IF(Element_Stiffness!$C$40=4,IF(1=Element_Stiffness!$C$40,Element_Stiffness!S63,IF(1=Element_Stiffness!$E$40,Element_Stiffness!Y63,0)),IF(Element_Stiffness!$E$40=4,IF(1=Element_Stiffness!$C$40,Element_Stiffness!S69,IF(1=Element_Stiffness!$E$40,Element_Stiffness!Y69,0)),0)),0)+IF(Element_Stiffness!$C$76,IF(Element_Stiffness!$C$75=4,IF(1=Element_Stiffness!$C$75,Element_Stiffness!S98,IF(1=Element_Stiffness!$E$75,Element_Stiffness!Y98,0)),IF(Element_Stiffness!$E$75=4,IF(1=Element_Stiffness!$C$75,Element_Stiffness!S104,IF(1=Element_Stiffness!$E$75,Element_Stiffness!Y104,0)),0)),0)+IF(Element_Stiffness!$C$111,IF(Element_Stiffness!$C$110=4,IF(1=Element_Stiffness!$C$110,Element_Stiffness!S133,IF(1=Element_Stiffness!$E$110,Element_Stiffness!Y133,0)),IF(Element_Stiffness!$E$110=4,IF(1=Element_Stiffness!$C$110,Element_Stiffness!S139,IF(1=Element_Stiffness!$E$110,Element_Stiffness!Y139,0)),0)),0)+IF(Element_Stiffness!$C$146,IF(Element_Stiffness!$C$145=4,IF(1=Element_Stiffness!$C$145,Element_Stiffness!S168,IF(1=Element_Stiffness!$E$145,Element_Stiffness!Y168,0)),IF(Element_Stiffness!$E$145=4,IF(1=Element_Stiffness!$C$145,Element_Stiffness!S174,IF(1=Element_Stiffness!$E$145,Element_Stiffness!Y174,0)),0)),0)+IF(Element_Stiffness!$C$181,IF(Element_Stiffness!$C$180=4,IF(1=Element_Stiffness!$C$180,Element_Stiffness!S203,IF(1=Element_Stiffness!$E$180,Element_Stiffness!Y203,0)),IF(Element_Stiffness!$E$180=4,IF(1=Element_Stiffness!$C$180,Element_Stiffness!S209,IF(1=Element_Stiffness!$E$180,Element_Stiffness!Y209,0)),0)),0)+IF(Element_Stiffness!$C$216,IF(Element_Stiffness!$C$215=4,IF(1=Element_Stiffness!$C$215,Element_Stiffness!S238,IF(1=Element_Stiffness!$E$215,Element_Stiffness!Y238,0)),IF(Element_Stiffness!$E$215=4,IF(1=Element_Stiffness!$C$215,Element_Stiffness!S244,IF(1=Element_Stiffness!$E$215,Element_Stiffness!Y244,0)),0)),0)</f>
        <v/>
      </c>
      <c r="M31" s="21">
        <f>IF(Element_Stiffness!$C$6,IF(Element_Stiffness!$C$5=4,IF(1=Element_Stiffness!$C$5,Element_Stiffness!T28,IF(1=Element_Stiffness!$E$5,Element_Stiffness!Z28,0)),IF(Element_Stiffness!$E$5=4,IF(1=Element_Stiffness!$C$5,Element_Stiffness!T34,IF(1=Element_Stiffness!$E$5,Element_Stiffness!Z34,0)),0)),0)+IF(Element_Stiffness!$C$41,IF(Element_Stiffness!$C$40=4,IF(1=Element_Stiffness!$C$40,Element_Stiffness!T63,IF(1=Element_Stiffness!$E$40,Element_Stiffness!Z63,0)),IF(Element_Stiffness!$E$40=4,IF(1=Element_Stiffness!$C$40,Element_Stiffness!T69,IF(1=Element_Stiffness!$E$40,Element_Stiffness!Z69,0)),0)),0)+IF(Element_Stiffness!$C$76,IF(Element_Stiffness!$C$75=4,IF(1=Element_Stiffness!$C$75,Element_Stiffness!T98,IF(1=Element_Stiffness!$E$75,Element_Stiffness!Z98,0)),IF(Element_Stiffness!$E$75=4,IF(1=Element_Stiffness!$C$75,Element_Stiffness!T104,IF(1=Element_Stiffness!$E$75,Element_Stiffness!Z104,0)),0)),0)+IF(Element_Stiffness!$C$111,IF(Element_Stiffness!$C$110=4,IF(1=Element_Stiffness!$C$110,Element_Stiffness!T133,IF(1=Element_Stiffness!$E$110,Element_Stiffness!Z133,0)),IF(Element_Stiffness!$E$110=4,IF(1=Element_Stiffness!$C$110,Element_Stiffness!T139,IF(1=Element_Stiffness!$E$110,Element_Stiffness!Z139,0)),0)),0)+IF(Element_Stiffness!$C$146,IF(Element_Stiffness!$C$145=4,IF(1=Element_Stiffness!$C$145,Element_Stiffness!T168,IF(1=Element_Stiffness!$E$145,Element_Stiffness!Z168,0)),IF(Element_Stiffness!$E$145=4,IF(1=Element_Stiffness!$C$145,Element_Stiffness!T174,IF(1=Element_Stiffness!$E$145,Element_Stiffness!Z174,0)),0)),0)+IF(Element_Stiffness!$C$181,IF(Element_Stiffness!$C$180=4,IF(1=Element_Stiffness!$C$180,Element_Stiffness!T203,IF(1=Element_Stiffness!$E$180,Element_Stiffness!Z203,0)),IF(Element_Stiffness!$E$180=4,IF(1=Element_Stiffness!$C$180,Element_Stiffness!T209,IF(1=Element_Stiffness!$E$180,Element_Stiffness!Z209,0)),0)),0)+IF(Element_Stiffness!$C$216,IF(Element_Stiffness!$C$215=4,IF(1=Element_Stiffness!$C$215,Element_Stiffness!T238,IF(1=Element_Stiffness!$E$215,Element_Stiffness!Z238,0)),IF(Element_Stiffness!$E$215=4,IF(1=Element_Stiffness!$C$215,Element_Stiffness!T244,IF(1=Element_Stiffness!$E$215,Element_Stiffness!Z244,0)),0)),0)</f>
        <v/>
      </c>
      <c r="N31" s="21">
        <f>IF(Element_Stiffness!$C$6,IF(Element_Stiffness!$C$5=4,IF(1=Element_Stiffness!$C$5,Element_Stiffness!U28,IF(1=Element_Stiffness!$E$5,Element_Stiffness!AA28,0)),IF(Element_Stiffness!$E$5=4,IF(1=Element_Stiffness!$C$5,Element_Stiffness!U34,IF(1=Element_Stiffness!$E$5,Element_Stiffness!AA34,0)),0)),0)+IF(Element_Stiffness!$C$41,IF(Element_Stiffness!$C$40=4,IF(1=Element_Stiffness!$C$40,Element_Stiffness!U63,IF(1=Element_Stiffness!$E$40,Element_Stiffness!AA63,0)),IF(Element_Stiffness!$E$40=4,IF(1=Element_Stiffness!$C$40,Element_Stiffness!U69,IF(1=Element_Stiffness!$E$40,Element_Stiffness!AA69,0)),0)),0)+IF(Element_Stiffness!$C$76,IF(Element_Stiffness!$C$75=4,IF(1=Element_Stiffness!$C$75,Element_Stiffness!U98,IF(1=Element_Stiffness!$E$75,Element_Stiffness!AA98,0)),IF(Element_Stiffness!$E$75=4,IF(1=Element_Stiffness!$C$75,Element_Stiffness!U104,IF(1=Element_Stiffness!$E$75,Element_Stiffness!AA104,0)),0)),0)+IF(Element_Stiffness!$C$111,IF(Element_Stiffness!$C$110=4,IF(1=Element_Stiffness!$C$110,Element_Stiffness!U133,IF(1=Element_Stiffness!$E$110,Element_Stiffness!AA133,0)),IF(Element_Stiffness!$E$110=4,IF(1=Element_Stiffness!$C$110,Element_Stiffness!U139,IF(1=Element_Stiffness!$E$110,Element_Stiffness!AA139,0)),0)),0)+IF(Element_Stiffness!$C$146,IF(Element_Stiffness!$C$145=4,IF(1=Element_Stiffness!$C$145,Element_Stiffness!U168,IF(1=Element_Stiffness!$E$145,Element_Stiffness!AA168,0)),IF(Element_Stiffness!$E$145=4,IF(1=Element_Stiffness!$C$145,Element_Stiffness!U174,IF(1=Element_Stiffness!$E$145,Element_Stiffness!AA174,0)),0)),0)+IF(Element_Stiffness!$C$181,IF(Element_Stiffness!$C$180=4,IF(1=Element_Stiffness!$C$180,Element_Stiffness!U203,IF(1=Element_Stiffness!$E$180,Element_Stiffness!AA203,0)),IF(Element_Stiffness!$E$180=4,IF(1=Element_Stiffness!$C$180,Element_Stiffness!U209,IF(1=Element_Stiffness!$E$180,Element_Stiffness!AA209,0)),0)),0)+IF(Element_Stiffness!$C$216,IF(Element_Stiffness!$C$215=4,IF(1=Element_Stiffness!$C$215,Element_Stiffness!U238,IF(1=Element_Stiffness!$E$215,Element_Stiffness!AA238,0)),IF(Element_Stiffness!$E$215=4,IF(1=Element_Stiffness!$C$215,Element_Stiffness!U244,IF(1=Element_Stiffness!$E$215,Element_Stiffness!AA244,0)),0)),0)</f>
        <v/>
      </c>
      <c r="O31" s="21">
        <f>IF(Element_Stiffness!$C$6,IF(Element_Stiffness!$C$5=4,IF(2=Element_Stiffness!$C$5,Element_Stiffness!P28,IF(2=Element_Stiffness!$E$5,Element_Stiffness!V28,0)),IF(Element_Stiffness!$E$5=4,IF(2=Element_Stiffness!$C$5,Element_Stiffness!P34,IF(2=Element_Stiffness!$E$5,Element_Stiffness!V34,0)),0)),0)+IF(Element_Stiffness!$C$41,IF(Element_Stiffness!$C$40=4,IF(2=Element_Stiffness!$C$40,Element_Stiffness!P63,IF(2=Element_Stiffness!$E$40,Element_Stiffness!V63,0)),IF(Element_Stiffness!$E$40=4,IF(2=Element_Stiffness!$C$40,Element_Stiffness!P69,IF(2=Element_Stiffness!$E$40,Element_Stiffness!V69,0)),0)),0)+IF(Element_Stiffness!$C$76,IF(Element_Stiffness!$C$75=4,IF(2=Element_Stiffness!$C$75,Element_Stiffness!P98,IF(2=Element_Stiffness!$E$75,Element_Stiffness!V98,0)),IF(Element_Stiffness!$E$75=4,IF(2=Element_Stiffness!$C$75,Element_Stiffness!P104,IF(2=Element_Stiffness!$E$75,Element_Stiffness!V104,0)),0)),0)+IF(Element_Stiffness!$C$111,IF(Element_Stiffness!$C$110=4,IF(2=Element_Stiffness!$C$110,Element_Stiffness!P133,IF(2=Element_Stiffness!$E$110,Element_Stiffness!V133,0)),IF(Element_Stiffness!$E$110=4,IF(2=Element_Stiffness!$C$110,Element_Stiffness!P139,IF(2=Element_Stiffness!$E$110,Element_Stiffness!V139,0)),0)),0)+IF(Element_Stiffness!$C$146,IF(Element_Stiffness!$C$145=4,IF(2=Element_Stiffness!$C$145,Element_Stiffness!P168,IF(2=Element_Stiffness!$E$145,Element_Stiffness!V168,0)),IF(Element_Stiffness!$E$145=4,IF(2=Element_Stiffness!$C$145,Element_Stiffness!P174,IF(2=Element_Stiffness!$E$145,Element_Stiffness!V174,0)),0)),0)+IF(Element_Stiffness!$C$181,IF(Element_Stiffness!$C$180=4,IF(2=Element_Stiffness!$C$180,Element_Stiffness!P203,IF(2=Element_Stiffness!$E$180,Element_Stiffness!V203,0)),IF(Element_Stiffness!$E$180=4,IF(2=Element_Stiffness!$C$180,Element_Stiffness!P209,IF(2=Element_Stiffness!$E$180,Element_Stiffness!V209,0)),0)),0)+IF(Element_Stiffness!$C$216,IF(Element_Stiffness!$C$215=4,IF(2=Element_Stiffness!$C$215,Element_Stiffness!P238,IF(2=Element_Stiffness!$E$215,Element_Stiffness!V238,0)),IF(Element_Stiffness!$E$215=4,IF(2=Element_Stiffness!$C$215,Element_Stiffness!P244,IF(2=Element_Stiffness!$E$215,Element_Stiffness!V244,0)),0)),0)</f>
        <v/>
      </c>
      <c r="P31" s="21">
        <f>IF(Element_Stiffness!$C$6,IF(Element_Stiffness!$C$5=4,IF(2=Element_Stiffness!$C$5,Element_Stiffness!Q28,IF(2=Element_Stiffness!$E$5,Element_Stiffness!W28,0)),IF(Element_Stiffness!$E$5=4,IF(2=Element_Stiffness!$C$5,Element_Stiffness!Q34,IF(2=Element_Stiffness!$E$5,Element_Stiffness!W34,0)),0)),0)+IF(Element_Stiffness!$C$41,IF(Element_Stiffness!$C$40=4,IF(2=Element_Stiffness!$C$40,Element_Stiffness!Q63,IF(2=Element_Stiffness!$E$40,Element_Stiffness!W63,0)),IF(Element_Stiffness!$E$40=4,IF(2=Element_Stiffness!$C$40,Element_Stiffness!Q69,IF(2=Element_Stiffness!$E$40,Element_Stiffness!W69,0)),0)),0)+IF(Element_Stiffness!$C$76,IF(Element_Stiffness!$C$75=4,IF(2=Element_Stiffness!$C$75,Element_Stiffness!Q98,IF(2=Element_Stiffness!$E$75,Element_Stiffness!W98,0)),IF(Element_Stiffness!$E$75=4,IF(2=Element_Stiffness!$C$75,Element_Stiffness!Q104,IF(2=Element_Stiffness!$E$75,Element_Stiffness!W104,0)),0)),0)+IF(Element_Stiffness!$C$111,IF(Element_Stiffness!$C$110=4,IF(2=Element_Stiffness!$C$110,Element_Stiffness!Q133,IF(2=Element_Stiffness!$E$110,Element_Stiffness!W133,0)),IF(Element_Stiffness!$E$110=4,IF(2=Element_Stiffness!$C$110,Element_Stiffness!Q139,IF(2=Element_Stiffness!$E$110,Element_Stiffness!W139,0)),0)),0)+IF(Element_Stiffness!$C$146,IF(Element_Stiffness!$C$145=4,IF(2=Element_Stiffness!$C$145,Element_Stiffness!Q168,IF(2=Element_Stiffness!$E$145,Element_Stiffness!W168,0)),IF(Element_Stiffness!$E$145=4,IF(2=Element_Stiffness!$C$145,Element_Stiffness!Q174,IF(2=Element_Stiffness!$E$145,Element_Stiffness!W174,0)),0)),0)+IF(Element_Stiffness!$C$181,IF(Element_Stiffness!$C$180=4,IF(2=Element_Stiffness!$C$180,Element_Stiffness!Q203,IF(2=Element_Stiffness!$E$180,Element_Stiffness!W203,0)),IF(Element_Stiffness!$E$180=4,IF(2=Element_Stiffness!$C$180,Element_Stiffness!Q209,IF(2=Element_Stiffness!$E$180,Element_Stiffness!W209,0)),0)),0)+IF(Element_Stiffness!$C$216,IF(Element_Stiffness!$C$215=4,IF(2=Element_Stiffness!$C$215,Element_Stiffness!Q238,IF(2=Element_Stiffness!$E$215,Element_Stiffness!W238,0)),IF(Element_Stiffness!$E$215=4,IF(2=Element_Stiffness!$C$215,Element_Stiffness!Q244,IF(2=Element_Stiffness!$E$215,Element_Stiffness!W244,0)),0)),0)</f>
        <v/>
      </c>
      <c r="Q31" s="21">
        <f>IF(Element_Stiffness!$C$6,IF(Element_Stiffness!$C$5=4,IF(2=Element_Stiffness!$C$5,Element_Stiffness!R28,IF(2=Element_Stiffness!$E$5,Element_Stiffness!X28,0)),IF(Element_Stiffness!$E$5=4,IF(2=Element_Stiffness!$C$5,Element_Stiffness!R34,IF(2=Element_Stiffness!$E$5,Element_Stiffness!X34,0)),0)),0)+IF(Element_Stiffness!$C$41,IF(Element_Stiffness!$C$40=4,IF(2=Element_Stiffness!$C$40,Element_Stiffness!R63,IF(2=Element_Stiffness!$E$40,Element_Stiffness!X63,0)),IF(Element_Stiffness!$E$40=4,IF(2=Element_Stiffness!$C$40,Element_Stiffness!R69,IF(2=Element_Stiffness!$E$40,Element_Stiffness!X69,0)),0)),0)+IF(Element_Stiffness!$C$76,IF(Element_Stiffness!$C$75=4,IF(2=Element_Stiffness!$C$75,Element_Stiffness!R98,IF(2=Element_Stiffness!$E$75,Element_Stiffness!X98,0)),IF(Element_Stiffness!$E$75=4,IF(2=Element_Stiffness!$C$75,Element_Stiffness!R104,IF(2=Element_Stiffness!$E$75,Element_Stiffness!X104,0)),0)),0)+IF(Element_Stiffness!$C$111,IF(Element_Stiffness!$C$110=4,IF(2=Element_Stiffness!$C$110,Element_Stiffness!R133,IF(2=Element_Stiffness!$E$110,Element_Stiffness!X133,0)),IF(Element_Stiffness!$E$110=4,IF(2=Element_Stiffness!$C$110,Element_Stiffness!R139,IF(2=Element_Stiffness!$E$110,Element_Stiffness!X139,0)),0)),0)+IF(Element_Stiffness!$C$146,IF(Element_Stiffness!$C$145=4,IF(2=Element_Stiffness!$C$145,Element_Stiffness!R168,IF(2=Element_Stiffness!$E$145,Element_Stiffness!X168,0)),IF(Element_Stiffness!$E$145=4,IF(2=Element_Stiffness!$C$145,Element_Stiffness!R174,IF(2=Element_Stiffness!$E$145,Element_Stiffness!X174,0)),0)),0)+IF(Element_Stiffness!$C$181,IF(Element_Stiffness!$C$180=4,IF(2=Element_Stiffness!$C$180,Element_Stiffness!R203,IF(2=Element_Stiffness!$E$180,Element_Stiffness!X203,0)),IF(Element_Stiffness!$E$180=4,IF(2=Element_Stiffness!$C$180,Element_Stiffness!R209,IF(2=Element_Stiffness!$E$180,Element_Stiffness!X209,0)),0)),0)+IF(Element_Stiffness!$C$216,IF(Element_Stiffness!$C$215=4,IF(2=Element_Stiffness!$C$215,Element_Stiffness!R238,IF(2=Element_Stiffness!$E$215,Element_Stiffness!X238,0)),IF(Element_Stiffness!$E$215=4,IF(2=Element_Stiffness!$C$215,Element_Stiffness!R244,IF(2=Element_Stiffness!$E$215,Element_Stiffness!X244,0)),0)),0)</f>
        <v/>
      </c>
      <c r="R31" s="21">
        <f>IF(Element_Stiffness!$C$6,IF(Element_Stiffness!$C$5=4,IF(2=Element_Stiffness!$C$5,Element_Stiffness!S28,IF(2=Element_Stiffness!$E$5,Element_Stiffness!Y28,0)),IF(Element_Stiffness!$E$5=4,IF(2=Element_Stiffness!$C$5,Element_Stiffness!S34,IF(2=Element_Stiffness!$E$5,Element_Stiffness!Y34,0)),0)),0)+IF(Element_Stiffness!$C$41,IF(Element_Stiffness!$C$40=4,IF(2=Element_Stiffness!$C$40,Element_Stiffness!S63,IF(2=Element_Stiffness!$E$40,Element_Stiffness!Y63,0)),IF(Element_Stiffness!$E$40=4,IF(2=Element_Stiffness!$C$40,Element_Stiffness!S69,IF(2=Element_Stiffness!$E$40,Element_Stiffness!Y69,0)),0)),0)+IF(Element_Stiffness!$C$76,IF(Element_Stiffness!$C$75=4,IF(2=Element_Stiffness!$C$75,Element_Stiffness!S98,IF(2=Element_Stiffness!$E$75,Element_Stiffness!Y98,0)),IF(Element_Stiffness!$E$75=4,IF(2=Element_Stiffness!$C$75,Element_Stiffness!S104,IF(2=Element_Stiffness!$E$75,Element_Stiffness!Y104,0)),0)),0)+IF(Element_Stiffness!$C$111,IF(Element_Stiffness!$C$110=4,IF(2=Element_Stiffness!$C$110,Element_Stiffness!S133,IF(2=Element_Stiffness!$E$110,Element_Stiffness!Y133,0)),IF(Element_Stiffness!$E$110=4,IF(2=Element_Stiffness!$C$110,Element_Stiffness!S139,IF(2=Element_Stiffness!$E$110,Element_Stiffness!Y139,0)),0)),0)+IF(Element_Stiffness!$C$146,IF(Element_Stiffness!$C$145=4,IF(2=Element_Stiffness!$C$145,Element_Stiffness!S168,IF(2=Element_Stiffness!$E$145,Element_Stiffness!Y168,0)),IF(Element_Stiffness!$E$145=4,IF(2=Element_Stiffness!$C$145,Element_Stiffness!S174,IF(2=Element_Stiffness!$E$145,Element_Stiffness!Y174,0)),0)),0)+IF(Element_Stiffness!$C$181,IF(Element_Stiffness!$C$180=4,IF(2=Element_Stiffness!$C$180,Element_Stiffness!S203,IF(2=Element_Stiffness!$E$180,Element_Stiffness!Y203,0)),IF(Element_Stiffness!$E$180=4,IF(2=Element_Stiffness!$C$180,Element_Stiffness!S209,IF(2=Element_Stiffness!$E$180,Element_Stiffness!Y209,0)),0)),0)+IF(Element_Stiffness!$C$216,IF(Element_Stiffness!$C$215=4,IF(2=Element_Stiffness!$C$215,Element_Stiffness!S238,IF(2=Element_Stiffness!$E$215,Element_Stiffness!Y238,0)),IF(Element_Stiffness!$E$215=4,IF(2=Element_Stiffness!$C$215,Element_Stiffness!S244,IF(2=Element_Stiffness!$E$215,Element_Stiffness!Y244,0)),0)),0)</f>
        <v/>
      </c>
      <c r="S31" s="21">
        <f>IF(Element_Stiffness!$C$6,IF(Element_Stiffness!$C$5=4,IF(2=Element_Stiffness!$C$5,Element_Stiffness!T28,IF(2=Element_Stiffness!$E$5,Element_Stiffness!Z28,0)),IF(Element_Stiffness!$E$5=4,IF(2=Element_Stiffness!$C$5,Element_Stiffness!T34,IF(2=Element_Stiffness!$E$5,Element_Stiffness!Z34,0)),0)),0)+IF(Element_Stiffness!$C$41,IF(Element_Stiffness!$C$40=4,IF(2=Element_Stiffness!$C$40,Element_Stiffness!T63,IF(2=Element_Stiffness!$E$40,Element_Stiffness!Z63,0)),IF(Element_Stiffness!$E$40=4,IF(2=Element_Stiffness!$C$40,Element_Stiffness!T69,IF(2=Element_Stiffness!$E$40,Element_Stiffness!Z69,0)),0)),0)+IF(Element_Stiffness!$C$76,IF(Element_Stiffness!$C$75=4,IF(2=Element_Stiffness!$C$75,Element_Stiffness!T98,IF(2=Element_Stiffness!$E$75,Element_Stiffness!Z98,0)),IF(Element_Stiffness!$E$75=4,IF(2=Element_Stiffness!$C$75,Element_Stiffness!T104,IF(2=Element_Stiffness!$E$75,Element_Stiffness!Z104,0)),0)),0)+IF(Element_Stiffness!$C$111,IF(Element_Stiffness!$C$110=4,IF(2=Element_Stiffness!$C$110,Element_Stiffness!T133,IF(2=Element_Stiffness!$E$110,Element_Stiffness!Z133,0)),IF(Element_Stiffness!$E$110=4,IF(2=Element_Stiffness!$C$110,Element_Stiffness!T139,IF(2=Element_Stiffness!$E$110,Element_Stiffness!Z139,0)),0)),0)+IF(Element_Stiffness!$C$146,IF(Element_Stiffness!$C$145=4,IF(2=Element_Stiffness!$C$145,Element_Stiffness!T168,IF(2=Element_Stiffness!$E$145,Element_Stiffness!Z168,0)),IF(Element_Stiffness!$E$145=4,IF(2=Element_Stiffness!$C$145,Element_Stiffness!T174,IF(2=Element_Stiffness!$E$145,Element_Stiffness!Z174,0)),0)),0)+IF(Element_Stiffness!$C$181,IF(Element_Stiffness!$C$180=4,IF(2=Element_Stiffness!$C$180,Element_Stiffness!T203,IF(2=Element_Stiffness!$E$180,Element_Stiffness!Z203,0)),IF(Element_Stiffness!$E$180=4,IF(2=Element_Stiffness!$C$180,Element_Stiffness!T209,IF(2=Element_Stiffness!$E$180,Element_Stiffness!Z209,0)),0)),0)+IF(Element_Stiffness!$C$216,IF(Element_Stiffness!$C$215=4,IF(2=Element_Stiffness!$C$215,Element_Stiffness!T238,IF(2=Element_Stiffness!$E$215,Element_Stiffness!Z238,0)),IF(Element_Stiffness!$E$215=4,IF(2=Element_Stiffness!$C$215,Element_Stiffness!T244,IF(2=Element_Stiffness!$E$215,Element_Stiffness!Z244,0)),0)),0)</f>
        <v/>
      </c>
      <c r="T31" s="21">
        <f>IF(Element_Stiffness!$C$6,IF(Element_Stiffness!$C$5=4,IF(2=Element_Stiffness!$C$5,Element_Stiffness!U28,IF(2=Element_Stiffness!$E$5,Element_Stiffness!AA28,0)),IF(Element_Stiffness!$E$5=4,IF(2=Element_Stiffness!$C$5,Element_Stiffness!U34,IF(2=Element_Stiffness!$E$5,Element_Stiffness!AA34,0)),0)),0)+IF(Element_Stiffness!$C$41,IF(Element_Stiffness!$C$40=4,IF(2=Element_Stiffness!$C$40,Element_Stiffness!U63,IF(2=Element_Stiffness!$E$40,Element_Stiffness!AA63,0)),IF(Element_Stiffness!$E$40=4,IF(2=Element_Stiffness!$C$40,Element_Stiffness!U69,IF(2=Element_Stiffness!$E$40,Element_Stiffness!AA69,0)),0)),0)+IF(Element_Stiffness!$C$76,IF(Element_Stiffness!$C$75=4,IF(2=Element_Stiffness!$C$75,Element_Stiffness!U98,IF(2=Element_Stiffness!$E$75,Element_Stiffness!AA98,0)),IF(Element_Stiffness!$E$75=4,IF(2=Element_Stiffness!$C$75,Element_Stiffness!U104,IF(2=Element_Stiffness!$E$75,Element_Stiffness!AA104,0)),0)),0)+IF(Element_Stiffness!$C$111,IF(Element_Stiffness!$C$110=4,IF(2=Element_Stiffness!$C$110,Element_Stiffness!U133,IF(2=Element_Stiffness!$E$110,Element_Stiffness!AA133,0)),IF(Element_Stiffness!$E$110=4,IF(2=Element_Stiffness!$C$110,Element_Stiffness!U139,IF(2=Element_Stiffness!$E$110,Element_Stiffness!AA139,0)),0)),0)+IF(Element_Stiffness!$C$146,IF(Element_Stiffness!$C$145=4,IF(2=Element_Stiffness!$C$145,Element_Stiffness!U168,IF(2=Element_Stiffness!$E$145,Element_Stiffness!AA168,0)),IF(Element_Stiffness!$E$145=4,IF(2=Element_Stiffness!$C$145,Element_Stiffness!U174,IF(2=Element_Stiffness!$E$145,Element_Stiffness!AA174,0)),0)),0)+IF(Element_Stiffness!$C$181,IF(Element_Stiffness!$C$180=4,IF(2=Element_Stiffness!$C$180,Element_Stiffness!U203,IF(2=Element_Stiffness!$E$180,Element_Stiffness!AA203,0)),IF(Element_Stiffness!$E$180=4,IF(2=Element_Stiffness!$C$180,Element_Stiffness!U209,IF(2=Element_Stiffness!$E$180,Element_Stiffness!AA209,0)),0)),0)+IF(Element_Stiffness!$C$216,IF(Element_Stiffness!$C$215=4,IF(2=Element_Stiffness!$C$215,Element_Stiffness!U238,IF(2=Element_Stiffness!$E$215,Element_Stiffness!AA238,0)),IF(Element_Stiffness!$E$215=4,IF(2=Element_Stiffness!$C$215,Element_Stiffness!U244,IF(2=Element_Stiffness!$E$215,Element_Stiffness!AA244,0)),0)),0)</f>
        <v/>
      </c>
      <c r="U31" s="21">
        <f>IF(Element_Stiffness!$C$6,IF(Element_Stiffness!$C$5=4,IF(3=Element_Stiffness!$C$5,Element_Stiffness!P28,IF(3=Element_Stiffness!$E$5,Element_Stiffness!V28,0)),IF(Element_Stiffness!$E$5=4,IF(3=Element_Stiffness!$C$5,Element_Stiffness!P34,IF(3=Element_Stiffness!$E$5,Element_Stiffness!V34,0)),0)),0)+IF(Element_Stiffness!$C$41,IF(Element_Stiffness!$C$40=4,IF(3=Element_Stiffness!$C$40,Element_Stiffness!P63,IF(3=Element_Stiffness!$E$40,Element_Stiffness!V63,0)),IF(Element_Stiffness!$E$40=4,IF(3=Element_Stiffness!$C$40,Element_Stiffness!P69,IF(3=Element_Stiffness!$E$40,Element_Stiffness!V69,0)),0)),0)+IF(Element_Stiffness!$C$76,IF(Element_Stiffness!$C$75=4,IF(3=Element_Stiffness!$C$75,Element_Stiffness!P98,IF(3=Element_Stiffness!$E$75,Element_Stiffness!V98,0)),IF(Element_Stiffness!$E$75=4,IF(3=Element_Stiffness!$C$75,Element_Stiffness!P104,IF(3=Element_Stiffness!$E$75,Element_Stiffness!V104,0)),0)),0)+IF(Element_Stiffness!$C$111,IF(Element_Stiffness!$C$110=4,IF(3=Element_Stiffness!$C$110,Element_Stiffness!P133,IF(3=Element_Stiffness!$E$110,Element_Stiffness!V133,0)),IF(Element_Stiffness!$E$110=4,IF(3=Element_Stiffness!$C$110,Element_Stiffness!P139,IF(3=Element_Stiffness!$E$110,Element_Stiffness!V139,0)),0)),0)+IF(Element_Stiffness!$C$146,IF(Element_Stiffness!$C$145=4,IF(3=Element_Stiffness!$C$145,Element_Stiffness!P168,IF(3=Element_Stiffness!$E$145,Element_Stiffness!V168,0)),IF(Element_Stiffness!$E$145=4,IF(3=Element_Stiffness!$C$145,Element_Stiffness!P174,IF(3=Element_Stiffness!$E$145,Element_Stiffness!V174,0)),0)),0)+IF(Element_Stiffness!$C$181,IF(Element_Stiffness!$C$180=4,IF(3=Element_Stiffness!$C$180,Element_Stiffness!P203,IF(3=Element_Stiffness!$E$180,Element_Stiffness!V203,0)),IF(Element_Stiffness!$E$180=4,IF(3=Element_Stiffness!$C$180,Element_Stiffness!P209,IF(3=Element_Stiffness!$E$180,Element_Stiffness!V209,0)),0)),0)+IF(Element_Stiffness!$C$216,IF(Element_Stiffness!$C$215=4,IF(3=Element_Stiffness!$C$215,Element_Stiffness!P238,IF(3=Element_Stiffness!$E$215,Element_Stiffness!V238,0)),IF(Element_Stiffness!$E$215=4,IF(3=Element_Stiffness!$C$215,Element_Stiffness!P244,IF(3=Element_Stiffness!$E$215,Element_Stiffness!V244,0)),0)),0)</f>
        <v/>
      </c>
      <c r="V31" s="21">
        <f>IF(Element_Stiffness!$C$6,IF(Element_Stiffness!$C$5=4,IF(3=Element_Stiffness!$C$5,Element_Stiffness!Q28,IF(3=Element_Stiffness!$E$5,Element_Stiffness!W28,0)),IF(Element_Stiffness!$E$5=4,IF(3=Element_Stiffness!$C$5,Element_Stiffness!Q34,IF(3=Element_Stiffness!$E$5,Element_Stiffness!W34,0)),0)),0)+IF(Element_Stiffness!$C$41,IF(Element_Stiffness!$C$40=4,IF(3=Element_Stiffness!$C$40,Element_Stiffness!Q63,IF(3=Element_Stiffness!$E$40,Element_Stiffness!W63,0)),IF(Element_Stiffness!$E$40=4,IF(3=Element_Stiffness!$C$40,Element_Stiffness!Q69,IF(3=Element_Stiffness!$E$40,Element_Stiffness!W69,0)),0)),0)+IF(Element_Stiffness!$C$76,IF(Element_Stiffness!$C$75=4,IF(3=Element_Stiffness!$C$75,Element_Stiffness!Q98,IF(3=Element_Stiffness!$E$75,Element_Stiffness!W98,0)),IF(Element_Stiffness!$E$75=4,IF(3=Element_Stiffness!$C$75,Element_Stiffness!Q104,IF(3=Element_Stiffness!$E$75,Element_Stiffness!W104,0)),0)),0)+IF(Element_Stiffness!$C$111,IF(Element_Stiffness!$C$110=4,IF(3=Element_Stiffness!$C$110,Element_Stiffness!Q133,IF(3=Element_Stiffness!$E$110,Element_Stiffness!W133,0)),IF(Element_Stiffness!$E$110=4,IF(3=Element_Stiffness!$C$110,Element_Stiffness!Q139,IF(3=Element_Stiffness!$E$110,Element_Stiffness!W139,0)),0)),0)+IF(Element_Stiffness!$C$146,IF(Element_Stiffness!$C$145=4,IF(3=Element_Stiffness!$C$145,Element_Stiffness!Q168,IF(3=Element_Stiffness!$E$145,Element_Stiffness!W168,0)),IF(Element_Stiffness!$E$145=4,IF(3=Element_Stiffness!$C$145,Element_Stiffness!Q174,IF(3=Element_Stiffness!$E$145,Element_Stiffness!W174,0)),0)),0)+IF(Element_Stiffness!$C$181,IF(Element_Stiffness!$C$180=4,IF(3=Element_Stiffness!$C$180,Element_Stiffness!Q203,IF(3=Element_Stiffness!$E$180,Element_Stiffness!W203,0)),IF(Element_Stiffness!$E$180=4,IF(3=Element_Stiffness!$C$180,Element_Stiffness!Q209,IF(3=Element_Stiffness!$E$180,Element_Stiffness!W209,0)),0)),0)+IF(Element_Stiffness!$C$216,IF(Element_Stiffness!$C$215=4,IF(3=Element_Stiffness!$C$215,Element_Stiffness!Q238,IF(3=Element_Stiffness!$E$215,Element_Stiffness!W238,0)),IF(Element_Stiffness!$E$215=4,IF(3=Element_Stiffness!$C$215,Element_Stiffness!Q244,IF(3=Element_Stiffness!$E$215,Element_Stiffness!W244,0)),0)),0)</f>
        <v/>
      </c>
      <c r="W31" s="21">
        <f>IF(Element_Stiffness!$C$6,IF(Element_Stiffness!$C$5=4,IF(3=Element_Stiffness!$C$5,Element_Stiffness!R28,IF(3=Element_Stiffness!$E$5,Element_Stiffness!X28,0)),IF(Element_Stiffness!$E$5=4,IF(3=Element_Stiffness!$C$5,Element_Stiffness!R34,IF(3=Element_Stiffness!$E$5,Element_Stiffness!X34,0)),0)),0)+IF(Element_Stiffness!$C$41,IF(Element_Stiffness!$C$40=4,IF(3=Element_Stiffness!$C$40,Element_Stiffness!R63,IF(3=Element_Stiffness!$E$40,Element_Stiffness!X63,0)),IF(Element_Stiffness!$E$40=4,IF(3=Element_Stiffness!$C$40,Element_Stiffness!R69,IF(3=Element_Stiffness!$E$40,Element_Stiffness!X69,0)),0)),0)+IF(Element_Stiffness!$C$76,IF(Element_Stiffness!$C$75=4,IF(3=Element_Stiffness!$C$75,Element_Stiffness!R98,IF(3=Element_Stiffness!$E$75,Element_Stiffness!X98,0)),IF(Element_Stiffness!$E$75=4,IF(3=Element_Stiffness!$C$75,Element_Stiffness!R104,IF(3=Element_Stiffness!$E$75,Element_Stiffness!X104,0)),0)),0)+IF(Element_Stiffness!$C$111,IF(Element_Stiffness!$C$110=4,IF(3=Element_Stiffness!$C$110,Element_Stiffness!R133,IF(3=Element_Stiffness!$E$110,Element_Stiffness!X133,0)),IF(Element_Stiffness!$E$110=4,IF(3=Element_Stiffness!$C$110,Element_Stiffness!R139,IF(3=Element_Stiffness!$E$110,Element_Stiffness!X139,0)),0)),0)+IF(Element_Stiffness!$C$146,IF(Element_Stiffness!$C$145=4,IF(3=Element_Stiffness!$C$145,Element_Stiffness!R168,IF(3=Element_Stiffness!$E$145,Element_Stiffness!X168,0)),IF(Element_Stiffness!$E$145=4,IF(3=Element_Stiffness!$C$145,Element_Stiffness!R174,IF(3=Element_Stiffness!$E$145,Element_Stiffness!X174,0)),0)),0)+IF(Element_Stiffness!$C$181,IF(Element_Stiffness!$C$180=4,IF(3=Element_Stiffness!$C$180,Element_Stiffness!R203,IF(3=Element_Stiffness!$E$180,Element_Stiffness!X203,0)),IF(Element_Stiffness!$E$180=4,IF(3=Element_Stiffness!$C$180,Element_Stiffness!R209,IF(3=Element_Stiffness!$E$180,Element_Stiffness!X209,0)),0)),0)+IF(Element_Stiffness!$C$216,IF(Element_Stiffness!$C$215=4,IF(3=Element_Stiffness!$C$215,Element_Stiffness!R238,IF(3=Element_Stiffness!$E$215,Element_Stiffness!X238,0)),IF(Element_Stiffness!$E$215=4,IF(3=Element_Stiffness!$C$215,Element_Stiffness!R244,IF(3=Element_Stiffness!$E$215,Element_Stiffness!X244,0)),0)),0)</f>
        <v/>
      </c>
      <c r="X31" s="21">
        <f>IF(Element_Stiffness!$C$6,IF(Element_Stiffness!$C$5=4,IF(3=Element_Stiffness!$C$5,Element_Stiffness!S28,IF(3=Element_Stiffness!$E$5,Element_Stiffness!Y28,0)),IF(Element_Stiffness!$E$5=4,IF(3=Element_Stiffness!$C$5,Element_Stiffness!S34,IF(3=Element_Stiffness!$E$5,Element_Stiffness!Y34,0)),0)),0)+IF(Element_Stiffness!$C$41,IF(Element_Stiffness!$C$40=4,IF(3=Element_Stiffness!$C$40,Element_Stiffness!S63,IF(3=Element_Stiffness!$E$40,Element_Stiffness!Y63,0)),IF(Element_Stiffness!$E$40=4,IF(3=Element_Stiffness!$C$40,Element_Stiffness!S69,IF(3=Element_Stiffness!$E$40,Element_Stiffness!Y69,0)),0)),0)+IF(Element_Stiffness!$C$76,IF(Element_Stiffness!$C$75=4,IF(3=Element_Stiffness!$C$75,Element_Stiffness!S98,IF(3=Element_Stiffness!$E$75,Element_Stiffness!Y98,0)),IF(Element_Stiffness!$E$75=4,IF(3=Element_Stiffness!$C$75,Element_Stiffness!S104,IF(3=Element_Stiffness!$E$75,Element_Stiffness!Y104,0)),0)),0)+IF(Element_Stiffness!$C$111,IF(Element_Stiffness!$C$110=4,IF(3=Element_Stiffness!$C$110,Element_Stiffness!S133,IF(3=Element_Stiffness!$E$110,Element_Stiffness!Y133,0)),IF(Element_Stiffness!$E$110=4,IF(3=Element_Stiffness!$C$110,Element_Stiffness!S139,IF(3=Element_Stiffness!$E$110,Element_Stiffness!Y139,0)),0)),0)+IF(Element_Stiffness!$C$146,IF(Element_Stiffness!$C$145=4,IF(3=Element_Stiffness!$C$145,Element_Stiffness!S168,IF(3=Element_Stiffness!$E$145,Element_Stiffness!Y168,0)),IF(Element_Stiffness!$E$145=4,IF(3=Element_Stiffness!$C$145,Element_Stiffness!S174,IF(3=Element_Stiffness!$E$145,Element_Stiffness!Y174,0)),0)),0)+IF(Element_Stiffness!$C$181,IF(Element_Stiffness!$C$180=4,IF(3=Element_Stiffness!$C$180,Element_Stiffness!S203,IF(3=Element_Stiffness!$E$180,Element_Stiffness!Y203,0)),IF(Element_Stiffness!$E$180=4,IF(3=Element_Stiffness!$C$180,Element_Stiffness!S209,IF(3=Element_Stiffness!$E$180,Element_Stiffness!Y209,0)),0)),0)+IF(Element_Stiffness!$C$216,IF(Element_Stiffness!$C$215=4,IF(3=Element_Stiffness!$C$215,Element_Stiffness!S238,IF(3=Element_Stiffness!$E$215,Element_Stiffness!Y238,0)),IF(Element_Stiffness!$E$215=4,IF(3=Element_Stiffness!$C$215,Element_Stiffness!S244,IF(3=Element_Stiffness!$E$215,Element_Stiffness!Y244,0)),0)),0)</f>
        <v/>
      </c>
      <c r="Y31" s="21">
        <f>IF(Element_Stiffness!$C$6,IF(Element_Stiffness!$C$5=4,IF(3=Element_Stiffness!$C$5,Element_Stiffness!T28,IF(3=Element_Stiffness!$E$5,Element_Stiffness!Z28,0)),IF(Element_Stiffness!$E$5=4,IF(3=Element_Stiffness!$C$5,Element_Stiffness!T34,IF(3=Element_Stiffness!$E$5,Element_Stiffness!Z34,0)),0)),0)+IF(Element_Stiffness!$C$41,IF(Element_Stiffness!$C$40=4,IF(3=Element_Stiffness!$C$40,Element_Stiffness!T63,IF(3=Element_Stiffness!$E$40,Element_Stiffness!Z63,0)),IF(Element_Stiffness!$E$40=4,IF(3=Element_Stiffness!$C$40,Element_Stiffness!T69,IF(3=Element_Stiffness!$E$40,Element_Stiffness!Z69,0)),0)),0)+IF(Element_Stiffness!$C$76,IF(Element_Stiffness!$C$75=4,IF(3=Element_Stiffness!$C$75,Element_Stiffness!T98,IF(3=Element_Stiffness!$E$75,Element_Stiffness!Z98,0)),IF(Element_Stiffness!$E$75=4,IF(3=Element_Stiffness!$C$75,Element_Stiffness!T104,IF(3=Element_Stiffness!$E$75,Element_Stiffness!Z104,0)),0)),0)+IF(Element_Stiffness!$C$111,IF(Element_Stiffness!$C$110=4,IF(3=Element_Stiffness!$C$110,Element_Stiffness!T133,IF(3=Element_Stiffness!$E$110,Element_Stiffness!Z133,0)),IF(Element_Stiffness!$E$110=4,IF(3=Element_Stiffness!$C$110,Element_Stiffness!T139,IF(3=Element_Stiffness!$E$110,Element_Stiffness!Z139,0)),0)),0)+IF(Element_Stiffness!$C$146,IF(Element_Stiffness!$C$145=4,IF(3=Element_Stiffness!$C$145,Element_Stiffness!T168,IF(3=Element_Stiffness!$E$145,Element_Stiffness!Z168,0)),IF(Element_Stiffness!$E$145=4,IF(3=Element_Stiffness!$C$145,Element_Stiffness!T174,IF(3=Element_Stiffness!$E$145,Element_Stiffness!Z174,0)),0)),0)+IF(Element_Stiffness!$C$181,IF(Element_Stiffness!$C$180=4,IF(3=Element_Stiffness!$C$180,Element_Stiffness!T203,IF(3=Element_Stiffness!$E$180,Element_Stiffness!Z203,0)),IF(Element_Stiffness!$E$180=4,IF(3=Element_Stiffness!$C$180,Element_Stiffness!T209,IF(3=Element_Stiffness!$E$180,Element_Stiffness!Z209,0)),0)),0)+IF(Element_Stiffness!$C$216,IF(Element_Stiffness!$C$215=4,IF(3=Element_Stiffness!$C$215,Element_Stiffness!T238,IF(3=Element_Stiffness!$E$215,Element_Stiffness!Z238,0)),IF(Element_Stiffness!$E$215=4,IF(3=Element_Stiffness!$C$215,Element_Stiffness!T244,IF(3=Element_Stiffness!$E$215,Element_Stiffness!Z244,0)),0)),0)</f>
        <v/>
      </c>
      <c r="Z31" s="21">
        <f>IF(Element_Stiffness!$C$6,IF(Element_Stiffness!$C$5=4,IF(3=Element_Stiffness!$C$5,Element_Stiffness!U28,IF(3=Element_Stiffness!$E$5,Element_Stiffness!AA28,0)),IF(Element_Stiffness!$E$5=4,IF(3=Element_Stiffness!$C$5,Element_Stiffness!U34,IF(3=Element_Stiffness!$E$5,Element_Stiffness!AA34,0)),0)),0)+IF(Element_Stiffness!$C$41,IF(Element_Stiffness!$C$40=4,IF(3=Element_Stiffness!$C$40,Element_Stiffness!U63,IF(3=Element_Stiffness!$E$40,Element_Stiffness!AA63,0)),IF(Element_Stiffness!$E$40=4,IF(3=Element_Stiffness!$C$40,Element_Stiffness!U69,IF(3=Element_Stiffness!$E$40,Element_Stiffness!AA69,0)),0)),0)+IF(Element_Stiffness!$C$76,IF(Element_Stiffness!$C$75=4,IF(3=Element_Stiffness!$C$75,Element_Stiffness!U98,IF(3=Element_Stiffness!$E$75,Element_Stiffness!AA98,0)),IF(Element_Stiffness!$E$75=4,IF(3=Element_Stiffness!$C$75,Element_Stiffness!U104,IF(3=Element_Stiffness!$E$75,Element_Stiffness!AA104,0)),0)),0)+IF(Element_Stiffness!$C$111,IF(Element_Stiffness!$C$110=4,IF(3=Element_Stiffness!$C$110,Element_Stiffness!U133,IF(3=Element_Stiffness!$E$110,Element_Stiffness!AA133,0)),IF(Element_Stiffness!$E$110=4,IF(3=Element_Stiffness!$C$110,Element_Stiffness!U139,IF(3=Element_Stiffness!$E$110,Element_Stiffness!AA139,0)),0)),0)+IF(Element_Stiffness!$C$146,IF(Element_Stiffness!$C$145=4,IF(3=Element_Stiffness!$C$145,Element_Stiffness!U168,IF(3=Element_Stiffness!$E$145,Element_Stiffness!AA168,0)),IF(Element_Stiffness!$E$145=4,IF(3=Element_Stiffness!$C$145,Element_Stiffness!U174,IF(3=Element_Stiffness!$E$145,Element_Stiffness!AA174,0)),0)),0)+IF(Element_Stiffness!$C$181,IF(Element_Stiffness!$C$180=4,IF(3=Element_Stiffness!$C$180,Element_Stiffness!U203,IF(3=Element_Stiffness!$E$180,Element_Stiffness!AA203,0)),IF(Element_Stiffness!$E$180=4,IF(3=Element_Stiffness!$C$180,Element_Stiffness!U209,IF(3=Element_Stiffness!$E$180,Element_Stiffness!AA209,0)),0)),0)+IF(Element_Stiffness!$C$216,IF(Element_Stiffness!$C$215=4,IF(3=Element_Stiffness!$C$215,Element_Stiffness!U238,IF(3=Element_Stiffness!$E$215,Element_Stiffness!AA238,0)),IF(Element_Stiffness!$E$215=4,IF(3=Element_Stiffness!$C$215,Element_Stiffness!U244,IF(3=Element_Stiffness!$E$215,Element_Stiffness!AA244,0)),0)),0)</f>
        <v/>
      </c>
      <c r="AA31" s="21">
        <f>IF(Element_Stiffness!$C$6,IF(Element_Stiffness!$C$5=4,IF(4=Element_Stiffness!$C$5,Element_Stiffness!P28,IF(4=Element_Stiffness!$E$5,Element_Stiffness!V28,0)),IF(Element_Stiffness!$E$5=4,IF(4=Element_Stiffness!$C$5,Element_Stiffness!P34,IF(4=Element_Stiffness!$E$5,Element_Stiffness!V34,0)),0)),0)+IF(Element_Stiffness!$C$41,IF(Element_Stiffness!$C$40=4,IF(4=Element_Stiffness!$C$40,Element_Stiffness!P63,IF(4=Element_Stiffness!$E$40,Element_Stiffness!V63,0)),IF(Element_Stiffness!$E$40=4,IF(4=Element_Stiffness!$C$40,Element_Stiffness!P69,IF(4=Element_Stiffness!$E$40,Element_Stiffness!V69,0)),0)),0)+IF(Element_Stiffness!$C$76,IF(Element_Stiffness!$C$75=4,IF(4=Element_Stiffness!$C$75,Element_Stiffness!P98,IF(4=Element_Stiffness!$E$75,Element_Stiffness!V98,0)),IF(Element_Stiffness!$E$75=4,IF(4=Element_Stiffness!$C$75,Element_Stiffness!P104,IF(4=Element_Stiffness!$E$75,Element_Stiffness!V104,0)),0)),0)+IF(Element_Stiffness!$C$111,IF(Element_Stiffness!$C$110=4,IF(4=Element_Stiffness!$C$110,Element_Stiffness!P133,IF(4=Element_Stiffness!$E$110,Element_Stiffness!V133,0)),IF(Element_Stiffness!$E$110=4,IF(4=Element_Stiffness!$C$110,Element_Stiffness!P139,IF(4=Element_Stiffness!$E$110,Element_Stiffness!V139,0)),0)),0)+IF(Element_Stiffness!$C$146,IF(Element_Stiffness!$C$145=4,IF(4=Element_Stiffness!$C$145,Element_Stiffness!P168,IF(4=Element_Stiffness!$E$145,Element_Stiffness!V168,0)),IF(Element_Stiffness!$E$145=4,IF(4=Element_Stiffness!$C$145,Element_Stiffness!P174,IF(4=Element_Stiffness!$E$145,Element_Stiffness!V174,0)),0)),0)+IF(Element_Stiffness!$C$181,IF(Element_Stiffness!$C$180=4,IF(4=Element_Stiffness!$C$180,Element_Stiffness!P203,IF(4=Element_Stiffness!$E$180,Element_Stiffness!V203,0)),IF(Element_Stiffness!$E$180=4,IF(4=Element_Stiffness!$C$180,Element_Stiffness!P209,IF(4=Element_Stiffness!$E$180,Element_Stiffness!V209,0)),0)),0)+IF(Element_Stiffness!$C$216,IF(Element_Stiffness!$C$215=4,IF(4=Element_Stiffness!$C$215,Element_Stiffness!P238,IF(4=Element_Stiffness!$E$215,Element_Stiffness!V238,0)),IF(Element_Stiffness!$E$215=4,IF(4=Element_Stiffness!$C$215,Element_Stiffness!P244,IF(4=Element_Stiffness!$E$215,Element_Stiffness!V244,0)),0)),0)</f>
        <v/>
      </c>
      <c r="AB31" s="21">
        <f>IF(Element_Stiffness!$C$6,IF(Element_Stiffness!$C$5=4,IF(4=Element_Stiffness!$C$5,Element_Stiffness!Q28,IF(4=Element_Stiffness!$E$5,Element_Stiffness!W28,0)),IF(Element_Stiffness!$E$5=4,IF(4=Element_Stiffness!$C$5,Element_Stiffness!Q34,IF(4=Element_Stiffness!$E$5,Element_Stiffness!W34,0)),0)),0)+IF(Element_Stiffness!$C$41,IF(Element_Stiffness!$C$40=4,IF(4=Element_Stiffness!$C$40,Element_Stiffness!Q63,IF(4=Element_Stiffness!$E$40,Element_Stiffness!W63,0)),IF(Element_Stiffness!$E$40=4,IF(4=Element_Stiffness!$C$40,Element_Stiffness!Q69,IF(4=Element_Stiffness!$E$40,Element_Stiffness!W69,0)),0)),0)+IF(Element_Stiffness!$C$76,IF(Element_Stiffness!$C$75=4,IF(4=Element_Stiffness!$C$75,Element_Stiffness!Q98,IF(4=Element_Stiffness!$E$75,Element_Stiffness!W98,0)),IF(Element_Stiffness!$E$75=4,IF(4=Element_Stiffness!$C$75,Element_Stiffness!Q104,IF(4=Element_Stiffness!$E$75,Element_Stiffness!W104,0)),0)),0)+IF(Element_Stiffness!$C$111,IF(Element_Stiffness!$C$110=4,IF(4=Element_Stiffness!$C$110,Element_Stiffness!Q133,IF(4=Element_Stiffness!$E$110,Element_Stiffness!W133,0)),IF(Element_Stiffness!$E$110=4,IF(4=Element_Stiffness!$C$110,Element_Stiffness!Q139,IF(4=Element_Stiffness!$E$110,Element_Stiffness!W139,0)),0)),0)+IF(Element_Stiffness!$C$146,IF(Element_Stiffness!$C$145=4,IF(4=Element_Stiffness!$C$145,Element_Stiffness!Q168,IF(4=Element_Stiffness!$E$145,Element_Stiffness!W168,0)),IF(Element_Stiffness!$E$145=4,IF(4=Element_Stiffness!$C$145,Element_Stiffness!Q174,IF(4=Element_Stiffness!$E$145,Element_Stiffness!W174,0)),0)),0)+IF(Element_Stiffness!$C$181,IF(Element_Stiffness!$C$180=4,IF(4=Element_Stiffness!$C$180,Element_Stiffness!Q203,IF(4=Element_Stiffness!$E$180,Element_Stiffness!W203,0)),IF(Element_Stiffness!$E$180=4,IF(4=Element_Stiffness!$C$180,Element_Stiffness!Q209,IF(4=Element_Stiffness!$E$180,Element_Stiffness!W209,0)),0)),0)+IF(Element_Stiffness!$C$216,IF(Element_Stiffness!$C$215=4,IF(4=Element_Stiffness!$C$215,Element_Stiffness!Q238,IF(4=Element_Stiffness!$E$215,Element_Stiffness!W238,0)),IF(Element_Stiffness!$E$215=4,IF(4=Element_Stiffness!$C$215,Element_Stiffness!Q244,IF(4=Element_Stiffness!$E$215,Element_Stiffness!W244,0)),0)),0)</f>
        <v/>
      </c>
      <c r="AC31" s="21">
        <f>IF(Element_Stiffness!$C$6,IF(Element_Stiffness!$C$5=4,IF(4=Element_Stiffness!$C$5,Element_Stiffness!R28,IF(4=Element_Stiffness!$E$5,Element_Stiffness!X28,0)),IF(Element_Stiffness!$E$5=4,IF(4=Element_Stiffness!$C$5,Element_Stiffness!R34,IF(4=Element_Stiffness!$E$5,Element_Stiffness!X34,0)),0)),0)+IF(Element_Stiffness!$C$41,IF(Element_Stiffness!$C$40=4,IF(4=Element_Stiffness!$C$40,Element_Stiffness!R63,IF(4=Element_Stiffness!$E$40,Element_Stiffness!X63,0)),IF(Element_Stiffness!$E$40=4,IF(4=Element_Stiffness!$C$40,Element_Stiffness!R69,IF(4=Element_Stiffness!$E$40,Element_Stiffness!X69,0)),0)),0)+IF(Element_Stiffness!$C$76,IF(Element_Stiffness!$C$75=4,IF(4=Element_Stiffness!$C$75,Element_Stiffness!R98,IF(4=Element_Stiffness!$E$75,Element_Stiffness!X98,0)),IF(Element_Stiffness!$E$75=4,IF(4=Element_Stiffness!$C$75,Element_Stiffness!R104,IF(4=Element_Stiffness!$E$75,Element_Stiffness!X104,0)),0)),0)+IF(Element_Stiffness!$C$111,IF(Element_Stiffness!$C$110=4,IF(4=Element_Stiffness!$C$110,Element_Stiffness!R133,IF(4=Element_Stiffness!$E$110,Element_Stiffness!X133,0)),IF(Element_Stiffness!$E$110=4,IF(4=Element_Stiffness!$C$110,Element_Stiffness!R139,IF(4=Element_Stiffness!$E$110,Element_Stiffness!X139,0)),0)),0)+IF(Element_Stiffness!$C$146,IF(Element_Stiffness!$C$145=4,IF(4=Element_Stiffness!$C$145,Element_Stiffness!R168,IF(4=Element_Stiffness!$E$145,Element_Stiffness!X168,0)),IF(Element_Stiffness!$E$145=4,IF(4=Element_Stiffness!$C$145,Element_Stiffness!R174,IF(4=Element_Stiffness!$E$145,Element_Stiffness!X174,0)),0)),0)+IF(Element_Stiffness!$C$181,IF(Element_Stiffness!$C$180=4,IF(4=Element_Stiffness!$C$180,Element_Stiffness!R203,IF(4=Element_Stiffness!$E$180,Element_Stiffness!X203,0)),IF(Element_Stiffness!$E$180=4,IF(4=Element_Stiffness!$C$180,Element_Stiffness!R209,IF(4=Element_Stiffness!$E$180,Element_Stiffness!X209,0)),0)),0)+IF(Element_Stiffness!$C$216,IF(Element_Stiffness!$C$215=4,IF(4=Element_Stiffness!$C$215,Element_Stiffness!R238,IF(4=Element_Stiffness!$E$215,Element_Stiffness!X238,0)),IF(Element_Stiffness!$E$215=4,IF(4=Element_Stiffness!$C$215,Element_Stiffness!R244,IF(4=Element_Stiffness!$E$215,Element_Stiffness!X244,0)),0)),0)+IF(Inputs!E44=TRUE,1E15,IF(ISNUMBER(Inputs!E44),Inputs!E44,0))</f>
        <v/>
      </c>
      <c r="AD31" s="21">
        <f>IF(Element_Stiffness!$C$6,IF(Element_Stiffness!$C$5=4,IF(4=Element_Stiffness!$C$5,Element_Stiffness!S28,IF(4=Element_Stiffness!$E$5,Element_Stiffness!Y28,0)),IF(Element_Stiffness!$E$5=4,IF(4=Element_Stiffness!$C$5,Element_Stiffness!S34,IF(4=Element_Stiffness!$E$5,Element_Stiffness!Y34,0)),0)),0)+IF(Element_Stiffness!$C$41,IF(Element_Stiffness!$C$40=4,IF(4=Element_Stiffness!$C$40,Element_Stiffness!S63,IF(4=Element_Stiffness!$E$40,Element_Stiffness!Y63,0)),IF(Element_Stiffness!$E$40=4,IF(4=Element_Stiffness!$C$40,Element_Stiffness!S69,IF(4=Element_Stiffness!$E$40,Element_Stiffness!Y69,0)),0)),0)+IF(Element_Stiffness!$C$76,IF(Element_Stiffness!$C$75=4,IF(4=Element_Stiffness!$C$75,Element_Stiffness!S98,IF(4=Element_Stiffness!$E$75,Element_Stiffness!Y98,0)),IF(Element_Stiffness!$E$75=4,IF(4=Element_Stiffness!$C$75,Element_Stiffness!S104,IF(4=Element_Stiffness!$E$75,Element_Stiffness!Y104,0)),0)),0)+IF(Element_Stiffness!$C$111,IF(Element_Stiffness!$C$110=4,IF(4=Element_Stiffness!$C$110,Element_Stiffness!S133,IF(4=Element_Stiffness!$E$110,Element_Stiffness!Y133,0)),IF(Element_Stiffness!$E$110=4,IF(4=Element_Stiffness!$C$110,Element_Stiffness!S139,IF(4=Element_Stiffness!$E$110,Element_Stiffness!Y139,0)),0)),0)+IF(Element_Stiffness!$C$146,IF(Element_Stiffness!$C$145=4,IF(4=Element_Stiffness!$C$145,Element_Stiffness!S168,IF(4=Element_Stiffness!$E$145,Element_Stiffness!Y168,0)),IF(Element_Stiffness!$E$145=4,IF(4=Element_Stiffness!$C$145,Element_Stiffness!S174,IF(4=Element_Stiffness!$E$145,Element_Stiffness!Y174,0)),0)),0)+IF(Element_Stiffness!$C$181,IF(Element_Stiffness!$C$180=4,IF(4=Element_Stiffness!$C$180,Element_Stiffness!S203,IF(4=Element_Stiffness!$E$180,Element_Stiffness!Y203,0)),IF(Element_Stiffness!$E$180=4,IF(4=Element_Stiffness!$C$180,Element_Stiffness!S209,IF(4=Element_Stiffness!$E$180,Element_Stiffness!Y209,0)),0)),0)+IF(Element_Stiffness!$C$216,IF(Element_Stiffness!$C$215=4,IF(4=Element_Stiffness!$C$215,Element_Stiffness!S238,IF(4=Element_Stiffness!$E$215,Element_Stiffness!Y238,0)),IF(Element_Stiffness!$E$215=4,IF(4=Element_Stiffness!$C$215,Element_Stiffness!S244,IF(4=Element_Stiffness!$E$215,Element_Stiffness!Y244,0)),0)),0)</f>
        <v/>
      </c>
      <c r="AE31" s="21">
        <f>IF(Element_Stiffness!$C$6,IF(Element_Stiffness!$C$5=4,IF(4=Element_Stiffness!$C$5,Element_Stiffness!T28,IF(4=Element_Stiffness!$E$5,Element_Stiffness!Z28,0)),IF(Element_Stiffness!$E$5=4,IF(4=Element_Stiffness!$C$5,Element_Stiffness!T34,IF(4=Element_Stiffness!$E$5,Element_Stiffness!Z34,0)),0)),0)+IF(Element_Stiffness!$C$41,IF(Element_Stiffness!$C$40=4,IF(4=Element_Stiffness!$C$40,Element_Stiffness!T63,IF(4=Element_Stiffness!$E$40,Element_Stiffness!Z63,0)),IF(Element_Stiffness!$E$40=4,IF(4=Element_Stiffness!$C$40,Element_Stiffness!T69,IF(4=Element_Stiffness!$E$40,Element_Stiffness!Z69,0)),0)),0)+IF(Element_Stiffness!$C$76,IF(Element_Stiffness!$C$75=4,IF(4=Element_Stiffness!$C$75,Element_Stiffness!T98,IF(4=Element_Stiffness!$E$75,Element_Stiffness!Z98,0)),IF(Element_Stiffness!$E$75=4,IF(4=Element_Stiffness!$C$75,Element_Stiffness!T104,IF(4=Element_Stiffness!$E$75,Element_Stiffness!Z104,0)),0)),0)+IF(Element_Stiffness!$C$111,IF(Element_Stiffness!$C$110=4,IF(4=Element_Stiffness!$C$110,Element_Stiffness!T133,IF(4=Element_Stiffness!$E$110,Element_Stiffness!Z133,0)),IF(Element_Stiffness!$E$110=4,IF(4=Element_Stiffness!$C$110,Element_Stiffness!T139,IF(4=Element_Stiffness!$E$110,Element_Stiffness!Z139,0)),0)),0)+IF(Element_Stiffness!$C$146,IF(Element_Stiffness!$C$145=4,IF(4=Element_Stiffness!$C$145,Element_Stiffness!T168,IF(4=Element_Stiffness!$E$145,Element_Stiffness!Z168,0)),IF(Element_Stiffness!$E$145=4,IF(4=Element_Stiffness!$C$145,Element_Stiffness!T174,IF(4=Element_Stiffness!$E$145,Element_Stiffness!Z174,0)),0)),0)+IF(Element_Stiffness!$C$181,IF(Element_Stiffness!$C$180=4,IF(4=Element_Stiffness!$C$180,Element_Stiffness!T203,IF(4=Element_Stiffness!$E$180,Element_Stiffness!Z203,0)),IF(Element_Stiffness!$E$180=4,IF(4=Element_Stiffness!$C$180,Element_Stiffness!T209,IF(4=Element_Stiffness!$E$180,Element_Stiffness!Z209,0)),0)),0)+IF(Element_Stiffness!$C$216,IF(Element_Stiffness!$C$215=4,IF(4=Element_Stiffness!$C$215,Element_Stiffness!T238,IF(4=Element_Stiffness!$E$215,Element_Stiffness!Z238,0)),IF(Element_Stiffness!$E$215=4,IF(4=Element_Stiffness!$C$215,Element_Stiffness!T244,IF(4=Element_Stiffness!$E$215,Element_Stiffness!Z244,0)),0)),0)</f>
        <v/>
      </c>
      <c r="AF31" s="21">
        <f>IF(Element_Stiffness!$C$6,IF(Element_Stiffness!$C$5=4,IF(4=Element_Stiffness!$C$5,Element_Stiffness!U28,IF(4=Element_Stiffness!$E$5,Element_Stiffness!AA28,0)),IF(Element_Stiffness!$E$5=4,IF(4=Element_Stiffness!$C$5,Element_Stiffness!U34,IF(4=Element_Stiffness!$E$5,Element_Stiffness!AA34,0)),0)),0)+IF(Element_Stiffness!$C$41,IF(Element_Stiffness!$C$40=4,IF(4=Element_Stiffness!$C$40,Element_Stiffness!U63,IF(4=Element_Stiffness!$E$40,Element_Stiffness!AA63,0)),IF(Element_Stiffness!$E$40=4,IF(4=Element_Stiffness!$C$40,Element_Stiffness!U69,IF(4=Element_Stiffness!$E$40,Element_Stiffness!AA69,0)),0)),0)+IF(Element_Stiffness!$C$76,IF(Element_Stiffness!$C$75=4,IF(4=Element_Stiffness!$C$75,Element_Stiffness!U98,IF(4=Element_Stiffness!$E$75,Element_Stiffness!AA98,0)),IF(Element_Stiffness!$E$75=4,IF(4=Element_Stiffness!$C$75,Element_Stiffness!U104,IF(4=Element_Stiffness!$E$75,Element_Stiffness!AA104,0)),0)),0)+IF(Element_Stiffness!$C$111,IF(Element_Stiffness!$C$110=4,IF(4=Element_Stiffness!$C$110,Element_Stiffness!U133,IF(4=Element_Stiffness!$E$110,Element_Stiffness!AA133,0)),IF(Element_Stiffness!$E$110=4,IF(4=Element_Stiffness!$C$110,Element_Stiffness!U139,IF(4=Element_Stiffness!$E$110,Element_Stiffness!AA139,0)),0)),0)+IF(Element_Stiffness!$C$146,IF(Element_Stiffness!$C$145=4,IF(4=Element_Stiffness!$C$145,Element_Stiffness!U168,IF(4=Element_Stiffness!$E$145,Element_Stiffness!AA168,0)),IF(Element_Stiffness!$E$145=4,IF(4=Element_Stiffness!$C$145,Element_Stiffness!U174,IF(4=Element_Stiffness!$E$145,Element_Stiffness!AA174,0)),0)),0)+IF(Element_Stiffness!$C$181,IF(Element_Stiffness!$C$180=4,IF(4=Element_Stiffness!$C$180,Element_Stiffness!U203,IF(4=Element_Stiffness!$E$180,Element_Stiffness!AA203,0)),IF(Element_Stiffness!$E$180=4,IF(4=Element_Stiffness!$C$180,Element_Stiffness!U209,IF(4=Element_Stiffness!$E$180,Element_Stiffness!AA209,0)),0)),0)+IF(Element_Stiffness!$C$216,IF(Element_Stiffness!$C$215=4,IF(4=Element_Stiffness!$C$215,Element_Stiffness!U238,IF(4=Element_Stiffness!$E$215,Element_Stiffness!AA238,0)),IF(Element_Stiffness!$E$215=4,IF(4=Element_Stiffness!$C$215,Element_Stiffness!U244,IF(4=Element_Stiffness!$E$215,Element_Stiffness!AA244,0)),0)),0)</f>
        <v/>
      </c>
      <c r="AG31" s="21">
        <f>IF(Element_Stiffness!$C$6,IF(Element_Stiffness!$C$5=4,IF(5=Element_Stiffness!$C$5,Element_Stiffness!P28,IF(5=Element_Stiffness!$E$5,Element_Stiffness!V28,0)),IF(Element_Stiffness!$E$5=4,IF(5=Element_Stiffness!$C$5,Element_Stiffness!P34,IF(5=Element_Stiffness!$E$5,Element_Stiffness!V34,0)),0)),0)+IF(Element_Stiffness!$C$41,IF(Element_Stiffness!$C$40=4,IF(5=Element_Stiffness!$C$40,Element_Stiffness!P63,IF(5=Element_Stiffness!$E$40,Element_Stiffness!V63,0)),IF(Element_Stiffness!$E$40=4,IF(5=Element_Stiffness!$C$40,Element_Stiffness!P69,IF(5=Element_Stiffness!$E$40,Element_Stiffness!V69,0)),0)),0)+IF(Element_Stiffness!$C$76,IF(Element_Stiffness!$C$75=4,IF(5=Element_Stiffness!$C$75,Element_Stiffness!P98,IF(5=Element_Stiffness!$E$75,Element_Stiffness!V98,0)),IF(Element_Stiffness!$E$75=4,IF(5=Element_Stiffness!$C$75,Element_Stiffness!P104,IF(5=Element_Stiffness!$E$75,Element_Stiffness!V104,0)),0)),0)+IF(Element_Stiffness!$C$111,IF(Element_Stiffness!$C$110=4,IF(5=Element_Stiffness!$C$110,Element_Stiffness!P133,IF(5=Element_Stiffness!$E$110,Element_Stiffness!V133,0)),IF(Element_Stiffness!$E$110=4,IF(5=Element_Stiffness!$C$110,Element_Stiffness!P139,IF(5=Element_Stiffness!$E$110,Element_Stiffness!V139,0)),0)),0)+IF(Element_Stiffness!$C$146,IF(Element_Stiffness!$C$145=4,IF(5=Element_Stiffness!$C$145,Element_Stiffness!P168,IF(5=Element_Stiffness!$E$145,Element_Stiffness!V168,0)),IF(Element_Stiffness!$E$145=4,IF(5=Element_Stiffness!$C$145,Element_Stiffness!P174,IF(5=Element_Stiffness!$E$145,Element_Stiffness!V174,0)),0)),0)+IF(Element_Stiffness!$C$181,IF(Element_Stiffness!$C$180=4,IF(5=Element_Stiffness!$C$180,Element_Stiffness!P203,IF(5=Element_Stiffness!$E$180,Element_Stiffness!V203,0)),IF(Element_Stiffness!$E$180=4,IF(5=Element_Stiffness!$C$180,Element_Stiffness!P209,IF(5=Element_Stiffness!$E$180,Element_Stiffness!V209,0)),0)),0)+IF(Element_Stiffness!$C$216,IF(Element_Stiffness!$C$215=4,IF(5=Element_Stiffness!$C$215,Element_Stiffness!P238,IF(5=Element_Stiffness!$E$215,Element_Stiffness!V238,0)),IF(Element_Stiffness!$E$215=4,IF(5=Element_Stiffness!$C$215,Element_Stiffness!P244,IF(5=Element_Stiffness!$E$215,Element_Stiffness!V244,0)),0)),0)</f>
        <v/>
      </c>
      <c r="AH31" s="21">
        <f>IF(Element_Stiffness!$C$6,IF(Element_Stiffness!$C$5=4,IF(5=Element_Stiffness!$C$5,Element_Stiffness!Q28,IF(5=Element_Stiffness!$E$5,Element_Stiffness!W28,0)),IF(Element_Stiffness!$E$5=4,IF(5=Element_Stiffness!$C$5,Element_Stiffness!Q34,IF(5=Element_Stiffness!$E$5,Element_Stiffness!W34,0)),0)),0)+IF(Element_Stiffness!$C$41,IF(Element_Stiffness!$C$40=4,IF(5=Element_Stiffness!$C$40,Element_Stiffness!Q63,IF(5=Element_Stiffness!$E$40,Element_Stiffness!W63,0)),IF(Element_Stiffness!$E$40=4,IF(5=Element_Stiffness!$C$40,Element_Stiffness!Q69,IF(5=Element_Stiffness!$E$40,Element_Stiffness!W69,0)),0)),0)+IF(Element_Stiffness!$C$76,IF(Element_Stiffness!$C$75=4,IF(5=Element_Stiffness!$C$75,Element_Stiffness!Q98,IF(5=Element_Stiffness!$E$75,Element_Stiffness!W98,0)),IF(Element_Stiffness!$E$75=4,IF(5=Element_Stiffness!$C$75,Element_Stiffness!Q104,IF(5=Element_Stiffness!$E$75,Element_Stiffness!W104,0)),0)),0)+IF(Element_Stiffness!$C$111,IF(Element_Stiffness!$C$110=4,IF(5=Element_Stiffness!$C$110,Element_Stiffness!Q133,IF(5=Element_Stiffness!$E$110,Element_Stiffness!W133,0)),IF(Element_Stiffness!$E$110=4,IF(5=Element_Stiffness!$C$110,Element_Stiffness!Q139,IF(5=Element_Stiffness!$E$110,Element_Stiffness!W139,0)),0)),0)+IF(Element_Stiffness!$C$146,IF(Element_Stiffness!$C$145=4,IF(5=Element_Stiffness!$C$145,Element_Stiffness!Q168,IF(5=Element_Stiffness!$E$145,Element_Stiffness!W168,0)),IF(Element_Stiffness!$E$145=4,IF(5=Element_Stiffness!$C$145,Element_Stiffness!Q174,IF(5=Element_Stiffness!$E$145,Element_Stiffness!W174,0)),0)),0)+IF(Element_Stiffness!$C$181,IF(Element_Stiffness!$C$180=4,IF(5=Element_Stiffness!$C$180,Element_Stiffness!Q203,IF(5=Element_Stiffness!$E$180,Element_Stiffness!W203,0)),IF(Element_Stiffness!$E$180=4,IF(5=Element_Stiffness!$C$180,Element_Stiffness!Q209,IF(5=Element_Stiffness!$E$180,Element_Stiffness!W209,0)),0)),0)+IF(Element_Stiffness!$C$216,IF(Element_Stiffness!$C$215=4,IF(5=Element_Stiffness!$C$215,Element_Stiffness!Q238,IF(5=Element_Stiffness!$E$215,Element_Stiffness!W238,0)),IF(Element_Stiffness!$E$215=4,IF(5=Element_Stiffness!$C$215,Element_Stiffness!Q244,IF(5=Element_Stiffness!$E$215,Element_Stiffness!W244,0)),0)),0)</f>
        <v/>
      </c>
      <c r="AI31" s="21">
        <f>IF(Element_Stiffness!$C$6,IF(Element_Stiffness!$C$5=4,IF(5=Element_Stiffness!$C$5,Element_Stiffness!R28,IF(5=Element_Stiffness!$E$5,Element_Stiffness!X28,0)),IF(Element_Stiffness!$E$5=4,IF(5=Element_Stiffness!$C$5,Element_Stiffness!R34,IF(5=Element_Stiffness!$E$5,Element_Stiffness!X34,0)),0)),0)+IF(Element_Stiffness!$C$41,IF(Element_Stiffness!$C$40=4,IF(5=Element_Stiffness!$C$40,Element_Stiffness!R63,IF(5=Element_Stiffness!$E$40,Element_Stiffness!X63,0)),IF(Element_Stiffness!$E$40=4,IF(5=Element_Stiffness!$C$40,Element_Stiffness!R69,IF(5=Element_Stiffness!$E$40,Element_Stiffness!X69,0)),0)),0)+IF(Element_Stiffness!$C$76,IF(Element_Stiffness!$C$75=4,IF(5=Element_Stiffness!$C$75,Element_Stiffness!R98,IF(5=Element_Stiffness!$E$75,Element_Stiffness!X98,0)),IF(Element_Stiffness!$E$75=4,IF(5=Element_Stiffness!$C$75,Element_Stiffness!R104,IF(5=Element_Stiffness!$E$75,Element_Stiffness!X104,0)),0)),0)+IF(Element_Stiffness!$C$111,IF(Element_Stiffness!$C$110=4,IF(5=Element_Stiffness!$C$110,Element_Stiffness!R133,IF(5=Element_Stiffness!$E$110,Element_Stiffness!X133,0)),IF(Element_Stiffness!$E$110=4,IF(5=Element_Stiffness!$C$110,Element_Stiffness!R139,IF(5=Element_Stiffness!$E$110,Element_Stiffness!X139,0)),0)),0)+IF(Element_Stiffness!$C$146,IF(Element_Stiffness!$C$145=4,IF(5=Element_Stiffness!$C$145,Element_Stiffness!R168,IF(5=Element_Stiffness!$E$145,Element_Stiffness!X168,0)),IF(Element_Stiffness!$E$145=4,IF(5=Element_Stiffness!$C$145,Element_Stiffness!R174,IF(5=Element_Stiffness!$E$145,Element_Stiffness!X174,0)),0)),0)+IF(Element_Stiffness!$C$181,IF(Element_Stiffness!$C$180=4,IF(5=Element_Stiffness!$C$180,Element_Stiffness!R203,IF(5=Element_Stiffness!$E$180,Element_Stiffness!X203,0)),IF(Element_Stiffness!$E$180=4,IF(5=Element_Stiffness!$C$180,Element_Stiffness!R209,IF(5=Element_Stiffness!$E$180,Element_Stiffness!X209,0)),0)),0)+IF(Element_Stiffness!$C$216,IF(Element_Stiffness!$C$215=4,IF(5=Element_Stiffness!$C$215,Element_Stiffness!R238,IF(5=Element_Stiffness!$E$215,Element_Stiffness!X238,0)),IF(Element_Stiffness!$E$215=4,IF(5=Element_Stiffness!$C$215,Element_Stiffness!R244,IF(5=Element_Stiffness!$E$215,Element_Stiffness!X244,0)),0)),0)</f>
        <v/>
      </c>
      <c r="AJ31" s="21">
        <f>IF(Element_Stiffness!$C$6,IF(Element_Stiffness!$C$5=4,IF(5=Element_Stiffness!$C$5,Element_Stiffness!S28,IF(5=Element_Stiffness!$E$5,Element_Stiffness!Y28,0)),IF(Element_Stiffness!$E$5=4,IF(5=Element_Stiffness!$C$5,Element_Stiffness!S34,IF(5=Element_Stiffness!$E$5,Element_Stiffness!Y34,0)),0)),0)+IF(Element_Stiffness!$C$41,IF(Element_Stiffness!$C$40=4,IF(5=Element_Stiffness!$C$40,Element_Stiffness!S63,IF(5=Element_Stiffness!$E$40,Element_Stiffness!Y63,0)),IF(Element_Stiffness!$E$40=4,IF(5=Element_Stiffness!$C$40,Element_Stiffness!S69,IF(5=Element_Stiffness!$E$40,Element_Stiffness!Y69,0)),0)),0)+IF(Element_Stiffness!$C$76,IF(Element_Stiffness!$C$75=4,IF(5=Element_Stiffness!$C$75,Element_Stiffness!S98,IF(5=Element_Stiffness!$E$75,Element_Stiffness!Y98,0)),IF(Element_Stiffness!$E$75=4,IF(5=Element_Stiffness!$C$75,Element_Stiffness!S104,IF(5=Element_Stiffness!$E$75,Element_Stiffness!Y104,0)),0)),0)+IF(Element_Stiffness!$C$111,IF(Element_Stiffness!$C$110=4,IF(5=Element_Stiffness!$C$110,Element_Stiffness!S133,IF(5=Element_Stiffness!$E$110,Element_Stiffness!Y133,0)),IF(Element_Stiffness!$E$110=4,IF(5=Element_Stiffness!$C$110,Element_Stiffness!S139,IF(5=Element_Stiffness!$E$110,Element_Stiffness!Y139,0)),0)),0)+IF(Element_Stiffness!$C$146,IF(Element_Stiffness!$C$145=4,IF(5=Element_Stiffness!$C$145,Element_Stiffness!S168,IF(5=Element_Stiffness!$E$145,Element_Stiffness!Y168,0)),IF(Element_Stiffness!$E$145=4,IF(5=Element_Stiffness!$C$145,Element_Stiffness!S174,IF(5=Element_Stiffness!$E$145,Element_Stiffness!Y174,0)),0)),0)+IF(Element_Stiffness!$C$181,IF(Element_Stiffness!$C$180=4,IF(5=Element_Stiffness!$C$180,Element_Stiffness!S203,IF(5=Element_Stiffness!$E$180,Element_Stiffness!Y203,0)),IF(Element_Stiffness!$E$180=4,IF(5=Element_Stiffness!$C$180,Element_Stiffness!S209,IF(5=Element_Stiffness!$E$180,Element_Stiffness!Y209,0)),0)),0)+IF(Element_Stiffness!$C$216,IF(Element_Stiffness!$C$215=4,IF(5=Element_Stiffness!$C$215,Element_Stiffness!S238,IF(5=Element_Stiffness!$E$215,Element_Stiffness!Y238,0)),IF(Element_Stiffness!$E$215=4,IF(5=Element_Stiffness!$C$215,Element_Stiffness!S244,IF(5=Element_Stiffness!$E$215,Element_Stiffness!Y244,0)),0)),0)</f>
        <v/>
      </c>
      <c r="AK31" s="21">
        <f>IF(Element_Stiffness!$C$6,IF(Element_Stiffness!$C$5=4,IF(5=Element_Stiffness!$C$5,Element_Stiffness!T28,IF(5=Element_Stiffness!$E$5,Element_Stiffness!Z28,0)),IF(Element_Stiffness!$E$5=4,IF(5=Element_Stiffness!$C$5,Element_Stiffness!T34,IF(5=Element_Stiffness!$E$5,Element_Stiffness!Z34,0)),0)),0)+IF(Element_Stiffness!$C$41,IF(Element_Stiffness!$C$40=4,IF(5=Element_Stiffness!$C$40,Element_Stiffness!T63,IF(5=Element_Stiffness!$E$40,Element_Stiffness!Z63,0)),IF(Element_Stiffness!$E$40=4,IF(5=Element_Stiffness!$C$40,Element_Stiffness!T69,IF(5=Element_Stiffness!$E$40,Element_Stiffness!Z69,0)),0)),0)+IF(Element_Stiffness!$C$76,IF(Element_Stiffness!$C$75=4,IF(5=Element_Stiffness!$C$75,Element_Stiffness!T98,IF(5=Element_Stiffness!$E$75,Element_Stiffness!Z98,0)),IF(Element_Stiffness!$E$75=4,IF(5=Element_Stiffness!$C$75,Element_Stiffness!T104,IF(5=Element_Stiffness!$E$75,Element_Stiffness!Z104,0)),0)),0)+IF(Element_Stiffness!$C$111,IF(Element_Stiffness!$C$110=4,IF(5=Element_Stiffness!$C$110,Element_Stiffness!T133,IF(5=Element_Stiffness!$E$110,Element_Stiffness!Z133,0)),IF(Element_Stiffness!$E$110=4,IF(5=Element_Stiffness!$C$110,Element_Stiffness!T139,IF(5=Element_Stiffness!$E$110,Element_Stiffness!Z139,0)),0)),0)+IF(Element_Stiffness!$C$146,IF(Element_Stiffness!$C$145=4,IF(5=Element_Stiffness!$C$145,Element_Stiffness!T168,IF(5=Element_Stiffness!$E$145,Element_Stiffness!Z168,0)),IF(Element_Stiffness!$E$145=4,IF(5=Element_Stiffness!$C$145,Element_Stiffness!T174,IF(5=Element_Stiffness!$E$145,Element_Stiffness!Z174,0)),0)),0)+IF(Element_Stiffness!$C$181,IF(Element_Stiffness!$C$180=4,IF(5=Element_Stiffness!$C$180,Element_Stiffness!T203,IF(5=Element_Stiffness!$E$180,Element_Stiffness!Z203,0)),IF(Element_Stiffness!$E$180=4,IF(5=Element_Stiffness!$C$180,Element_Stiffness!T209,IF(5=Element_Stiffness!$E$180,Element_Stiffness!Z209,0)),0)),0)+IF(Element_Stiffness!$C$216,IF(Element_Stiffness!$C$215=4,IF(5=Element_Stiffness!$C$215,Element_Stiffness!T238,IF(5=Element_Stiffness!$E$215,Element_Stiffness!Z238,0)),IF(Element_Stiffness!$E$215=4,IF(5=Element_Stiffness!$C$215,Element_Stiffness!T244,IF(5=Element_Stiffness!$E$215,Element_Stiffness!Z244,0)),0)),0)</f>
        <v/>
      </c>
      <c r="AL31" s="21">
        <f>IF(Element_Stiffness!$C$6,IF(Element_Stiffness!$C$5=4,IF(5=Element_Stiffness!$C$5,Element_Stiffness!U28,IF(5=Element_Stiffness!$E$5,Element_Stiffness!AA28,0)),IF(Element_Stiffness!$E$5=4,IF(5=Element_Stiffness!$C$5,Element_Stiffness!U34,IF(5=Element_Stiffness!$E$5,Element_Stiffness!AA34,0)),0)),0)+IF(Element_Stiffness!$C$41,IF(Element_Stiffness!$C$40=4,IF(5=Element_Stiffness!$C$40,Element_Stiffness!U63,IF(5=Element_Stiffness!$E$40,Element_Stiffness!AA63,0)),IF(Element_Stiffness!$E$40=4,IF(5=Element_Stiffness!$C$40,Element_Stiffness!U69,IF(5=Element_Stiffness!$E$40,Element_Stiffness!AA69,0)),0)),0)+IF(Element_Stiffness!$C$76,IF(Element_Stiffness!$C$75=4,IF(5=Element_Stiffness!$C$75,Element_Stiffness!U98,IF(5=Element_Stiffness!$E$75,Element_Stiffness!AA98,0)),IF(Element_Stiffness!$E$75=4,IF(5=Element_Stiffness!$C$75,Element_Stiffness!U104,IF(5=Element_Stiffness!$E$75,Element_Stiffness!AA104,0)),0)),0)+IF(Element_Stiffness!$C$111,IF(Element_Stiffness!$C$110=4,IF(5=Element_Stiffness!$C$110,Element_Stiffness!U133,IF(5=Element_Stiffness!$E$110,Element_Stiffness!AA133,0)),IF(Element_Stiffness!$E$110=4,IF(5=Element_Stiffness!$C$110,Element_Stiffness!U139,IF(5=Element_Stiffness!$E$110,Element_Stiffness!AA139,0)),0)),0)+IF(Element_Stiffness!$C$146,IF(Element_Stiffness!$C$145=4,IF(5=Element_Stiffness!$C$145,Element_Stiffness!U168,IF(5=Element_Stiffness!$E$145,Element_Stiffness!AA168,0)),IF(Element_Stiffness!$E$145=4,IF(5=Element_Stiffness!$C$145,Element_Stiffness!U174,IF(5=Element_Stiffness!$E$145,Element_Stiffness!AA174,0)),0)),0)+IF(Element_Stiffness!$C$181,IF(Element_Stiffness!$C$180=4,IF(5=Element_Stiffness!$C$180,Element_Stiffness!U203,IF(5=Element_Stiffness!$E$180,Element_Stiffness!AA203,0)),IF(Element_Stiffness!$E$180=4,IF(5=Element_Stiffness!$C$180,Element_Stiffness!U209,IF(5=Element_Stiffness!$E$180,Element_Stiffness!AA209,0)),0)),0)+IF(Element_Stiffness!$C$216,IF(Element_Stiffness!$C$215=4,IF(5=Element_Stiffness!$C$215,Element_Stiffness!U238,IF(5=Element_Stiffness!$E$215,Element_Stiffness!AA238,0)),IF(Element_Stiffness!$E$215=4,IF(5=Element_Stiffness!$C$215,Element_Stiffness!U244,IF(5=Element_Stiffness!$E$215,Element_Stiffness!AA244,0)),0)),0)</f>
        <v/>
      </c>
      <c r="AM31" s="21">
        <f>IF(Element_Stiffness!$C$6,IF(Element_Stiffness!$C$5=4,IF(6=Element_Stiffness!$C$5,Element_Stiffness!P28,IF(6=Element_Stiffness!$E$5,Element_Stiffness!V28,0)),IF(Element_Stiffness!$E$5=4,IF(6=Element_Stiffness!$C$5,Element_Stiffness!P34,IF(6=Element_Stiffness!$E$5,Element_Stiffness!V34,0)),0)),0)+IF(Element_Stiffness!$C$41,IF(Element_Stiffness!$C$40=4,IF(6=Element_Stiffness!$C$40,Element_Stiffness!P63,IF(6=Element_Stiffness!$E$40,Element_Stiffness!V63,0)),IF(Element_Stiffness!$E$40=4,IF(6=Element_Stiffness!$C$40,Element_Stiffness!P69,IF(6=Element_Stiffness!$E$40,Element_Stiffness!V69,0)),0)),0)+IF(Element_Stiffness!$C$76,IF(Element_Stiffness!$C$75=4,IF(6=Element_Stiffness!$C$75,Element_Stiffness!P98,IF(6=Element_Stiffness!$E$75,Element_Stiffness!V98,0)),IF(Element_Stiffness!$E$75=4,IF(6=Element_Stiffness!$C$75,Element_Stiffness!P104,IF(6=Element_Stiffness!$E$75,Element_Stiffness!V104,0)),0)),0)+IF(Element_Stiffness!$C$111,IF(Element_Stiffness!$C$110=4,IF(6=Element_Stiffness!$C$110,Element_Stiffness!P133,IF(6=Element_Stiffness!$E$110,Element_Stiffness!V133,0)),IF(Element_Stiffness!$E$110=4,IF(6=Element_Stiffness!$C$110,Element_Stiffness!P139,IF(6=Element_Stiffness!$E$110,Element_Stiffness!V139,0)),0)),0)+IF(Element_Stiffness!$C$146,IF(Element_Stiffness!$C$145=4,IF(6=Element_Stiffness!$C$145,Element_Stiffness!P168,IF(6=Element_Stiffness!$E$145,Element_Stiffness!V168,0)),IF(Element_Stiffness!$E$145=4,IF(6=Element_Stiffness!$C$145,Element_Stiffness!P174,IF(6=Element_Stiffness!$E$145,Element_Stiffness!V174,0)),0)),0)+IF(Element_Stiffness!$C$181,IF(Element_Stiffness!$C$180=4,IF(6=Element_Stiffness!$C$180,Element_Stiffness!P203,IF(6=Element_Stiffness!$E$180,Element_Stiffness!V203,0)),IF(Element_Stiffness!$E$180=4,IF(6=Element_Stiffness!$C$180,Element_Stiffness!P209,IF(6=Element_Stiffness!$E$180,Element_Stiffness!V209,0)),0)),0)+IF(Element_Stiffness!$C$216,IF(Element_Stiffness!$C$215=4,IF(6=Element_Stiffness!$C$215,Element_Stiffness!P238,IF(6=Element_Stiffness!$E$215,Element_Stiffness!V238,0)),IF(Element_Stiffness!$E$215=4,IF(6=Element_Stiffness!$C$215,Element_Stiffness!P244,IF(6=Element_Stiffness!$E$215,Element_Stiffness!V244,0)),0)),0)</f>
        <v/>
      </c>
      <c r="AN31" s="21">
        <f>IF(Element_Stiffness!$C$6,IF(Element_Stiffness!$C$5=4,IF(6=Element_Stiffness!$C$5,Element_Stiffness!Q28,IF(6=Element_Stiffness!$E$5,Element_Stiffness!W28,0)),IF(Element_Stiffness!$E$5=4,IF(6=Element_Stiffness!$C$5,Element_Stiffness!Q34,IF(6=Element_Stiffness!$E$5,Element_Stiffness!W34,0)),0)),0)+IF(Element_Stiffness!$C$41,IF(Element_Stiffness!$C$40=4,IF(6=Element_Stiffness!$C$40,Element_Stiffness!Q63,IF(6=Element_Stiffness!$E$40,Element_Stiffness!W63,0)),IF(Element_Stiffness!$E$40=4,IF(6=Element_Stiffness!$C$40,Element_Stiffness!Q69,IF(6=Element_Stiffness!$E$40,Element_Stiffness!W69,0)),0)),0)+IF(Element_Stiffness!$C$76,IF(Element_Stiffness!$C$75=4,IF(6=Element_Stiffness!$C$75,Element_Stiffness!Q98,IF(6=Element_Stiffness!$E$75,Element_Stiffness!W98,0)),IF(Element_Stiffness!$E$75=4,IF(6=Element_Stiffness!$C$75,Element_Stiffness!Q104,IF(6=Element_Stiffness!$E$75,Element_Stiffness!W104,0)),0)),0)+IF(Element_Stiffness!$C$111,IF(Element_Stiffness!$C$110=4,IF(6=Element_Stiffness!$C$110,Element_Stiffness!Q133,IF(6=Element_Stiffness!$E$110,Element_Stiffness!W133,0)),IF(Element_Stiffness!$E$110=4,IF(6=Element_Stiffness!$C$110,Element_Stiffness!Q139,IF(6=Element_Stiffness!$E$110,Element_Stiffness!W139,0)),0)),0)+IF(Element_Stiffness!$C$146,IF(Element_Stiffness!$C$145=4,IF(6=Element_Stiffness!$C$145,Element_Stiffness!Q168,IF(6=Element_Stiffness!$E$145,Element_Stiffness!W168,0)),IF(Element_Stiffness!$E$145=4,IF(6=Element_Stiffness!$C$145,Element_Stiffness!Q174,IF(6=Element_Stiffness!$E$145,Element_Stiffness!W174,0)),0)),0)+IF(Element_Stiffness!$C$181,IF(Element_Stiffness!$C$180=4,IF(6=Element_Stiffness!$C$180,Element_Stiffness!Q203,IF(6=Element_Stiffness!$E$180,Element_Stiffness!W203,0)),IF(Element_Stiffness!$E$180=4,IF(6=Element_Stiffness!$C$180,Element_Stiffness!Q209,IF(6=Element_Stiffness!$E$180,Element_Stiffness!W209,0)),0)),0)+IF(Element_Stiffness!$C$216,IF(Element_Stiffness!$C$215=4,IF(6=Element_Stiffness!$C$215,Element_Stiffness!Q238,IF(6=Element_Stiffness!$E$215,Element_Stiffness!W238,0)),IF(Element_Stiffness!$E$215=4,IF(6=Element_Stiffness!$C$215,Element_Stiffness!Q244,IF(6=Element_Stiffness!$E$215,Element_Stiffness!W244,0)),0)),0)</f>
        <v/>
      </c>
      <c r="AO31" s="21">
        <f>IF(Element_Stiffness!$C$6,IF(Element_Stiffness!$C$5=4,IF(6=Element_Stiffness!$C$5,Element_Stiffness!R28,IF(6=Element_Stiffness!$E$5,Element_Stiffness!X28,0)),IF(Element_Stiffness!$E$5=4,IF(6=Element_Stiffness!$C$5,Element_Stiffness!R34,IF(6=Element_Stiffness!$E$5,Element_Stiffness!X34,0)),0)),0)+IF(Element_Stiffness!$C$41,IF(Element_Stiffness!$C$40=4,IF(6=Element_Stiffness!$C$40,Element_Stiffness!R63,IF(6=Element_Stiffness!$E$40,Element_Stiffness!X63,0)),IF(Element_Stiffness!$E$40=4,IF(6=Element_Stiffness!$C$40,Element_Stiffness!R69,IF(6=Element_Stiffness!$E$40,Element_Stiffness!X69,0)),0)),0)+IF(Element_Stiffness!$C$76,IF(Element_Stiffness!$C$75=4,IF(6=Element_Stiffness!$C$75,Element_Stiffness!R98,IF(6=Element_Stiffness!$E$75,Element_Stiffness!X98,0)),IF(Element_Stiffness!$E$75=4,IF(6=Element_Stiffness!$C$75,Element_Stiffness!R104,IF(6=Element_Stiffness!$E$75,Element_Stiffness!X104,0)),0)),0)+IF(Element_Stiffness!$C$111,IF(Element_Stiffness!$C$110=4,IF(6=Element_Stiffness!$C$110,Element_Stiffness!R133,IF(6=Element_Stiffness!$E$110,Element_Stiffness!X133,0)),IF(Element_Stiffness!$E$110=4,IF(6=Element_Stiffness!$C$110,Element_Stiffness!R139,IF(6=Element_Stiffness!$E$110,Element_Stiffness!X139,0)),0)),0)+IF(Element_Stiffness!$C$146,IF(Element_Stiffness!$C$145=4,IF(6=Element_Stiffness!$C$145,Element_Stiffness!R168,IF(6=Element_Stiffness!$E$145,Element_Stiffness!X168,0)),IF(Element_Stiffness!$E$145=4,IF(6=Element_Stiffness!$C$145,Element_Stiffness!R174,IF(6=Element_Stiffness!$E$145,Element_Stiffness!X174,0)),0)),0)+IF(Element_Stiffness!$C$181,IF(Element_Stiffness!$C$180=4,IF(6=Element_Stiffness!$C$180,Element_Stiffness!R203,IF(6=Element_Stiffness!$E$180,Element_Stiffness!X203,0)),IF(Element_Stiffness!$E$180=4,IF(6=Element_Stiffness!$C$180,Element_Stiffness!R209,IF(6=Element_Stiffness!$E$180,Element_Stiffness!X209,0)),0)),0)+IF(Element_Stiffness!$C$216,IF(Element_Stiffness!$C$215=4,IF(6=Element_Stiffness!$C$215,Element_Stiffness!R238,IF(6=Element_Stiffness!$E$215,Element_Stiffness!X238,0)),IF(Element_Stiffness!$E$215=4,IF(6=Element_Stiffness!$C$215,Element_Stiffness!R244,IF(6=Element_Stiffness!$E$215,Element_Stiffness!X244,0)),0)),0)</f>
        <v/>
      </c>
      <c r="AP31" s="21">
        <f>IF(Element_Stiffness!$C$6,IF(Element_Stiffness!$C$5=4,IF(6=Element_Stiffness!$C$5,Element_Stiffness!S28,IF(6=Element_Stiffness!$E$5,Element_Stiffness!Y28,0)),IF(Element_Stiffness!$E$5=4,IF(6=Element_Stiffness!$C$5,Element_Stiffness!S34,IF(6=Element_Stiffness!$E$5,Element_Stiffness!Y34,0)),0)),0)+IF(Element_Stiffness!$C$41,IF(Element_Stiffness!$C$40=4,IF(6=Element_Stiffness!$C$40,Element_Stiffness!S63,IF(6=Element_Stiffness!$E$40,Element_Stiffness!Y63,0)),IF(Element_Stiffness!$E$40=4,IF(6=Element_Stiffness!$C$40,Element_Stiffness!S69,IF(6=Element_Stiffness!$E$40,Element_Stiffness!Y69,0)),0)),0)+IF(Element_Stiffness!$C$76,IF(Element_Stiffness!$C$75=4,IF(6=Element_Stiffness!$C$75,Element_Stiffness!S98,IF(6=Element_Stiffness!$E$75,Element_Stiffness!Y98,0)),IF(Element_Stiffness!$E$75=4,IF(6=Element_Stiffness!$C$75,Element_Stiffness!S104,IF(6=Element_Stiffness!$E$75,Element_Stiffness!Y104,0)),0)),0)+IF(Element_Stiffness!$C$111,IF(Element_Stiffness!$C$110=4,IF(6=Element_Stiffness!$C$110,Element_Stiffness!S133,IF(6=Element_Stiffness!$E$110,Element_Stiffness!Y133,0)),IF(Element_Stiffness!$E$110=4,IF(6=Element_Stiffness!$C$110,Element_Stiffness!S139,IF(6=Element_Stiffness!$E$110,Element_Stiffness!Y139,0)),0)),0)+IF(Element_Stiffness!$C$146,IF(Element_Stiffness!$C$145=4,IF(6=Element_Stiffness!$C$145,Element_Stiffness!S168,IF(6=Element_Stiffness!$E$145,Element_Stiffness!Y168,0)),IF(Element_Stiffness!$E$145=4,IF(6=Element_Stiffness!$C$145,Element_Stiffness!S174,IF(6=Element_Stiffness!$E$145,Element_Stiffness!Y174,0)),0)),0)+IF(Element_Stiffness!$C$181,IF(Element_Stiffness!$C$180=4,IF(6=Element_Stiffness!$C$180,Element_Stiffness!S203,IF(6=Element_Stiffness!$E$180,Element_Stiffness!Y203,0)),IF(Element_Stiffness!$E$180=4,IF(6=Element_Stiffness!$C$180,Element_Stiffness!S209,IF(6=Element_Stiffness!$E$180,Element_Stiffness!Y209,0)),0)),0)+IF(Element_Stiffness!$C$216,IF(Element_Stiffness!$C$215=4,IF(6=Element_Stiffness!$C$215,Element_Stiffness!S238,IF(6=Element_Stiffness!$E$215,Element_Stiffness!Y238,0)),IF(Element_Stiffness!$E$215=4,IF(6=Element_Stiffness!$C$215,Element_Stiffness!S244,IF(6=Element_Stiffness!$E$215,Element_Stiffness!Y244,0)),0)),0)</f>
        <v/>
      </c>
      <c r="AQ31" s="21">
        <f>IF(Element_Stiffness!$C$6,IF(Element_Stiffness!$C$5=4,IF(6=Element_Stiffness!$C$5,Element_Stiffness!T28,IF(6=Element_Stiffness!$E$5,Element_Stiffness!Z28,0)),IF(Element_Stiffness!$E$5=4,IF(6=Element_Stiffness!$C$5,Element_Stiffness!T34,IF(6=Element_Stiffness!$E$5,Element_Stiffness!Z34,0)),0)),0)+IF(Element_Stiffness!$C$41,IF(Element_Stiffness!$C$40=4,IF(6=Element_Stiffness!$C$40,Element_Stiffness!T63,IF(6=Element_Stiffness!$E$40,Element_Stiffness!Z63,0)),IF(Element_Stiffness!$E$40=4,IF(6=Element_Stiffness!$C$40,Element_Stiffness!T69,IF(6=Element_Stiffness!$E$40,Element_Stiffness!Z69,0)),0)),0)+IF(Element_Stiffness!$C$76,IF(Element_Stiffness!$C$75=4,IF(6=Element_Stiffness!$C$75,Element_Stiffness!T98,IF(6=Element_Stiffness!$E$75,Element_Stiffness!Z98,0)),IF(Element_Stiffness!$E$75=4,IF(6=Element_Stiffness!$C$75,Element_Stiffness!T104,IF(6=Element_Stiffness!$E$75,Element_Stiffness!Z104,0)),0)),0)+IF(Element_Stiffness!$C$111,IF(Element_Stiffness!$C$110=4,IF(6=Element_Stiffness!$C$110,Element_Stiffness!T133,IF(6=Element_Stiffness!$E$110,Element_Stiffness!Z133,0)),IF(Element_Stiffness!$E$110=4,IF(6=Element_Stiffness!$C$110,Element_Stiffness!T139,IF(6=Element_Stiffness!$E$110,Element_Stiffness!Z139,0)),0)),0)+IF(Element_Stiffness!$C$146,IF(Element_Stiffness!$C$145=4,IF(6=Element_Stiffness!$C$145,Element_Stiffness!T168,IF(6=Element_Stiffness!$E$145,Element_Stiffness!Z168,0)),IF(Element_Stiffness!$E$145=4,IF(6=Element_Stiffness!$C$145,Element_Stiffness!T174,IF(6=Element_Stiffness!$E$145,Element_Stiffness!Z174,0)),0)),0)+IF(Element_Stiffness!$C$181,IF(Element_Stiffness!$C$180=4,IF(6=Element_Stiffness!$C$180,Element_Stiffness!T203,IF(6=Element_Stiffness!$E$180,Element_Stiffness!Z203,0)),IF(Element_Stiffness!$E$180=4,IF(6=Element_Stiffness!$C$180,Element_Stiffness!T209,IF(6=Element_Stiffness!$E$180,Element_Stiffness!Z209,0)),0)),0)+IF(Element_Stiffness!$C$216,IF(Element_Stiffness!$C$215=4,IF(6=Element_Stiffness!$C$215,Element_Stiffness!T238,IF(6=Element_Stiffness!$E$215,Element_Stiffness!Z238,0)),IF(Element_Stiffness!$E$215=4,IF(6=Element_Stiffness!$C$215,Element_Stiffness!T244,IF(6=Element_Stiffness!$E$215,Element_Stiffness!Z244,0)),0)),0)</f>
        <v/>
      </c>
      <c r="AR31" s="21">
        <f>IF(Element_Stiffness!$C$6,IF(Element_Stiffness!$C$5=4,IF(6=Element_Stiffness!$C$5,Element_Stiffness!U28,IF(6=Element_Stiffness!$E$5,Element_Stiffness!AA28,0)),IF(Element_Stiffness!$E$5=4,IF(6=Element_Stiffness!$C$5,Element_Stiffness!U34,IF(6=Element_Stiffness!$E$5,Element_Stiffness!AA34,0)),0)),0)+IF(Element_Stiffness!$C$41,IF(Element_Stiffness!$C$40=4,IF(6=Element_Stiffness!$C$40,Element_Stiffness!U63,IF(6=Element_Stiffness!$E$40,Element_Stiffness!AA63,0)),IF(Element_Stiffness!$E$40=4,IF(6=Element_Stiffness!$C$40,Element_Stiffness!U69,IF(6=Element_Stiffness!$E$40,Element_Stiffness!AA69,0)),0)),0)+IF(Element_Stiffness!$C$76,IF(Element_Stiffness!$C$75=4,IF(6=Element_Stiffness!$C$75,Element_Stiffness!U98,IF(6=Element_Stiffness!$E$75,Element_Stiffness!AA98,0)),IF(Element_Stiffness!$E$75=4,IF(6=Element_Stiffness!$C$75,Element_Stiffness!U104,IF(6=Element_Stiffness!$E$75,Element_Stiffness!AA104,0)),0)),0)+IF(Element_Stiffness!$C$111,IF(Element_Stiffness!$C$110=4,IF(6=Element_Stiffness!$C$110,Element_Stiffness!U133,IF(6=Element_Stiffness!$E$110,Element_Stiffness!AA133,0)),IF(Element_Stiffness!$E$110=4,IF(6=Element_Stiffness!$C$110,Element_Stiffness!U139,IF(6=Element_Stiffness!$E$110,Element_Stiffness!AA139,0)),0)),0)+IF(Element_Stiffness!$C$146,IF(Element_Stiffness!$C$145=4,IF(6=Element_Stiffness!$C$145,Element_Stiffness!U168,IF(6=Element_Stiffness!$E$145,Element_Stiffness!AA168,0)),IF(Element_Stiffness!$E$145=4,IF(6=Element_Stiffness!$C$145,Element_Stiffness!U174,IF(6=Element_Stiffness!$E$145,Element_Stiffness!AA174,0)),0)),0)+IF(Element_Stiffness!$C$181,IF(Element_Stiffness!$C$180=4,IF(6=Element_Stiffness!$C$180,Element_Stiffness!U203,IF(6=Element_Stiffness!$E$180,Element_Stiffness!AA203,0)),IF(Element_Stiffness!$E$180=4,IF(6=Element_Stiffness!$C$180,Element_Stiffness!U209,IF(6=Element_Stiffness!$E$180,Element_Stiffness!AA209,0)),0)),0)+IF(Element_Stiffness!$C$216,IF(Element_Stiffness!$C$215=4,IF(6=Element_Stiffness!$C$215,Element_Stiffness!U238,IF(6=Element_Stiffness!$E$215,Element_Stiffness!AA238,0)),IF(Element_Stiffness!$E$215=4,IF(6=Element_Stiffness!$C$215,Element_Stiffness!U244,IF(6=Element_Stiffness!$E$215,Element_Stiffness!AA244,0)),0)),0)</f>
        <v/>
      </c>
      <c r="AS31" s="21">
        <f>IF(Element_Stiffness!$C$6,IF(Element_Stiffness!$C$5=4,IF(7=Element_Stiffness!$C$5,Element_Stiffness!P28,IF(7=Element_Stiffness!$E$5,Element_Stiffness!V28,0)),IF(Element_Stiffness!$E$5=4,IF(7=Element_Stiffness!$C$5,Element_Stiffness!P34,IF(7=Element_Stiffness!$E$5,Element_Stiffness!V34,0)),0)),0)+IF(Element_Stiffness!$C$41,IF(Element_Stiffness!$C$40=4,IF(7=Element_Stiffness!$C$40,Element_Stiffness!P63,IF(7=Element_Stiffness!$E$40,Element_Stiffness!V63,0)),IF(Element_Stiffness!$E$40=4,IF(7=Element_Stiffness!$C$40,Element_Stiffness!P69,IF(7=Element_Stiffness!$E$40,Element_Stiffness!V69,0)),0)),0)+IF(Element_Stiffness!$C$76,IF(Element_Stiffness!$C$75=4,IF(7=Element_Stiffness!$C$75,Element_Stiffness!P98,IF(7=Element_Stiffness!$E$75,Element_Stiffness!V98,0)),IF(Element_Stiffness!$E$75=4,IF(7=Element_Stiffness!$C$75,Element_Stiffness!P104,IF(7=Element_Stiffness!$E$75,Element_Stiffness!V104,0)),0)),0)+IF(Element_Stiffness!$C$111,IF(Element_Stiffness!$C$110=4,IF(7=Element_Stiffness!$C$110,Element_Stiffness!P133,IF(7=Element_Stiffness!$E$110,Element_Stiffness!V133,0)),IF(Element_Stiffness!$E$110=4,IF(7=Element_Stiffness!$C$110,Element_Stiffness!P139,IF(7=Element_Stiffness!$E$110,Element_Stiffness!V139,0)),0)),0)+IF(Element_Stiffness!$C$146,IF(Element_Stiffness!$C$145=4,IF(7=Element_Stiffness!$C$145,Element_Stiffness!P168,IF(7=Element_Stiffness!$E$145,Element_Stiffness!V168,0)),IF(Element_Stiffness!$E$145=4,IF(7=Element_Stiffness!$C$145,Element_Stiffness!P174,IF(7=Element_Stiffness!$E$145,Element_Stiffness!V174,0)),0)),0)+IF(Element_Stiffness!$C$181,IF(Element_Stiffness!$C$180=4,IF(7=Element_Stiffness!$C$180,Element_Stiffness!P203,IF(7=Element_Stiffness!$E$180,Element_Stiffness!V203,0)),IF(Element_Stiffness!$E$180=4,IF(7=Element_Stiffness!$C$180,Element_Stiffness!P209,IF(7=Element_Stiffness!$E$180,Element_Stiffness!V209,0)),0)),0)+IF(Element_Stiffness!$C$216,IF(Element_Stiffness!$C$215=4,IF(7=Element_Stiffness!$C$215,Element_Stiffness!P238,IF(7=Element_Stiffness!$E$215,Element_Stiffness!V238,0)),IF(Element_Stiffness!$E$215=4,IF(7=Element_Stiffness!$C$215,Element_Stiffness!P244,IF(7=Element_Stiffness!$E$215,Element_Stiffness!V244,0)),0)),0)</f>
        <v/>
      </c>
      <c r="AT31" s="21">
        <f>IF(Element_Stiffness!$C$6,IF(Element_Stiffness!$C$5=4,IF(7=Element_Stiffness!$C$5,Element_Stiffness!Q28,IF(7=Element_Stiffness!$E$5,Element_Stiffness!W28,0)),IF(Element_Stiffness!$E$5=4,IF(7=Element_Stiffness!$C$5,Element_Stiffness!Q34,IF(7=Element_Stiffness!$E$5,Element_Stiffness!W34,0)),0)),0)+IF(Element_Stiffness!$C$41,IF(Element_Stiffness!$C$40=4,IF(7=Element_Stiffness!$C$40,Element_Stiffness!Q63,IF(7=Element_Stiffness!$E$40,Element_Stiffness!W63,0)),IF(Element_Stiffness!$E$40=4,IF(7=Element_Stiffness!$C$40,Element_Stiffness!Q69,IF(7=Element_Stiffness!$E$40,Element_Stiffness!W69,0)),0)),0)+IF(Element_Stiffness!$C$76,IF(Element_Stiffness!$C$75=4,IF(7=Element_Stiffness!$C$75,Element_Stiffness!Q98,IF(7=Element_Stiffness!$E$75,Element_Stiffness!W98,0)),IF(Element_Stiffness!$E$75=4,IF(7=Element_Stiffness!$C$75,Element_Stiffness!Q104,IF(7=Element_Stiffness!$E$75,Element_Stiffness!W104,0)),0)),0)+IF(Element_Stiffness!$C$111,IF(Element_Stiffness!$C$110=4,IF(7=Element_Stiffness!$C$110,Element_Stiffness!Q133,IF(7=Element_Stiffness!$E$110,Element_Stiffness!W133,0)),IF(Element_Stiffness!$E$110=4,IF(7=Element_Stiffness!$C$110,Element_Stiffness!Q139,IF(7=Element_Stiffness!$E$110,Element_Stiffness!W139,0)),0)),0)+IF(Element_Stiffness!$C$146,IF(Element_Stiffness!$C$145=4,IF(7=Element_Stiffness!$C$145,Element_Stiffness!Q168,IF(7=Element_Stiffness!$E$145,Element_Stiffness!W168,0)),IF(Element_Stiffness!$E$145=4,IF(7=Element_Stiffness!$C$145,Element_Stiffness!Q174,IF(7=Element_Stiffness!$E$145,Element_Stiffness!W174,0)),0)),0)+IF(Element_Stiffness!$C$181,IF(Element_Stiffness!$C$180=4,IF(7=Element_Stiffness!$C$180,Element_Stiffness!Q203,IF(7=Element_Stiffness!$E$180,Element_Stiffness!W203,0)),IF(Element_Stiffness!$E$180=4,IF(7=Element_Stiffness!$C$180,Element_Stiffness!Q209,IF(7=Element_Stiffness!$E$180,Element_Stiffness!W209,0)),0)),0)+IF(Element_Stiffness!$C$216,IF(Element_Stiffness!$C$215=4,IF(7=Element_Stiffness!$C$215,Element_Stiffness!Q238,IF(7=Element_Stiffness!$E$215,Element_Stiffness!W238,0)),IF(Element_Stiffness!$E$215=4,IF(7=Element_Stiffness!$C$215,Element_Stiffness!Q244,IF(7=Element_Stiffness!$E$215,Element_Stiffness!W244,0)),0)),0)</f>
        <v/>
      </c>
      <c r="AU31" s="21">
        <f>IF(Element_Stiffness!$C$6,IF(Element_Stiffness!$C$5=4,IF(7=Element_Stiffness!$C$5,Element_Stiffness!R28,IF(7=Element_Stiffness!$E$5,Element_Stiffness!X28,0)),IF(Element_Stiffness!$E$5=4,IF(7=Element_Stiffness!$C$5,Element_Stiffness!R34,IF(7=Element_Stiffness!$E$5,Element_Stiffness!X34,0)),0)),0)+IF(Element_Stiffness!$C$41,IF(Element_Stiffness!$C$40=4,IF(7=Element_Stiffness!$C$40,Element_Stiffness!R63,IF(7=Element_Stiffness!$E$40,Element_Stiffness!X63,0)),IF(Element_Stiffness!$E$40=4,IF(7=Element_Stiffness!$C$40,Element_Stiffness!R69,IF(7=Element_Stiffness!$E$40,Element_Stiffness!X69,0)),0)),0)+IF(Element_Stiffness!$C$76,IF(Element_Stiffness!$C$75=4,IF(7=Element_Stiffness!$C$75,Element_Stiffness!R98,IF(7=Element_Stiffness!$E$75,Element_Stiffness!X98,0)),IF(Element_Stiffness!$E$75=4,IF(7=Element_Stiffness!$C$75,Element_Stiffness!R104,IF(7=Element_Stiffness!$E$75,Element_Stiffness!X104,0)),0)),0)+IF(Element_Stiffness!$C$111,IF(Element_Stiffness!$C$110=4,IF(7=Element_Stiffness!$C$110,Element_Stiffness!R133,IF(7=Element_Stiffness!$E$110,Element_Stiffness!X133,0)),IF(Element_Stiffness!$E$110=4,IF(7=Element_Stiffness!$C$110,Element_Stiffness!R139,IF(7=Element_Stiffness!$E$110,Element_Stiffness!X139,0)),0)),0)+IF(Element_Stiffness!$C$146,IF(Element_Stiffness!$C$145=4,IF(7=Element_Stiffness!$C$145,Element_Stiffness!R168,IF(7=Element_Stiffness!$E$145,Element_Stiffness!X168,0)),IF(Element_Stiffness!$E$145=4,IF(7=Element_Stiffness!$C$145,Element_Stiffness!R174,IF(7=Element_Stiffness!$E$145,Element_Stiffness!X174,0)),0)),0)+IF(Element_Stiffness!$C$181,IF(Element_Stiffness!$C$180=4,IF(7=Element_Stiffness!$C$180,Element_Stiffness!R203,IF(7=Element_Stiffness!$E$180,Element_Stiffness!X203,0)),IF(Element_Stiffness!$E$180=4,IF(7=Element_Stiffness!$C$180,Element_Stiffness!R209,IF(7=Element_Stiffness!$E$180,Element_Stiffness!X209,0)),0)),0)+IF(Element_Stiffness!$C$216,IF(Element_Stiffness!$C$215=4,IF(7=Element_Stiffness!$C$215,Element_Stiffness!R238,IF(7=Element_Stiffness!$E$215,Element_Stiffness!X238,0)),IF(Element_Stiffness!$E$215=4,IF(7=Element_Stiffness!$C$215,Element_Stiffness!R244,IF(7=Element_Stiffness!$E$215,Element_Stiffness!X244,0)),0)),0)</f>
        <v/>
      </c>
      <c r="AV31" s="21">
        <f>IF(Element_Stiffness!$C$6,IF(Element_Stiffness!$C$5=4,IF(7=Element_Stiffness!$C$5,Element_Stiffness!S28,IF(7=Element_Stiffness!$E$5,Element_Stiffness!Y28,0)),IF(Element_Stiffness!$E$5=4,IF(7=Element_Stiffness!$C$5,Element_Stiffness!S34,IF(7=Element_Stiffness!$E$5,Element_Stiffness!Y34,0)),0)),0)+IF(Element_Stiffness!$C$41,IF(Element_Stiffness!$C$40=4,IF(7=Element_Stiffness!$C$40,Element_Stiffness!S63,IF(7=Element_Stiffness!$E$40,Element_Stiffness!Y63,0)),IF(Element_Stiffness!$E$40=4,IF(7=Element_Stiffness!$C$40,Element_Stiffness!S69,IF(7=Element_Stiffness!$E$40,Element_Stiffness!Y69,0)),0)),0)+IF(Element_Stiffness!$C$76,IF(Element_Stiffness!$C$75=4,IF(7=Element_Stiffness!$C$75,Element_Stiffness!S98,IF(7=Element_Stiffness!$E$75,Element_Stiffness!Y98,0)),IF(Element_Stiffness!$E$75=4,IF(7=Element_Stiffness!$C$75,Element_Stiffness!S104,IF(7=Element_Stiffness!$E$75,Element_Stiffness!Y104,0)),0)),0)+IF(Element_Stiffness!$C$111,IF(Element_Stiffness!$C$110=4,IF(7=Element_Stiffness!$C$110,Element_Stiffness!S133,IF(7=Element_Stiffness!$E$110,Element_Stiffness!Y133,0)),IF(Element_Stiffness!$E$110=4,IF(7=Element_Stiffness!$C$110,Element_Stiffness!S139,IF(7=Element_Stiffness!$E$110,Element_Stiffness!Y139,0)),0)),0)+IF(Element_Stiffness!$C$146,IF(Element_Stiffness!$C$145=4,IF(7=Element_Stiffness!$C$145,Element_Stiffness!S168,IF(7=Element_Stiffness!$E$145,Element_Stiffness!Y168,0)),IF(Element_Stiffness!$E$145=4,IF(7=Element_Stiffness!$C$145,Element_Stiffness!S174,IF(7=Element_Stiffness!$E$145,Element_Stiffness!Y174,0)),0)),0)+IF(Element_Stiffness!$C$181,IF(Element_Stiffness!$C$180=4,IF(7=Element_Stiffness!$C$180,Element_Stiffness!S203,IF(7=Element_Stiffness!$E$180,Element_Stiffness!Y203,0)),IF(Element_Stiffness!$E$180=4,IF(7=Element_Stiffness!$C$180,Element_Stiffness!S209,IF(7=Element_Stiffness!$E$180,Element_Stiffness!Y209,0)),0)),0)+IF(Element_Stiffness!$C$216,IF(Element_Stiffness!$C$215=4,IF(7=Element_Stiffness!$C$215,Element_Stiffness!S238,IF(7=Element_Stiffness!$E$215,Element_Stiffness!Y238,0)),IF(Element_Stiffness!$E$215=4,IF(7=Element_Stiffness!$C$215,Element_Stiffness!S244,IF(7=Element_Stiffness!$E$215,Element_Stiffness!Y244,0)),0)),0)</f>
        <v/>
      </c>
      <c r="AW31" s="21">
        <f>IF(Element_Stiffness!$C$6,IF(Element_Stiffness!$C$5=4,IF(7=Element_Stiffness!$C$5,Element_Stiffness!T28,IF(7=Element_Stiffness!$E$5,Element_Stiffness!Z28,0)),IF(Element_Stiffness!$E$5=4,IF(7=Element_Stiffness!$C$5,Element_Stiffness!T34,IF(7=Element_Stiffness!$E$5,Element_Stiffness!Z34,0)),0)),0)+IF(Element_Stiffness!$C$41,IF(Element_Stiffness!$C$40=4,IF(7=Element_Stiffness!$C$40,Element_Stiffness!T63,IF(7=Element_Stiffness!$E$40,Element_Stiffness!Z63,0)),IF(Element_Stiffness!$E$40=4,IF(7=Element_Stiffness!$C$40,Element_Stiffness!T69,IF(7=Element_Stiffness!$E$40,Element_Stiffness!Z69,0)),0)),0)+IF(Element_Stiffness!$C$76,IF(Element_Stiffness!$C$75=4,IF(7=Element_Stiffness!$C$75,Element_Stiffness!T98,IF(7=Element_Stiffness!$E$75,Element_Stiffness!Z98,0)),IF(Element_Stiffness!$E$75=4,IF(7=Element_Stiffness!$C$75,Element_Stiffness!T104,IF(7=Element_Stiffness!$E$75,Element_Stiffness!Z104,0)),0)),0)+IF(Element_Stiffness!$C$111,IF(Element_Stiffness!$C$110=4,IF(7=Element_Stiffness!$C$110,Element_Stiffness!T133,IF(7=Element_Stiffness!$E$110,Element_Stiffness!Z133,0)),IF(Element_Stiffness!$E$110=4,IF(7=Element_Stiffness!$C$110,Element_Stiffness!T139,IF(7=Element_Stiffness!$E$110,Element_Stiffness!Z139,0)),0)),0)+IF(Element_Stiffness!$C$146,IF(Element_Stiffness!$C$145=4,IF(7=Element_Stiffness!$C$145,Element_Stiffness!T168,IF(7=Element_Stiffness!$E$145,Element_Stiffness!Z168,0)),IF(Element_Stiffness!$E$145=4,IF(7=Element_Stiffness!$C$145,Element_Stiffness!T174,IF(7=Element_Stiffness!$E$145,Element_Stiffness!Z174,0)),0)),0)+IF(Element_Stiffness!$C$181,IF(Element_Stiffness!$C$180=4,IF(7=Element_Stiffness!$C$180,Element_Stiffness!T203,IF(7=Element_Stiffness!$E$180,Element_Stiffness!Z203,0)),IF(Element_Stiffness!$E$180=4,IF(7=Element_Stiffness!$C$180,Element_Stiffness!T209,IF(7=Element_Stiffness!$E$180,Element_Stiffness!Z209,0)),0)),0)+IF(Element_Stiffness!$C$216,IF(Element_Stiffness!$C$215=4,IF(7=Element_Stiffness!$C$215,Element_Stiffness!T238,IF(7=Element_Stiffness!$E$215,Element_Stiffness!Z238,0)),IF(Element_Stiffness!$E$215=4,IF(7=Element_Stiffness!$C$215,Element_Stiffness!T244,IF(7=Element_Stiffness!$E$215,Element_Stiffness!Z244,0)),0)),0)</f>
        <v/>
      </c>
      <c r="AX31" s="21">
        <f>IF(Element_Stiffness!$C$6,IF(Element_Stiffness!$C$5=4,IF(7=Element_Stiffness!$C$5,Element_Stiffness!U28,IF(7=Element_Stiffness!$E$5,Element_Stiffness!AA28,0)),IF(Element_Stiffness!$E$5=4,IF(7=Element_Stiffness!$C$5,Element_Stiffness!U34,IF(7=Element_Stiffness!$E$5,Element_Stiffness!AA34,0)),0)),0)+IF(Element_Stiffness!$C$41,IF(Element_Stiffness!$C$40=4,IF(7=Element_Stiffness!$C$40,Element_Stiffness!U63,IF(7=Element_Stiffness!$E$40,Element_Stiffness!AA63,0)),IF(Element_Stiffness!$E$40=4,IF(7=Element_Stiffness!$C$40,Element_Stiffness!U69,IF(7=Element_Stiffness!$E$40,Element_Stiffness!AA69,0)),0)),0)+IF(Element_Stiffness!$C$76,IF(Element_Stiffness!$C$75=4,IF(7=Element_Stiffness!$C$75,Element_Stiffness!U98,IF(7=Element_Stiffness!$E$75,Element_Stiffness!AA98,0)),IF(Element_Stiffness!$E$75=4,IF(7=Element_Stiffness!$C$75,Element_Stiffness!U104,IF(7=Element_Stiffness!$E$75,Element_Stiffness!AA104,0)),0)),0)+IF(Element_Stiffness!$C$111,IF(Element_Stiffness!$C$110=4,IF(7=Element_Stiffness!$C$110,Element_Stiffness!U133,IF(7=Element_Stiffness!$E$110,Element_Stiffness!AA133,0)),IF(Element_Stiffness!$E$110=4,IF(7=Element_Stiffness!$C$110,Element_Stiffness!U139,IF(7=Element_Stiffness!$E$110,Element_Stiffness!AA139,0)),0)),0)+IF(Element_Stiffness!$C$146,IF(Element_Stiffness!$C$145=4,IF(7=Element_Stiffness!$C$145,Element_Stiffness!U168,IF(7=Element_Stiffness!$E$145,Element_Stiffness!AA168,0)),IF(Element_Stiffness!$E$145=4,IF(7=Element_Stiffness!$C$145,Element_Stiffness!U174,IF(7=Element_Stiffness!$E$145,Element_Stiffness!AA174,0)),0)),0)+IF(Element_Stiffness!$C$181,IF(Element_Stiffness!$C$180=4,IF(7=Element_Stiffness!$C$180,Element_Stiffness!U203,IF(7=Element_Stiffness!$E$180,Element_Stiffness!AA203,0)),IF(Element_Stiffness!$E$180=4,IF(7=Element_Stiffness!$C$180,Element_Stiffness!U209,IF(7=Element_Stiffness!$E$180,Element_Stiffness!AA209,0)),0)),0)+IF(Element_Stiffness!$C$216,IF(Element_Stiffness!$C$215=4,IF(7=Element_Stiffness!$C$215,Element_Stiffness!U238,IF(7=Element_Stiffness!$E$215,Element_Stiffness!AA238,0)),IF(Element_Stiffness!$E$215=4,IF(7=Element_Stiffness!$C$215,Element_Stiffness!U244,IF(7=Element_Stiffness!$E$215,Element_Stiffness!AA244,0)),0)),0)</f>
        <v/>
      </c>
      <c r="AY31" s="21" t="n">
        <v>0</v>
      </c>
      <c r="AZ31" s="21">
        <f>IF(Element_Stiffness!$C$6,IF(Element_Stiffness!$C$5=4,Element_Stiffness!C28,IF(Element_Stiffness!$E$5=4,Element_Stiffness!C34,0)),0)+IF(Element_Stiffness!$C$41,IF(Element_Stiffness!$C$40=4,Element_Stiffness!C63,IF(Element_Stiffness!$E$40=4,Element_Stiffness!C69,0)),0)+IF(Element_Stiffness!$C$76,IF(Element_Stiffness!$C$75=4,Element_Stiffness!C98,IF(Element_Stiffness!$E$75=4,Element_Stiffness!C104,0)),0)+IF(Element_Stiffness!$C$111,IF(Element_Stiffness!$C$110=4,Element_Stiffness!C133,IF(Element_Stiffness!$E$110=4,Element_Stiffness!C139,0)),0)+IF(Element_Stiffness!$C$146,IF(Element_Stiffness!$C$145=4,Element_Stiffness!C168,IF(Element_Stiffness!$E$145=4,Element_Stiffness!C174,0)),0)+IF(Element_Stiffness!$C$181,IF(Element_Stiffness!$C$180=4,Element_Stiffness!C203,IF(Element_Stiffness!$E$180=4,Element_Stiffness!C209,0)),0)+IF(Element_Stiffness!$C$216,IF(Element_Stiffness!$C$215=4,Element_Stiffness!C238,IF(Element_Stiffness!$E$215=4,Element_Stiffness!C244,0)),0)</f>
        <v/>
      </c>
      <c r="BB31" s="28">
        <f>INDEX(MMULT(MINVERSE(C5:AX52), AY5:AY52), 27, 1)</f>
        <v/>
      </c>
      <c r="BC31" s="28">
        <f>INDEX(MMULT(MINVERSE(C5:AX52), AZ5:AZ52), 27, 1)</f>
        <v/>
      </c>
    </row>
    <row r="32">
      <c r="B32" s="27" t="inlineStr">
        <is>
          <t>N4_rx</t>
        </is>
      </c>
      <c r="C32" s="21">
        <f>IF(Element_Stiffness!$C$6,IF(Element_Stiffness!$C$5=4,IF(0=Element_Stiffness!$C$5,Element_Stiffness!P29,IF(0=Element_Stiffness!$E$5,Element_Stiffness!V29,0)),IF(Element_Stiffness!$E$5=4,IF(0=Element_Stiffness!$C$5,Element_Stiffness!P35,IF(0=Element_Stiffness!$E$5,Element_Stiffness!V35,0)),0)),0)+IF(Element_Stiffness!$C$41,IF(Element_Stiffness!$C$40=4,IF(0=Element_Stiffness!$C$40,Element_Stiffness!P64,IF(0=Element_Stiffness!$E$40,Element_Stiffness!V64,0)),IF(Element_Stiffness!$E$40=4,IF(0=Element_Stiffness!$C$40,Element_Stiffness!P70,IF(0=Element_Stiffness!$E$40,Element_Stiffness!V70,0)),0)),0)+IF(Element_Stiffness!$C$76,IF(Element_Stiffness!$C$75=4,IF(0=Element_Stiffness!$C$75,Element_Stiffness!P99,IF(0=Element_Stiffness!$E$75,Element_Stiffness!V99,0)),IF(Element_Stiffness!$E$75=4,IF(0=Element_Stiffness!$C$75,Element_Stiffness!P105,IF(0=Element_Stiffness!$E$75,Element_Stiffness!V105,0)),0)),0)+IF(Element_Stiffness!$C$111,IF(Element_Stiffness!$C$110=4,IF(0=Element_Stiffness!$C$110,Element_Stiffness!P134,IF(0=Element_Stiffness!$E$110,Element_Stiffness!V134,0)),IF(Element_Stiffness!$E$110=4,IF(0=Element_Stiffness!$C$110,Element_Stiffness!P140,IF(0=Element_Stiffness!$E$110,Element_Stiffness!V140,0)),0)),0)+IF(Element_Stiffness!$C$146,IF(Element_Stiffness!$C$145=4,IF(0=Element_Stiffness!$C$145,Element_Stiffness!P169,IF(0=Element_Stiffness!$E$145,Element_Stiffness!V169,0)),IF(Element_Stiffness!$E$145=4,IF(0=Element_Stiffness!$C$145,Element_Stiffness!P175,IF(0=Element_Stiffness!$E$145,Element_Stiffness!V175,0)),0)),0)+IF(Element_Stiffness!$C$181,IF(Element_Stiffness!$C$180=4,IF(0=Element_Stiffness!$C$180,Element_Stiffness!P204,IF(0=Element_Stiffness!$E$180,Element_Stiffness!V204,0)),IF(Element_Stiffness!$E$180=4,IF(0=Element_Stiffness!$C$180,Element_Stiffness!P210,IF(0=Element_Stiffness!$E$180,Element_Stiffness!V210,0)),0)),0)+IF(Element_Stiffness!$C$216,IF(Element_Stiffness!$C$215=4,IF(0=Element_Stiffness!$C$215,Element_Stiffness!P239,IF(0=Element_Stiffness!$E$215,Element_Stiffness!V239,0)),IF(Element_Stiffness!$E$215=4,IF(0=Element_Stiffness!$C$215,Element_Stiffness!P245,IF(0=Element_Stiffness!$E$215,Element_Stiffness!V245,0)),0)),0)</f>
        <v/>
      </c>
      <c r="D32" s="21">
        <f>IF(Element_Stiffness!$C$6,IF(Element_Stiffness!$C$5=4,IF(0=Element_Stiffness!$C$5,Element_Stiffness!Q29,IF(0=Element_Stiffness!$E$5,Element_Stiffness!W29,0)),IF(Element_Stiffness!$E$5=4,IF(0=Element_Stiffness!$C$5,Element_Stiffness!Q35,IF(0=Element_Stiffness!$E$5,Element_Stiffness!W35,0)),0)),0)+IF(Element_Stiffness!$C$41,IF(Element_Stiffness!$C$40=4,IF(0=Element_Stiffness!$C$40,Element_Stiffness!Q64,IF(0=Element_Stiffness!$E$40,Element_Stiffness!W64,0)),IF(Element_Stiffness!$E$40=4,IF(0=Element_Stiffness!$C$40,Element_Stiffness!Q70,IF(0=Element_Stiffness!$E$40,Element_Stiffness!W70,0)),0)),0)+IF(Element_Stiffness!$C$76,IF(Element_Stiffness!$C$75=4,IF(0=Element_Stiffness!$C$75,Element_Stiffness!Q99,IF(0=Element_Stiffness!$E$75,Element_Stiffness!W99,0)),IF(Element_Stiffness!$E$75=4,IF(0=Element_Stiffness!$C$75,Element_Stiffness!Q105,IF(0=Element_Stiffness!$E$75,Element_Stiffness!W105,0)),0)),0)+IF(Element_Stiffness!$C$111,IF(Element_Stiffness!$C$110=4,IF(0=Element_Stiffness!$C$110,Element_Stiffness!Q134,IF(0=Element_Stiffness!$E$110,Element_Stiffness!W134,0)),IF(Element_Stiffness!$E$110=4,IF(0=Element_Stiffness!$C$110,Element_Stiffness!Q140,IF(0=Element_Stiffness!$E$110,Element_Stiffness!W140,0)),0)),0)+IF(Element_Stiffness!$C$146,IF(Element_Stiffness!$C$145=4,IF(0=Element_Stiffness!$C$145,Element_Stiffness!Q169,IF(0=Element_Stiffness!$E$145,Element_Stiffness!W169,0)),IF(Element_Stiffness!$E$145=4,IF(0=Element_Stiffness!$C$145,Element_Stiffness!Q175,IF(0=Element_Stiffness!$E$145,Element_Stiffness!W175,0)),0)),0)+IF(Element_Stiffness!$C$181,IF(Element_Stiffness!$C$180=4,IF(0=Element_Stiffness!$C$180,Element_Stiffness!Q204,IF(0=Element_Stiffness!$E$180,Element_Stiffness!W204,0)),IF(Element_Stiffness!$E$180=4,IF(0=Element_Stiffness!$C$180,Element_Stiffness!Q210,IF(0=Element_Stiffness!$E$180,Element_Stiffness!W210,0)),0)),0)+IF(Element_Stiffness!$C$216,IF(Element_Stiffness!$C$215=4,IF(0=Element_Stiffness!$C$215,Element_Stiffness!Q239,IF(0=Element_Stiffness!$E$215,Element_Stiffness!W239,0)),IF(Element_Stiffness!$E$215=4,IF(0=Element_Stiffness!$C$215,Element_Stiffness!Q245,IF(0=Element_Stiffness!$E$215,Element_Stiffness!W245,0)),0)),0)</f>
        <v/>
      </c>
      <c r="E32" s="21">
        <f>IF(Element_Stiffness!$C$6,IF(Element_Stiffness!$C$5=4,IF(0=Element_Stiffness!$C$5,Element_Stiffness!R29,IF(0=Element_Stiffness!$E$5,Element_Stiffness!X29,0)),IF(Element_Stiffness!$E$5=4,IF(0=Element_Stiffness!$C$5,Element_Stiffness!R35,IF(0=Element_Stiffness!$E$5,Element_Stiffness!X35,0)),0)),0)+IF(Element_Stiffness!$C$41,IF(Element_Stiffness!$C$40=4,IF(0=Element_Stiffness!$C$40,Element_Stiffness!R64,IF(0=Element_Stiffness!$E$40,Element_Stiffness!X64,0)),IF(Element_Stiffness!$E$40=4,IF(0=Element_Stiffness!$C$40,Element_Stiffness!R70,IF(0=Element_Stiffness!$E$40,Element_Stiffness!X70,0)),0)),0)+IF(Element_Stiffness!$C$76,IF(Element_Stiffness!$C$75=4,IF(0=Element_Stiffness!$C$75,Element_Stiffness!R99,IF(0=Element_Stiffness!$E$75,Element_Stiffness!X99,0)),IF(Element_Stiffness!$E$75=4,IF(0=Element_Stiffness!$C$75,Element_Stiffness!R105,IF(0=Element_Stiffness!$E$75,Element_Stiffness!X105,0)),0)),0)+IF(Element_Stiffness!$C$111,IF(Element_Stiffness!$C$110=4,IF(0=Element_Stiffness!$C$110,Element_Stiffness!R134,IF(0=Element_Stiffness!$E$110,Element_Stiffness!X134,0)),IF(Element_Stiffness!$E$110=4,IF(0=Element_Stiffness!$C$110,Element_Stiffness!R140,IF(0=Element_Stiffness!$E$110,Element_Stiffness!X140,0)),0)),0)+IF(Element_Stiffness!$C$146,IF(Element_Stiffness!$C$145=4,IF(0=Element_Stiffness!$C$145,Element_Stiffness!R169,IF(0=Element_Stiffness!$E$145,Element_Stiffness!X169,0)),IF(Element_Stiffness!$E$145=4,IF(0=Element_Stiffness!$C$145,Element_Stiffness!R175,IF(0=Element_Stiffness!$E$145,Element_Stiffness!X175,0)),0)),0)+IF(Element_Stiffness!$C$181,IF(Element_Stiffness!$C$180=4,IF(0=Element_Stiffness!$C$180,Element_Stiffness!R204,IF(0=Element_Stiffness!$E$180,Element_Stiffness!X204,0)),IF(Element_Stiffness!$E$180=4,IF(0=Element_Stiffness!$C$180,Element_Stiffness!R210,IF(0=Element_Stiffness!$E$180,Element_Stiffness!X210,0)),0)),0)+IF(Element_Stiffness!$C$216,IF(Element_Stiffness!$C$215=4,IF(0=Element_Stiffness!$C$215,Element_Stiffness!R239,IF(0=Element_Stiffness!$E$215,Element_Stiffness!X239,0)),IF(Element_Stiffness!$E$215=4,IF(0=Element_Stiffness!$C$215,Element_Stiffness!R245,IF(0=Element_Stiffness!$E$215,Element_Stiffness!X245,0)),0)),0)</f>
        <v/>
      </c>
      <c r="F32" s="21">
        <f>IF(Element_Stiffness!$C$6,IF(Element_Stiffness!$C$5=4,IF(0=Element_Stiffness!$C$5,Element_Stiffness!S29,IF(0=Element_Stiffness!$E$5,Element_Stiffness!Y29,0)),IF(Element_Stiffness!$E$5=4,IF(0=Element_Stiffness!$C$5,Element_Stiffness!S35,IF(0=Element_Stiffness!$E$5,Element_Stiffness!Y35,0)),0)),0)+IF(Element_Stiffness!$C$41,IF(Element_Stiffness!$C$40=4,IF(0=Element_Stiffness!$C$40,Element_Stiffness!S64,IF(0=Element_Stiffness!$E$40,Element_Stiffness!Y64,0)),IF(Element_Stiffness!$E$40=4,IF(0=Element_Stiffness!$C$40,Element_Stiffness!S70,IF(0=Element_Stiffness!$E$40,Element_Stiffness!Y70,0)),0)),0)+IF(Element_Stiffness!$C$76,IF(Element_Stiffness!$C$75=4,IF(0=Element_Stiffness!$C$75,Element_Stiffness!S99,IF(0=Element_Stiffness!$E$75,Element_Stiffness!Y99,0)),IF(Element_Stiffness!$E$75=4,IF(0=Element_Stiffness!$C$75,Element_Stiffness!S105,IF(0=Element_Stiffness!$E$75,Element_Stiffness!Y105,0)),0)),0)+IF(Element_Stiffness!$C$111,IF(Element_Stiffness!$C$110=4,IF(0=Element_Stiffness!$C$110,Element_Stiffness!S134,IF(0=Element_Stiffness!$E$110,Element_Stiffness!Y134,0)),IF(Element_Stiffness!$E$110=4,IF(0=Element_Stiffness!$C$110,Element_Stiffness!S140,IF(0=Element_Stiffness!$E$110,Element_Stiffness!Y140,0)),0)),0)+IF(Element_Stiffness!$C$146,IF(Element_Stiffness!$C$145=4,IF(0=Element_Stiffness!$C$145,Element_Stiffness!S169,IF(0=Element_Stiffness!$E$145,Element_Stiffness!Y169,0)),IF(Element_Stiffness!$E$145=4,IF(0=Element_Stiffness!$C$145,Element_Stiffness!S175,IF(0=Element_Stiffness!$E$145,Element_Stiffness!Y175,0)),0)),0)+IF(Element_Stiffness!$C$181,IF(Element_Stiffness!$C$180=4,IF(0=Element_Stiffness!$C$180,Element_Stiffness!S204,IF(0=Element_Stiffness!$E$180,Element_Stiffness!Y204,0)),IF(Element_Stiffness!$E$180=4,IF(0=Element_Stiffness!$C$180,Element_Stiffness!S210,IF(0=Element_Stiffness!$E$180,Element_Stiffness!Y210,0)),0)),0)+IF(Element_Stiffness!$C$216,IF(Element_Stiffness!$C$215=4,IF(0=Element_Stiffness!$C$215,Element_Stiffness!S239,IF(0=Element_Stiffness!$E$215,Element_Stiffness!Y239,0)),IF(Element_Stiffness!$E$215=4,IF(0=Element_Stiffness!$C$215,Element_Stiffness!S245,IF(0=Element_Stiffness!$E$215,Element_Stiffness!Y245,0)),0)),0)</f>
        <v/>
      </c>
      <c r="G32" s="21">
        <f>IF(Element_Stiffness!$C$6,IF(Element_Stiffness!$C$5=4,IF(0=Element_Stiffness!$C$5,Element_Stiffness!T29,IF(0=Element_Stiffness!$E$5,Element_Stiffness!Z29,0)),IF(Element_Stiffness!$E$5=4,IF(0=Element_Stiffness!$C$5,Element_Stiffness!T35,IF(0=Element_Stiffness!$E$5,Element_Stiffness!Z35,0)),0)),0)+IF(Element_Stiffness!$C$41,IF(Element_Stiffness!$C$40=4,IF(0=Element_Stiffness!$C$40,Element_Stiffness!T64,IF(0=Element_Stiffness!$E$40,Element_Stiffness!Z64,0)),IF(Element_Stiffness!$E$40=4,IF(0=Element_Stiffness!$C$40,Element_Stiffness!T70,IF(0=Element_Stiffness!$E$40,Element_Stiffness!Z70,0)),0)),0)+IF(Element_Stiffness!$C$76,IF(Element_Stiffness!$C$75=4,IF(0=Element_Stiffness!$C$75,Element_Stiffness!T99,IF(0=Element_Stiffness!$E$75,Element_Stiffness!Z99,0)),IF(Element_Stiffness!$E$75=4,IF(0=Element_Stiffness!$C$75,Element_Stiffness!T105,IF(0=Element_Stiffness!$E$75,Element_Stiffness!Z105,0)),0)),0)+IF(Element_Stiffness!$C$111,IF(Element_Stiffness!$C$110=4,IF(0=Element_Stiffness!$C$110,Element_Stiffness!T134,IF(0=Element_Stiffness!$E$110,Element_Stiffness!Z134,0)),IF(Element_Stiffness!$E$110=4,IF(0=Element_Stiffness!$C$110,Element_Stiffness!T140,IF(0=Element_Stiffness!$E$110,Element_Stiffness!Z140,0)),0)),0)+IF(Element_Stiffness!$C$146,IF(Element_Stiffness!$C$145=4,IF(0=Element_Stiffness!$C$145,Element_Stiffness!T169,IF(0=Element_Stiffness!$E$145,Element_Stiffness!Z169,0)),IF(Element_Stiffness!$E$145=4,IF(0=Element_Stiffness!$C$145,Element_Stiffness!T175,IF(0=Element_Stiffness!$E$145,Element_Stiffness!Z175,0)),0)),0)+IF(Element_Stiffness!$C$181,IF(Element_Stiffness!$C$180=4,IF(0=Element_Stiffness!$C$180,Element_Stiffness!T204,IF(0=Element_Stiffness!$E$180,Element_Stiffness!Z204,0)),IF(Element_Stiffness!$E$180=4,IF(0=Element_Stiffness!$C$180,Element_Stiffness!T210,IF(0=Element_Stiffness!$E$180,Element_Stiffness!Z210,0)),0)),0)+IF(Element_Stiffness!$C$216,IF(Element_Stiffness!$C$215=4,IF(0=Element_Stiffness!$C$215,Element_Stiffness!T239,IF(0=Element_Stiffness!$E$215,Element_Stiffness!Z239,0)),IF(Element_Stiffness!$E$215=4,IF(0=Element_Stiffness!$C$215,Element_Stiffness!T245,IF(0=Element_Stiffness!$E$215,Element_Stiffness!Z245,0)),0)),0)</f>
        <v/>
      </c>
      <c r="H32" s="21">
        <f>IF(Element_Stiffness!$C$6,IF(Element_Stiffness!$C$5=4,IF(0=Element_Stiffness!$C$5,Element_Stiffness!U29,IF(0=Element_Stiffness!$E$5,Element_Stiffness!AA29,0)),IF(Element_Stiffness!$E$5=4,IF(0=Element_Stiffness!$C$5,Element_Stiffness!U35,IF(0=Element_Stiffness!$E$5,Element_Stiffness!AA35,0)),0)),0)+IF(Element_Stiffness!$C$41,IF(Element_Stiffness!$C$40=4,IF(0=Element_Stiffness!$C$40,Element_Stiffness!U64,IF(0=Element_Stiffness!$E$40,Element_Stiffness!AA64,0)),IF(Element_Stiffness!$E$40=4,IF(0=Element_Stiffness!$C$40,Element_Stiffness!U70,IF(0=Element_Stiffness!$E$40,Element_Stiffness!AA70,0)),0)),0)+IF(Element_Stiffness!$C$76,IF(Element_Stiffness!$C$75=4,IF(0=Element_Stiffness!$C$75,Element_Stiffness!U99,IF(0=Element_Stiffness!$E$75,Element_Stiffness!AA99,0)),IF(Element_Stiffness!$E$75=4,IF(0=Element_Stiffness!$C$75,Element_Stiffness!U105,IF(0=Element_Stiffness!$E$75,Element_Stiffness!AA105,0)),0)),0)+IF(Element_Stiffness!$C$111,IF(Element_Stiffness!$C$110=4,IF(0=Element_Stiffness!$C$110,Element_Stiffness!U134,IF(0=Element_Stiffness!$E$110,Element_Stiffness!AA134,0)),IF(Element_Stiffness!$E$110=4,IF(0=Element_Stiffness!$C$110,Element_Stiffness!U140,IF(0=Element_Stiffness!$E$110,Element_Stiffness!AA140,0)),0)),0)+IF(Element_Stiffness!$C$146,IF(Element_Stiffness!$C$145=4,IF(0=Element_Stiffness!$C$145,Element_Stiffness!U169,IF(0=Element_Stiffness!$E$145,Element_Stiffness!AA169,0)),IF(Element_Stiffness!$E$145=4,IF(0=Element_Stiffness!$C$145,Element_Stiffness!U175,IF(0=Element_Stiffness!$E$145,Element_Stiffness!AA175,0)),0)),0)+IF(Element_Stiffness!$C$181,IF(Element_Stiffness!$C$180=4,IF(0=Element_Stiffness!$C$180,Element_Stiffness!U204,IF(0=Element_Stiffness!$E$180,Element_Stiffness!AA204,0)),IF(Element_Stiffness!$E$180=4,IF(0=Element_Stiffness!$C$180,Element_Stiffness!U210,IF(0=Element_Stiffness!$E$180,Element_Stiffness!AA210,0)),0)),0)+IF(Element_Stiffness!$C$216,IF(Element_Stiffness!$C$215=4,IF(0=Element_Stiffness!$C$215,Element_Stiffness!U239,IF(0=Element_Stiffness!$E$215,Element_Stiffness!AA239,0)),IF(Element_Stiffness!$E$215=4,IF(0=Element_Stiffness!$C$215,Element_Stiffness!U245,IF(0=Element_Stiffness!$E$215,Element_Stiffness!AA245,0)),0)),0)</f>
        <v/>
      </c>
      <c r="I32" s="21">
        <f>IF(Element_Stiffness!$C$6,IF(Element_Stiffness!$C$5=4,IF(1=Element_Stiffness!$C$5,Element_Stiffness!P29,IF(1=Element_Stiffness!$E$5,Element_Stiffness!V29,0)),IF(Element_Stiffness!$E$5=4,IF(1=Element_Stiffness!$C$5,Element_Stiffness!P35,IF(1=Element_Stiffness!$E$5,Element_Stiffness!V35,0)),0)),0)+IF(Element_Stiffness!$C$41,IF(Element_Stiffness!$C$40=4,IF(1=Element_Stiffness!$C$40,Element_Stiffness!P64,IF(1=Element_Stiffness!$E$40,Element_Stiffness!V64,0)),IF(Element_Stiffness!$E$40=4,IF(1=Element_Stiffness!$C$40,Element_Stiffness!P70,IF(1=Element_Stiffness!$E$40,Element_Stiffness!V70,0)),0)),0)+IF(Element_Stiffness!$C$76,IF(Element_Stiffness!$C$75=4,IF(1=Element_Stiffness!$C$75,Element_Stiffness!P99,IF(1=Element_Stiffness!$E$75,Element_Stiffness!V99,0)),IF(Element_Stiffness!$E$75=4,IF(1=Element_Stiffness!$C$75,Element_Stiffness!P105,IF(1=Element_Stiffness!$E$75,Element_Stiffness!V105,0)),0)),0)+IF(Element_Stiffness!$C$111,IF(Element_Stiffness!$C$110=4,IF(1=Element_Stiffness!$C$110,Element_Stiffness!P134,IF(1=Element_Stiffness!$E$110,Element_Stiffness!V134,0)),IF(Element_Stiffness!$E$110=4,IF(1=Element_Stiffness!$C$110,Element_Stiffness!P140,IF(1=Element_Stiffness!$E$110,Element_Stiffness!V140,0)),0)),0)+IF(Element_Stiffness!$C$146,IF(Element_Stiffness!$C$145=4,IF(1=Element_Stiffness!$C$145,Element_Stiffness!P169,IF(1=Element_Stiffness!$E$145,Element_Stiffness!V169,0)),IF(Element_Stiffness!$E$145=4,IF(1=Element_Stiffness!$C$145,Element_Stiffness!P175,IF(1=Element_Stiffness!$E$145,Element_Stiffness!V175,0)),0)),0)+IF(Element_Stiffness!$C$181,IF(Element_Stiffness!$C$180=4,IF(1=Element_Stiffness!$C$180,Element_Stiffness!P204,IF(1=Element_Stiffness!$E$180,Element_Stiffness!V204,0)),IF(Element_Stiffness!$E$180=4,IF(1=Element_Stiffness!$C$180,Element_Stiffness!P210,IF(1=Element_Stiffness!$E$180,Element_Stiffness!V210,0)),0)),0)+IF(Element_Stiffness!$C$216,IF(Element_Stiffness!$C$215=4,IF(1=Element_Stiffness!$C$215,Element_Stiffness!P239,IF(1=Element_Stiffness!$E$215,Element_Stiffness!V239,0)),IF(Element_Stiffness!$E$215=4,IF(1=Element_Stiffness!$C$215,Element_Stiffness!P245,IF(1=Element_Stiffness!$E$215,Element_Stiffness!V245,0)),0)),0)</f>
        <v/>
      </c>
      <c r="J32" s="21">
        <f>IF(Element_Stiffness!$C$6,IF(Element_Stiffness!$C$5=4,IF(1=Element_Stiffness!$C$5,Element_Stiffness!Q29,IF(1=Element_Stiffness!$E$5,Element_Stiffness!W29,0)),IF(Element_Stiffness!$E$5=4,IF(1=Element_Stiffness!$C$5,Element_Stiffness!Q35,IF(1=Element_Stiffness!$E$5,Element_Stiffness!W35,0)),0)),0)+IF(Element_Stiffness!$C$41,IF(Element_Stiffness!$C$40=4,IF(1=Element_Stiffness!$C$40,Element_Stiffness!Q64,IF(1=Element_Stiffness!$E$40,Element_Stiffness!W64,0)),IF(Element_Stiffness!$E$40=4,IF(1=Element_Stiffness!$C$40,Element_Stiffness!Q70,IF(1=Element_Stiffness!$E$40,Element_Stiffness!W70,0)),0)),0)+IF(Element_Stiffness!$C$76,IF(Element_Stiffness!$C$75=4,IF(1=Element_Stiffness!$C$75,Element_Stiffness!Q99,IF(1=Element_Stiffness!$E$75,Element_Stiffness!W99,0)),IF(Element_Stiffness!$E$75=4,IF(1=Element_Stiffness!$C$75,Element_Stiffness!Q105,IF(1=Element_Stiffness!$E$75,Element_Stiffness!W105,0)),0)),0)+IF(Element_Stiffness!$C$111,IF(Element_Stiffness!$C$110=4,IF(1=Element_Stiffness!$C$110,Element_Stiffness!Q134,IF(1=Element_Stiffness!$E$110,Element_Stiffness!W134,0)),IF(Element_Stiffness!$E$110=4,IF(1=Element_Stiffness!$C$110,Element_Stiffness!Q140,IF(1=Element_Stiffness!$E$110,Element_Stiffness!W140,0)),0)),0)+IF(Element_Stiffness!$C$146,IF(Element_Stiffness!$C$145=4,IF(1=Element_Stiffness!$C$145,Element_Stiffness!Q169,IF(1=Element_Stiffness!$E$145,Element_Stiffness!W169,0)),IF(Element_Stiffness!$E$145=4,IF(1=Element_Stiffness!$C$145,Element_Stiffness!Q175,IF(1=Element_Stiffness!$E$145,Element_Stiffness!W175,0)),0)),0)+IF(Element_Stiffness!$C$181,IF(Element_Stiffness!$C$180=4,IF(1=Element_Stiffness!$C$180,Element_Stiffness!Q204,IF(1=Element_Stiffness!$E$180,Element_Stiffness!W204,0)),IF(Element_Stiffness!$E$180=4,IF(1=Element_Stiffness!$C$180,Element_Stiffness!Q210,IF(1=Element_Stiffness!$E$180,Element_Stiffness!W210,0)),0)),0)+IF(Element_Stiffness!$C$216,IF(Element_Stiffness!$C$215=4,IF(1=Element_Stiffness!$C$215,Element_Stiffness!Q239,IF(1=Element_Stiffness!$E$215,Element_Stiffness!W239,0)),IF(Element_Stiffness!$E$215=4,IF(1=Element_Stiffness!$C$215,Element_Stiffness!Q245,IF(1=Element_Stiffness!$E$215,Element_Stiffness!W245,0)),0)),0)</f>
        <v/>
      </c>
      <c r="K32" s="21">
        <f>IF(Element_Stiffness!$C$6,IF(Element_Stiffness!$C$5=4,IF(1=Element_Stiffness!$C$5,Element_Stiffness!R29,IF(1=Element_Stiffness!$E$5,Element_Stiffness!X29,0)),IF(Element_Stiffness!$E$5=4,IF(1=Element_Stiffness!$C$5,Element_Stiffness!R35,IF(1=Element_Stiffness!$E$5,Element_Stiffness!X35,0)),0)),0)+IF(Element_Stiffness!$C$41,IF(Element_Stiffness!$C$40=4,IF(1=Element_Stiffness!$C$40,Element_Stiffness!R64,IF(1=Element_Stiffness!$E$40,Element_Stiffness!X64,0)),IF(Element_Stiffness!$E$40=4,IF(1=Element_Stiffness!$C$40,Element_Stiffness!R70,IF(1=Element_Stiffness!$E$40,Element_Stiffness!X70,0)),0)),0)+IF(Element_Stiffness!$C$76,IF(Element_Stiffness!$C$75=4,IF(1=Element_Stiffness!$C$75,Element_Stiffness!R99,IF(1=Element_Stiffness!$E$75,Element_Stiffness!X99,0)),IF(Element_Stiffness!$E$75=4,IF(1=Element_Stiffness!$C$75,Element_Stiffness!R105,IF(1=Element_Stiffness!$E$75,Element_Stiffness!X105,0)),0)),0)+IF(Element_Stiffness!$C$111,IF(Element_Stiffness!$C$110=4,IF(1=Element_Stiffness!$C$110,Element_Stiffness!R134,IF(1=Element_Stiffness!$E$110,Element_Stiffness!X134,0)),IF(Element_Stiffness!$E$110=4,IF(1=Element_Stiffness!$C$110,Element_Stiffness!R140,IF(1=Element_Stiffness!$E$110,Element_Stiffness!X140,0)),0)),0)+IF(Element_Stiffness!$C$146,IF(Element_Stiffness!$C$145=4,IF(1=Element_Stiffness!$C$145,Element_Stiffness!R169,IF(1=Element_Stiffness!$E$145,Element_Stiffness!X169,0)),IF(Element_Stiffness!$E$145=4,IF(1=Element_Stiffness!$C$145,Element_Stiffness!R175,IF(1=Element_Stiffness!$E$145,Element_Stiffness!X175,0)),0)),0)+IF(Element_Stiffness!$C$181,IF(Element_Stiffness!$C$180=4,IF(1=Element_Stiffness!$C$180,Element_Stiffness!R204,IF(1=Element_Stiffness!$E$180,Element_Stiffness!X204,0)),IF(Element_Stiffness!$E$180=4,IF(1=Element_Stiffness!$C$180,Element_Stiffness!R210,IF(1=Element_Stiffness!$E$180,Element_Stiffness!X210,0)),0)),0)+IF(Element_Stiffness!$C$216,IF(Element_Stiffness!$C$215=4,IF(1=Element_Stiffness!$C$215,Element_Stiffness!R239,IF(1=Element_Stiffness!$E$215,Element_Stiffness!X239,0)),IF(Element_Stiffness!$E$215=4,IF(1=Element_Stiffness!$C$215,Element_Stiffness!R245,IF(1=Element_Stiffness!$E$215,Element_Stiffness!X245,0)),0)),0)</f>
        <v/>
      </c>
      <c r="L32" s="21">
        <f>IF(Element_Stiffness!$C$6,IF(Element_Stiffness!$C$5=4,IF(1=Element_Stiffness!$C$5,Element_Stiffness!S29,IF(1=Element_Stiffness!$E$5,Element_Stiffness!Y29,0)),IF(Element_Stiffness!$E$5=4,IF(1=Element_Stiffness!$C$5,Element_Stiffness!S35,IF(1=Element_Stiffness!$E$5,Element_Stiffness!Y35,0)),0)),0)+IF(Element_Stiffness!$C$41,IF(Element_Stiffness!$C$40=4,IF(1=Element_Stiffness!$C$40,Element_Stiffness!S64,IF(1=Element_Stiffness!$E$40,Element_Stiffness!Y64,0)),IF(Element_Stiffness!$E$40=4,IF(1=Element_Stiffness!$C$40,Element_Stiffness!S70,IF(1=Element_Stiffness!$E$40,Element_Stiffness!Y70,0)),0)),0)+IF(Element_Stiffness!$C$76,IF(Element_Stiffness!$C$75=4,IF(1=Element_Stiffness!$C$75,Element_Stiffness!S99,IF(1=Element_Stiffness!$E$75,Element_Stiffness!Y99,0)),IF(Element_Stiffness!$E$75=4,IF(1=Element_Stiffness!$C$75,Element_Stiffness!S105,IF(1=Element_Stiffness!$E$75,Element_Stiffness!Y105,0)),0)),0)+IF(Element_Stiffness!$C$111,IF(Element_Stiffness!$C$110=4,IF(1=Element_Stiffness!$C$110,Element_Stiffness!S134,IF(1=Element_Stiffness!$E$110,Element_Stiffness!Y134,0)),IF(Element_Stiffness!$E$110=4,IF(1=Element_Stiffness!$C$110,Element_Stiffness!S140,IF(1=Element_Stiffness!$E$110,Element_Stiffness!Y140,0)),0)),0)+IF(Element_Stiffness!$C$146,IF(Element_Stiffness!$C$145=4,IF(1=Element_Stiffness!$C$145,Element_Stiffness!S169,IF(1=Element_Stiffness!$E$145,Element_Stiffness!Y169,0)),IF(Element_Stiffness!$E$145=4,IF(1=Element_Stiffness!$C$145,Element_Stiffness!S175,IF(1=Element_Stiffness!$E$145,Element_Stiffness!Y175,0)),0)),0)+IF(Element_Stiffness!$C$181,IF(Element_Stiffness!$C$180=4,IF(1=Element_Stiffness!$C$180,Element_Stiffness!S204,IF(1=Element_Stiffness!$E$180,Element_Stiffness!Y204,0)),IF(Element_Stiffness!$E$180=4,IF(1=Element_Stiffness!$C$180,Element_Stiffness!S210,IF(1=Element_Stiffness!$E$180,Element_Stiffness!Y210,0)),0)),0)+IF(Element_Stiffness!$C$216,IF(Element_Stiffness!$C$215=4,IF(1=Element_Stiffness!$C$215,Element_Stiffness!S239,IF(1=Element_Stiffness!$E$215,Element_Stiffness!Y239,0)),IF(Element_Stiffness!$E$215=4,IF(1=Element_Stiffness!$C$215,Element_Stiffness!S245,IF(1=Element_Stiffness!$E$215,Element_Stiffness!Y245,0)),0)),0)</f>
        <v/>
      </c>
      <c r="M32" s="21">
        <f>IF(Element_Stiffness!$C$6,IF(Element_Stiffness!$C$5=4,IF(1=Element_Stiffness!$C$5,Element_Stiffness!T29,IF(1=Element_Stiffness!$E$5,Element_Stiffness!Z29,0)),IF(Element_Stiffness!$E$5=4,IF(1=Element_Stiffness!$C$5,Element_Stiffness!T35,IF(1=Element_Stiffness!$E$5,Element_Stiffness!Z35,0)),0)),0)+IF(Element_Stiffness!$C$41,IF(Element_Stiffness!$C$40=4,IF(1=Element_Stiffness!$C$40,Element_Stiffness!T64,IF(1=Element_Stiffness!$E$40,Element_Stiffness!Z64,0)),IF(Element_Stiffness!$E$40=4,IF(1=Element_Stiffness!$C$40,Element_Stiffness!T70,IF(1=Element_Stiffness!$E$40,Element_Stiffness!Z70,0)),0)),0)+IF(Element_Stiffness!$C$76,IF(Element_Stiffness!$C$75=4,IF(1=Element_Stiffness!$C$75,Element_Stiffness!T99,IF(1=Element_Stiffness!$E$75,Element_Stiffness!Z99,0)),IF(Element_Stiffness!$E$75=4,IF(1=Element_Stiffness!$C$75,Element_Stiffness!T105,IF(1=Element_Stiffness!$E$75,Element_Stiffness!Z105,0)),0)),0)+IF(Element_Stiffness!$C$111,IF(Element_Stiffness!$C$110=4,IF(1=Element_Stiffness!$C$110,Element_Stiffness!T134,IF(1=Element_Stiffness!$E$110,Element_Stiffness!Z134,0)),IF(Element_Stiffness!$E$110=4,IF(1=Element_Stiffness!$C$110,Element_Stiffness!T140,IF(1=Element_Stiffness!$E$110,Element_Stiffness!Z140,0)),0)),0)+IF(Element_Stiffness!$C$146,IF(Element_Stiffness!$C$145=4,IF(1=Element_Stiffness!$C$145,Element_Stiffness!T169,IF(1=Element_Stiffness!$E$145,Element_Stiffness!Z169,0)),IF(Element_Stiffness!$E$145=4,IF(1=Element_Stiffness!$C$145,Element_Stiffness!T175,IF(1=Element_Stiffness!$E$145,Element_Stiffness!Z175,0)),0)),0)+IF(Element_Stiffness!$C$181,IF(Element_Stiffness!$C$180=4,IF(1=Element_Stiffness!$C$180,Element_Stiffness!T204,IF(1=Element_Stiffness!$E$180,Element_Stiffness!Z204,0)),IF(Element_Stiffness!$E$180=4,IF(1=Element_Stiffness!$C$180,Element_Stiffness!T210,IF(1=Element_Stiffness!$E$180,Element_Stiffness!Z210,0)),0)),0)+IF(Element_Stiffness!$C$216,IF(Element_Stiffness!$C$215=4,IF(1=Element_Stiffness!$C$215,Element_Stiffness!T239,IF(1=Element_Stiffness!$E$215,Element_Stiffness!Z239,0)),IF(Element_Stiffness!$E$215=4,IF(1=Element_Stiffness!$C$215,Element_Stiffness!T245,IF(1=Element_Stiffness!$E$215,Element_Stiffness!Z245,0)),0)),0)</f>
        <v/>
      </c>
      <c r="N32" s="21">
        <f>IF(Element_Stiffness!$C$6,IF(Element_Stiffness!$C$5=4,IF(1=Element_Stiffness!$C$5,Element_Stiffness!U29,IF(1=Element_Stiffness!$E$5,Element_Stiffness!AA29,0)),IF(Element_Stiffness!$E$5=4,IF(1=Element_Stiffness!$C$5,Element_Stiffness!U35,IF(1=Element_Stiffness!$E$5,Element_Stiffness!AA35,0)),0)),0)+IF(Element_Stiffness!$C$41,IF(Element_Stiffness!$C$40=4,IF(1=Element_Stiffness!$C$40,Element_Stiffness!U64,IF(1=Element_Stiffness!$E$40,Element_Stiffness!AA64,0)),IF(Element_Stiffness!$E$40=4,IF(1=Element_Stiffness!$C$40,Element_Stiffness!U70,IF(1=Element_Stiffness!$E$40,Element_Stiffness!AA70,0)),0)),0)+IF(Element_Stiffness!$C$76,IF(Element_Stiffness!$C$75=4,IF(1=Element_Stiffness!$C$75,Element_Stiffness!U99,IF(1=Element_Stiffness!$E$75,Element_Stiffness!AA99,0)),IF(Element_Stiffness!$E$75=4,IF(1=Element_Stiffness!$C$75,Element_Stiffness!U105,IF(1=Element_Stiffness!$E$75,Element_Stiffness!AA105,0)),0)),0)+IF(Element_Stiffness!$C$111,IF(Element_Stiffness!$C$110=4,IF(1=Element_Stiffness!$C$110,Element_Stiffness!U134,IF(1=Element_Stiffness!$E$110,Element_Stiffness!AA134,0)),IF(Element_Stiffness!$E$110=4,IF(1=Element_Stiffness!$C$110,Element_Stiffness!U140,IF(1=Element_Stiffness!$E$110,Element_Stiffness!AA140,0)),0)),0)+IF(Element_Stiffness!$C$146,IF(Element_Stiffness!$C$145=4,IF(1=Element_Stiffness!$C$145,Element_Stiffness!U169,IF(1=Element_Stiffness!$E$145,Element_Stiffness!AA169,0)),IF(Element_Stiffness!$E$145=4,IF(1=Element_Stiffness!$C$145,Element_Stiffness!U175,IF(1=Element_Stiffness!$E$145,Element_Stiffness!AA175,0)),0)),0)+IF(Element_Stiffness!$C$181,IF(Element_Stiffness!$C$180=4,IF(1=Element_Stiffness!$C$180,Element_Stiffness!U204,IF(1=Element_Stiffness!$E$180,Element_Stiffness!AA204,0)),IF(Element_Stiffness!$E$180=4,IF(1=Element_Stiffness!$C$180,Element_Stiffness!U210,IF(1=Element_Stiffness!$E$180,Element_Stiffness!AA210,0)),0)),0)+IF(Element_Stiffness!$C$216,IF(Element_Stiffness!$C$215=4,IF(1=Element_Stiffness!$C$215,Element_Stiffness!U239,IF(1=Element_Stiffness!$E$215,Element_Stiffness!AA239,0)),IF(Element_Stiffness!$E$215=4,IF(1=Element_Stiffness!$C$215,Element_Stiffness!U245,IF(1=Element_Stiffness!$E$215,Element_Stiffness!AA245,0)),0)),0)</f>
        <v/>
      </c>
      <c r="O32" s="21">
        <f>IF(Element_Stiffness!$C$6,IF(Element_Stiffness!$C$5=4,IF(2=Element_Stiffness!$C$5,Element_Stiffness!P29,IF(2=Element_Stiffness!$E$5,Element_Stiffness!V29,0)),IF(Element_Stiffness!$E$5=4,IF(2=Element_Stiffness!$C$5,Element_Stiffness!P35,IF(2=Element_Stiffness!$E$5,Element_Stiffness!V35,0)),0)),0)+IF(Element_Stiffness!$C$41,IF(Element_Stiffness!$C$40=4,IF(2=Element_Stiffness!$C$40,Element_Stiffness!P64,IF(2=Element_Stiffness!$E$40,Element_Stiffness!V64,0)),IF(Element_Stiffness!$E$40=4,IF(2=Element_Stiffness!$C$40,Element_Stiffness!P70,IF(2=Element_Stiffness!$E$40,Element_Stiffness!V70,0)),0)),0)+IF(Element_Stiffness!$C$76,IF(Element_Stiffness!$C$75=4,IF(2=Element_Stiffness!$C$75,Element_Stiffness!P99,IF(2=Element_Stiffness!$E$75,Element_Stiffness!V99,0)),IF(Element_Stiffness!$E$75=4,IF(2=Element_Stiffness!$C$75,Element_Stiffness!P105,IF(2=Element_Stiffness!$E$75,Element_Stiffness!V105,0)),0)),0)+IF(Element_Stiffness!$C$111,IF(Element_Stiffness!$C$110=4,IF(2=Element_Stiffness!$C$110,Element_Stiffness!P134,IF(2=Element_Stiffness!$E$110,Element_Stiffness!V134,0)),IF(Element_Stiffness!$E$110=4,IF(2=Element_Stiffness!$C$110,Element_Stiffness!P140,IF(2=Element_Stiffness!$E$110,Element_Stiffness!V140,0)),0)),0)+IF(Element_Stiffness!$C$146,IF(Element_Stiffness!$C$145=4,IF(2=Element_Stiffness!$C$145,Element_Stiffness!P169,IF(2=Element_Stiffness!$E$145,Element_Stiffness!V169,0)),IF(Element_Stiffness!$E$145=4,IF(2=Element_Stiffness!$C$145,Element_Stiffness!P175,IF(2=Element_Stiffness!$E$145,Element_Stiffness!V175,0)),0)),0)+IF(Element_Stiffness!$C$181,IF(Element_Stiffness!$C$180=4,IF(2=Element_Stiffness!$C$180,Element_Stiffness!P204,IF(2=Element_Stiffness!$E$180,Element_Stiffness!V204,0)),IF(Element_Stiffness!$E$180=4,IF(2=Element_Stiffness!$C$180,Element_Stiffness!P210,IF(2=Element_Stiffness!$E$180,Element_Stiffness!V210,0)),0)),0)+IF(Element_Stiffness!$C$216,IF(Element_Stiffness!$C$215=4,IF(2=Element_Stiffness!$C$215,Element_Stiffness!P239,IF(2=Element_Stiffness!$E$215,Element_Stiffness!V239,0)),IF(Element_Stiffness!$E$215=4,IF(2=Element_Stiffness!$C$215,Element_Stiffness!P245,IF(2=Element_Stiffness!$E$215,Element_Stiffness!V245,0)),0)),0)</f>
        <v/>
      </c>
      <c r="P32" s="21">
        <f>IF(Element_Stiffness!$C$6,IF(Element_Stiffness!$C$5=4,IF(2=Element_Stiffness!$C$5,Element_Stiffness!Q29,IF(2=Element_Stiffness!$E$5,Element_Stiffness!W29,0)),IF(Element_Stiffness!$E$5=4,IF(2=Element_Stiffness!$C$5,Element_Stiffness!Q35,IF(2=Element_Stiffness!$E$5,Element_Stiffness!W35,0)),0)),0)+IF(Element_Stiffness!$C$41,IF(Element_Stiffness!$C$40=4,IF(2=Element_Stiffness!$C$40,Element_Stiffness!Q64,IF(2=Element_Stiffness!$E$40,Element_Stiffness!W64,0)),IF(Element_Stiffness!$E$40=4,IF(2=Element_Stiffness!$C$40,Element_Stiffness!Q70,IF(2=Element_Stiffness!$E$40,Element_Stiffness!W70,0)),0)),0)+IF(Element_Stiffness!$C$76,IF(Element_Stiffness!$C$75=4,IF(2=Element_Stiffness!$C$75,Element_Stiffness!Q99,IF(2=Element_Stiffness!$E$75,Element_Stiffness!W99,0)),IF(Element_Stiffness!$E$75=4,IF(2=Element_Stiffness!$C$75,Element_Stiffness!Q105,IF(2=Element_Stiffness!$E$75,Element_Stiffness!W105,0)),0)),0)+IF(Element_Stiffness!$C$111,IF(Element_Stiffness!$C$110=4,IF(2=Element_Stiffness!$C$110,Element_Stiffness!Q134,IF(2=Element_Stiffness!$E$110,Element_Stiffness!W134,0)),IF(Element_Stiffness!$E$110=4,IF(2=Element_Stiffness!$C$110,Element_Stiffness!Q140,IF(2=Element_Stiffness!$E$110,Element_Stiffness!W140,0)),0)),0)+IF(Element_Stiffness!$C$146,IF(Element_Stiffness!$C$145=4,IF(2=Element_Stiffness!$C$145,Element_Stiffness!Q169,IF(2=Element_Stiffness!$E$145,Element_Stiffness!W169,0)),IF(Element_Stiffness!$E$145=4,IF(2=Element_Stiffness!$C$145,Element_Stiffness!Q175,IF(2=Element_Stiffness!$E$145,Element_Stiffness!W175,0)),0)),0)+IF(Element_Stiffness!$C$181,IF(Element_Stiffness!$C$180=4,IF(2=Element_Stiffness!$C$180,Element_Stiffness!Q204,IF(2=Element_Stiffness!$E$180,Element_Stiffness!W204,0)),IF(Element_Stiffness!$E$180=4,IF(2=Element_Stiffness!$C$180,Element_Stiffness!Q210,IF(2=Element_Stiffness!$E$180,Element_Stiffness!W210,0)),0)),0)+IF(Element_Stiffness!$C$216,IF(Element_Stiffness!$C$215=4,IF(2=Element_Stiffness!$C$215,Element_Stiffness!Q239,IF(2=Element_Stiffness!$E$215,Element_Stiffness!W239,0)),IF(Element_Stiffness!$E$215=4,IF(2=Element_Stiffness!$C$215,Element_Stiffness!Q245,IF(2=Element_Stiffness!$E$215,Element_Stiffness!W245,0)),0)),0)</f>
        <v/>
      </c>
      <c r="Q32" s="21">
        <f>IF(Element_Stiffness!$C$6,IF(Element_Stiffness!$C$5=4,IF(2=Element_Stiffness!$C$5,Element_Stiffness!R29,IF(2=Element_Stiffness!$E$5,Element_Stiffness!X29,0)),IF(Element_Stiffness!$E$5=4,IF(2=Element_Stiffness!$C$5,Element_Stiffness!R35,IF(2=Element_Stiffness!$E$5,Element_Stiffness!X35,0)),0)),0)+IF(Element_Stiffness!$C$41,IF(Element_Stiffness!$C$40=4,IF(2=Element_Stiffness!$C$40,Element_Stiffness!R64,IF(2=Element_Stiffness!$E$40,Element_Stiffness!X64,0)),IF(Element_Stiffness!$E$40=4,IF(2=Element_Stiffness!$C$40,Element_Stiffness!R70,IF(2=Element_Stiffness!$E$40,Element_Stiffness!X70,0)),0)),0)+IF(Element_Stiffness!$C$76,IF(Element_Stiffness!$C$75=4,IF(2=Element_Stiffness!$C$75,Element_Stiffness!R99,IF(2=Element_Stiffness!$E$75,Element_Stiffness!X99,0)),IF(Element_Stiffness!$E$75=4,IF(2=Element_Stiffness!$C$75,Element_Stiffness!R105,IF(2=Element_Stiffness!$E$75,Element_Stiffness!X105,0)),0)),0)+IF(Element_Stiffness!$C$111,IF(Element_Stiffness!$C$110=4,IF(2=Element_Stiffness!$C$110,Element_Stiffness!R134,IF(2=Element_Stiffness!$E$110,Element_Stiffness!X134,0)),IF(Element_Stiffness!$E$110=4,IF(2=Element_Stiffness!$C$110,Element_Stiffness!R140,IF(2=Element_Stiffness!$E$110,Element_Stiffness!X140,0)),0)),0)+IF(Element_Stiffness!$C$146,IF(Element_Stiffness!$C$145=4,IF(2=Element_Stiffness!$C$145,Element_Stiffness!R169,IF(2=Element_Stiffness!$E$145,Element_Stiffness!X169,0)),IF(Element_Stiffness!$E$145=4,IF(2=Element_Stiffness!$C$145,Element_Stiffness!R175,IF(2=Element_Stiffness!$E$145,Element_Stiffness!X175,0)),0)),0)+IF(Element_Stiffness!$C$181,IF(Element_Stiffness!$C$180=4,IF(2=Element_Stiffness!$C$180,Element_Stiffness!R204,IF(2=Element_Stiffness!$E$180,Element_Stiffness!X204,0)),IF(Element_Stiffness!$E$180=4,IF(2=Element_Stiffness!$C$180,Element_Stiffness!R210,IF(2=Element_Stiffness!$E$180,Element_Stiffness!X210,0)),0)),0)+IF(Element_Stiffness!$C$216,IF(Element_Stiffness!$C$215=4,IF(2=Element_Stiffness!$C$215,Element_Stiffness!R239,IF(2=Element_Stiffness!$E$215,Element_Stiffness!X239,0)),IF(Element_Stiffness!$E$215=4,IF(2=Element_Stiffness!$C$215,Element_Stiffness!R245,IF(2=Element_Stiffness!$E$215,Element_Stiffness!X245,0)),0)),0)</f>
        <v/>
      </c>
      <c r="R32" s="21">
        <f>IF(Element_Stiffness!$C$6,IF(Element_Stiffness!$C$5=4,IF(2=Element_Stiffness!$C$5,Element_Stiffness!S29,IF(2=Element_Stiffness!$E$5,Element_Stiffness!Y29,0)),IF(Element_Stiffness!$E$5=4,IF(2=Element_Stiffness!$C$5,Element_Stiffness!S35,IF(2=Element_Stiffness!$E$5,Element_Stiffness!Y35,0)),0)),0)+IF(Element_Stiffness!$C$41,IF(Element_Stiffness!$C$40=4,IF(2=Element_Stiffness!$C$40,Element_Stiffness!S64,IF(2=Element_Stiffness!$E$40,Element_Stiffness!Y64,0)),IF(Element_Stiffness!$E$40=4,IF(2=Element_Stiffness!$C$40,Element_Stiffness!S70,IF(2=Element_Stiffness!$E$40,Element_Stiffness!Y70,0)),0)),0)+IF(Element_Stiffness!$C$76,IF(Element_Stiffness!$C$75=4,IF(2=Element_Stiffness!$C$75,Element_Stiffness!S99,IF(2=Element_Stiffness!$E$75,Element_Stiffness!Y99,0)),IF(Element_Stiffness!$E$75=4,IF(2=Element_Stiffness!$C$75,Element_Stiffness!S105,IF(2=Element_Stiffness!$E$75,Element_Stiffness!Y105,0)),0)),0)+IF(Element_Stiffness!$C$111,IF(Element_Stiffness!$C$110=4,IF(2=Element_Stiffness!$C$110,Element_Stiffness!S134,IF(2=Element_Stiffness!$E$110,Element_Stiffness!Y134,0)),IF(Element_Stiffness!$E$110=4,IF(2=Element_Stiffness!$C$110,Element_Stiffness!S140,IF(2=Element_Stiffness!$E$110,Element_Stiffness!Y140,0)),0)),0)+IF(Element_Stiffness!$C$146,IF(Element_Stiffness!$C$145=4,IF(2=Element_Stiffness!$C$145,Element_Stiffness!S169,IF(2=Element_Stiffness!$E$145,Element_Stiffness!Y169,0)),IF(Element_Stiffness!$E$145=4,IF(2=Element_Stiffness!$C$145,Element_Stiffness!S175,IF(2=Element_Stiffness!$E$145,Element_Stiffness!Y175,0)),0)),0)+IF(Element_Stiffness!$C$181,IF(Element_Stiffness!$C$180=4,IF(2=Element_Stiffness!$C$180,Element_Stiffness!S204,IF(2=Element_Stiffness!$E$180,Element_Stiffness!Y204,0)),IF(Element_Stiffness!$E$180=4,IF(2=Element_Stiffness!$C$180,Element_Stiffness!S210,IF(2=Element_Stiffness!$E$180,Element_Stiffness!Y210,0)),0)),0)+IF(Element_Stiffness!$C$216,IF(Element_Stiffness!$C$215=4,IF(2=Element_Stiffness!$C$215,Element_Stiffness!S239,IF(2=Element_Stiffness!$E$215,Element_Stiffness!Y239,0)),IF(Element_Stiffness!$E$215=4,IF(2=Element_Stiffness!$C$215,Element_Stiffness!S245,IF(2=Element_Stiffness!$E$215,Element_Stiffness!Y245,0)),0)),0)</f>
        <v/>
      </c>
      <c r="S32" s="21">
        <f>IF(Element_Stiffness!$C$6,IF(Element_Stiffness!$C$5=4,IF(2=Element_Stiffness!$C$5,Element_Stiffness!T29,IF(2=Element_Stiffness!$E$5,Element_Stiffness!Z29,0)),IF(Element_Stiffness!$E$5=4,IF(2=Element_Stiffness!$C$5,Element_Stiffness!T35,IF(2=Element_Stiffness!$E$5,Element_Stiffness!Z35,0)),0)),0)+IF(Element_Stiffness!$C$41,IF(Element_Stiffness!$C$40=4,IF(2=Element_Stiffness!$C$40,Element_Stiffness!T64,IF(2=Element_Stiffness!$E$40,Element_Stiffness!Z64,0)),IF(Element_Stiffness!$E$40=4,IF(2=Element_Stiffness!$C$40,Element_Stiffness!T70,IF(2=Element_Stiffness!$E$40,Element_Stiffness!Z70,0)),0)),0)+IF(Element_Stiffness!$C$76,IF(Element_Stiffness!$C$75=4,IF(2=Element_Stiffness!$C$75,Element_Stiffness!T99,IF(2=Element_Stiffness!$E$75,Element_Stiffness!Z99,0)),IF(Element_Stiffness!$E$75=4,IF(2=Element_Stiffness!$C$75,Element_Stiffness!T105,IF(2=Element_Stiffness!$E$75,Element_Stiffness!Z105,0)),0)),0)+IF(Element_Stiffness!$C$111,IF(Element_Stiffness!$C$110=4,IF(2=Element_Stiffness!$C$110,Element_Stiffness!T134,IF(2=Element_Stiffness!$E$110,Element_Stiffness!Z134,0)),IF(Element_Stiffness!$E$110=4,IF(2=Element_Stiffness!$C$110,Element_Stiffness!T140,IF(2=Element_Stiffness!$E$110,Element_Stiffness!Z140,0)),0)),0)+IF(Element_Stiffness!$C$146,IF(Element_Stiffness!$C$145=4,IF(2=Element_Stiffness!$C$145,Element_Stiffness!T169,IF(2=Element_Stiffness!$E$145,Element_Stiffness!Z169,0)),IF(Element_Stiffness!$E$145=4,IF(2=Element_Stiffness!$C$145,Element_Stiffness!T175,IF(2=Element_Stiffness!$E$145,Element_Stiffness!Z175,0)),0)),0)+IF(Element_Stiffness!$C$181,IF(Element_Stiffness!$C$180=4,IF(2=Element_Stiffness!$C$180,Element_Stiffness!T204,IF(2=Element_Stiffness!$E$180,Element_Stiffness!Z204,0)),IF(Element_Stiffness!$E$180=4,IF(2=Element_Stiffness!$C$180,Element_Stiffness!T210,IF(2=Element_Stiffness!$E$180,Element_Stiffness!Z210,0)),0)),0)+IF(Element_Stiffness!$C$216,IF(Element_Stiffness!$C$215=4,IF(2=Element_Stiffness!$C$215,Element_Stiffness!T239,IF(2=Element_Stiffness!$E$215,Element_Stiffness!Z239,0)),IF(Element_Stiffness!$E$215=4,IF(2=Element_Stiffness!$C$215,Element_Stiffness!T245,IF(2=Element_Stiffness!$E$215,Element_Stiffness!Z245,0)),0)),0)</f>
        <v/>
      </c>
      <c r="T32" s="21">
        <f>IF(Element_Stiffness!$C$6,IF(Element_Stiffness!$C$5=4,IF(2=Element_Stiffness!$C$5,Element_Stiffness!U29,IF(2=Element_Stiffness!$E$5,Element_Stiffness!AA29,0)),IF(Element_Stiffness!$E$5=4,IF(2=Element_Stiffness!$C$5,Element_Stiffness!U35,IF(2=Element_Stiffness!$E$5,Element_Stiffness!AA35,0)),0)),0)+IF(Element_Stiffness!$C$41,IF(Element_Stiffness!$C$40=4,IF(2=Element_Stiffness!$C$40,Element_Stiffness!U64,IF(2=Element_Stiffness!$E$40,Element_Stiffness!AA64,0)),IF(Element_Stiffness!$E$40=4,IF(2=Element_Stiffness!$C$40,Element_Stiffness!U70,IF(2=Element_Stiffness!$E$40,Element_Stiffness!AA70,0)),0)),0)+IF(Element_Stiffness!$C$76,IF(Element_Stiffness!$C$75=4,IF(2=Element_Stiffness!$C$75,Element_Stiffness!U99,IF(2=Element_Stiffness!$E$75,Element_Stiffness!AA99,0)),IF(Element_Stiffness!$E$75=4,IF(2=Element_Stiffness!$C$75,Element_Stiffness!U105,IF(2=Element_Stiffness!$E$75,Element_Stiffness!AA105,0)),0)),0)+IF(Element_Stiffness!$C$111,IF(Element_Stiffness!$C$110=4,IF(2=Element_Stiffness!$C$110,Element_Stiffness!U134,IF(2=Element_Stiffness!$E$110,Element_Stiffness!AA134,0)),IF(Element_Stiffness!$E$110=4,IF(2=Element_Stiffness!$C$110,Element_Stiffness!U140,IF(2=Element_Stiffness!$E$110,Element_Stiffness!AA140,0)),0)),0)+IF(Element_Stiffness!$C$146,IF(Element_Stiffness!$C$145=4,IF(2=Element_Stiffness!$C$145,Element_Stiffness!U169,IF(2=Element_Stiffness!$E$145,Element_Stiffness!AA169,0)),IF(Element_Stiffness!$E$145=4,IF(2=Element_Stiffness!$C$145,Element_Stiffness!U175,IF(2=Element_Stiffness!$E$145,Element_Stiffness!AA175,0)),0)),0)+IF(Element_Stiffness!$C$181,IF(Element_Stiffness!$C$180=4,IF(2=Element_Stiffness!$C$180,Element_Stiffness!U204,IF(2=Element_Stiffness!$E$180,Element_Stiffness!AA204,0)),IF(Element_Stiffness!$E$180=4,IF(2=Element_Stiffness!$C$180,Element_Stiffness!U210,IF(2=Element_Stiffness!$E$180,Element_Stiffness!AA210,0)),0)),0)+IF(Element_Stiffness!$C$216,IF(Element_Stiffness!$C$215=4,IF(2=Element_Stiffness!$C$215,Element_Stiffness!U239,IF(2=Element_Stiffness!$E$215,Element_Stiffness!AA239,0)),IF(Element_Stiffness!$E$215=4,IF(2=Element_Stiffness!$C$215,Element_Stiffness!U245,IF(2=Element_Stiffness!$E$215,Element_Stiffness!AA245,0)),0)),0)</f>
        <v/>
      </c>
      <c r="U32" s="21">
        <f>IF(Element_Stiffness!$C$6,IF(Element_Stiffness!$C$5=4,IF(3=Element_Stiffness!$C$5,Element_Stiffness!P29,IF(3=Element_Stiffness!$E$5,Element_Stiffness!V29,0)),IF(Element_Stiffness!$E$5=4,IF(3=Element_Stiffness!$C$5,Element_Stiffness!P35,IF(3=Element_Stiffness!$E$5,Element_Stiffness!V35,0)),0)),0)+IF(Element_Stiffness!$C$41,IF(Element_Stiffness!$C$40=4,IF(3=Element_Stiffness!$C$40,Element_Stiffness!P64,IF(3=Element_Stiffness!$E$40,Element_Stiffness!V64,0)),IF(Element_Stiffness!$E$40=4,IF(3=Element_Stiffness!$C$40,Element_Stiffness!P70,IF(3=Element_Stiffness!$E$40,Element_Stiffness!V70,0)),0)),0)+IF(Element_Stiffness!$C$76,IF(Element_Stiffness!$C$75=4,IF(3=Element_Stiffness!$C$75,Element_Stiffness!P99,IF(3=Element_Stiffness!$E$75,Element_Stiffness!V99,0)),IF(Element_Stiffness!$E$75=4,IF(3=Element_Stiffness!$C$75,Element_Stiffness!P105,IF(3=Element_Stiffness!$E$75,Element_Stiffness!V105,0)),0)),0)+IF(Element_Stiffness!$C$111,IF(Element_Stiffness!$C$110=4,IF(3=Element_Stiffness!$C$110,Element_Stiffness!P134,IF(3=Element_Stiffness!$E$110,Element_Stiffness!V134,0)),IF(Element_Stiffness!$E$110=4,IF(3=Element_Stiffness!$C$110,Element_Stiffness!P140,IF(3=Element_Stiffness!$E$110,Element_Stiffness!V140,0)),0)),0)+IF(Element_Stiffness!$C$146,IF(Element_Stiffness!$C$145=4,IF(3=Element_Stiffness!$C$145,Element_Stiffness!P169,IF(3=Element_Stiffness!$E$145,Element_Stiffness!V169,0)),IF(Element_Stiffness!$E$145=4,IF(3=Element_Stiffness!$C$145,Element_Stiffness!P175,IF(3=Element_Stiffness!$E$145,Element_Stiffness!V175,0)),0)),0)+IF(Element_Stiffness!$C$181,IF(Element_Stiffness!$C$180=4,IF(3=Element_Stiffness!$C$180,Element_Stiffness!P204,IF(3=Element_Stiffness!$E$180,Element_Stiffness!V204,0)),IF(Element_Stiffness!$E$180=4,IF(3=Element_Stiffness!$C$180,Element_Stiffness!P210,IF(3=Element_Stiffness!$E$180,Element_Stiffness!V210,0)),0)),0)+IF(Element_Stiffness!$C$216,IF(Element_Stiffness!$C$215=4,IF(3=Element_Stiffness!$C$215,Element_Stiffness!P239,IF(3=Element_Stiffness!$E$215,Element_Stiffness!V239,0)),IF(Element_Stiffness!$E$215=4,IF(3=Element_Stiffness!$C$215,Element_Stiffness!P245,IF(3=Element_Stiffness!$E$215,Element_Stiffness!V245,0)),0)),0)</f>
        <v/>
      </c>
      <c r="V32" s="21">
        <f>IF(Element_Stiffness!$C$6,IF(Element_Stiffness!$C$5=4,IF(3=Element_Stiffness!$C$5,Element_Stiffness!Q29,IF(3=Element_Stiffness!$E$5,Element_Stiffness!W29,0)),IF(Element_Stiffness!$E$5=4,IF(3=Element_Stiffness!$C$5,Element_Stiffness!Q35,IF(3=Element_Stiffness!$E$5,Element_Stiffness!W35,0)),0)),0)+IF(Element_Stiffness!$C$41,IF(Element_Stiffness!$C$40=4,IF(3=Element_Stiffness!$C$40,Element_Stiffness!Q64,IF(3=Element_Stiffness!$E$40,Element_Stiffness!W64,0)),IF(Element_Stiffness!$E$40=4,IF(3=Element_Stiffness!$C$40,Element_Stiffness!Q70,IF(3=Element_Stiffness!$E$40,Element_Stiffness!W70,0)),0)),0)+IF(Element_Stiffness!$C$76,IF(Element_Stiffness!$C$75=4,IF(3=Element_Stiffness!$C$75,Element_Stiffness!Q99,IF(3=Element_Stiffness!$E$75,Element_Stiffness!W99,0)),IF(Element_Stiffness!$E$75=4,IF(3=Element_Stiffness!$C$75,Element_Stiffness!Q105,IF(3=Element_Stiffness!$E$75,Element_Stiffness!W105,0)),0)),0)+IF(Element_Stiffness!$C$111,IF(Element_Stiffness!$C$110=4,IF(3=Element_Stiffness!$C$110,Element_Stiffness!Q134,IF(3=Element_Stiffness!$E$110,Element_Stiffness!W134,0)),IF(Element_Stiffness!$E$110=4,IF(3=Element_Stiffness!$C$110,Element_Stiffness!Q140,IF(3=Element_Stiffness!$E$110,Element_Stiffness!W140,0)),0)),0)+IF(Element_Stiffness!$C$146,IF(Element_Stiffness!$C$145=4,IF(3=Element_Stiffness!$C$145,Element_Stiffness!Q169,IF(3=Element_Stiffness!$E$145,Element_Stiffness!W169,0)),IF(Element_Stiffness!$E$145=4,IF(3=Element_Stiffness!$C$145,Element_Stiffness!Q175,IF(3=Element_Stiffness!$E$145,Element_Stiffness!W175,0)),0)),0)+IF(Element_Stiffness!$C$181,IF(Element_Stiffness!$C$180=4,IF(3=Element_Stiffness!$C$180,Element_Stiffness!Q204,IF(3=Element_Stiffness!$E$180,Element_Stiffness!W204,0)),IF(Element_Stiffness!$E$180=4,IF(3=Element_Stiffness!$C$180,Element_Stiffness!Q210,IF(3=Element_Stiffness!$E$180,Element_Stiffness!W210,0)),0)),0)+IF(Element_Stiffness!$C$216,IF(Element_Stiffness!$C$215=4,IF(3=Element_Stiffness!$C$215,Element_Stiffness!Q239,IF(3=Element_Stiffness!$E$215,Element_Stiffness!W239,0)),IF(Element_Stiffness!$E$215=4,IF(3=Element_Stiffness!$C$215,Element_Stiffness!Q245,IF(3=Element_Stiffness!$E$215,Element_Stiffness!W245,0)),0)),0)</f>
        <v/>
      </c>
      <c r="W32" s="21">
        <f>IF(Element_Stiffness!$C$6,IF(Element_Stiffness!$C$5=4,IF(3=Element_Stiffness!$C$5,Element_Stiffness!R29,IF(3=Element_Stiffness!$E$5,Element_Stiffness!X29,0)),IF(Element_Stiffness!$E$5=4,IF(3=Element_Stiffness!$C$5,Element_Stiffness!R35,IF(3=Element_Stiffness!$E$5,Element_Stiffness!X35,0)),0)),0)+IF(Element_Stiffness!$C$41,IF(Element_Stiffness!$C$40=4,IF(3=Element_Stiffness!$C$40,Element_Stiffness!R64,IF(3=Element_Stiffness!$E$40,Element_Stiffness!X64,0)),IF(Element_Stiffness!$E$40=4,IF(3=Element_Stiffness!$C$40,Element_Stiffness!R70,IF(3=Element_Stiffness!$E$40,Element_Stiffness!X70,0)),0)),0)+IF(Element_Stiffness!$C$76,IF(Element_Stiffness!$C$75=4,IF(3=Element_Stiffness!$C$75,Element_Stiffness!R99,IF(3=Element_Stiffness!$E$75,Element_Stiffness!X99,0)),IF(Element_Stiffness!$E$75=4,IF(3=Element_Stiffness!$C$75,Element_Stiffness!R105,IF(3=Element_Stiffness!$E$75,Element_Stiffness!X105,0)),0)),0)+IF(Element_Stiffness!$C$111,IF(Element_Stiffness!$C$110=4,IF(3=Element_Stiffness!$C$110,Element_Stiffness!R134,IF(3=Element_Stiffness!$E$110,Element_Stiffness!X134,0)),IF(Element_Stiffness!$E$110=4,IF(3=Element_Stiffness!$C$110,Element_Stiffness!R140,IF(3=Element_Stiffness!$E$110,Element_Stiffness!X140,0)),0)),0)+IF(Element_Stiffness!$C$146,IF(Element_Stiffness!$C$145=4,IF(3=Element_Stiffness!$C$145,Element_Stiffness!R169,IF(3=Element_Stiffness!$E$145,Element_Stiffness!X169,0)),IF(Element_Stiffness!$E$145=4,IF(3=Element_Stiffness!$C$145,Element_Stiffness!R175,IF(3=Element_Stiffness!$E$145,Element_Stiffness!X175,0)),0)),0)+IF(Element_Stiffness!$C$181,IF(Element_Stiffness!$C$180=4,IF(3=Element_Stiffness!$C$180,Element_Stiffness!R204,IF(3=Element_Stiffness!$E$180,Element_Stiffness!X204,0)),IF(Element_Stiffness!$E$180=4,IF(3=Element_Stiffness!$C$180,Element_Stiffness!R210,IF(3=Element_Stiffness!$E$180,Element_Stiffness!X210,0)),0)),0)+IF(Element_Stiffness!$C$216,IF(Element_Stiffness!$C$215=4,IF(3=Element_Stiffness!$C$215,Element_Stiffness!R239,IF(3=Element_Stiffness!$E$215,Element_Stiffness!X239,0)),IF(Element_Stiffness!$E$215=4,IF(3=Element_Stiffness!$C$215,Element_Stiffness!R245,IF(3=Element_Stiffness!$E$215,Element_Stiffness!X245,0)),0)),0)</f>
        <v/>
      </c>
      <c r="X32" s="21">
        <f>IF(Element_Stiffness!$C$6,IF(Element_Stiffness!$C$5=4,IF(3=Element_Stiffness!$C$5,Element_Stiffness!S29,IF(3=Element_Stiffness!$E$5,Element_Stiffness!Y29,0)),IF(Element_Stiffness!$E$5=4,IF(3=Element_Stiffness!$C$5,Element_Stiffness!S35,IF(3=Element_Stiffness!$E$5,Element_Stiffness!Y35,0)),0)),0)+IF(Element_Stiffness!$C$41,IF(Element_Stiffness!$C$40=4,IF(3=Element_Stiffness!$C$40,Element_Stiffness!S64,IF(3=Element_Stiffness!$E$40,Element_Stiffness!Y64,0)),IF(Element_Stiffness!$E$40=4,IF(3=Element_Stiffness!$C$40,Element_Stiffness!S70,IF(3=Element_Stiffness!$E$40,Element_Stiffness!Y70,0)),0)),0)+IF(Element_Stiffness!$C$76,IF(Element_Stiffness!$C$75=4,IF(3=Element_Stiffness!$C$75,Element_Stiffness!S99,IF(3=Element_Stiffness!$E$75,Element_Stiffness!Y99,0)),IF(Element_Stiffness!$E$75=4,IF(3=Element_Stiffness!$C$75,Element_Stiffness!S105,IF(3=Element_Stiffness!$E$75,Element_Stiffness!Y105,0)),0)),0)+IF(Element_Stiffness!$C$111,IF(Element_Stiffness!$C$110=4,IF(3=Element_Stiffness!$C$110,Element_Stiffness!S134,IF(3=Element_Stiffness!$E$110,Element_Stiffness!Y134,0)),IF(Element_Stiffness!$E$110=4,IF(3=Element_Stiffness!$C$110,Element_Stiffness!S140,IF(3=Element_Stiffness!$E$110,Element_Stiffness!Y140,0)),0)),0)+IF(Element_Stiffness!$C$146,IF(Element_Stiffness!$C$145=4,IF(3=Element_Stiffness!$C$145,Element_Stiffness!S169,IF(3=Element_Stiffness!$E$145,Element_Stiffness!Y169,0)),IF(Element_Stiffness!$E$145=4,IF(3=Element_Stiffness!$C$145,Element_Stiffness!S175,IF(3=Element_Stiffness!$E$145,Element_Stiffness!Y175,0)),0)),0)+IF(Element_Stiffness!$C$181,IF(Element_Stiffness!$C$180=4,IF(3=Element_Stiffness!$C$180,Element_Stiffness!S204,IF(3=Element_Stiffness!$E$180,Element_Stiffness!Y204,0)),IF(Element_Stiffness!$E$180=4,IF(3=Element_Stiffness!$C$180,Element_Stiffness!S210,IF(3=Element_Stiffness!$E$180,Element_Stiffness!Y210,0)),0)),0)+IF(Element_Stiffness!$C$216,IF(Element_Stiffness!$C$215=4,IF(3=Element_Stiffness!$C$215,Element_Stiffness!S239,IF(3=Element_Stiffness!$E$215,Element_Stiffness!Y239,0)),IF(Element_Stiffness!$E$215=4,IF(3=Element_Stiffness!$C$215,Element_Stiffness!S245,IF(3=Element_Stiffness!$E$215,Element_Stiffness!Y245,0)),0)),0)</f>
        <v/>
      </c>
      <c r="Y32" s="21">
        <f>IF(Element_Stiffness!$C$6,IF(Element_Stiffness!$C$5=4,IF(3=Element_Stiffness!$C$5,Element_Stiffness!T29,IF(3=Element_Stiffness!$E$5,Element_Stiffness!Z29,0)),IF(Element_Stiffness!$E$5=4,IF(3=Element_Stiffness!$C$5,Element_Stiffness!T35,IF(3=Element_Stiffness!$E$5,Element_Stiffness!Z35,0)),0)),0)+IF(Element_Stiffness!$C$41,IF(Element_Stiffness!$C$40=4,IF(3=Element_Stiffness!$C$40,Element_Stiffness!T64,IF(3=Element_Stiffness!$E$40,Element_Stiffness!Z64,0)),IF(Element_Stiffness!$E$40=4,IF(3=Element_Stiffness!$C$40,Element_Stiffness!T70,IF(3=Element_Stiffness!$E$40,Element_Stiffness!Z70,0)),0)),0)+IF(Element_Stiffness!$C$76,IF(Element_Stiffness!$C$75=4,IF(3=Element_Stiffness!$C$75,Element_Stiffness!T99,IF(3=Element_Stiffness!$E$75,Element_Stiffness!Z99,0)),IF(Element_Stiffness!$E$75=4,IF(3=Element_Stiffness!$C$75,Element_Stiffness!T105,IF(3=Element_Stiffness!$E$75,Element_Stiffness!Z105,0)),0)),0)+IF(Element_Stiffness!$C$111,IF(Element_Stiffness!$C$110=4,IF(3=Element_Stiffness!$C$110,Element_Stiffness!T134,IF(3=Element_Stiffness!$E$110,Element_Stiffness!Z134,0)),IF(Element_Stiffness!$E$110=4,IF(3=Element_Stiffness!$C$110,Element_Stiffness!T140,IF(3=Element_Stiffness!$E$110,Element_Stiffness!Z140,0)),0)),0)+IF(Element_Stiffness!$C$146,IF(Element_Stiffness!$C$145=4,IF(3=Element_Stiffness!$C$145,Element_Stiffness!T169,IF(3=Element_Stiffness!$E$145,Element_Stiffness!Z169,0)),IF(Element_Stiffness!$E$145=4,IF(3=Element_Stiffness!$C$145,Element_Stiffness!T175,IF(3=Element_Stiffness!$E$145,Element_Stiffness!Z175,0)),0)),0)+IF(Element_Stiffness!$C$181,IF(Element_Stiffness!$C$180=4,IF(3=Element_Stiffness!$C$180,Element_Stiffness!T204,IF(3=Element_Stiffness!$E$180,Element_Stiffness!Z204,0)),IF(Element_Stiffness!$E$180=4,IF(3=Element_Stiffness!$C$180,Element_Stiffness!T210,IF(3=Element_Stiffness!$E$180,Element_Stiffness!Z210,0)),0)),0)+IF(Element_Stiffness!$C$216,IF(Element_Stiffness!$C$215=4,IF(3=Element_Stiffness!$C$215,Element_Stiffness!T239,IF(3=Element_Stiffness!$E$215,Element_Stiffness!Z239,0)),IF(Element_Stiffness!$E$215=4,IF(3=Element_Stiffness!$C$215,Element_Stiffness!T245,IF(3=Element_Stiffness!$E$215,Element_Stiffness!Z245,0)),0)),0)</f>
        <v/>
      </c>
      <c r="Z32" s="21">
        <f>IF(Element_Stiffness!$C$6,IF(Element_Stiffness!$C$5=4,IF(3=Element_Stiffness!$C$5,Element_Stiffness!U29,IF(3=Element_Stiffness!$E$5,Element_Stiffness!AA29,0)),IF(Element_Stiffness!$E$5=4,IF(3=Element_Stiffness!$C$5,Element_Stiffness!U35,IF(3=Element_Stiffness!$E$5,Element_Stiffness!AA35,0)),0)),0)+IF(Element_Stiffness!$C$41,IF(Element_Stiffness!$C$40=4,IF(3=Element_Stiffness!$C$40,Element_Stiffness!U64,IF(3=Element_Stiffness!$E$40,Element_Stiffness!AA64,0)),IF(Element_Stiffness!$E$40=4,IF(3=Element_Stiffness!$C$40,Element_Stiffness!U70,IF(3=Element_Stiffness!$E$40,Element_Stiffness!AA70,0)),0)),0)+IF(Element_Stiffness!$C$76,IF(Element_Stiffness!$C$75=4,IF(3=Element_Stiffness!$C$75,Element_Stiffness!U99,IF(3=Element_Stiffness!$E$75,Element_Stiffness!AA99,0)),IF(Element_Stiffness!$E$75=4,IF(3=Element_Stiffness!$C$75,Element_Stiffness!U105,IF(3=Element_Stiffness!$E$75,Element_Stiffness!AA105,0)),0)),0)+IF(Element_Stiffness!$C$111,IF(Element_Stiffness!$C$110=4,IF(3=Element_Stiffness!$C$110,Element_Stiffness!U134,IF(3=Element_Stiffness!$E$110,Element_Stiffness!AA134,0)),IF(Element_Stiffness!$E$110=4,IF(3=Element_Stiffness!$C$110,Element_Stiffness!U140,IF(3=Element_Stiffness!$E$110,Element_Stiffness!AA140,0)),0)),0)+IF(Element_Stiffness!$C$146,IF(Element_Stiffness!$C$145=4,IF(3=Element_Stiffness!$C$145,Element_Stiffness!U169,IF(3=Element_Stiffness!$E$145,Element_Stiffness!AA169,0)),IF(Element_Stiffness!$E$145=4,IF(3=Element_Stiffness!$C$145,Element_Stiffness!U175,IF(3=Element_Stiffness!$E$145,Element_Stiffness!AA175,0)),0)),0)+IF(Element_Stiffness!$C$181,IF(Element_Stiffness!$C$180=4,IF(3=Element_Stiffness!$C$180,Element_Stiffness!U204,IF(3=Element_Stiffness!$E$180,Element_Stiffness!AA204,0)),IF(Element_Stiffness!$E$180=4,IF(3=Element_Stiffness!$C$180,Element_Stiffness!U210,IF(3=Element_Stiffness!$E$180,Element_Stiffness!AA210,0)),0)),0)+IF(Element_Stiffness!$C$216,IF(Element_Stiffness!$C$215=4,IF(3=Element_Stiffness!$C$215,Element_Stiffness!U239,IF(3=Element_Stiffness!$E$215,Element_Stiffness!AA239,0)),IF(Element_Stiffness!$E$215=4,IF(3=Element_Stiffness!$C$215,Element_Stiffness!U245,IF(3=Element_Stiffness!$E$215,Element_Stiffness!AA245,0)),0)),0)</f>
        <v/>
      </c>
      <c r="AA32" s="21">
        <f>IF(Element_Stiffness!$C$6,IF(Element_Stiffness!$C$5=4,IF(4=Element_Stiffness!$C$5,Element_Stiffness!P29,IF(4=Element_Stiffness!$E$5,Element_Stiffness!V29,0)),IF(Element_Stiffness!$E$5=4,IF(4=Element_Stiffness!$C$5,Element_Stiffness!P35,IF(4=Element_Stiffness!$E$5,Element_Stiffness!V35,0)),0)),0)+IF(Element_Stiffness!$C$41,IF(Element_Stiffness!$C$40=4,IF(4=Element_Stiffness!$C$40,Element_Stiffness!P64,IF(4=Element_Stiffness!$E$40,Element_Stiffness!V64,0)),IF(Element_Stiffness!$E$40=4,IF(4=Element_Stiffness!$C$40,Element_Stiffness!P70,IF(4=Element_Stiffness!$E$40,Element_Stiffness!V70,0)),0)),0)+IF(Element_Stiffness!$C$76,IF(Element_Stiffness!$C$75=4,IF(4=Element_Stiffness!$C$75,Element_Stiffness!P99,IF(4=Element_Stiffness!$E$75,Element_Stiffness!V99,0)),IF(Element_Stiffness!$E$75=4,IF(4=Element_Stiffness!$C$75,Element_Stiffness!P105,IF(4=Element_Stiffness!$E$75,Element_Stiffness!V105,0)),0)),0)+IF(Element_Stiffness!$C$111,IF(Element_Stiffness!$C$110=4,IF(4=Element_Stiffness!$C$110,Element_Stiffness!P134,IF(4=Element_Stiffness!$E$110,Element_Stiffness!V134,0)),IF(Element_Stiffness!$E$110=4,IF(4=Element_Stiffness!$C$110,Element_Stiffness!P140,IF(4=Element_Stiffness!$E$110,Element_Stiffness!V140,0)),0)),0)+IF(Element_Stiffness!$C$146,IF(Element_Stiffness!$C$145=4,IF(4=Element_Stiffness!$C$145,Element_Stiffness!P169,IF(4=Element_Stiffness!$E$145,Element_Stiffness!V169,0)),IF(Element_Stiffness!$E$145=4,IF(4=Element_Stiffness!$C$145,Element_Stiffness!P175,IF(4=Element_Stiffness!$E$145,Element_Stiffness!V175,0)),0)),0)+IF(Element_Stiffness!$C$181,IF(Element_Stiffness!$C$180=4,IF(4=Element_Stiffness!$C$180,Element_Stiffness!P204,IF(4=Element_Stiffness!$E$180,Element_Stiffness!V204,0)),IF(Element_Stiffness!$E$180=4,IF(4=Element_Stiffness!$C$180,Element_Stiffness!P210,IF(4=Element_Stiffness!$E$180,Element_Stiffness!V210,0)),0)),0)+IF(Element_Stiffness!$C$216,IF(Element_Stiffness!$C$215=4,IF(4=Element_Stiffness!$C$215,Element_Stiffness!P239,IF(4=Element_Stiffness!$E$215,Element_Stiffness!V239,0)),IF(Element_Stiffness!$E$215=4,IF(4=Element_Stiffness!$C$215,Element_Stiffness!P245,IF(4=Element_Stiffness!$E$215,Element_Stiffness!V245,0)),0)),0)</f>
        <v/>
      </c>
      <c r="AB32" s="21">
        <f>IF(Element_Stiffness!$C$6,IF(Element_Stiffness!$C$5=4,IF(4=Element_Stiffness!$C$5,Element_Stiffness!Q29,IF(4=Element_Stiffness!$E$5,Element_Stiffness!W29,0)),IF(Element_Stiffness!$E$5=4,IF(4=Element_Stiffness!$C$5,Element_Stiffness!Q35,IF(4=Element_Stiffness!$E$5,Element_Stiffness!W35,0)),0)),0)+IF(Element_Stiffness!$C$41,IF(Element_Stiffness!$C$40=4,IF(4=Element_Stiffness!$C$40,Element_Stiffness!Q64,IF(4=Element_Stiffness!$E$40,Element_Stiffness!W64,0)),IF(Element_Stiffness!$E$40=4,IF(4=Element_Stiffness!$C$40,Element_Stiffness!Q70,IF(4=Element_Stiffness!$E$40,Element_Stiffness!W70,0)),0)),0)+IF(Element_Stiffness!$C$76,IF(Element_Stiffness!$C$75=4,IF(4=Element_Stiffness!$C$75,Element_Stiffness!Q99,IF(4=Element_Stiffness!$E$75,Element_Stiffness!W99,0)),IF(Element_Stiffness!$E$75=4,IF(4=Element_Stiffness!$C$75,Element_Stiffness!Q105,IF(4=Element_Stiffness!$E$75,Element_Stiffness!W105,0)),0)),0)+IF(Element_Stiffness!$C$111,IF(Element_Stiffness!$C$110=4,IF(4=Element_Stiffness!$C$110,Element_Stiffness!Q134,IF(4=Element_Stiffness!$E$110,Element_Stiffness!W134,0)),IF(Element_Stiffness!$E$110=4,IF(4=Element_Stiffness!$C$110,Element_Stiffness!Q140,IF(4=Element_Stiffness!$E$110,Element_Stiffness!W140,0)),0)),0)+IF(Element_Stiffness!$C$146,IF(Element_Stiffness!$C$145=4,IF(4=Element_Stiffness!$C$145,Element_Stiffness!Q169,IF(4=Element_Stiffness!$E$145,Element_Stiffness!W169,0)),IF(Element_Stiffness!$E$145=4,IF(4=Element_Stiffness!$C$145,Element_Stiffness!Q175,IF(4=Element_Stiffness!$E$145,Element_Stiffness!W175,0)),0)),0)+IF(Element_Stiffness!$C$181,IF(Element_Stiffness!$C$180=4,IF(4=Element_Stiffness!$C$180,Element_Stiffness!Q204,IF(4=Element_Stiffness!$E$180,Element_Stiffness!W204,0)),IF(Element_Stiffness!$E$180=4,IF(4=Element_Stiffness!$C$180,Element_Stiffness!Q210,IF(4=Element_Stiffness!$E$180,Element_Stiffness!W210,0)),0)),0)+IF(Element_Stiffness!$C$216,IF(Element_Stiffness!$C$215=4,IF(4=Element_Stiffness!$C$215,Element_Stiffness!Q239,IF(4=Element_Stiffness!$E$215,Element_Stiffness!W239,0)),IF(Element_Stiffness!$E$215=4,IF(4=Element_Stiffness!$C$215,Element_Stiffness!Q245,IF(4=Element_Stiffness!$E$215,Element_Stiffness!W245,0)),0)),0)</f>
        <v/>
      </c>
      <c r="AC32" s="21">
        <f>IF(Element_Stiffness!$C$6,IF(Element_Stiffness!$C$5=4,IF(4=Element_Stiffness!$C$5,Element_Stiffness!R29,IF(4=Element_Stiffness!$E$5,Element_Stiffness!X29,0)),IF(Element_Stiffness!$E$5=4,IF(4=Element_Stiffness!$C$5,Element_Stiffness!R35,IF(4=Element_Stiffness!$E$5,Element_Stiffness!X35,0)),0)),0)+IF(Element_Stiffness!$C$41,IF(Element_Stiffness!$C$40=4,IF(4=Element_Stiffness!$C$40,Element_Stiffness!R64,IF(4=Element_Stiffness!$E$40,Element_Stiffness!X64,0)),IF(Element_Stiffness!$E$40=4,IF(4=Element_Stiffness!$C$40,Element_Stiffness!R70,IF(4=Element_Stiffness!$E$40,Element_Stiffness!X70,0)),0)),0)+IF(Element_Stiffness!$C$76,IF(Element_Stiffness!$C$75=4,IF(4=Element_Stiffness!$C$75,Element_Stiffness!R99,IF(4=Element_Stiffness!$E$75,Element_Stiffness!X99,0)),IF(Element_Stiffness!$E$75=4,IF(4=Element_Stiffness!$C$75,Element_Stiffness!R105,IF(4=Element_Stiffness!$E$75,Element_Stiffness!X105,0)),0)),0)+IF(Element_Stiffness!$C$111,IF(Element_Stiffness!$C$110=4,IF(4=Element_Stiffness!$C$110,Element_Stiffness!R134,IF(4=Element_Stiffness!$E$110,Element_Stiffness!X134,0)),IF(Element_Stiffness!$E$110=4,IF(4=Element_Stiffness!$C$110,Element_Stiffness!R140,IF(4=Element_Stiffness!$E$110,Element_Stiffness!X140,0)),0)),0)+IF(Element_Stiffness!$C$146,IF(Element_Stiffness!$C$145=4,IF(4=Element_Stiffness!$C$145,Element_Stiffness!R169,IF(4=Element_Stiffness!$E$145,Element_Stiffness!X169,0)),IF(Element_Stiffness!$E$145=4,IF(4=Element_Stiffness!$C$145,Element_Stiffness!R175,IF(4=Element_Stiffness!$E$145,Element_Stiffness!X175,0)),0)),0)+IF(Element_Stiffness!$C$181,IF(Element_Stiffness!$C$180=4,IF(4=Element_Stiffness!$C$180,Element_Stiffness!R204,IF(4=Element_Stiffness!$E$180,Element_Stiffness!X204,0)),IF(Element_Stiffness!$E$180=4,IF(4=Element_Stiffness!$C$180,Element_Stiffness!R210,IF(4=Element_Stiffness!$E$180,Element_Stiffness!X210,0)),0)),0)+IF(Element_Stiffness!$C$216,IF(Element_Stiffness!$C$215=4,IF(4=Element_Stiffness!$C$215,Element_Stiffness!R239,IF(4=Element_Stiffness!$E$215,Element_Stiffness!X239,0)),IF(Element_Stiffness!$E$215=4,IF(4=Element_Stiffness!$C$215,Element_Stiffness!R245,IF(4=Element_Stiffness!$E$215,Element_Stiffness!X245,0)),0)),0)</f>
        <v/>
      </c>
      <c r="AD32" s="21">
        <f>IF(Element_Stiffness!$C$6,IF(Element_Stiffness!$C$5=4,IF(4=Element_Stiffness!$C$5,Element_Stiffness!S29,IF(4=Element_Stiffness!$E$5,Element_Stiffness!Y29,0)),IF(Element_Stiffness!$E$5=4,IF(4=Element_Stiffness!$C$5,Element_Stiffness!S35,IF(4=Element_Stiffness!$E$5,Element_Stiffness!Y35,0)),0)),0)+IF(Element_Stiffness!$C$41,IF(Element_Stiffness!$C$40=4,IF(4=Element_Stiffness!$C$40,Element_Stiffness!S64,IF(4=Element_Stiffness!$E$40,Element_Stiffness!Y64,0)),IF(Element_Stiffness!$E$40=4,IF(4=Element_Stiffness!$C$40,Element_Stiffness!S70,IF(4=Element_Stiffness!$E$40,Element_Stiffness!Y70,0)),0)),0)+IF(Element_Stiffness!$C$76,IF(Element_Stiffness!$C$75=4,IF(4=Element_Stiffness!$C$75,Element_Stiffness!S99,IF(4=Element_Stiffness!$E$75,Element_Stiffness!Y99,0)),IF(Element_Stiffness!$E$75=4,IF(4=Element_Stiffness!$C$75,Element_Stiffness!S105,IF(4=Element_Stiffness!$E$75,Element_Stiffness!Y105,0)),0)),0)+IF(Element_Stiffness!$C$111,IF(Element_Stiffness!$C$110=4,IF(4=Element_Stiffness!$C$110,Element_Stiffness!S134,IF(4=Element_Stiffness!$E$110,Element_Stiffness!Y134,0)),IF(Element_Stiffness!$E$110=4,IF(4=Element_Stiffness!$C$110,Element_Stiffness!S140,IF(4=Element_Stiffness!$E$110,Element_Stiffness!Y140,0)),0)),0)+IF(Element_Stiffness!$C$146,IF(Element_Stiffness!$C$145=4,IF(4=Element_Stiffness!$C$145,Element_Stiffness!S169,IF(4=Element_Stiffness!$E$145,Element_Stiffness!Y169,0)),IF(Element_Stiffness!$E$145=4,IF(4=Element_Stiffness!$C$145,Element_Stiffness!S175,IF(4=Element_Stiffness!$E$145,Element_Stiffness!Y175,0)),0)),0)+IF(Element_Stiffness!$C$181,IF(Element_Stiffness!$C$180=4,IF(4=Element_Stiffness!$C$180,Element_Stiffness!S204,IF(4=Element_Stiffness!$E$180,Element_Stiffness!Y204,0)),IF(Element_Stiffness!$E$180=4,IF(4=Element_Stiffness!$C$180,Element_Stiffness!S210,IF(4=Element_Stiffness!$E$180,Element_Stiffness!Y210,0)),0)),0)+IF(Element_Stiffness!$C$216,IF(Element_Stiffness!$C$215=4,IF(4=Element_Stiffness!$C$215,Element_Stiffness!S239,IF(4=Element_Stiffness!$E$215,Element_Stiffness!Y239,0)),IF(Element_Stiffness!$E$215=4,IF(4=Element_Stiffness!$C$215,Element_Stiffness!S245,IF(4=Element_Stiffness!$E$215,Element_Stiffness!Y245,0)),0)),0)+IF(Inputs!F44=TRUE,1E15,IF(ISNUMBER(Inputs!F44),Inputs!F44,0))</f>
        <v/>
      </c>
      <c r="AE32" s="21">
        <f>IF(Element_Stiffness!$C$6,IF(Element_Stiffness!$C$5=4,IF(4=Element_Stiffness!$C$5,Element_Stiffness!T29,IF(4=Element_Stiffness!$E$5,Element_Stiffness!Z29,0)),IF(Element_Stiffness!$E$5=4,IF(4=Element_Stiffness!$C$5,Element_Stiffness!T35,IF(4=Element_Stiffness!$E$5,Element_Stiffness!Z35,0)),0)),0)+IF(Element_Stiffness!$C$41,IF(Element_Stiffness!$C$40=4,IF(4=Element_Stiffness!$C$40,Element_Stiffness!T64,IF(4=Element_Stiffness!$E$40,Element_Stiffness!Z64,0)),IF(Element_Stiffness!$E$40=4,IF(4=Element_Stiffness!$C$40,Element_Stiffness!T70,IF(4=Element_Stiffness!$E$40,Element_Stiffness!Z70,0)),0)),0)+IF(Element_Stiffness!$C$76,IF(Element_Stiffness!$C$75=4,IF(4=Element_Stiffness!$C$75,Element_Stiffness!T99,IF(4=Element_Stiffness!$E$75,Element_Stiffness!Z99,0)),IF(Element_Stiffness!$E$75=4,IF(4=Element_Stiffness!$C$75,Element_Stiffness!T105,IF(4=Element_Stiffness!$E$75,Element_Stiffness!Z105,0)),0)),0)+IF(Element_Stiffness!$C$111,IF(Element_Stiffness!$C$110=4,IF(4=Element_Stiffness!$C$110,Element_Stiffness!T134,IF(4=Element_Stiffness!$E$110,Element_Stiffness!Z134,0)),IF(Element_Stiffness!$E$110=4,IF(4=Element_Stiffness!$C$110,Element_Stiffness!T140,IF(4=Element_Stiffness!$E$110,Element_Stiffness!Z140,0)),0)),0)+IF(Element_Stiffness!$C$146,IF(Element_Stiffness!$C$145=4,IF(4=Element_Stiffness!$C$145,Element_Stiffness!T169,IF(4=Element_Stiffness!$E$145,Element_Stiffness!Z169,0)),IF(Element_Stiffness!$E$145=4,IF(4=Element_Stiffness!$C$145,Element_Stiffness!T175,IF(4=Element_Stiffness!$E$145,Element_Stiffness!Z175,0)),0)),0)+IF(Element_Stiffness!$C$181,IF(Element_Stiffness!$C$180=4,IF(4=Element_Stiffness!$C$180,Element_Stiffness!T204,IF(4=Element_Stiffness!$E$180,Element_Stiffness!Z204,0)),IF(Element_Stiffness!$E$180=4,IF(4=Element_Stiffness!$C$180,Element_Stiffness!T210,IF(4=Element_Stiffness!$E$180,Element_Stiffness!Z210,0)),0)),0)+IF(Element_Stiffness!$C$216,IF(Element_Stiffness!$C$215=4,IF(4=Element_Stiffness!$C$215,Element_Stiffness!T239,IF(4=Element_Stiffness!$E$215,Element_Stiffness!Z239,0)),IF(Element_Stiffness!$E$215=4,IF(4=Element_Stiffness!$C$215,Element_Stiffness!T245,IF(4=Element_Stiffness!$E$215,Element_Stiffness!Z245,0)),0)),0)</f>
        <v/>
      </c>
      <c r="AF32" s="21">
        <f>IF(Element_Stiffness!$C$6,IF(Element_Stiffness!$C$5=4,IF(4=Element_Stiffness!$C$5,Element_Stiffness!U29,IF(4=Element_Stiffness!$E$5,Element_Stiffness!AA29,0)),IF(Element_Stiffness!$E$5=4,IF(4=Element_Stiffness!$C$5,Element_Stiffness!U35,IF(4=Element_Stiffness!$E$5,Element_Stiffness!AA35,0)),0)),0)+IF(Element_Stiffness!$C$41,IF(Element_Stiffness!$C$40=4,IF(4=Element_Stiffness!$C$40,Element_Stiffness!U64,IF(4=Element_Stiffness!$E$40,Element_Stiffness!AA64,0)),IF(Element_Stiffness!$E$40=4,IF(4=Element_Stiffness!$C$40,Element_Stiffness!U70,IF(4=Element_Stiffness!$E$40,Element_Stiffness!AA70,0)),0)),0)+IF(Element_Stiffness!$C$76,IF(Element_Stiffness!$C$75=4,IF(4=Element_Stiffness!$C$75,Element_Stiffness!U99,IF(4=Element_Stiffness!$E$75,Element_Stiffness!AA99,0)),IF(Element_Stiffness!$E$75=4,IF(4=Element_Stiffness!$C$75,Element_Stiffness!U105,IF(4=Element_Stiffness!$E$75,Element_Stiffness!AA105,0)),0)),0)+IF(Element_Stiffness!$C$111,IF(Element_Stiffness!$C$110=4,IF(4=Element_Stiffness!$C$110,Element_Stiffness!U134,IF(4=Element_Stiffness!$E$110,Element_Stiffness!AA134,0)),IF(Element_Stiffness!$E$110=4,IF(4=Element_Stiffness!$C$110,Element_Stiffness!U140,IF(4=Element_Stiffness!$E$110,Element_Stiffness!AA140,0)),0)),0)+IF(Element_Stiffness!$C$146,IF(Element_Stiffness!$C$145=4,IF(4=Element_Stiffness!$C$145,Element_Stiffness!U169,IF(4=Element_Stiffness!$E$145,Element_Stiffness!AA169,0)),IF(Element_Stiffness!$E$145=4,IF(4=Element_Stiffness!$C$145,Element_Stiffness!U175,IF(4=Element_Stiffness!$E$145,Element_Stiffness!AA175,0)),0)),0)+IF(Element_Stiffness!$C$181,IF(Element_Stiffness!$C$180=4,IF(4=Element_Stiffness!$C$180,Element_Stiffness!U204,IF(4=Element_Stiffness!$E$180,Element_Stiffness!AA204,0)),IF(Element_Stiffness!$E$180=4,IF(4=Element_Stiffness!$C$180,Element_Stiffness!U210,IF(4=Element_Stiffness!$E$180,Element_Stiffness!AA210,0)),0)),0)+IF(Element_Stiffness!$C$216,IF(Element_Stiffness!$C$215=4,IF(4=Element_Stiffness!$C$215,Element_Stiffness!U239,IF(4=Element_Stiffness!$E$215,Element_Stiffness!AA239,0)),IF(Element_Stiffness!$E$215=4,IF(4=Element_Stiffness!$C$215,Element_Stiffness!U245,IF(4=Element_Stiffness!$E$215,Element_Stiffness!AA245,0)),0)),0)</f>
        <v/>
      </c>
      <c r="AG32" s="21">
        <f>IF(Element_Stiffness!$C$6,IF(Element_Stiffness!$C$5=4,IF(5=Element_Stiffness!$C$5,Element_Stiffness!P29,IF(5=Element_Stiffness!$E$5,Element_Stiffness!V29,0)),IF(Element_Stiffness!$E$5=4,IF(5=Element_Stiffness!$C$5,Element_Stiffness!P35,IF(5=Element_Stiffness!$E$5,Element_Stiffness!V35,0)),0)),0)+IF(Element_Stiffness!$C$41,IF(Element_Stiffness!$C$40=4,IF(5=Element_Stiffness!$C$40,Element_Stiffness!P64,IF(5=Element_Stiffness!$E$40,Element_Stiffness!V64,0)),IF(Element_Stiffness!$E$40=4,IF(5=Element_Stiffness!$C$40,Element_Stiffness!P70,IF(5=Element_Stiffness!$E$40,Element_Stiffness!V70,0)),0)),0)+IF(Element_Stiffness!$C$76,IF(Element_Stiffness!$C$75=4,IF(5=Element_Stiffness!$C$75,Element_Stiffness!P99,IF(5=Element_Stiffness!$E$75,Element_Stiffness!V99,0)),IF(Element_Stiffness!$E$75=4,IF(5=Element_Stiffness!$C$75,Element_Stiffness!P105,IF(5=Element_Stiffness!$E$75,Element_Stiffness!V105,0)),0)),0)+IF(Element_Stiffness!$C$111,IF(Element_Stiffness!$C$110=4,IF(5=Element_Stiffness!$C$110,Element_Stiffness!P134,IF(5=Element_Stiffness!$E$110,Element_Stiffness!V134,0)),IF(Element_Stiffness!$E$110=4,IF(5=Element_Stiffness!$C$110,Element_Stiffness!P140,IF(5=Element_Stiffness!$E$110,Element_Stiffness!V140,0)),0)),0)+IF(Element_Stiffness!$C$146,IF(Element_Stiffness!$C$145=4,IF(5=Element_Stiffness!$C$145,Element_Stiffness!P169,IF(5=Element_Stiffness!$E$145,Element_Stiffness!V169,0)),IF(Element_Stiffness!$E$145=4,IF(5=Element_Stiffness!$C$145,Element_Stiffness!P175,IF(5=Element_Stiffness!$E$145,Element_Stiffness!V175,0)),0)),0)+IF(Element_Stiffness!$C$181,IF(Element_Stiffness!$C$180=4,IF(5=Element_Stiffness!$C$180,Element_Stiffness!P204,IF(5=Element_Stiffness!$E$180,Element_Stiffness!V204,0)),IF(Element_Stiffness!$E$180=4,IF(5=Element_Stiffness!$C$180,Element_Stiffness!P210,IF(5=Element_Stiffness!$E$180,Element_Stiffness!V210,0)),0)),0)+IF(Element_Stiffness!$C$216,IF(Element_Stiffness!$C$215=4,IF(5=Element_Stiffness!$C$215,Element_Stiffness!P239,IF(5=Element_Stiffness!$E$215,Element_Stiffness!V239,0)),IF(Element_Stiffness!$E$215=4,IF(5=Element_Stiffness!$C$215,Element_Stiffness!P245,IF(5=Element_Stiffness!$E$215,Element_Stiffness!V245,0)),0)),0)</f>
        <v/>
      </c>
      <c r="AH32" s="21">
        <f>IF(Element_Stiffness!$C$6,IF(Element_Stiffness!$C$5=4,IF(5=Element_Stiffness!$C$5,Element_Stiffness!Q29,IF(5=Element_Stiffness!$E$5,Element_Stiffness!W29,0)),IF(Element_Stiffness!$E$5=4,IF(5=Element_Stiffness!$C$5,Element_Stiffness!Q35,IF(5=Element_Stiffness!$E$5,Element_Stiffness!W35,0)),0)),0)+IF(Element_Stiffness!$C$41,IF(Element_Stiffness!$C$40=4,IF(5=Element_Stiffness!$C$40,Element_Stiffness!Q64,IF(5=Element_Stiffness!$E$40,Element_Stiffness!W64,0)),IF(Element_Stiffness!$E$40=4,IF(5=Element_Stiffness!$C$40,Element_Stiffness!Q70,IF(5=Element_Stiffness!$E$40,Element_Stiffness!W70,0)),0)),0)+IF(Element_Stiffness!$C$76,IF(Element_Stiffness!$C$75=4,IF(5=Element_Stiffness!$C$75,Element_Stiffness!Q99,IF(5=Element_Stiffness!$E$75,Element_Stiffness!W99,0)),IF(Element_Stiffness!$E$75=4,IF(5=Element_Stiffness!$C$75,Element_Stiffness!Q105,IF(5=Element_Stiffness!$E$75,Element_Stiffness!W105,0)),0)),0)+IF(Element_Stiffness!$C$111,IF(Element_Stiffness!$C$110=4,IF(5=Element_Stiffness!$C$110,Element_Stiffness!Q134,IF(5=Element_Stiffness!$E$110,Element_Stiffness!W134,0)),IF(Element_Stiffness!$E$110=4,IF(5=Element_Stiffness!$C$110,Element_Stiffness!Q140,IF(5=Element_Stiffness!$E$110,Element_Stiffness!W140,0)),0)),0)+IF(Element_Stiffness!$C$146,IF(Element_Stiffness!$C$145=4,IF(5=Element_Stiffness!$C$145,Element_Stiffness!Q169,IF(5=Element_Stiffness!$E$145,Element_Stiffness!W169,0)),IF(Element_Stiffness!$E$145=4,IF(5=Element_Stiffness!$C$145,Element_Stiffness!Q175,IF(5=Element_Stiffness!$E$145,Element_Stiffness!W175,0)),0)),0)+IF(Element_Stiffness!$C$181,IF(Element_Stiffness!$C$180=4,IF(5=Element_Stiffness!$C$180,Element_Stiffness!Q204,IF(5=Element_Stiffness!$E$180,Element_Stiffness!W204,0)),IF(Element_Stiffness!$E$180=4,IF(5=Element_Stiffness!$C$180,Element_Stiffness!Q210,IF(5=Element_Stiffness!$E$180,Element_Stiffness!W210,0)),0)),0)+IF(Element_Stiffness!$C$216,IF(Element_Stiffness!$C$215=4,IF(5=Element_Stiffness!$C$215,Element_Stiffness!Q239,IF(5=Element_Stiffness!$E$215,Element_Stiffness!W239,0)),IF(Element_Stiffness!$E$215=4,IF(5=Element_Stiffness!$C$215,Element_Stiffness!Q245,IF(5=Element_Stiffness!$E$215,Element_Stiffness!W245,0)),0)),0)</f>
        <v/>
      </c>
      <c r="AI32" s="21">
        <f>IF(Element_Stiffness!$C$6,IF(Element_Stiffness!$C$5=4,IF(5=Element_Stiffness!$C$5,Element_Stiffness!R29,IF(5=Element_Stiffness!$E$5,Element_Stiffness!X29,0)),IF(Element_Stiffness!$E$5=4,IF(5=Element_Stiffness!$C$5,Element_Stiffness!R35,IF(5=Element_Stiffness!$E$5,Element_Stiffness!X35,0)),0)),0)+IF(Element_Stiffness!$C$41,IF(Element_Stiffness!$C$40=4,IF(5=Element_Stiffness!$C$40,Element_Stiffness!R64,IF(5=Element_Stiffness!$E$40,Element_Stiffness!X64,0)),IF(Element_Stiffness!$E$40=4,IF(5=Element_Stiffness!$C$40,Element_Stiffness!R70,IF(5=Element_Stiffness!$E$40,Element_Stiffness!X70,0)),0)),0)+IF(Element_Stiffness!$C$76,IF(Element_Stiffness!$C$75=4,IF(5=Element_Stiffness!$C$75,Element_Stiffness!R99,IF(5=Element_Stiffness!$E$75,Element_Stiffness!X99,0)),IF(Element_Stiffness!$E$75=4,IF(5=Element_Stiffness!$C$75,Element_Stiffness!R105,IF(5=Element_Stiffness!$E$75,Element_Stiffness!X105,0)),0)),0)+IF(Element_Stiffness!$C$111,IF(Element_Stiffness!$C$110=4,IF(5=Element_Stiffness!$C$110,Element_Stiffness!R134,IF(5=Element_Stiffness!$E$110,Element_Stiffness!X134,0)),IF(Element_Stiffness!$E$110=4,IF(5=Element_Stiffness!$C$110,Element_Stiffness!R140,IF(5=Element_Stiffness!$E$110,Element_Stiffness!X140,0)),0)),0)+IF(Element_Stiffness!$C$146,IF(Element_Stiffness!$C$145=4,IF(5=Element_Stiffness!$C$145,Element_Stiffness!R169,IF(5=Element_Stiffness!$E$145,Element_Stiffness!X169,0)),IF(Element_Stiffness!$E$145=4,IF(5=Element_Stiffness!$C$145,Element_Stiffness!R175,IF(5=Element_Stiffness!$E$145,Element_Stiffness!X175,0)),0)),0)+IF(Element_Stiffness!$C$181,IF(Element_Stiffness!$C$180=4,IF(5=Element_Stiffness!$C$180,Element_Stiffness!R204,IF(5=Element_Stiffness!$E$180,Element_Stiffness!X204,0)),IF(Element_Stiffness!$E$180=4,IF(5=Element_Stiffness!$C$180,Element_Stiffness!R210,IF(5=Element_Stiffness!$E$180,Element_Stiffness!X210,0)),0)),0)+IF(Element_Stiffness!$C$216,IF(Element_Stiffness!$C$215=4,IF(5=Element_Stiffness!$C$215,Element_Stiffness!R239,IF(5=Element_Stiffness!$E$215,Element_Stiffness!X239,0)),IF(Element_Stiffness!$E$215=4,IF(5=Element_Stiffness!$C$215,Element_Stiffness!R245,IF(5=Element_Stiffness!$E$215,Element_Stiffness!X245,0)),0)),0)</f>
        <v/>
      </c>
      <c r="AJ32" s="21">
        <f>IF(Element_Stiffness!$C$6,IF(Element_Stiffness!$C$5=4,IF(5=Element_Stiffness!$C$5,Element_Stiffness!S29,IF(5=Element_Stiffness!$E$5,Element_Stiffness!Y29,0)),IF(Element_Stiffness!$E$5=4,IF(5=Element_Stiffness!$C$5,Element_Stiffness!S35,IF(5=Element_Stiffness!$E$5,Element_Stiffness!Y35,0)),0)),0)+IF(Element_Stiffness!$C$41,IF(Element_Stiffness!$C$40=4,IF(5=Element_Stiffness!$C$40,Element_Stiffness!S64,IF(5=Element_Stiffness!$E$40,Element_Stiffness!Y64,0)),IF(Element_Stiffness!$E$40=4,IF(5=Element_Stiffness!$C$40,Element_Stiffness!S70,IF(5=Element_Stiffness!$E$40,Element_Stiffness!Y70,0)),0)),0)+IF(Element_Stiffness!$C$76,IF(Element_Stiffness!$C$75=4,IF(5=Element_Stiffness!$C$75,Element_Stiffness!S99,IF(5=Element_Stiffness!$E$75,Element_Stiffness!Y99,0)),IF(Element_Stiffness!$E$75=4,IF(5=Element_Stiffness!$C$75,Element_Stiffness!S105,IF(5=Element_Stiffness!$E$75,Element_Stiffness!Y105,0)),0)),0)+IF(Element_Stiffness!$C$111,IF(Element_Stiffness!$C$110=4,IF(5=Element_Stiffness!$C$110,Element_Stiffness!S134,IF(5=Element_Stiffness!$E$110,Element_Stiffness!Y134,0)),IF(Element_Stiffness!$E$110=4,IF(5=Element_Stiffness!$C$110,Element_Stiffness!S140,IF(5=Element_Stiffness!$E$110,Element_Stiffness!Y140,0)),0)),0)+IF(Element_Stiffness!$C$146,IF(Element_Stiffness!$C$145=4,IF(5=Element_Stiffness!$C$145,Element_Stiffness!S169,IF(5=Element_Stiffness!$E$145,Element_Stiffness!Y169,0)),IF(Element_Stiffness!$E$145=4,IF(5=Element_Stiffness!$C$145,Element_Stiffness!S175,IF(5=Element_Stiffness!$E$145,Element_Stiffness!Y175,0)),0)),0)+IF(Element_Stiffness!$C$181,IF(Element_Stiffness!$C$180=4,IF(5=Element_Stiffness!$C$180,Element_Stiffness!S204,IF(5=Element_Stiffness!$E$180,Element_Stiffness!Y204,0)),IF(Element_Stiffness!$E$180=4,IF(5=Element_Stiffness!$C$180,Element_Stiffness!S210,IF(5=Element_Stiffness!$E$180,Element_Stiffness!Y210,0)),0)),0)+IF(Element_Stiffness!$C$216,IF(Element_Stiffness!$C$215=4,IF(5=Element_Stiffness!$C$215,Element_Stiffness!S239,IF(5=Element_Stiffness!$E$215,Element_Stiffness!Y239,0)),IF(Element_Stiffness!$E$215=4,IF(5=Element_Stiffness!$C$215,Element_Stiffness!S245,IF(5=Element_Stiffness!$E$215,Element_Stiffness!Y245,0)),0)),0)</f>
        <v/>
      </c>
      <c r="AK32" s="21">
        <f>IF(Element_Stiffness!$C$6,IF(Element_Stiffness!$C$5=4,IF(5=Element_Stiffness!$C$5,Element_Stiffness!T29,IF(5=Element_Stiffness!$E$5,Element_Stiffness!Z29,0)),IF(Element_Stiffness!$E$5=4,IF(5=Element_Stiffness!$C$5,Element_Stiffness!T35,IF(5=Element_Stiffness!$E$5,Element_Stiffness!Z35,0)),0)),0)+IF(Element_Stiffness!$C$41,IF(Element_Stiffness!$C$40=4,IF(5=Element_Stiffness!$C$40,Element_Stiffness!T64,IF(5=Element_Stiffness!$E$40,Element_Stiffness!Z64,0)),IF(Element_Stiffness!$E$40=4,IF(5=Element_Stiffness!$C$40,Element_Stiffness!T70,IF(5=Element_Stiffness!$E$40,Element_Stiffness!Z70,0)),0)),0)+IF(Element_Stiffness!$C$76,IF(Element_Stiffness!$C$75=4,IF(5=Element_Stiffness!$C$75,Element_Stiffness!T99,IF(5=Element_Stiffness!$E$75,Element_Stiffness!Z99,0)),IF(Element_Stiffness!$E$75=4,IF(5=Element_Stiffness!$C$75,Element_Stiffness!T105,IF(5=Element_Stiffness!$E$75,Element_Stiffness!Z105,0)),0)),0)+IF(Element_Stiffness!$C$111,IF(Element_Stiffness!$C$110=4,IF(5=Element_Stiffness!$C$110,Element_Stiffness!T134,IF(5=Element_Stiffness!$E$110,Element_Stiffness!Z134,0)),IF(Element_Stiffness!$E$110=4,IF(5=Element_Stiffness!$C$110,Element_Stiffness!T140,IF(5=Element_Stiffness!$E$110,Element_Stiffness!Z140,0)),0)),0)+IF(Element_Stiffness!$C$146,IF(Element_Stiffness!$C$145=4,IF(5=Element_Stiffness!$C$145,Element_Stiffness!T169,IF(5=Element_Stiffness!$E$145,Element_Stiffness!Z169,0)),IF(Element_Stiffness!$E$145=4,IF(5=Element_Stiffness!$C$145,Element_Stiffness!T175,IF(5=Element_Stiffness!$E$145,Element_Stiffness!Z175,0)),0)),0)+IF(Element_Stiffness!$C$181,IF(Element_Stiffness!$C$180=4,IF(5=Element_Stiffness!$C$180,Element_Stiffness!T204,IF(5=Element_Stiffness!$E$180,Element_Stiffness!Z204,0)),IF(Element_Stiffness!$E$180=4,IF(5=Element_Stiffness!$C$180,Element_Stiffness!T210,IF(5=Element_Stiffness!$E$180,Element_Stiffness!Z210,0)),0)),0)+IF(Element_Stiffness!$C$216,IF(Element_Stiffness!$C$215=4,IF(5=Element_Stiffness!$C$215,Element_Stiffness!T239,IF(5=Element_Stiffness!$E$215,Element_Stiffness!Z239,0)),IF(Element_Stiffness!$E$215=4,IF(5=Element_Stiffness!$C$215,Element_Stiffness!T245,IF(5=Element_Stiffness!$E$215,Element_Stiffness!Z245,0)),0)),0)</f>
        <v/>
      </c>
      <c r="AL32" s="21">
        <f>IF(Element_Stiffness!$C$6,IF(Element_Stiffness!$C$5=4,IF(5=Element_Stiffness!$C$5,Element_Stiffness!U29,IF(5=Element_Stiffness!$E$5,Element_Stiffness!AA29,0)),IF(Element_Stiffness!$E$5=4,IF(5=Element_Stiffness!$C$5,Element_Stiffness!U35,IF(5=Element_Stiffness!$E$5,Element_Stiffness!AA35,0)),0)),0)+IF(Element_Stiffness!$C$41,IF(Element_Stiffness!$C$40=4,IF(5=Element_Stiffness!$C$40,Element_Stiffness!U64,IF(5=Element_Stiffness!$E$40,Element_Stiffness!AA64,0)),IF(Element_Stiffness!$E$40=4,IF(5=Element_Stiffness!$C$40,Element_Stiffness!U70,IF(5=Element_Stiffness!$E$40,Element_Stiffness!AA70,0)),0)),0)+IF(Element_Stiffness!$C$76,IF(Element_Stiffness!$C$75=4,IF(5=Element_Stiffness!$C$75,Element_Stiffness!U99,IF(5=Element_Stiffness!$E$75,Element_Stiffness!AA99,0)),IF(Element_Stiffness!$E$75=4,IF(5=Element_Stiffness!$C$75,Element_Stiffness!U105,IF(5=Element_Stiffness!$E$75,Element_Stiffness!AA105,0)),0)),0)+IF(Element_Stiffness!$C$111,IF(Element_Stiffness!$C$110=4,IF(5=Element_Stiffness!$C$110,Element_Stiffness!U134,IF(5=Element_Stiffness!$E$110,Element_Stiffness!AA134,0)),IF(Element_Stiffness!$E$110=4,IF(5=Element_Stiffness!$C$110,Element_Stiffness!U140,IF(5=Element_Stiffness!$E$110,Element_Stiffness!AA140,0)),0)),0)+IF(Element_Stiffness!$C$146,IF(Element_Stiffness!$C$145=4,IF(5=Element_Stiffness!$C$145,Element_Stiffness!U169,IF(5=Element_Stiffness!$E$145,Element_Stiffness!AA169,0)),IF(Element_Stiffness!$E$145=4,IF(5=Element_Stiffness!$C$145,Element_Stiffness!U175,IF(5=Element_Stiffness!$E$145,Element_Stiffness!AA175,0)),0)),0)+IF(Element_Stiffness!$C$181,IF(Element_Stiffness!$C$180=4,IF(5=Element_Stiffness!$C$180,Element_Stiffness!U204,IF(5=Element_Stiffness!$E$180,Element_Stiffness!AA204,0)),IF(Element_Stiffness!$E$180=4,IF(5=Element_Stiffness!$C$180,Element_Stiffness!U210,IF(5=Element_Stiffness!$E$180,Element_Stiffness!AA210,0)),0)),0)+IF(Element_Stiffness!$C$216,IF(Element_Stiffness!$C$215=4,IF(5=Element_Stiffness!$C$215,Element_Stiffness!U239,IF(5=Element_Stiffness!$E$215,Element_Stiffness!AA239,0)),IF(Element_Stiffness!$E$215=4,IF(5=Element_Stiffness!$C$215,Element_Stiffness!U245,IF(5=Element_Stiffness!$E$215,Element_Stiffness!AA245,0)),0)),0)</f>
        <v/>
      </c>
      <c r="AM32" s="21">
        <f>IF(Element_Stiffness!$C$6,IF(Element_Stiffness!$C$5=4,IF(6=Element_Stiffness!$C$5,Element_Stiffness!P29,IF(6=Element_Stiffness!$E$5,Element_Stiffness!V29,0)),IF(Element_Stiffness!$E$5=4,IF(6=Element_Stiffness!$C$5,Element_Stiffness!P35,IF(6=Element_Stiffness!$E$5,Element_Stiffness!V35,0)),0)),0)+IF(Element_Stiffness!$C$41,IF(Element_Stiffness!$C$40=4,IF(6=Element_Stiffness!$C$40,Element_Stiffness!P64,IF(6=Element_Stiffness!$E$40,Element_Stiffness!V64,0)),IF(Element_Stiffness!$E$40=4,IF(6=Element_Stiffness!$C$40,Element_Stiffness!P70,IF(6=Element_Stiffness!$E$40,Element_Stiffness!V70,0)),0)),0)+IF(Element_Stiffness!$C$76,IF(Element_Stiffness!$C$75=4,IF(6=Element_Stiffness!$C$75,Element_Stiffness!P99,IF(6=Element_Stiffness!$E$75,Element_Stiffness!V99,0)),IF(Element_Stiffness!$E$75=4,IF(6=Element_Stiffness!$C$75,Element_Stiffness!P105,IF(6=Element_Stiffness!$E$75,Element_Stiffness!V105,0)),0)),0)+IF(Element_Stiffness!$C$111,IF(Element_Stiffness!$C$110=4,IF(6=Element_Stiffness!$C$110,Element_Stiffness!P134,IF(6=Element_Stiffness!$E$110,Element_Stiffness!V134,0)),IF(Element_Stiffness!$E$110=4,IF(6=Element_Stiffness!$C$110,Element_Stiffness!P140,IF(6=Element_Stiffness!$E$110,Element_Stiffness!V140,0)),0)),0)+IF(Element_Stiffness!$C$146,IF(Element_Stiffness!$C$145=4,IF(6=Element_Stiffness!$C$145,Element_Stiffness!P169,IF(6=Element_Stiffness!$E$145,Element_Stiffness!V169,0)),IF(Element_Stiffness!$E$145=4,IF(6=Element_Stiffness!$C$145,Element_Stiffness!P175,IF(6=Element_Stiffness!$E$145,Element_Stiffness!V175,0)),0)),0)+IF(Element_Stiffness!$C$181,IF(Element_Stiffness!$C$180=4,IF(6=Element_Stiffness!$C$180,Element_Stiffness!P204,IF(6=Element_Stiffness!$E$180,Element_Stiffness!V204,0)),IF(Element_Stiffness!$E$180=4,IF(6=Element_Stiffness!$C$180,Element_Stiffness!P210,IF(6=Element_Stiffness!$E$180,Element_Stiffness!V210,0)),0)),0)+IF(Element_Stiffness!$C$216,IF(Element_Stiffness!$C$215=4,IF(6=Element_Stiffness!$C$215,Element_Stiffness!P239,IF(6=Element_Stiffness!$E$215,Element_Stiffness!V239,0)),IF(Element_Stiffness!$E$215=4,IF(6=Element_Stiffness!$C$215,Element_Stiffness!P245,IF(6=Element_Stiffness!$E$215,Element_Stiffness!V245,0)),0)),0)</f>
        <v/>
      </c>
      <c r="AN32" s="21">
        <f>IF(Element_Stiffness!$C$6,IF(Element_Stiffness!$C$5=4,IF(6=Element_Stiffness!$C$5,Element_Stiffness!Q29,IF(6=Element_Stiffness!$E$5,Element_Stiffness!W29,0)),IF(Element_Stiffness!$E$5=4,IF(6=Element_Stiffness!$C$5,Element_Stiffness!Q35,IF(6=Element_Stiffness!$E$5,Element_Stiffness!W35,0)),0)),0)+IF(Element_Stiffness!$C$41,IF(Element_Stiffness!$C$40=4,IF(6=Element_Stiffness!$C$40,Element_Stiffness!Q64,IF(6=Element_Stiffness!$E$40,Element_Stiffness!W64,0)),IF(Element_Stiffness!$E$40=4,IF(6=Element_Stiffness!$C$40,Element_Stiffness!Q70,IF(6=Element_Stiffness!$E$40,Element_Stiffness!W70,0)),0)),0)+IF(Element_Stiffness!$C$76,IF(Element_Stiffness!$C$75=4,IF(6=Element_Stiffness!$C$75,Element_Stiffness!Q99,IF(6=Element_Stiffness!$E$75,Element_Stiffness!W99,0)),IF(Element_Stiffness!$E$75=4,IF(6=Element_Stiffness!$C$75,Element_Stiffness!Q105,IF(6=Element_Stiffness!$E$75,Element_Stiffness!W105,0)),0)),0)+IF(Element_Stiffness!$C$111,IF(Element_Stiffness!$C$110=4,IF(6=Element_Stiffness!$C$110,Element_Stiffness!Q134,IF(6=Element_Stiffness!$E$110,Element_Stiffness!W134,0)),IF(Element_Stiffness!$E$110=4,IF(6=Element_Stiffness!$C$110,Element_Stiffness!Q140,IF(6=Element_Stiffness!$E$110,Element_Stiffness!W140,0)),0)),0)+IF(Element_Stiffness!$C$146,IF(Element_Stiffness!$C$145=4,IF(6=Element_Stiffness!$C$145,Element_Stiffness!Q169,IF(6=Element_Stiffness!$E$145,Element_Stiffness!W169,0)),IF(Element_Stiffness!$E$145=4,IF(6=Element_Stiffness!$C$145,Element_Stiffness!Q175,IF(6=Element_Stiffness!$E$145,Element_Stiffness!W175,0)),0)),0)+IF(Element_Stiffness!$C$181,IF(Element_Stiffness!$C$180=4,IF(6=Element_Stiffness!$C$180,Element_Stiffness!Q204,IF(6=Element_Stiffness!$E$180,Element_Stiffness!W204,0)),IF(Element_Stiffness!$E$180=4,IF(6=Element_Stiffness!$C$180,Element_Stiffness!Q210,IF(6=Element_Stiffness!$E$180,Element_Stiffness!W210,0)),0)),0)+IF(Element_Stiffness!$C$216,IF(Element_Stiffness!$C$215=4,IF(6=Element_Stiffness!$C$215,Element_Stiffness!Q239,IF(6=Element_Stiffness!$E$215,Element_Stiffness!W239,0)),IF(Element_Stiffness!$E$215=4,IF(6=Element_Stiffness!$C$215,Element_Stiffness!Q245,IF(6=Element_Stiffness!$E$215,Element_Stiffness!W245,0)),0)),0)</f>
        <v/>
      </c>
      <c r="AO32" s="21">
        <f>IF(Element_Stiffness!$C$6,IF(Element_Stiffness!$C$5=4,IF(6=Element_Stiffness!$C$5,Element_Stiffness!R29,IF(6=Element_Stiffness!$E$5,Element_Stiffness!X29,0)),IF(Element_Stiffness!$E$5=4,IF(6=Element_Stiffness!$C$5,Element_Stiffness!R35,IF(6=Element_Stiffness!$E$5,Element_Stiffness!X35,0)),0)),0)+IF(Element_Stiffness!$C$41,IF(Element_Stiffness!$C$40=4,IF(6=Element_Stiffness!$C$40,Element_Stiffness!R64,IF(6=Element_Stiffness!$E$40,Element_Stiffness!X64,0)),IF(Element_Stiffness!$E$40=4,IF(6=Element_Stiffness!$C$40,Element_Stiffness!R70,IF(6=Element_Stiffness!$E$40,Element_Stiffness!X70,0)),0)),0)+IF(Element_Stiffness!$C$76,IF(Element_Stiffness!$C$75=4,IF(6=Element_Stiffness!$C$75,Element_Stiffness!R99,IF(6=Element_Stiffness!$E$75,Element_Stiffness!X99,0)),IF(Element_Stiffness!$E$75=4,IF(6=Element_Stiffness!$C$75,Element_Stiffness!R105,IF(6=Element_Stiffness!$E$75,Element_Stiffness!X105,0)),0)),0)+IF(Element_Stiffness!$C$111,IF(Element_Stiffness!$C$110=4,IF(6=Element_Stiffness!$C$110,Element_Stiffness!R134,IF(6=Element_Stiffness!$E$110,Element_Stiffness!X134,0)),IF(Element_Stiffness!$E$110=4,IF(6=Element_Stiffness!$C$110,Element_Stiffness!R140,IF(6=Element_Stiffness!$E$110,Element_Stiffness!X140,0)),0)),0)+IF(Element_Stiffness!$C$146,IF(Element_Stiffness!$C$145=4,IF(6=Element_Stiffness!$C$145,Element_Stiffness!R169,IF(6=Element_Stiffness!$E$145,Element_Stiffness!X169,0)),IF(Element_Stiffness!$E$145=4,IF(6=Element_Stiffness!$C$145,Element_Stiffness!R175,IF(6=Element_Stiffness!$E$145,Element_Stiffness!X175,0)),0)),0)+IF(Element_Stiffness!$C$181,IF(Element_Stiffness!$C$180=4,IF(6=Element_Stiffness!$C$180,Element_Stiffness!R204,IF(6=Element_Stiffness!$E$180,Element_Stiffness!X204,0)),IF(Element_Stiffness!$E$180=4,IF(6=Element_Stiffness!$C$180,Element_Stiffness!R210,IF(6=Element_Stiffness!$E$180,Element_Stiffness!X210,0)),0)),0)+IF(Element_Stiffness!$C$216,IF(Element_Stiffness!$C$215=4,IF(6=Element_Stiffness!$C$215,Element_Stiffness!R239,IF(6=Element_Stiffness!$E$215,Element_Stiffness!X239,0)),IF(Element_Stiffness!$E$215=4,IF(6=Element_Stiffness!$C$215,Element_Stiffness!R245,IF(6=Element_Stiffness!$E$215,Element_Stiffness!X245,0)),0)),0)</f>
        <v/>
      </c>
      <c r="AP32" s="21">
        <f>IF(Element_Stiffness!$C$6,IF(Element_Stiffness!$C$5=4,IF(6=Element_Stiffness!$C$5,Element_Stiffness!S29,IF(6=Element_Stiffness!$E$5,Element_Stiffness!Y29,0)),IF(Element_Stiffness!$E$5=4,IF(6=Element_Stiffness!$C$5,Element_Stiffness!S35,IF(6=Element_Stiffness!$E$5,Element_Stiffness!Y35,0)),0)),0)+IF(Element_Stiffness!$C$41,IF(Element_Stiffness!$C$40=4,IF(6=Element_Stiffness!$C$40,Element_Stiffness!S64,IF(6=Element_Stiffness!$E$40,Element_Stiffness!Y64,0)),IF(Element_Stiffness!$E$40=4,IF(6=Element_Stiffness!$C$40,Element_Stiffness!S70,IF(6=Element_Stiffness!$E$40,Element_Stiffness!Y70,0)),0)),0)+IF(Element_Stiffness!$C$76,IF(Element_Stiffness!$C$75=4,IF(6=Element_Stiffness!$C$75,Element_Stiffness!S99,IF(6=Element_Stiffness!$E$75,Element_Stiffness!Y99,0)),IF(Element_Stiffness!$E$75=4,IF(6=Element_Stiffness!$C$75,Element_Stiffness!S105,IF(6=Element_Stiffness!$E$75,Element_Stiffness!Y105,0)),0)),0)+IF(Element_Stiffness!$C$111,IF(Element_Stiffness!$C$110=4,IF(6=Element_Stiffness!$C$110,Element_Stiffness!S134,IF(6=Element_Stiffness!$E$110,Element_Stiffness!Y134,0)),IF(Element_Stiffness!$E$110=4,IF(6=Element_Stiffness!$C$110,Element_Stiffness!S140,IF(6=Element_Stiffness!$E$110,Element_Stiffness!Y140,0)),0)),0)+IF(Element_Stiffness!$C$146,IF(Element_Stiffness!$C$145=4,IF(6=Element_Stiffness!$C$145,Element_Stiffness!S169,IF(6=Element_Stiffness!$E$145,Element_Stiffness!Y169,0)),IF(Element_Stiffness!$E$145=4,IF(6=Element_Stiffness!$C$145,Element_Stiffness!S175,IF(6=Element_Stiffness!$E$145,Element_Stiffness!Y175,0)),0)),0)+IF(Element_Stiffness!$C$181,IF(Element_Stiffness!$C$180=4,IF(6=Element_Stiffness!$C$180,Element_Stiffness!S204,IF(6=Element_Stiffness!$E$180,Element_Stiffness!Y204,0)),IF(Element_Stiffness!$E$180=4,IF(6=Element_Stiffness!$C$180,Element_Stiffness!S210,IF(6=Element_Stiffness!$E$180,Element_Stiffness!Y210,0)),0)),0)+IF(Element_Stiffness!$C$216,IF(Element_Stiffness!$C$215=4,IF(6=Element_Stiffness!$C$215,Element_Stiffness!S239,IF(6=Element_Stiffness!$E$215,Element_Stiffness!Y239,0)),IF(Element_Stiffness!$E$215=4,IF(6=Element_Stiffness!$C$215,Element_Stiffness!S245,IF(6=Element_Stiffness!$E$215,Element_Stiffness!Y245,0)),0)),0)</f>
        <v/>
      </c>
      <c r="AQ32" s="21">
        <f>IF(Element_Stiffness!$C$6,IF(Element_Stiffness!$C$5=4,IF(6=Element_Stiffness!$C$5,Element_Stiffness!T29,IF(6=Element_Stiffness!$E$5,Element_Stiffness!Z29,0)),IF(Element_Stiffness!$E$5=4,IF(6=Element_Stiffness!$C$5,Element_Stiffness!T35,IF(6=Element_Stiffness!$E$5,Element_Stiffness!Z35,0)),0)),0)+IF(Element_Stiffness!$C$41,IF(Element_Stiffness!$C$40=4,IF(6=Element_Stiffness!$C$40,Element_Stiffness!T64,IF(6=Element_Stiffness!$E$40,Element_Stiffness!Z64,0)),IF(Element_Stiffness!$E$40=4,IF(6=Element_Stiffness!$C$40,Element_Stiffness!T70,IF(6=Element_Stiffness!$E$40,Element_Stiffness!Z70,0)),0)),0)+IF(Element_Stiffness!$C$76,IF(Element_Stiffness!$C$75=4,IF(6=Element_Stiffness!$C$75,Element_Stiffness!T99,IF(6=Element_Stiffness!$E$75,Element_Stiffness!Z99,0)),IF(Element_Stiffness!$E$75=4,IF(6=Element_Stiffness!$C$75,Element_Stiffness!T105,IF(6=Element_Stiffness!$E$75,Element_Stiffness!Z105,0)),0)),0)+IF(Element_Stiffness!$C$111,IF(Element_Stiffness!$C$110=4,IF(6=Element_Stiffness!$C$110,Element_Stiffness!T134,IF(6=Element_Stiffness!$E$110,Element_Stiffness!Z134,0)),IF(Element_Stiffness!$E$110=4,IF(6=Element_Stiffness!$C$110,Element_Stiffness!T140,IF(6=Element_Stiffness!$E$110,Element_Stiffness!Z140,0)),0)),0)+IF(Element_Stiffness!$C$146,IF(Element_Stiffness!$C$145=4,IF(6=Element_Stiffness!$C$145,Element_Stiffness!T169,IF(6=Element_Stiffness!$E$145,Element_Stiffness!Z169,0)),IF(Element_Stiffness!$E$145=4,IF(6=Element_Stiffness!$C$145,Element_Stiffness!T175,IF(6=Element_Stiffness!$E$145,Element_Stiffness!Z175,0)),0)),0)+IF(Element_Stiffness!$C$181,IF(Element_Stiffness!$C$180=4,IF(6=Element_Stiffness!$C$180,Element_Stiffness!T204,IF(6=Element_Stiffness!$E$180,Element_Stiffness!Z204,0)),IF(Element_Stiffness!$E$180=4,IF(6=Element_Stiffness!$C$180,Element_Stiffness!T210,IF(6=Element_Stiffness!$E$180,Element_Stiffness!Z210,0)),0)),0)+IF(Element_Stiffness!$C$216,IF(Element_Stiffness!$C$215=4,IF(6=Element_Stiffness!$C$215,Element_Stiffness!T239,IF(6=Element_Stiffness!$E$215,Element_Stiffness!Z239,0)),IF(Element_Stiffness!$E$215=4,IF(6=Element_Stiffness!$C$215,Element_Stiffness!T245,IF(6=Element_Stiffness!$E$215,Element_Stiffness!Z245,0)),0)),0)</f>
        <v/>
      </c>
      <c r="AR32" s="21">
        <f>IF(Element_Stiffness!$C$6,IF(Element_Stiffness!$C$5=4,IF(6=Element_Stiffness!$C$5,Element_Stiffness!U29,IF(6=Element_Stiffness!$E$5,Element_Stiffness!AA29,0)),IF(Element_Stiffness!$E$5=4,IF(6=Element_Stiffness!$C$5,Element_Stiffness!U35,IF(6=Element_Stiffness!$E$5,Element_Stiffness!AA35,0)),0)),0)+IF(Element_Stiffness!$C$41,IF(Element_Stiffness!$C$40=4,IF(6=Element_Stiffness!$C$40,Element_Stiffness!U64,IF(6=Element_Stiffness!$E$40,Element_Stiffness!AA64,0)),IF(Element_Stiffness!$E$40=4,IF(6=Element_Stiffness!$C$40,Element_Stiffness!U70,IF(6=Element_Stiffness!$E$40,Element_Stiffness!AA70,0)),0)),0)+IF(Element_Stiffness!$C$76,IF(Element_Stiffness!$C$75=4,IF(6=Element_Stiffness!$C$75,Element_Stiffness!U99,IF(6=Element_Stiffness!$E$75,Element_Stiffness!AA99,0)),IF(Element_Stiffness!$E$75=4,IF(6=Element_Stiffness!$C$75,Element_Stiffness!U105,IF(6=Element_Stiffness!$E$75,Element_Stiffness!AA105,0)),0)),0)+IF(Element_Stiffness!$C$111,IF(Element_Stiffness!$C$110=4,IF(6=Element_Stiffness!$C$110,Element_Stiffness!U134,IF(6=Element_Stiffness!$E$110,Element_Stiffness!AA134,0)),IF(Element_Stiffness!$E$110=4,IF(6=Element_Stiffness!$C$110,Element_Stiffness!U140,IF(6=Element_Stiffness!$E$110,Element_Stiffness!AA140,0)),0)),0)+IF(Element_Stiffness!$C$146,IF(Element_Stiffness!$C$145=4,IF(6=Element_Stiffness!$C$145,Element_Stiffness!U169,IF(6=Element_Stiffness!$E$145,Element_Stiffness!AA169,0)),IF(Element_Stiffness!$E$145=4,IF(6=Element_Stiffness!$C$145,Element_Stiffness!U175,IF(6=Element_Stiffness!$E$145,Element_Stiffness!AA175,0)),0)),0)+IF(Element_Stiffness!$C$181,IF(Element_Stiffness!$C$180=4,IF(6=Element_Stiffness!$C$180,Element_Stiffness!U204,IF(6=Element_Stiffness!$E$180,Element_Stiffness!AA204,0)),IF(Element_Stiffness!$E$180=4,IF(6=Element_Stiffness!$C$180,Element_Stiffness!U210,IF(6=Element_Stiffness!$E$180,Element_Stiffness!AA210,0)),0)),0)+IF(Element_Stiffness!$C$216,IF(Element_Stiffness!$C$215=4,IF(6=Element_Stiffness!$C$215,Element_Stiffness!U239,IF(6=Element_Stiffness!$E$215,Element_Stiffness!AA239,0)),IF(Element_Stiffness!$E$215=4,IF(6=Element_Stiffness!$C$215,Element_Stiffness!U245,IF(6=Element_Stiffness!$E$215,Element_Stiffness!AA245,0)),0)),0)</f>
        <v/>
      </c>
      <c r="AS32" s="21">
        <f>IF(Element_Stiffness!$C$6,IF(Element_Stiffness!$C$5=4,IF(7=Element_Stiffness!$C$5,Element_Stiffness!P29,IF(7=Element_Stiffness!$E$5,Element_Stiffness!V29,0)),IF(Element_Stiffness!$E$5=4,IF(7=Element_Stiffness!$C$5,Element_Stiffness!P35,IF(7=Element_Stiffness!$E$5,Element_Stiffness!V35,0)),0)),0)+IF(Element_Stiffness!$C$41,IF(Element_Stiffness!$C$40=4,IF(7=Element_Stiffness!$C$40,Element_Stiffness!P64,IF(7=Element_Stiffness!$E$40,Element_Stiffness!V64,0)),IF(Element_Stiffness!$E$40=4,IF(7=Element_Stiffness!$C$40,Element_Stiffness!P70,IF(7=Element_Stiffness!$E$40,Element_Stiffness!V70,0)),0)),0)+IF(Element_Stiffness!$C$76,IF(Element_Stiffness!$C$75=4,IF(7=Element_Stiffness!$C$75,Element_Stiffness!P99,IF(7=Element_Stiffness!$E$75,Element_Stiffness!V99,0)),IF(Element_Stiffness!$E$75=4,IF(7=Element_Stiffness!$C$75,Element_Stiffness!P105,IF(7=Element_Stiffness!$E$75,Element_Stiffness!V105,0)),0)),0)+IF(Element_Stiffness!$C$111,IF(Element_Stiffness!$C$110=4,IF(7=Element_Stiffness!$C$110,Element_Stiffness!P134,IF(7=Element_Stiffness!$E$110,Element_Stiffness!V134,0)),IF(Element_Stiffness!$E$110=4,IF(7=Element_Stiffness!$C$110,Element_Stiffness!P140,IF(7=Element_Stiffness!$E$110,Element_Stiffness!V140,0)),0)),0)+IF(Element_Stiffness!$C$146,IF(Element_Stiffness!$C$145=4,IF(7=Element_Stiffness!$C$145,Element_Stiffness!P169,IF(7=Element_Stiffness!$E$145,Element_Stiffness!V169,0)),IF(Element_Stiffness!$E$145=4,IF(7=Element_Stiffness!$C$145,Element_Stiffness!P175,IF(7=Element_Stiffness!$E$145,Element_Stiffness!V175,0)),0)),0)+IF(Element_Stiffness!$C$181,IF(Element_Stiffness!$C$180=4,IF(7=Element_Stiffness!$C$180,Element_Stiffness!P204,IF(7=Element_Stiffness!$E$180,Element_Stiffness!V204,0)),IF(Element_Stiffness!$E$180=4,IF(7=Element_Stiffness!$C$180,Element_Stiffness!P210,IF(7=Element_Stiffness!$E$180,Element_Stiffness!V210,0)),0)),0)+IF(Element_Stiffness!$C$216,IF(Element_Stiffness!$C$215=4,IF(7=Element_Stiffness!$C$215,Element_Stiffness!P239,IF(7=Element_Stiffness!$E$215,Element_Stiffness!V239,0)),IF(Element_Stiffness!$E$215=4,IF(7=Element_Stiffness!$C$215,Element_Stiffness!P245,IF(7=Element_Stiffness!$E$215,Element_Stiffness!V245,0)),0)),0)</f>
        <v/>
      </c>
      <c r="AT32" s="21">
        <f>IF(Element_Stiffness!$C$6,IF(Element_Stiffness!$C$5=4,IF(7=Element_Stiffness!$C$5,Element_Stiffness!Q29,IF(7=Element_Stiffness!$E$5,Element_Stiffness!W29,0)),IF(Element_Stiffness!$E$5=4,IF(7=Element_Stiffness!$C$5,Element_Stiffness!Q35,IF(7=Element_Stiffness!$E$5,Element_Stiffness!W35,0)),0)),0)+IF(Element_Stiffness!$C$41,IF(Element_Stiffness!$C$40=4,IF(7=Element_Stiffness!$C$40,Element_Stiffness!Q64,IF(7=Element_Stiffness!$E$40,Element_Stiffness!W64,0)),IF(Element_Stiffness!$E$40=4,IF(7=Element_Stiffness!$C$40,Element_Stiffness!Q70,IF(7=Element_Stiffness!$E$40,Element_Stiffness!W70,0)),0)),0)+IF(Element_Stiffness!$C$76,IF(Element_Stiffness!$C$75=4,IF(7=Element_Stiffness!$C$75,Element_Stiffness!Q99,IF(7=Element_Stiffness!$E$75,Element_Stiffness!W99,0)),IF(Element_Stiffness!$E$75=4,IF(7=Element_Stiffness!$C$75,Element_Stiffness!Q105,IF(7=Element_Stiffness!$E$75,Element_Stiffness!W105,0)),0)),0)+IF(Element_Stiffness!$C$111,IF(Element_Stiffness!$C$110=4,IF(7=Element_Stiffness!$C$110,Element_Stiffness!Q134,IF(7=Element_Stiffness!$E$110,Element_Stiffness!W134,0)),IF(Element_Stiffness!$E$110=4,IF(7=Element_Stiffness!$C$110,Element_Stiffness!Q140,IF(7=Element_Stiffness!$E$110,Element_Stiffness!W140,0)),0)),0)+IF(Element_Stiffness!$C$146,IF(Element_Stiffness!$C$145=4,IF(7=Element_Stiffness!$C$145,Element_Stiffness!Q169,IF(7=Element_Stiffness!$E$145,Element_Stiffness!W169,0)),IF(Element_Stiffness!$E$145=4,IF(7=Element_Stiffness!$C$145,Element_Stiffness!Q175,IF(7=Element_Stiffness!$E$145,Element_Stiffness!W175,0)),0)),0)+IF(Element_Stiffness!$C$181,IF(Element_Stiffness!$C$180=4,IF(7=Element_Stiffness!$C$180,Element_Stiffness!Q204,IF(7=Element_Stiffness!$E$180,Element_Stiffness!W204,0)),IF(Element_Stiffness!$E$180=4,IF(7=Element_Stiffness!$C$180,Element_Stiffness!Q210,IF(7=Element_Stiffness!$E$180,Element_Stiffness!W210,0)),0)),0)+IF(Element_Stiffness!$C$216,IF(Element_Stiffness!$C$215=4,IF(7=Element_Stiffness!$C$215,Element_Stiffness!Q239,IF(7=Element_Stiffness!$E$215,Element_Stiffness!W239,0)),IF(Element_Stiffness!$E$215=4,IF(7=Element_Stiffness!$C$215,Element_Stiffness!Q245,IF(7=Element_Stiffness!$E$215,Element_Stiffness!W245,0)),0)),0)</f>
        <v/>
      </c>
      <c r="AU32" s="21">
        <f>IF(Element_Stiffness!$C$6,IF(Element_Stiffness!$C$5=4,IF(7=Element_Stiffness!$C$5,Element_Stiffness!R29,IF(7=Element_Stiffness!$E$5,Element_Stiffness!X29,0)),IF(Element_Stiffness!$E$5=4,IF(7=Element_Stiffness!$C$5,Element_Stiffness!R35,IF(7=Element_Stiffness!$E$5,Element_Stiffness!X35,0)),0)),0)+IF(Element_Stiffness!$C$41,IF(Element_Stiffness!$C$40=4,IF(7=Element_Stiffness!$C$40,Element_Stiffness!R64,IF(7=Element_Stiffness!$E$40,Element_Stiffness!X64,0)),IF(Element_Stiffness!$E$40=4,IF(7=Element_Stiffness!$C$40,Element_Stiffness!R70,IF(7=Element_Stiffness!$E$40,Element_Stiffness!X70,0)),0)),0)+IF(Element_Stiffness!$C$76,IF(Element_Stiffness!$C$75=4,IF(7=Element_Stiffness!$C$75,Element_Stiffness!R99,IF(7=Element_Stiffness!$E$75,Element_Stiffness!X99,0)),IF(Element_Stiffness!$E$75=4,IF(7=Element_Stiffness!$C$75,Element_Stiffness!R105,IF(7=Element_Stiffness!$E$75,Element_Stiffness!X105,0)),0)),0)+IF(Element_Stiffness!$C$111,IF(Element_Stiffness!$C$110=4,IF(7=Element_Stiffness!$C$110,Element_Stiffness!R134,IF(7=Element_Stiffness!$E$110,Element_Stiffness!X134,0)),IF(Element_Stiffness!$E$110=4,IF(7=Element_Stiffness!$C$110,Element_Stiffness!R140,IF(7=Element_Stiffness!$E$110,Element_Stiffness!X140,0)),0)),0)+IF(Element_Stiffness!$C$146,IF(Element_Stiffness!$C$145=4,IF(7=Element_Stiffness!$C$145,Element_Stiffness!R169,IF(7=Element_Stiffness!$E$145,Element_Stiffness!X169,0)),IF(Element_Stiffness!$E$145=4,IF(7=Element_Stiffness!$C$145,Element_Stiffness!R175,IF(7=Element_Stiffness!$E$145,Element_Stiffness!X175,0)),0)),0)+IF(Element_Stiffness!$C$181,IF(Element_Stiffness!$C$180=4,IF(7=Element_Stiffness!$C$180,Element_Stiffness!R204,IF(7=Element_Stiffness!$E$180,Element_Stiffness!X204,0)),IF(Element_Stiffness!$E$180=4,IF(7=Element_Stiffness!$C$180,Element_Stiffness!R210,IF(7=Element_Stiffness!$E$180,Element_Stiffness!X210,0)),0)),0)+IF(Element_Stiffness!$C$216,IF(Element_Stiffness!$C$215=4,IF(7=Element_Stiffness!$C$215,Element_Stiffness!R239,IF(7=Element_Stiffness!$E$215,Element_Stiffness!X239,0)),IF(Element_Stiffness!$E$215=4,IF(7=Element_Stiffness!$C$215,Element_Stiffness!R245,IF(7=Element_Stiffness!$E$215,Element_Stiffness!X245,0)),0)),0)</f>
        <v/>
      </c>
      <c r="AV32" s="21">
        <f>IF(Element_Stiffness!$C$6,IF(Element_Stiffness!$C$5=4,IF(7=Element_Stiffness!$C$5,Element_Stiffness!S29,IF(7=Element_Stiffness!$E$5,Element_Stiffness!Y29,0)),IF(Element_Stiffness!$E$5=4,IF(7=Element_Stiffness!$C$5,Element_Stiffness!S35,IF(7=Element_Stiffness!$E$5,Element_Stiffness!Y35,0)),0)),0)+IF(Element_Stiffness!$C$41,IF(Element_Stiffness!$C$40=4,IF(7=Element_Stiffness!$C$40,Element_Stiffness!S64,IF(7=Element_Stiffness!$E$40,Element_Stiffness!Y64,0)),IF(Element_Stiffness!$E$40=4,IF(7=Element_Stiffness!$C$40,Element_Stiffness!S70,IF(7=Element_Stiffness!$E$40,Element_Stiffness!Y70,0)),0)),0)+IF(Element_Stiffness!$C$76,IF(Element_Stiffness!$C$75=4,IF(7=Element_Stiffness!$C$75,Element_Stiffness!S99,IF(7=Element_Stiffness!$E$75,Element_Stiffness!Y99,0)),IF(Element_Stiffness!$E$75=4,IF(7=Element_Stiffness!$C$75,Element_Stiffness!S105,IF(7=Element_Stiffness!$E$75,Element_Stiffness!Y105,0)),0)),0)+IF(Element_Stiffness!$C$111,IF(Element_Stiffness!$C$110=4,IF(7=Element_Stiffness!$C$110,Element_Stiffness!S134,IF(7=Element_Stiffness!$E$110,Element_Stiffness!Y134,0)),IF(Element_Stiffness!$E$110=4,IF(7=Element_Stiffness!$C$110,Element_Stiffness!S140,IF(7=Element_Stiffness!$E$110,Element_Stiffness!Y140,0)),0)),0)+IF(Element_Stiffness!$C$146,IF(Element_Stiffness!$C$145=4,IF(7=Element_Stiffness!$C$145,Element_Stiffness!S169,IF(7=Element_Stiffness!$E$145,Element_Stiffness!Y169,0)),IF(Element_Stiffness!$E$145=4,IF(7=Element_Stiffness!$C$145,Element_Stiffness!S175,IF(7=Element_Stiffness!$E$145,Element_Stiffness!Y175,0)),0)),0)+IF(Element_Stiffness!$C$181,IF(Element_Stiffness!$C$180=4,IF(7=Element_Stiffness!$C$180,Element_Stiffness!S204,IF(7=Element_Stiffness!$E$180,Element_Stiffness!Y204,0)),IF(Element_Stiffness!$E$180=4,IF(7=Element_Stiffness!$C$180,Element_Stiffness!S210,IF(7=Element_Stiffness!$E$180,Element_Stiffness!Y210,0)),0)),0)+IF(Element_Stiffness!$C$216,IF(Element_Stiffness!$C$215=4,IF(7=Element_Stiffness!$C$215,Element_Stiffness!S239,IF(7=Element_Stiffness!$E$215,Element_Stiffness!Y239,0)),IF(Element_Stiffness!$E$215=4,IF(7=Element_Stiffness!$C$215,Element_Stiffness!S245,IF(7=Element_Stiffness!$E$215,Element_Stiffness!Y245,0)),0)),0)</f>
        <v/>
      </c>
      <c r="AW32" s="21">
        <f>IF(Element_Stiffness!$C$6,IF(Element_Stiffness!$C$5=4,IF(7=Element_Stiffness!$C$5,Element_Stiffness!T29,IF(7=Element_Stiffness!$E$5,Element_Stiffness!Z29,0)),IF(Element_Stiffness!$E$5=4,IF(7=Element_Stiffness!$C$5,Element_Stiffness!T35,IF(7=Element_Stiffness!$E$5,Element_Stiffness!Z35,0)),0)),0)+IF(Element_Stiffness!$C$41,IF(Element_Stiffness!$C$40=4,IF(7=Element_Stiffness!$C$40,Element_Stiffness!T64,IF(7=Element_Stiffness!$E$40,Element_Stiffness!Z64,0)),IF(Element_Stiffness!$E$40=4,IF(7=Element_Stiffness!$C$40,Element_Stiffness!T70,IF(7=Element_Stiffness!$E$40,Element_Stiffness!Z70,0)),0)),0)+IF(Element_Stiffness!$C$76,IF(Element_Stiffness!$C$75=4,IF(7=Element_Stiffness!$C$75,Element_Stiffness!T99,IF(7=Element_Stiffness!$E$75,Element_Stiffness!Z99,0)),IF(Element_Stiffness!$E$75=4,IF(7=Element_Stiffness!$C$75,Element_Stiffness!T105,IF(7=Element_Stiffness!$E$75,Element_Stiffness!Z105,0)),0)),0)+IF(Element_Stiffness!$C$111,IF(Element_Stiffness!$C$110=4,IF(7=Element_Stiffness!$C$110,Element_Stiffness!T134,IF(7=Element_Stiffness!$E$110,Element_Stiffness!Z134,0)),IF(Element_Stiffness!$E$110=4,IF(7=Element_Stiffness!$C$110,Element_Stiffness!T140,IF(7=Element_Stiffness!$E$110,Element_Stiffness!Z140,0)),0)),0)+IF(Element_Stiffness!$C$146,IF(Element_Stiffness!$C$145=4,IF(7=Element_Stiffness!$C$145,Element_Stiffness!T169,IF(7=Element_Stiffness!$E$145,Element_Stiffness!Z169,0)),IF(Element_Stiffness!$E$145=4,IF(7=Element_Stiffness!$C$145,Element_Stiffness!T175,IF(7=Element_Stiffness!$E$145,Element_Stiffness!Z175,0)),0)),0)+IF(Element_Stiffness!$C$181,IF(Element_Stiffness!$C$180=4,IF(7=Element_Stiffness!$C$180,Element_Stiffness!T204,IF(7=Element_Stiffness!$E$180,Element_Stiffness!Z204,0)),IF(Element_Stiffness!$E$180=4,IF(7=Element_Stiffness!$C$180,Element_Stiffness!T210,IF(7=Element_Stiffness!$E$180,Element_Stiffness!Z210,0)),0)),0)+IF(Element_Stiffness!$C$216,IF(Element_Stiffness!$C$215=4,IF(7=Element_Stiffness!$C$215,Element_Stiffness!T239,IF(7=Element_Stiffness!$E$215,Element_Stiffness!Z239,0)),IF(Element_Stiffness!$E$215=4,IF(7=Element_Stiffness!$C$215,Element_Stiffness!T245,IF(7=Element_Stiffness!$E$215,Element_Stiffness!Z245,0)),0)),0)</f>
        <v/>
      </c>
      <c r="AX32" s="21">
        <f>IF(Element_Stiffness!$C$6,IF(Element_Stiffness!$C$5=4,IF(7=Element_Stiffness!$C$5,Element_Stiffness!U29,IF(7=Element_Stiffness!$E$5,Element_Stiffness!AA29,0)),IF(Element_Stiffness!$E$5=4,IF(7=Element_Stiffness!$C$5,Element_Stiffness!U35,IF(7=Element_Stiffness!$E$5,Element_Stiffness!AA35,0)),0)),0)+IF(Element_Stiffness!$C$41,IF(Element_Stiffness!$C$40=4,IF(7=Element_Stiffness!$C$40,Element_Stiffness!U64,IF(7=Element_Stiffness!$E$40,Element_Stiffness!AA64,0)),IF(Element_Stiffness!$E$40=4,IF(7=Element_Stiffness!$C$40,Element_Stiffness!U70,IF(7=Element_Stiffness!$E$40,Element_Stiffness!AA70,0)),0)),0)+IF(Element_Stiffness!$C$76,IF(Element_Stiffness!$C$75=4,IF(7=Element_Stiffness!$C$75,Element_Stiffness!U99,IF(7=Element_Stiffness!$E$75,Element_Stiffness!AA99,0)),IF(Element_Stiffness!$E$75=4,IF(7=Element_Stiffness!$C$75,Element_Stiffness!U105,IF(7=Element_Stiffness!$E$75,Element_Stiffness!AA105,0)),0)),0)+IF(Element_Stiffness!$C$111,IF(Element_Stiffness!$C$110=4,IF(7=Element_Stiffness!$C$110,Element_Stiffness!U134,IF(7=Element_Stiffness!$E$110,Element_Stiffness!AA134,0)),IF(Element_Stiffness!$E$110=4,IF(7=Element_Stiffness!$C$110,Element_Stiffness!U140,IF(7=Element_Stiffness!$E$110,Element_Stiffness!AA140,0)),0)),0)+IF(Element_Stiffness!$C$146,IF(Element_Stiffness!$C$145=4,IF(7=Element_Stiffness!$C$145,Element_Stiffness!U169,IF(7=Element_Stiffness!$E$145,Element_Stiffness!AA169,0)),IF(Element_Stiffness!$E$145=4,IF(7=Element_Stiffness!$C$145,Element_Stiffness!U175,IF(7=Element_Stiffness!$E$145,Element_Stiffness!AA175,0)),0)),0)+IF(Element_Stiffness!$C$181,IF(Element_Stiffness!$C$180=4,IF(7=Element_Stiffness!$C$180,Element_Stiffness!U204,IF(7=Element_Stiffness!$E$180,Element_Stiffness!AA204,0)),IF(Element_Stiffness!$E$180=4,IF(7=Element_Stiffness!$C$180,Element_Stiffness!U210,IF(7=Element_Stiffness!$E$180,Element_Stiffness!AA210,0)),0)),0)+IF(Element_Stiffness!$C$216,IF(Element_Stiffness!$C$215=4,IF(7=Element_Stiffness!$C$215,Element_Stiffness!U239,IF(7=Element_Stiffness!$E$215,Element_Stiffness!AA239,0)),IF(Element_Stiffness!$E$215=4,IF(7=Element_Stiffness!$C$215,Element_Stiffness!U245,IF(7=Element_Stiffness!$E$215,Element_Stiffness!AA245,0)),0)),0)</f>
        <v/>
      </c>
      <c r="AY32" s="21" t="n">
        <v>0</v>
      </c>
      <c r="AZ32" s="21">
        <f>IF(Element_Stiffness!$C$6,IF(Element_Stiffness!$C$5=4,Element_Stiffness!C29,IF(Element_Stiffness!$E$5=4,Element_Stiffness!C35,0)),0)+IF(Element_Stiffness!$C$41,IF(Element_Stiffness!$C$40=4,Element_Stiffness!C64,IF(Element_Stiffness!$E$40=4,Element_Stiffness!C70,0)),0)+IF(Element_Stiffness!$C$76,IF(Element_Stiffness!$C$75=4,Element_Stiffness!C99,IF(Element_Stiffness!$E$75=4,Element_Stiffness!C105,0)),0)+IF(Element_Stiffness!$C$111,IF(Element_Stiffness!$C$110=4,Element_Stiffness!C134,IF(Element_Stiffness!$E$110=4,Element_Stiffness!C140,0)),0)+IF(Element_Stiffness!$C$146,IF(Element_Stiffness!$C$145=4,Element_Stiffness!C169,IF(Element_Stiffness!$E$145=4,Element_Stiffness!C175,0)),0)+IF(Element_Stiffness!$C$181,IF(Element_Stiffness!$C$180=4,Element_Stiffness!C204,IF(Element_Stiffness!$E$180=4,Element_Stiffness!C210,0)),0)+IF(Element_Stiffness!$C$216,IF(Element_Stiffness!$C$215=4,Element_Stiffness!C239,IF(Element_Stiffness!$E$215=4,Element_Stiffness!C245,0)),0)</f>
        <v/>
      </c>
      <c r="BB32" s="28">
        <f>INDEX(MMULT(MINVERSE(C5:AX52), AY5:AY52), 28, 1)</f>
        <v/>
      </c>
      <c r="BC32" s="28">
        <f>INDEX(MMULT(MINVERSE(C5:AX52), AZ5:AZ52), 28, 1)</f>
        <v/>
      </c>
    </row>
    <row r="33">
      <c r="B33" s="27" t="inlineStr">
        <is>
          <t>N4_ry</t>
        </is>
      </c>
      <c r="C33" s="21">
        <f>IF(Element_Stiffness!$C$6,IF(Element_Stiffness!$C$5=4,IF(0=Element_Stiffness!$C$5,Element_Stiffness!P30,IF(0=Element_Stiffness!$E$5,Element_Stiffness!V30,0)),IF(Element_Stiffness!$E$5=4,IF(0=Element_Stiffness!$C$5,Element_Stiffness!P36,IF(0=Element_Stiffness!$E$5,Element_Stiffness!V36,0)),0)),0)+IF(Element_Stiffness!$C$41,IF(Element_Stiffness!$C$40=4,IF(0=Element_Stiffness!$C$40,Element_Stiffness!P65,IF(0=Element_Stiffness!$E$40,Element_Stiffness!V65,0)),IF(Element_Stiffness!$E$40=4,IF(0=Element_Stiffness!$C$40,Element_Stiffness!P71,IF(0=Element_Stiffness!$E$40,Element_Stiffness!V71,0)),0)),0)+IF(Element_Stiffness!$C$76,IF(Element_Stiffness!$C$75=4,IF(0=Element_Stiffness!$C$75,Element_Stiffness!P100,IF(0=Element_Stiffness!$E$75,Element_Stiffness!V100,0)),IF(Element_Stiffness!$E$75=4,IF(0=Element_Stiffness!$C$75,Element_Stiffness!P106,IF(0=Element_Stiffness!$E$75,Element_Stiffness!V106,0)),0)),0)+IF(Element_Stiffness!$C$111,IF(Element_Stiffness!$C$110=4,IF(0=Element_Stiffness!$C$110,Element_Stiffness!P135,IF(0=Element_Stiffness!$E$110,Element_Stiffness!V135,0)),IF(Element_Stiffness!$E$110=4,IF(0=Element_Stiffness!$C$110,Element_Stiffness!P141,IF(0=Element_Stiffness!$E$110,Element_Stiffness!V141,0)),0)),0)+IF(Element_Stiffness!$C$146,IF(Element_Stiffness!$C$145=4,IF(0=Element_Stiffness!$C$145,Element_Stiffness!P170,IF(0=Element_Stiffness!$E$145,Element_Stiffness!V170,0)),IF(Element_Stiffness!$E$145=4,IF(0=Element_Stiffness!$C$145,Element_Stiffness!P176,IF(0=Element_Stiffness!$E$145,Element_Stiffness!V176,0)),0)),0)+IF(Element_Stiffness!$C$181,IF(Element_Stiffness!$C$180=4,IF(0=Element_Stiffness!$C$180,Element_Stiffness!P205,IF(0=Element_Stiffness!$E$180,Element_Stiffness!V205,0)),IF(Element_Stiffness!$E$180=4,IF(0=Element_Stiffness!$C$180,Element_Stiffness!P211,IF(0=Element_Stiffness!$E$180,Element_Stiffness!V211,0)),0)),0)+IF(Element_Stiffness!$C$216,IF(Element_Stiffness!$C$215=4,IF(0=Element_Stiffness!$C$215,Element_Stiffness!P240,IF(0=Element_Stiffness!$E$215,Element_Stiffness!V240,0)),IF(Element_Stiffness!$E$215=4,IF(0=Element_Stiffness!$C$215,Element_Stiffness!P246,IF(0=Element_Stiffness!$E$215,Element_Stiffness!V246,0)),0)),0)</f>
        <v/>
      </c>
      <c r="D33" s="21">
        <f>IF(Element_Stiffness!$C$6,IF(Element_Stiffness!$C$5=4,IF(0=Element_Stiffness!$C$5,Element_Stiffness!Q30,IF(0=Element_Stiffness!$E$5,Element_Stiffness!W30,0)),IF(Element_Stiffness!$E$5=4,IF(0=Element_Stiffness!$C$5,Element_Stiffness!Q36,IF(0=Element_Stiffness!$E$5,Element_Stiffness!W36,0)),0)),0)+IF(Element_Stiffness!$C$41,IF(Element_Stiffness!$C$40=4,IF(0=Element_Stiffness!$C$40,Element_Stiffness!Q65,IF(0=Element_Stiffness!$E$40,Element_Stiffness!W65,0)),IF(Element_Stiffness!$E$40=4,IF(0=Element_Stiffness!$C$40,Element_Stiffness!Q71,IF(0=Element_Stiffness!$E$40,Element_Stiffness!W71,0)),0)),0)+IF(Element_Stiffness!$C$76,IF(Element_Stiffness!$C$75=4,IF(0=Element_Stiffness!$C$75,Element_Stiffness!Q100,IF(0=Element_Stiffness!$E$75,Element_Stiffness!W100,0)),IF(Element_Stiffness!$E$75=4,IF(0=Element_Stiffness!$C$75,Element_Stiffness!Q106,IF(0=Element_Stiffness!$E$75,Element_Stiffness!W106,0)),0)),0)+IF(Element_Stiffness!$C$111,IF(Element_Stiffness!$C$110=4,IF(0=Element_Stiffness!$C$110,Element_Stiffness!Q135,IF(0=Element_Stiffness!$E$110,Element_Stiffness!W135,0)),IF(Element_Stiffness!$E$110=4,IF(0=Element_Stiffness!$C$110,Element_Stiffness!Q141,IF(0=Element_Stiffness!$E$110,Element_Stiffness!W141,0)),0)),0)+IF(Element_Stiffness!$C$146,IF(Element_Stiffness!$C$145=4,IF(0=Element_Stiffness!$C$145,Element_Stiffness!Q170,IF(0=Element_Stiffness!$E$145,Element_Stiffness!W170,0)),IF(Element_Stiffness!$E$145=4,IF(0=Element_Stiffness!$C$145,Element_Stiffness!Q176,IF(0=Element_Stiffness!$E$145,Element_Stiffness!W176,0)),0)),0)+IF(Element_Stiffness!$C$181,IF(Element_Stiffness!$C$180=4,IF(0=Element_Stiffness!$C$180,Element_Stiffness!Q205,IF(0=Element_Stiffness!$E$180,Element_Stiffness!W205,0)),IF(Element_Stiffness!$E$180=4,IF(0=Element_Stiffness!$C$180,Element_Stiffness!Q211,IF(0=Element_Stiffness!$E$180,Element_Stiffness!W211,0)),0)),0)+IF(Element_Stiffness!$C$216,IF(Element_Stiffness!$C$215=4,IF(0=Element_Stiffness!$C$215,Element_Stiffness!Q240,IF(0=Element_Stiffness!$E$215,Element_Stiffness!W240,0)),IF(Element_Stiffness!$E$215=4,IF(0=Element_Stiffness!$C$215,Element_Stiffness!Q246,IF(0=Element_Stiffness!$E$215,Element_Stiffness!W246,0)),0)),0)</f>
        <v/>
      </c>
      <c r="E33" s="21">
        <f>IF(Element_Stiffness!$C$6,IF(Element_Stiffness!$C$5=4,IF(0=Element_Stiffness!$C$5,Element_Stiffness!R30,IF(0=Element_Stiffness!$E$5,Element_Stiffness!X30,0)),IF(Element_Stiffness!$E$5=4,IF(0=Element_Stiffness!$C$5,Element_Stiffness!R36,IF(0=Element_Stiffness!$E$5,Element_Stiffness!X36,0)),0)),0)+IF(Element_Stiffness!$C$41,IF(Element_Stiffness!$C$40=4,IF(0=Element_Stiffness!$C$40,Element_Stiffness!R65,IF(0=Element_Stiffness!$E$40,Element_Stiffness!X65,0)),IF(Element_Stiffness!$E$40=4,IF(0=Element_Stiffness!$C$40,Element_Stiffness!R71,IF(0=Element_Stiffness!$E$40,Element_Stiffness!X71,0)),0)),0)+IF(Element_Stiffness!$C$76,IF(Element_Stiffness!$C$75=4,IF(0=Element_Stiffness!$C$75,Element_Stiffness!R100,IF(0=Element_Stiffness!$E$75,Element_Stiffness!X100,0)),IF(Element_Stiffness!$E$75=4,IF(0=Element_Stiffness!$C$75,Element_Stiffness!R106,IF(0=Element_Stiffness!$E$75,Element_Stiffness!X106,0)),0)),0)+IF(Element_Stiffness!$C$111,IF(Element_Stiffness!$C$110=4,IF(0=Element_Stiffness!$C$110,Element_Stiffness!R135,IF(0=Element_Stiffness!$E$110,Element_Stiffness!X135,0)),IF(Element_Stiffness!$E$110=4,IF(0=Element_Stiffness!$C$110,Element_Stiffness!R141,IF(0=Element_Stiffness!$E$110,Element_Stiffness!X141,0)),0)),0)+IF(Element_Stiffness!$C$146,IF(Element_Stiffness!$C$145=4,IF(0=Element_Stiffness!$C$145,Element_Stiffness!R170,IF(0=Element_Stiffness!$E$145,Element_Stiffness!X170,0)),IF(Element_Stiffness!$E$145=4,IF(0=Element_Stiffness!$C$145,Element_Stiffness!R176,IF(0=Element_Stiffness!$E$145,Element_Stiffness!X176,0)),0)),0)+IF(Element_Stiffness!$C$181,IF(Element_Stiffness!$C$180=4,IF(0=Element_Stiffness!$C$180,Element_Stiffness!R205,IF(0=Element_Stiffness!$E$180,Element_Stiffness!X205,0)),IF(Element_Stiffness!$E$180=4,IF(0=Element_Stiffness!$C$180,Element_Stiffness!R211,IF(0=Element_Stiffness!$E$180,Element_Stiffness!X211,0)),0)),0)+IF(Element_Stiffness!$C$216,IF(Element_Stiffness!$C$215=4,IF(0=Element_Stiffness!$C$215,Element_Stiffness!R240,IF(0=Element_Stiffness!$E$215,Element_Stiffness!X240,0)),IF(Element_Stiffness!$E$215=4,IF(0=Element_Stiffness!$C$215,Element_Stiffness!R246,IF(0=Element_Stiffness!$E$215,Element_Stiffness!X246,0)),0)),0)</f>
        <v/>
      </c>
      <c r="F33" s="21">
        <f>IF(Element_Stiffness!$C$6,IF(Element_Stiffness!$C$5=4,IF(0=Element_Stiffness!$C$5,Element_Stiffness!S30,IF(0=Element_Stiffness!$E$5,Element_Stiffness!Y30,0)),IF(Element_Stiffness!$E$5=4,IF(0=Element_Stiffness!$C$5,Element_Stiffness!S36,IF(0=Element_Stiffness!$E$5,Element_Stiffness!Y36,0)),0)),0)+IF(Element_Stiffness!$C$41,IF(Element_Stiffness!$C$40=4,IF(0=Element_Stiffness!$C$40,Element_Stiffness!S65,IF(0=Element_Stiffness!$E$40,Element_Stiffness!Y65,0)),IF(Element_Stiffness!$E$40=4,IF(0=Element_Stiffness!$C$40,Element_Stiffness!S71,IF(0=Element_Stiffness!$E$40,Element_Stiffness!Y71,0)),0)),0)+IF(Element_Stiffness!$C$76,IF(Element_Stiffness!$C$75=4,IF(0=Element_Stiffness!$C$75,Element_Stiffness!S100,IF(0=Element_Stiffness!$E$75,Element_Stiffness!Y100,0)),IF(Element_Stiffness!$E$75=4,IF(0=Element_Stiffness!$C$75,Element_Stiffness!S106,IF(0=Element_Stiffness!$E$75,Element_Stiffness!Y106,0)),0)),0)+IF(Element_Stiffness!$C$111,IF(Element_Stiffness!$C$110=4,IF(0=Element_Stiffness!$C$110,Element_Stiffness!S135,IF(0=Element_Stiffness!$E$110,Element_Stiffness!Y135,0)),IF(Element_Stiffness!$E$110=4,IF(0=Element_Stiffness!$C$110,Element_Stiffness!S141,IF(0=Element_Stiffness!$E$110,Element_Stiffness!Y141,0)),0)),0)+IF(Element_Stiffness!$C$146,IF(Element_Stiffness!$C$145=4,IF(0=Element_Stiffness!$C$145,Element_Stiffness!S170,IF(0=Element_Stiffness!$E$145,Element_Stiffness!Y170,0)),IF(Element_Stiffness!$E$145=4,IF(0=Element_Stiffness!$C$145,Element_Stiffness!S176,IF(0=Element_Stiffness!$E$145,Element_Stiffness!Y176,0)),0)),0)+IF(Element_Stiffness!$C$181,IF(Element_Stiffness!$C$180=4,IF(0=Element_Stiffness!$C$180,Element_Stiffness!S205,IF(0=Element_Stiffness!$E$180,Element_Stiffness!Y205,0)),IF(Element_Stiffness!$E$180=4,IF(0=Element_Stiffness!$C$180,Element_Stiffness!S211,IF(0=Element_Stiffness!$E$180,Element_Stiffness!Y211,0)),0)),0)+IF(Element_Stiffness!$C$216,IF(Element_Stiffness!$C$215=4,IF(0=Element_Stiffness!$C$215,Element_Stiffness!S240,IF(0=Element_Stiffness!$E$215,Element_Stiffness!Y240,0)),IF(Element_Stiffness!$E$215=4,IF(0=Element_Stiffness!$C$215,Element_Stiffness!S246,IF(0=Element_Stiffness!$E$215,Element_Stiffness!Y246,0)),0)),0)</f>
        <v/>
      </c>
      <c r="G33" s="21">
        <f>IF(Element_Stiffness!$C$6,IF(Element_Stiffness!$C$5=4,IF(0=Element_Stiffness!$C$5,Element_Stiffness!T30,IF(0=Element_Stiffness!$E$5,Element_Stiffness!Z30,0)),IF(Element_Stiffness!$E$5=4,IF(0=Element_Stiffness!$C$5,Element_Stiffness!T36,IF(0=Element_Stiffness!$E$5,Element_Stiffness!Z36,0)),0)),0)+IF(Element_Stiffness!$C$41,IF(Element_Stiffness!$C$40=4,IF(0=Element_Stiffness!$C$40,Element_Stiffness!T65,IF(0=Element_Stiffness!$E$40,Element_Stiffness!Z65,0)),IF(Element_Stiffness!$E$40=4,IF(0=Element_Stiffness!$C$40,Element_Stiffness!T71,IF(0=Element_Stiffness!$E$40,Element_Stiffness!Z71,0)),0)),0)+IF(Element_Stiffness!$C$76,IF(Element_Stiffness!$C$75=4,IF(0=Element_Stiffness!$C$75,Element_Stiffness!T100,IF(0=Element_Stiffness!$E$75,Element_Stiffness!Z100,0)),IF(Element_Stiffness!$E$75=4,IF(0=Element_Stiffness!$C$75,Element_Stiffness!T106,IF(0=Element_Stiffness!$E$75,Element_Stiffness!Z106,0)),0)),0)+IF(Element_Stiffness!$C$111,IF(Element_Stiffness!$C$110=4,IF(0=Element_Stiffness!$C$110,Element_Stiffness!T135,IF(0=Element_Stiffness!$E$110,Element_Stiffness!Z135,0)),IF(Element_Stiffness!$E$110=4,IF(0=Element_Stiffness!$C$110,Element_Stiffness!T141,IF(0=Element_Stiffness!$E$110,Element_Stiffness!Z141,0)),0)),0)+IF(Element_Stiffness!$C$146,IF(Element_Stiffness!$C$145=4,IF(0=Element_Stiffness!$C$145,Element_Stiffness!T170,IF(0=Element_Stiffness!$E$145,Element_Stiffness!Z170,0)),IF(Element_Stiffness!$E$145=4,IF(0=Element_Stiffness!$C$145,Element_Stiffness!T176,IF(0=Element_Stiffness!$E$145,Element_Stiffness!Z176,0)),0)),0)+IF(Element_Stiffness!$C$181,IF(Element_Stiffness!$C$180=4,IF(0=Element_Stiffness!$C$180,Element_Stiffness!T205,IF(0=Element_Stiffness!$E$180,Element_Stiffness!Z205,0)),IF(Element_Stiffness!$E$180=4,IF(0=Element_Stiffness!$C$180,Element_Stiffness!T211,IF(0=Element_Stiffness!$E$180,Element_Stiffness!Z211,0)),0)),0)+IF(Element_Stiffness!$C$216,IF(Element_Stiffness!$C$215=4,IF(0=Element_Stiffness!$C$215,Element_Stiffness!T240,IF(0=Element_Stiffness!$E$215,Element_Stiffness!Z240,0)),IF(Element_Stiffness!$E$215=4,IF(0=Element_Stiffness!$C$215,Element_Stiffness!T246,IF(0=Element_Stiffness!$E$215,Element_Stiffness!Z246,0)),0)),0)</f>
        <v/>
      </c>
      <c r="H33" s="21">
        <f>IF(Element_Stiffness!$C$6,IF(Element_Stiffness!$C$5=4,IF(0=Element_Stiffness!$C$5,Element_Stiffness!U30,IF(0=Element_Stiffness!$E$5,Element_Stiffness!AA30,0)),IF(Element_Stiffness!$E$5=4,IF(0=Element_Stiffness!$C$5,Element_Stiffness!U36,IF(0=Element_Stiffness!$E$5,Element_Stiffness!AA36,0)),0)),0)+IF(Element_Stiffness!$C$41,IF(Element_Stiffness!$C$40=4,IF(0=Element_Stiffness!$C$40,Element_Stiffness!U65,IF(0=Element_Stiffness!$E$40,Element_Stiffness!AA65,0)),IF(Element_Stiffness!$E$40=4,IF(0=Element_Stiffness!$C$40,Element_Stiffness!U71,IF(0=Element_Stiffness!$E$40,Element_Stiffness!AA71,0)),0)),0)+IF(Element_Stiffness!$C$76,IF(Element_Stiffness!$C$75=4,IF(0=Element_Stiffness!$C$75,Element_Stiffness!U100,IF(0=Element_Stiffness!$E$75,Element_Stiffness!AA100,0)),IF(Element_Stiffness!$E$75=4,IF(0=Element_Stiffness!$C$75,Element_Stiffness!U106,IF(0=Element_Stiffness!$E$75,Element_Stiffness!AA106,0)),0)),0)+IF(Element_Stiffness!$C$111,IF(Element_Stiffness!$C$110=4,IF(0=Element_Stiffness!$C$110,Element_Stiffness!U135,IF(0=Element_Stiffness!$E$110,Element_Stiffness!AA135,0)),IF(Element_Stiffness!$E$110=4,IF(0=Element_Stiffness!$C$110,Element_Stiffness!U141,IF(0=Element_Stiffness!$E$110,Element_Stiffness!AA141,0)),0)),0)+IF(Element_Stiffness!$C$146,IF(Element_Stiffness!$C$145=4,IF(0=Element_Stiffness!$C$145,Element_Stiffness!U170,IF(0=Element_Stiffness!$E$145,Element_Stiffness!AA170,0)),IF(Element_Stiffness!$E$145=4,IF(0=Element_Stiffness!$C$145,Element_Stiffness!U176,IF(0=Element_Stiffness!$E$145,Element_Stiffness!AA176,0)),0)),0)+IF(Element_Stiffness!$C$181,IF(Element_Stiffness!$C$180=4,IF(0=Element_Stiffness!$C$180,Element_Stiffness!U205,IF(0=Element_Stiffness!$E$180,Element_Stiffness!AA205,0)),IF(Element_Stiffness!$E$180=4,IF(0=Element_Stiffness!$C$180,Element_Stiffness!U211,IF(0=Element_Stiffness!$E$180,Element_Stiffness!AA211,0)),0)),0)+IF(Element_Stiffness!$C$216,IF(Element_Stiffness!$C$215=4,IF(0=Element_Stiffness!$C$215,Element_Stiffness!U240,IF(0=Element_Stiffness!$E$215,Element_Stiffness!AA240,0)),IF(Element_Stiffness!$E$215=4,IF(0=Element_Stiffness!$C$215,Element_Stiffness!U246,IF(0=Element_Stiffness!$E$215,Element_Stiffness!AA246,0)),0)),0)</f>
        <v/>
      </c>
      <c r="I33" s="21">
        <f>IF(Element_Stiffness!$C$6,IF(Element_Stiffness!$C$5=4,IF(1=Element_Stiffness!$C$5,Element_Stiffness!P30,IF(1=Element_Stiffness!$E$5,Element_Stiffness!V30,0)),IF(Element_Stiffness!$E$5=4,IF(1=Element_Stiffness!$C$5,Element_Stiffness!P36,IF(1=Element_Stiffness!$E$5,Element_Stiffness!V36,0)),0)),0)+IF(Element_Stiffness!$C$41,IF(Element_Stiffness!$C$40=4,IF(1=Element_Stiffness!$C$40,Element_Stiffness!P65,IF(1=Element_Stiffness!$E$40,Element_Stiffness!V65,0)),IF(Element_Stiffness!$E$40=4,IF(1=Element_Stiffness!$C$40,Element_Stiffness!P71,IF(1=Element_Stiffness!$E$40,Element_Stiffness!V71,0)),0)),0)+IF(Element_Stiffness!$C$76,IF(Element_Stiffness!$C$75=4,IF(1=Element_Stiffness!$C$75,Element_Stiffness!P100,IF(1=Element_Stiffness!$E$75,Element_Stiffness!V100,0)),IF(Element_Stiffness!$E$75=4,IF(1=Element_Stiffness!$C$75,Element_Stiffness!P106,IF(1=Element_Stiffness!$E$75,Element_Stiffness!V106,0)),0)),0)+IF(Element_Stiffness!$C$111,IF(Element_Stiffness!$C$110=4,IF(1=Element_Stiffness!$C$110,Element_Stiffness!P135,IF(1=Element_Stiffness!$E$110,Element_Stiffness!V135,0)),IF(Element_Stiffness!$E$110=4,IF(1=Element_Stiffness!$C$110,Element_Stiffness!P141,IF(1=Element_Stiffness!$E$110,Element_Stiffness!V141,0)),0)),0)+IF(Element_Stiffness!$C$146,IF(Element_Stiffness!$C$145=4,IF(1=Element_Stiffness!$C$145,Element_Stiffness!P170,IF(1=Element_Stiffness!$E$145,Element_Stiffness!V170,0)),IF(Element_Stiffness!$E$145=4,IF(1=Element_Stiffness!$C$145,Element_Stiffness!P176,IF(1=Element_Stiffness!$E$145,Element_Stiffness!V176,0)),0)),0)+IF(Element_Stiffness!$C$181,IF(Element_Stiffness!$C$180=4,IF(1=Element_Stiffness!$C$180,Element_Stiffness!P205,IF(1=Element_Stiffness!$E$180,Element_Stiffness!V205,0)),IF(Element_Stiffness!$E$180=4,IF(1=Element_Stiffness!$C$180,Element_Stiffness!P211,IF(1=Element_Stiffness!$E$180,Element_Stiffness!V211,0)),0)),0)+IF(Element_Stiffness!$C$216,IF(Element_Stiffness!$C$215=4,IF(1=Element_Stiffness!$C$215,Element_Stiffness!P240,IF(1=Element_Stiffness!$E$215,Element_Stiffness!V240,0)),IF(Element_Stiffness!$E$215=4,IF(1=Element_Stiffness!$C$215,Element_Stiffness!P246,IF(1=Element_Stiffness!$E$215,Element_Stiffness!V246,0)),0)),0)</f>
        <v/>
      </c>
      <c r="J33" s="21">
        <f>IF(Element_Stiffness!$C$6,IF(Element_Stiffness!$C$5=4,IF(1=Element_Stiffness!$C$5,Element_Stiffness!Q30,IF(1=Element_Stiffness!$E$5,Element_Stiffness!W30,0)),IF(Element_Stiffness!$E$5=4,IF(1=Element_Stiffness!$C$5,Element_Stiffness!Q36,IF(1=Element_Stiffness!$E$5,Element_Stiffness!W36,0)),0)),0)+IF(Element_Stiffness!$C$41,IF(Element_Stiffness!$C$40=4,IF(1=Element_Stiffness!$C$40,Element_Stiffness!Q65,IF(1=Element_Stiffness!$E$40,Element_Stiffness!W65,0)),IF(Element_Stiffness!$E$40=4,IF(1=Element_Stiffness!$C$40,Element_Stiffness!Q71,IF(1=Element_Stiffness!$E$40,Element_Stiffness!W71,0)),0)),0)+IF(Element_Stiffness!$C$76,IF(Element_Stiffness!$C$75=4,IF(1=Element_Stiffness!$C$75,Element_Stiffness!Q100,IF(1=Element_Stiffness!$E$75,Element_Stiffness!W100,0)),IF(Element_Stiffness!$E$75=4,IF(1=Element_Stiffness!$C$75,Element_Stiffness!Q106,IF(1=Element_Stiffness!$E$75,Element_Stiffness!W106,0)),0)),0)+IF(Element_Stiffness!$C$111,IF(Element_Stiffness!$C$110=4,IF(1=Element_Stiffness!$C$110,Element_Stiffness!Q135,IF(1=Element_Stiffness!$E$110,Element_Stiffness!W135,0)),IF(Element_Stiffness!$E$110=4,IF(1=Element_Stiffness!$C$110,Element_Stiffness!Q141,IF(1=Element_Stiffness!$E$110,Element_Stiffness!W141,0)),0)),0)+IF(Element_Stiffness!$C$146,IF(Element_Stiffness!$C$145=4,IF(1=Element_Stiffness!$C$145,Element_Stiffness!Q170,IF(1=Element_Stiffness!$E$145,Element_Stiffness!W170,0)),IF(Element_Stiffness!$E$145=4,IF(1=Element_Stiffness!$C$145,Element_Stiffness!Q176,IF(1=Element_Stiffness!$E$145,Element_Stiffness!W176,0)),0)),0)+IF(Element_Stiffness!$C$181,IF(Element_Stiffness!$C$180=4,IF(1=Element_Stiffness!$C$180,Element_Stiffness!Q205,IF(1=Element_Stiffness!$E$180,Element_Stiffness!W205,0)),IF(Element_Stiffness!$E$180=4,IF(1=Element_Stiffness!$C$180,Element_Stiffness!Q211,IF(1=Element_Stiffness!$E$180,Element_Stiffness!W211,0)),0)),0)+IF(Element_Stiffness!$C$216,IF(Element_Stiffness!$C$215=4,IF(1=Element_Stiffness!$C$215,Element_Stiffness!Q240,IF(1=Element_Stiffness!$E$215,Element_Stiffness!W240,0)),IF(Element_Stiffness!$E$215=4,IF(1=Element_Stiffness!$C$215,Element_Stiffness!Q246,IF(1=Element_Stiffness!$E$215,Element_Stiffness!W246,0)),0)),0)</f>
        <v/>
      </c>
      <c r="K33" s="21">
        <f>IF(Element_Stiffness!$C$6,IF(Element_Stiffness!$C$5=4,IF(1=Element_Stiffness!$C$5,Element_Stiffness!R30,IF(1=Element_Stiffness!$E$5,Element_Stiffness!X30,0)),IF(Element_Stiffness!$E$5=4,IF(1=Element_Stiffness!$C$5,Element_Stiffness!R36,IF(1=Element_Stiffness!$E$5,Element_Stiffness!X36,0)),0)),0)+IF(Element_Stiffness!$C$41,IF(Element_Stiffness!$C$40=4,IF(1=Element_Stiffness!$C$40,Element_Stiffness!R65,IF(1=Element_Stiffness!$E$40,Element_Stiffness!X65,0)),IF(Element_Stiffness!$E$40=4,IF(1=Element_Stiffness!$C$40,Element_Stiffness!R71,IF(1=Element_Stiffness!$E$40,Element_Stiffness!X71,0)),0)),0)+IF(Element_Stiffness!$C$76,IF(Element_Stiffness!$C$75=4,IF(1=Element_Stiffness!$C$75,Element_Stiffness!R100,IF(1=Element_Stiffness!$E$75,Element_Stiffness!X100,0)),IF(Element_Stiffness!$E$75=4,IF(1=Element_Stiffness!$C$75,Element_Stiffness!R106,IF(1=Element_Stiffness!$E$75,Element_Stiffness!X106,0)),0)),0)+IF(Element_Stiffness!$C$111,IF(Element_Stiffness!$C$110=4,IF(1=Element_Stiffness!$C$110,Element_Stiffness!R135,IF(1=Element_Stiffness!$E$110,Element_Stiffness!X135,0)),IF(Element_Stiffness!$E$110=4,IF(1=Element_Stiffness!$C$110,Element_Stiffness!R141,IF(1=Element_Stiffness!$E$110,Element_Stiffness!X141,0)),0)),0)+IF(Element_Stiffness!$C$146,IF(Element_Stiffness!$C$145=4,IF(1=Element_Stiffness!$C$145,Element_Stiffness!R170,IF(1=Element_Stiffness!$E$145,Element_Stiffness!X170,0)),IF(Element_Stiffness!$E$145=4,IF(1=Element_Stiffness!$C$145,Element_Stiffness!R176,IF(1=Element_Stiffness!$E$145,Element_Stiffness!X176,0)),0)),0)+IF(Element_Stiffness!$C$181,IF(Element_Stiffness!$C$180=4,IF(1=Element_Stiffness!$C$180,Element_Stiffness!R205,IF(1=Element_Stiffness!$E$180,Element_Stiffness!X205,0)),IF(Element_Stiffness!$E$180=4,IF(1=Element_Stiffness!$C$180,Element_Stiffness!R211,IF(1=Element_Stiffness!$E$180,Element_Stiffness!X211,0)),0)),0)+IF(Element_Stiffness!$C$216,IF(Element_Stiffness!$C$215=4,IF(1=Element_Stiffness!$C$215,Element_Stiffness!R240,IF(1=Element_Stiffness!$E$215,Element_Stiffness!X240,0)),IF(Element_Stiffness!$E$215=4,IF(1=Element_Stiffness!$C$215,Element_Stiffness!R246,IF(1=Element_Stiffness!$E$215,Element_Stiffness!X246,0)),0)),0)</f>
        <v/>
      </c>
      <c r="L33" s="21">
        <f>IF(Element_Stiffness!$C$6,IF(Element_Stiffness!$C$5=4,IF(1=Element_Stiffness!$C$5,Element_Stiffness!S30,IF(1=Element_Stiffness!$E$5,Element_Stiffness!Y30,0)),IF(Element_Stiffness!$E$5=4,IF(1=Element_Stiffness!$C$5,Element_Stiffness!S36,IF(1=Element_Stiffness!$E$5,Element_Stiffness!Y36,0)),0)),0)+IF(Element_Stiffness!$C$41,IF(Element_Stiffness!$C$40=4,IF(1=Element_Stiffness!$C$40,Element_Stiffness!S65,IF(1=Element_Stiffness!$E$40,Element_Stiffness!Y65,0)),IF(Element_Stiffness!$E$40=4,IF(1=Element_Stiffness!$C$40,Element_Stiffness!S71,IF(1=Element_Stiffness!$E$40,Element_Stiffness!Y71,0)),0)),0)+IF(Element_Stiffness!$C$76,IF(Element_Stiffness!$C$75=4,IF(1=Element_Stiffness!$C$75,Element_Stiffness!S100,IF(1=Element_Stiffness!$E$75,Element_Stiffness!Y100,0)),IF(Element_Stiffness!$E$75=4,IF(1=Element_Stiffness!$C$75,Element_Stiffness!S106,IF(1=Element_Stiffness!$E$75,Element_Stiffness!Y106,0)),0)),0)+IF(Element_Stiffness!$C$111,IF(Element_Stiffness!$C$110=4,IF(1=Element_Stiffness!$C$110,Element_Stiffness!S135,IF(1=Element_Stiffness!$E$110,Element_Stiffness!Y135,0)),IF(Element_Stiffness!$E$110=4,IF(1=Element_Stiffness!$C$110,Element_Stiffness!S141,IF(1=Element_Stiffness!$E$110,Element_Stiffness!Y141,0)),0)),0)+IF(Element_Stiffness!$C$146,IF(Element_Stiffness!$C$145=4,IF(1=Element_Stiffness!$C$145,Element_Stiffness!S170,IF(1=Element_Stiffness!$E$145,Element_Stiffness!Y170,0)),IF(Element_Stiffness!$E$145=4,IF(1=Element_Stiffness!$C$145,Element_Stiffness!S176,IF(1=Element_Stiffness!$E$145,Element_Stiffness!Y176,0)),0)),0)+IF(Element_Stiffness!$C$181,IF(Element_Stiffness!$C$180=4,IF(1=Element_Stiffness!$C$180,Element_Stiffness!S205,IF(1=Element_Stiffness!$E$180,Element_Stiffness!Y205,0)),IF(Element_Stiffness!$E$180=4,IF(1=Element_Stiffness!$C$180,Element_Stiffness!S211,IF(1=Element_Stiffness!$E$180,Element_Stiffness!Y211,0)),0)),0)+IF(Element_Stiffness!$C$216,IF(Element_Stiffness!$C$215=4,IF(1=Element_Stiffness!$C$215,Element_Stiffness!S240,IF(1=Element_Stiffness!$E$215,Element_Stiffness!Y240,0)),IF(Element_Stiffness!$E$215=4,IF(1=Element_Stiffness!$C$215,Element_Stiffness!S246,IF(1=Element_Stiffness!$E$215,Element_Stiffness!Y246,0)),0)),0)</f>
        <v/>
      </c>
      <c r="M33" s="21">
        <f>IF(Element_Stiffness!$C$6,IF(Element_Stiffness!$C$5=4,IF(1=Element_Stiffness!$C$5,Element_Stiffness!T30,IF(1=Element_Stiffness!$E$5,Element_Stiffness!Z30,0)),IF(Element_Stiffness!$E$5=4,IF(1=Element_Stiffness!$C$5,Element_Stiffness!T36,IF(1=Element_Stiffness!$E$5,Element_Stiffness!Z36,0)),0)),0)+IF(Element_Stiffness!$C$41,IF(Element_Stiffness!$C$40=4,IF(1=Element_Stiffness!$C$40,Element_Stiffness!T65,IF(1=Element_Stiffness!$E$40,Element_Stiffness!Z65,0)),IF(Element_Stiffness!$E$40=4,IF(1=Element_Stiffness!$C$40,Element_Stiffness!T71,IF(1=Element_Stiffness!$E$40,Element_Stiffness!Z71,0)),0)),0)+IF(Element_Stiffness!$C$76,IF(Element_Stiffness!$C$75=4,IF(1=Element_Stiffness!$C$75,Element_Stiffness!T100,IF(1=Element_Stiffness!$E$75,Element_Stiffness!Z100,0)),IF(Element_Stiffness!$E$75=4,IF(1=Element_Stiffness!$C$75,Element_Stiffness!T106,IF(1=Element_Stiffness!$E$75,Element_Stiffness!Z106,0)),0)),0)+IF(Element_Stiffness!$C$111,IF(Element_Stiffness!$C$110=4,IF(1=Element_Stiffness!$C$110,Element_Stiffness!T135,IF(1=Element_Stiffness!$E$110,Element_Stiffness!Z135,0)),IF(Element_Stiffness!$E$110=4,IF(1=Element_Stiffness!$C$110,Element_Stiffness!T141,IF(1=Element_Stiffness!$E$110,Element_Stiffness!Z141,0)),0)),0)+IF(Element_Stiffness!$C$146,IF(Element_Stiffness!$C$145=4,IF(1=Element_Stiffness!$C$145,Element_Stiffness!T170,IF(1=Element_Stiffness!$E$145,Element_Stiffness!Z170,0)),IF(Element_Stiffness!$E$145=4,IF(1=Element_Stiffness!$C$145,Element_Stiffness!T176,IF(1=Element_Stiffness!$E$145,Element_Stiffness!Z176,0)),0)),0)+IF(Element_Stiffness!$C$181,IF(Element_Stiffness!$C$180=4,IF(1=Element_Stiffness!$C$180,Element_Stiffness!T205,IF(1=Element_Stiffness!$E$180,Element_Stiffness!Z205,0)),IF(Element_Stiffness!$E$180=4,IF(1=Element_Stiffness!$C$180,Element_Stiffness!T211,IF(1=Element_Stiffness!$E$180,Element_Stiffness!Z211,0)),0)),0)+IF(Element_Stiffness!$C$216,IF(Element_Stiffness!$C$215=4,IF(1=Element_Stiffness!$C$215,Element_Stiffness!T240,IF(1=Element_Stiffness!$E$215,Element_Stiffness!Z240,0)),IF(Element_Stiffness!$E$215=4,IF(1=Element_Stiffness!$C$215,Element_Stiffness!T246,IF(1=Element_Stiffness!$E$215,Element_Stiffness!Z246,0)),0)),0)</f>
        <v/>
      </c>
      <c r="N33" s="21">
        <f>IF(Element_Stiffness!$C$6,IF(Element_Stiffness!$C$5=4,IF(1=Element_Stiffness!$C$5,Element_Stiffness!U30,IF(1=Element_Stiffness!$E$5,Element_Stiffness!AA30,0)),IF(Element_Stiffness!$E$5=4,IF(1=Element_Stiffness!$C$5,Element_Stiffness!U36,IF(1=Element_Stiffness!$E$5,Element_Stiffness!AA36,0)),0)),0)+IF(Element_Stiffness!$C$41,IF(Element_Stiffness!$C$40=4,IF(1=Element_Stiffness!$C$40,Element_Stiffness!U65,IF(1=Element_Stiffness!$E$40,Element_Stiffness!AA65,0)),IF(Element_Stiffness!$E$40=4,IF(1=Element_Stiffness!$C$40,Element_Stiffness!U71,IF(1=Element_Stiffness!$E$40,Element_Stiffness!AA71,0)),0)),0)+IF(Element_Stiffness!$C$76,IF(Element_Stiffness!$C$75=4,IF(1=Element_Stiffness!$C$75,Element_Stiffness!U100,IF(1=Element_Stiffness!$E$75,Element_Stiffness!AA100,0)),IF(Element_Stiffness!$E$75=4,IF(1=Element_Stiffness!$C$75,Element_Stiffness!U106,IF(1=Element_Stiffness!$E$75,Element_Stiffness!AA106,0)),0)),0)+IF(Element_Stiffness!$C$111,IF(Element_Stiffness!$C$110=4,IF(1=Element_Stiffness!$C$110,Element_Stiffness!U135,IF(1=Element_Stiffness!$E$110,Element_Stiffness!AA135,0)),IF(Element_Stiffness!$E$110=4,IF(1=Element_Stiffness!$C$110,Element_Stiffness!U141,IF(1=Element_Stiffness!$E$110,Element_Stiffness!AA141,0)),0)),0)+IF(Element_Stiffness!$C$146,IF(Element_Stiffness!$C$145=4,IF(1=Element_Stiffness!$C$145,Element_Stiffness!U170,IF(1=Element_Stiffness!$E$145,Element_Stiffness!AA170,0)),IF(Element_Stiffness!$E$145=4,IF(1=Element_Stiffness!$C$145,Element_Stiffness!U176,IF(1=Element_Stiffness!$E$145,Element_Stiffness!AA176,0)),0)),0)+IF(Element_Stiffness!$C$181,IF(Element_Stiffness!$C$180=4,IF(1=Element_Stiffness!$C$180,Element_Stiffness!U205,IF(1=Element_Stiffness!$E$180,Element_Stiffness!AA205,0)),IF(Element_Stiffness!$E$180=4,IF(1=Element_Stiffness!$C$180,Element_Stiffness!U211,IF(1=Element_Stiffness!$E$180,Element_Stiffness!AA211,0)),0)),0)+IF(Element_Stiffness!$C$216,IF(Element_Stiffness!$C$215=4,IF(1=Element_Stiffness!$C$215,Element_Stiffness!U240,IF(1=Element_Stiffness!$E$215,Element_Stiffness!AA240,0)),IF(Element_Stiffness!$E$215=4,IF(1=Element_Stiffness!$C$215,Element_Stiffness!U246,IF(1=Element_Stiffness!$E$215,Element_Stiffness!AA246,0)),0)),0)</f>
        <v/>
      </c>
      <c r="O33" s="21">
        <f>IF(Element_Stiffness!$C$6,IF(Element_Stiffness!$C$5=4,IF(2=Element_Stiffness!$C$5,Element_Stiffness!P30,IF(2=Element_Stiffness!$E$5,Element_Stiffness!V30,0)),IF(Element_Stiffness!$E$5=4,IF(2=Element_Stiffness!$C$5,Element_Stiffness!P36,IF(2=Element_Stiffness!$E$5,Element_Stiffness!V36,0)),0)),0)+IF(Element_Stiffness!$C$41,IF(Element_Stiffness!$C$40=4,IF(2=Element_Stiffness!$C$40,Element_Stiffness!P65,IF(2=Element_Stiffness!$E$40,Element_Stiffness!V65,0)),IF(Element_Stiffness!$E$40=4,IF(2=Element_Stiffness!$C$40,Element_Stiffness!P71,IF(2=Element_Stiffness!$E$40,Element_Stiffness!V71,0)),0)),0)+IF(Element_Stiffness!$C$76,IF(Element_Stiffness!$C$75=4,IF(2=Element_Stiffness!$C$75,Element_Stiffness!P100,IF(2=Element_Stiffness!$E$75,Element_Stiffness!V100,0)),IF(Element_Stiffness!$E$75=4,IF(2=Element_Stiffness!$C$75,Element_Stiffness!P106,IF(2=Element_Stiffness!$E$75,Element_Stiffness!V106,0)),0)),0)+IF(Element_Stiffness!$C$111,IF(Element_Stiffness!$C$110=4,IF(2=Element_Stiffness!$C$110,Element_Stiffness!P135,IF(2=Element_Stiffness!$E$110,Element_Stiffness!V135,0)),IF(Element_Stiffness!$E$110=4,IF(2=Element_Stiffness!$C$110,Element_Stiffness!P141,IF(2=Element_Stiffness!$E$110,Element_Stiffness!V141,0)),0)),0)+IF(Element_Stiffness!$C$146,IF(Element_Stiffness!$C$145=4,IF(2=Element_Stiffness!$C$145,Element_Stiffness!P170,IF(2=Element_Stiffness!$E$145,Element_Stiffness!V170,0)),IF(Element_Stiffness!$E$145=4,IF(2=Element_Stiffness!$C$145,Element_Stiffness!P176,IF(2=Element_Stiffness!$E$145,Element_Stiffness!V176,0)),0)),0)+IF(Element_Stiffness!$C$181,IF(Element_Stiffness!$C$180=4,IF(2=Element_Stiffness!$C$180,Element_Stiffness!P205,IF(2=Element_Stiffness!$E$180,Element_Stiffness!V205,0)),IF(Element_Stiffness!$E$180=4,IF(2=Element_Stiffness!$C$180,Element_Stiffness!P211,IF(2=Element_Stiffness!$E$180,Element_Stiffness!V211,0)),0)),0)+IF(Element_Stiffness!$C$216,IF(Element_Stiffness!$C$215=4,IF(2=Element_Stiffness!$C$215,Element_Stiffness!P240,IF(2=Element_Stiffness!$E$215,Element_Stiffness!V240,0)),IF(Element_Stiffness!$E$215=4,IF(2=Element_Stiffness!$C$215,Element_Stiffness!P246,IF(2=Element_Stiffness!$E$215,Element_Stiffness!V246,0)),0)),0)</f>
        <v/>
      </c>
      <c r="P33" s="21">
        <f>IF(Element_Stiffness!$C$6,IF(Element_Stiffness!$C$5=4,IF(2=Element_Stiffness!$C$5,Element_Stiffness!Q30,IF(2=Element_Stiffness!$E$5,Element_Stiffness!W30,0)),IF(Element_Stiffness!$E$5=4,IF(2=Element_Stiffness!$C$5,Element_Stiffness!Q36,IF(2=Element_Stiffness!$E$5,Element_Stiffness!W36,0)),0)),0)+IF(Element_Stiffness!$C$41,IF(Element_Stiffness!$C$40=4,IF(2=Element_Stiffness!$C$40,Element_Stiffness!Q65,IF(2=Element_Stiffness!$E$40,Element_Stiffness!W65,0)),IF(Element_Stiffness!$E$40=4,IF(2=Element_Stiffness!$C$40,Element_Stiffness!Q71,IF(2=Element_Stiffness!$E$40,Element_Stiffness!W71,0)),0)),0)+IF(Element_Stiffness!$C$76,IF(Element_Stiffness!$C$75=4,IF(2=Element_Stiffness!$C$75,Element_Stiffness!Q100,IF(2=Element_Stiffness!$E$75,Element_Stiffness!W100,0)),IF(Element_Stiffness!$E$75=4,IF(2=Element_Stiffness!$C$75,Element_Stiffness!Q106,IF(2=Element_Stiffness!$E$75,Element_Stiffness!W106,0)),0)),0)+IF(Element_Stiffness!$C$111,IF(Element_Stiffness!$C$110=4,IF(2=Element_Stiffness!$C$110,Element_Stiffness!Q135,IF(2=Element_Stiffness!$E$110,Element_Stiffness!W135,0)),IF(Element_Stiffness!$E$110=4,IF(2=Element_Stiffness!$C$110,Element_Stiffness!Q141,IF(2=Element_Stiffness!$E$110,Element_Stiffness!W141,0)),0)),0)+IF(Element_Stiffness!$C$146,IF(Element_Stiffness!$C$145=4,IF(2=Element_Stiffness!$C$145,Element_Stiffness!Q170,IF(2=Element_Stiffness!$E$145,Element_Stiffness!W170,0)),IF(Element_Stiffness!$E$145=4,IF(2=Element_Stiffness!$C$145,Element_Stiffness!Q176,IF(2=Element_Stiffness!$E$145,Element_Stiffness!W176,0)),0)),0)+IF(Element_Stiffness!$C$181,IF(Element_Stiffness!$C$180=4,IF(2=Element_Stiffness!$C$180,Element_Stiffness!Q205,IF(2=Element_Stiffness!$E$180,Element_Stiffness!W205,0)),IF(Element_Stiffness!$E$180=4,IF(2=Element_Stiffness!$C$180,Element_Stiffness!Q211,IF(2=Element_Stiffness!$E$180,Element_Stiffness!W211,0)),0)),0)+IF(Element_Stiffness!$C$216,IF(Element_Stiffness!$C$215=4,IF(2=Element_Stiffness!$C$215,Element_Stiffness!Q240,IF(2=Element_Stiffness!$E$215,Element_Stiffness!W240,0)),IF(Element_Stiffness!$E$215=4,IF(2=Element_Stiffness!$C$215,Element_Stiffness!Q246,IF(2=Element_Stiffness!$E$215,Element_Stiffness!W246,0)),0)),0)</f>
        <v/>
      </c>
      <c r="Q33" s="21">
        <f>IF(Element_Stiffness!$C$6,IF(Element_Stiffness!$C$5=4,IF(2=Element_Stiffness!$C$5,Element_Stiffness!R30,IF(2=Element_Stiffness!$E$5,Element_Stiffness!X30,0)),IF(Element_Stiffness!$E$5=4,IF(2=Element_Stiffness!$C$5,Element_Stiffness!R36,IF(2=Element_Stiffness!$E$5,Element_Stiffness!X36,0)),0)),0)+IF(Element_Stiffness!$C$41,IF(Element_Stiffness!$C$40=4,IF(2=Element_Stiffness!$C$40,Element_Stiffness!R65,IF(2=Element_Stiffness!$E$40,Element_Stiffness!X65,0)),IF(Element_Stiffness!$E$40=4,IF(2=Element_Stiffness!$C$40,Element_Stiffness!R71,IF(2=Element_Stiffness!$E$40,Element_Stiffness!X71,0)),0)),0)+IF(Element_Stiffness!$C$76,IF(Element_Stiffness!$C$75=4,IF(2=Element_Stiffness!$C$75,Element_Stiffness!R100,IF(2=Element_Stiffness!$E$75,Element_Stiffness!X100,0)),IF(Element_Stiffness!$E$75=4,IF(2=Element_Stiffness!$C$75,Element_Stiffness!R106,IF(2=Element_Stiffness!$E$75,Element_Stiffness!X106,0)),0)),0)+IF(Element_Stiffness!$C$111,IF(Element_Stiffness!$C$110=4,IF(2=Element_Stiffness!$C$110,Element_Stiffness!R135,IF(2=Element_Stiffness!$E$110,Element_Stiffness!X135,0)),IF(Element_Stiffness!$E$110=4,IF(2=Element_Stiffness!$C$110,Element_Stiffness!R141,IF(2=Element_Stiffness!$E$110,Element_Stiffness!X141,0)),0)),0)+IF(Element_Stiffness!$C$146,IF(Element_Stiffness!$C$145=4,IF(2=Element_Stiffness!$C$145,Element_Stiffness!R170,IF(2=Element_Stiffness!$E$145,Element_Stiffness!X170,0)),IF(Element_Stiffness!$E$145=4,IF(2=Element_Stiffness!$C$145,Element_Stiffness!R176,IF(2=Element_Stiffness!$E$145,Element_Stiffness!X176,0)),0)),0)+IF(Element_Stiffness!$C$181,IF(Element_Stiffness!$C$180=4,IF(2=Element_Stiffness!$C$180,Element_Stiffness!R205,IF(2=Element_Stiffness!$E$180,Element_Stiffness!X205,0)),IF(Element_Stiffness!$E$180=4,IF(2=Element_Stiffness!$C$180,Element_Stiffness!R211,IF(2=Element_Stiffness!$E$180,Element_Stiffness!X211,0)),0)),0)+IF(Element_Stiffness!$C$216,IF(Element_Stiffness!$C$215=4,IF(2=Element_Stiffness!$C$215,Element_Stiffness!R240,IF(2=Element_Stiffness!$E$215,Element_Stiffness!X240,0)),IF(Element_Stiffness!$E$215=4,IF(2=Element_Stiffness!$C$215,Element_Stiffness!R246,IF(2=Element_Stiffness!$E$215,Element_Stiffness!X246,0)),0)),0)</f>
        <v/>
      </c>
      <c r="R33" s="21">
        <f>IF(Element_Stiffness!$C$6,IF(Element_Stiffness!$C$5=4,IF(2=Element_Stiffness!$C$5,Element_Stiffness!S30,IF(2=Element_Stiffness!$E$5,Element_Stiffness!Y30,0)),IF(Element_Stiffness!$E$5=4,IF(2=Element_Stiffness!$C$5,Element_Stiffness!S36,IF(2=Element_Stiffness!$E$5,Element_Stiffness!Y36,0)),0)),0)+IF(Element_Stiffness!$C$41,IF(Element_Stiffness!$C$40=4,IF(2=Element_Stiffness!$C$40,Element_Stiffness!S65,IF(2=Element_Stiffness!$E$40,Element_Stiffness!Y65,0)),IF(Element_Stiffness!$E$40=4,IF(2=Element_Stiffness!$C$40,Element_Stiffness!S71,IF(2=Element_Stiffness!$E$40,Element_Stiffness!Y71,0)),0)),0)+IF(Element_Stiffness!$C$76,IF(Element_Stiffness!$C$75=4,IF(2=Element_Stiffness!$C$75,Element_Stiffness!S100,IF(2=Element_Stiffness!$E$75,Element_Stiffness!Y100,0)),IF(Element_Stiffness!$E$75=4,IF(2=Element_Stiffness!$C$75,Element_Stiffness!S106,IF(2=Element_Stiffness!$E$75,Element_Stiffness!Y106,0)),0)),0)+IF(Element_Stiffness!$C$111,IF(Element_Stiffness!$C$110=4,IF(2=Element_Stiffness!$C$110,Element_Stiffness!S135,IF(2=Element_Stiffness!$E$110,Element_Stiffness!Y135,0)),IF(Element_Stiffness!$E$110=4,IF(2=Element_Stiffness!$C$110,Element_Stiffness!S141,IF(2=Element_Stiffness!$E$110,Element_Stiffness!Y141,0)),0)),0)+IF(Element_Stiffness!$C$146,IF(Element_Stiffness!$C$145=4,IF(2=Element_Stiffness!$C$145,Element_Stiffness!S170,IF(2=Element_Stiffness!$E$145,Element_Stiffness!Y170,0)),IF(Element_Stiffness!$E$145=4,IF(2=Element_Stiffness!$C$145,Element_Stiffness!S176,IF(2=Element_Stiffness!$E$145,Element_Stiffness!Y176,0)),0)),0)+IF(Element_Stiffness!$C$181,IF(Element_Stiffness!$C$180=4,IF(2=Element_Stiffness!$C$180,Element_Stiffness!S205,IF(2=Element_Stiffness!$E$180,Element_Stiffness!Y205,0)),IF(Element_Stiffness!$E$180=4,IF(2=Element_Stiffness!$C$180,Element_Stiffness!S211,IF(2=Element_Stiffness!$E$180,Element_Stiffness!Y211,0)),0)),0)+IF(Element_Stiffness!$C$216,IF(Element_Stiffness!$C$215=4,IF(2=Element_Stiffness!$C$215,Element_Stiffness!S240,IF(2=Element_Stiffness!$E$215,Element_Stiffness!Y240,0)),IF(Element_Stiffness!$E$215=4,IF(2=Element_Stiffness!$C$215,Element_Stiffness!S246,IF(2=Element_Stiffness!$E$215,Element_Stiffness!Y246,0)),0)),0)</f>
        <v/>
      </c>
      <c r="S33" s="21">
        <f>IF(Element_Stiffness!$C$6,IF(Element_Stiffness!$C$5=4,IF(2=Element_Stiffness!$C$5,Element_Stiffness!T30,IF(2=Element_Stiffness!$E$5,Element_Stiffness!Z30,0)),IF(Element_Stiffness!$E$5=4,IF(2=Element_Stiffness!$C$5,Element_Stiffness!T36,IF(2=Element_Stiffness!$E$5,Element_Stiffness!Z36,0)),0)),0)+IF(Element_Stiffness!$C$41,IF(Element_Stiffness!$C$40=4,IF(2=Element_Stiffness!$C$40,Element_Stiffness!T65,IF(2=Element_Stiffness!$E$40,Element_Stiffness!Z65,0)),IF(Element_Stiffness!$E$40=4,IF(2=Element_Stiffness!$C$40,Element_Stiffness!T71,IF(2=Element_Stiffness!$E$40,Element_Stiffness!Z71,0)),0)),0)+IF(Element_Stiffness!$C$76,IF(Element_Stiffness!$C$75=4,IF(2=Element_Stiffness!$C$75,Element_Stiffness!T100,IF(2=Element_Stiffness!$E$75,Element_Stiffness!Z100,0)),IF(Element_Stiffness!$E$75=4,IF(2=Element_Stiffness!$C$75,Element_Stiffness!T106,IF(2=Element_Stiffness!$E$75,Element_Stiffness!Z106,0)),0)),0)+IF(Element_Stiffness!$C$111,IF(Element_Stiffness!$C$110=4,IF(2=Element_Stiffness!$C$110,Element_Stiffness!T135,IF(2=Element_Stiffness!$E$110,Element_Stiffness!Z135,0)),IF(Element_Stiffness!$E$110=4,IF(2=Element_Stiffness!$C$110,Element_Stiffness!T141,IF(2=Element_Stiffness!$E$110,Element_Stiffness!Z141,0)),0)),0)+IF(Element_Stiffness!$C$146,IF(Element_Stiffness!$C$145=4,IF(2=Element_Stiffness!$C$145,Element_Stiffness!T170,IF(2=Element_Stiffness!$E$145,Element_Stiffness!Z170,0)),IF(Element_Stiffness!$E$145=4,IF(2=Element_Stiffness!$C$145,Element_Stiffness!T176,IF(2=Element_Stiffness!$E$145,Element_Stiffness!Z176,0)),0)),0)+IF(Element_Stiffness!$C$181,IF(Element_Stiffness!$C$180=4,IF(2=Element_Stiffness!$C$180,Element_Stiffness!T205,IF(2=Element_Stiffness!$E$180,Element_Stiffness!Z205,0)),IF(Element_Stiffness!$E$180=4,IF(2=Element_Stiffness!$C$180,Element_Stiffness!T211,IF(2=Element_Stiffness!$E$180,Element_Stiffness!Z211,0)),0)),0)+IF(Element_Stiffness!$C$216,IF(Element_Stiffness!$C$215=4,IF(2=Element_Stiffness!$C$215,Element_Stiffness!T240,IF(2=Element_Stiffness!$E$215,Element_Stiffness!Z240,0)),IF(Element_Stiffness!$E$215=4,IF(2=Element_Stiffness!$C$215,Element_Stiffness!T246,IF(2=Element_Stiffness!$E$215,Element_Stiffness!Z246,0)),0)),0)</f>
        <v/>
      </c>
      <c r="T33" s="21">
        <f>IF(Element_Stiffness!$C$6,IF(Element_Stiffness!$C$5=4,IF(2=Element_Stiffness!$C$5,Element_Stiffness!U30,IF(2=Element_Stiffness!$E$5,Element_Stiffness!AA30,0)),IF(Element_Stiffness!$E$5=4,IF(2=Element_Stiffness!$C$5,Element_Stiffness!U36,IF(2=Element_Stiffness!$E$5,Element_Stiffness!AA36,0)),0)),0)+IF(Element_Stiffness!$C$41,IF(Element_Stiffness!$C$40=4,IF(2=Element_Stiffness!$C$40,Element_Stiffness!U65,IF(2=Element_Stiffness!$E$40,Element_Stiffness!AA65,0)),IF(Element_Stiffness!$E$40=4,IF(2=Element_Stiffness!$C$40,Element_Stiffness!U71,IF(2=Element_Stiffness!$E$40,Element_Stiffness!AA71,0)),0)),0)+IF(Element_Stiffness!$C$76,IF(Element_Stiffness!$C$75=4,IF(2=Element_Stiffness!$C$75,Element_Stiffness!U100,IF(2=Element_Stiffness!$E$75,Element_Stiffness!AA100,0)),IF(Element_Stiffness!$E$75=4,IF(2=Element_Stiffness!$C$75,Element_Stiffness!U106,IF(2=Element_Stiffness!$E$75,Element_Stiffness!AA106,0)),0)),0)+IF(Element_Stiffness!$C$111,IF(Element_Stiffness!$C$110=4,IF(2=Element_Stiffness!$C$110,Element_Stiffness!U135,IF(2=Element_Stiffness!$E$110,Element_Stiffness!AA135,0)),IF(Element_Stiffness!$E$110=4,IF(2=Element_Stiffness!$C$110,Element_Stiffness!U141,IF(2=Element_Stiffness!$E$110,Element_Stiffness!AA141,0)),0)),0)+IF(Element_Stiffness!$C$146,IF(Element_Stiffness!$C$145=4,IF(2=Element_Stiffness!$C$145,Element_Stiffness!U170,IF(2=Element_Stiffness!$E$145,Element_Stiffness!AA170,0)),IF(Element_Stiffness!$E$145=4,IF(2=Element_Stiffness!$C$145,Element_Stiffness!U176,IF(2=Element_Stiffness!$E$145,Element_Stiffness!AA176,0)),0)),0)+IF(Element_Stiffness!$C$181,IF(Element_Stiffness!$C$180=4,IF(2=Element_Stiffness!$C$180,Element_Stiffness!U205,IF(2=Element_Stiffness!$E$180,Element_Stiffness!AA205,0)),IF(Element_Stiffness!$E$180=4,IF(2=Element_Stiffness!$C$180,Element_Stiffness!U211,IF(2=Element_Stiffness!$E$180,Element_Stiffness!AA211,0)),0)),0)+IF(Element_Stiffness!$C$216,IF(Element_Stiffness!$C$215=4,IF(2=Element_Stiffness!$C$215,Element_Stiffness!U240,IF(2=Element_Stiffness!$E$215,Element_Stiffness!AA240,0)),IF(Element_Stiffness!$E$215=4,IF(2=Element_Stiffness!$C$215,Element_Stiffness!U246,IF(2=Element_Stiffness!$E$215,Element_Stiffness!AA246,0)),0)),0)</f>
        <v/>
      </c>
      <c r="U33" s="21">
        <f>IF(Element_Stiffness!$C$6,IF(Element_Stiffness!$C$5=4,IF(3=Element_Stiffness!$C$5,Element_Stiffness!P30,IF(3=Element_Stiffness!$E$5,Element_Stiffness!V30,0)),IF(Element_Stiffness!$E$5=4,IF(3=Element_Stiffness!$C$5,Element_Stiffness!P36,IF(3=Element_Stiffness!$E$5,Element_Stiffness!V36,0)),0)),0)+IF(Element_Stiffness!$C$41,IF(Element_Stiffness!$C$40=4,IF(3=Element_Stiffness!$C$40,Element_Stiffness!P65,IF(3=Element_Stiffness!$E$40,Element_Stiffness!V65,0)),IF(Element_Stiffness!$E$40=4,IF(3=Element_Stiffness!$C$40,Element_Stiffness!P71,IF(3=Element_Stiffness!$E$40,Element_Stiffness!V71,0)),0)),0)+IF(Element_Stiffness!$C$76,IF(Element_Stiffness!$C$75=4,IF(3=Element_Stiffness!$C$75,Element_Stiffness!P100,IF(3=Element_Stiffness!$E$75,Element_Stiffness!V100,0)),IF(Element_Stiffness!$E$75=4,IF(3=Element_Stiffness!$C$75,Element_Stiffness!P106,IF(3=Element_Stiffness!$E$75,Element_Stiffness!V106,0)),0)),0)+IF(Element_Stiffness!$C$111,IF(Element_Stiffness!$C$110=4,IF(3=Element_Stiffness!$C$110,Element_Stiffness!P135,IF(3=Element_Stiffness!$E$110,Element_Stiffness!V135,0)),IF(Element_Stiffness!$E$110=4,IF(3=Element_Stiffness!$C$110,Element_Stiffness!P141,IF(3=Element_Stiffness!$E$110,Element_Stiffness!V141,0)),0)),0)+IF(Element_Stiffness!$C$146,IF(Element_Stiffness!$C$145=4,IF(3=Element_Stiffness!$C$145,Element_Stiffness!P170,IF(3=Element_Stiffness!$E$145,Element_Stiffness!V170,0)),IF(Element_Stiffness!$E$145=4,IF(3=Element_Stiffness!$C$145,Element_Stiffness!P176,IF(3=Element_Stiffness!$E$145,Element_Stiffness!V176,0)),0)),0)+IF(Element_Stiffness!$C$181,IF(Element_Stiffness!$C$180=4,IF(3=Element_Stiffness!$C$180,Element_Stiffness!P205,IF(3=Element_Stiffness!$E$180,Element_Stiffness!V205,0)),IF(Element_Stiffness!$E$180=4,IF(3=Element_Stiffness!$C$180,Element_Stiffness!P211,IF(3=Element_Stiffness!$E$180,Element_Stiffness!V211,0)),0)),0)+IF(Element_Stiffness!$C$216,IF(Element_Stiffness!$C$215=4,IF(3=Element_Stiffness!$C$215,Element_Stiffness!P240,IF(3=Element_Stiffness!$E$215,Element_Stiffness!V240,0)),IF(Element_Stiffness!$E$215=4,IF(3=Element_Stiffness!$C$215,Element_Stiffness!P246,IF(3=Element_Stiffness!$E$215,Element_Stiffness!V246,0)),0)),0)</f>
        <v/>
      </c>
      <c r="V33" s="21">
        <f>IF(Element_Stiffness!$C$6,IF(Element_Stiffness!$C$5=4,IF(3=Element_Stiffness!$C$5,Element_Stiffness!Q30,IF(3=Element_Stiffness!$E$5,Element_Stiffness!W30,0)),IF(Element_Stiffness!$E$5=4,IF(3=Element_Stiffness!$C$5,Element_Stiffness!Q36,IF(3=Element_Stiffness!$E$5,Element_Stiffness!W36,0)),0)),0)+IF(Element_Stiffness!$C$41,IF(Element_Stiffness!$C$40=4,IF(3=Element_Stiffness!$C$40,Element_Stiffness!Q65,IF(3=Element_Stiffness!$E$40,Element_Stiffness!W65,0)),IF(Element_Stiffness!$E$40=4,IF(3=Element_Stiffness!$C$40,Element_Stiffness!Q71,IF(3=Element_Stiffness!$E$40,Element_Stiffness!W71,0)),0)),0)+IF(Element_Stiffness!$C$76,IF(Element_Stiffness!$C$75=4,IF(3=Element_Stiffness!$C$75,Element_Stiffness!Q100,IF(3=Element_Stiffness!$E$75,Element_Stiffness!W100,0)),IF(Element_Stiffness!$E$75=4,IF(3=Element_Stiffness!$C$75,Element_Stiffness!Q106,IF(3=Element_Stiffness!$E$75,Element_Stiffness!W106,0)),0)),0)+IF(Element_Stiffness!$C$111,IF(Element_Stiffness!$C$110=4,IF(3=Element_Stiffness!$C$110,Element_Stiffness!Q135,IF(3=Element_Stiffness!$E$110,Element_Stiffness!W135,0)),IF(Element_Stiffness!$E$110=4,IF(3=Element_Stiffness!$C$110,Element_Stiffness!Q141,IF(3=Element_Stiffness!$E$110,Element_Stiffness!W141,0)),0)),0)+IF(Element_Stiffness!$C$146,IF(Element_Stiffness!$C$145=4,IF(3=Element_Stiffness!$C$145,Element_Stiffness!Q170,IF(3=Element_Stiffness!$E$145,Element_Stiffness!W170,0)),IF(Element_Stiffness!$E$145=4,IF(3=Element_Stiffness!$C$145,Element_Stiffness!Q176,IF(3=Element_Stiffness!$E$145,Element_Stiffness!W176,0)),0)),0)+IF(Element_Stiffness!$C$181,IF(Element_Stiffness!$C$180=4,IF(3=Element_Stiffness!$C$180,Element_Stiffness!Q205,IF(3=Element_Stiffness!$E$180,Element_Stiffness!W205,0)),IF(Element_Stiffness!$E$180=4,IF(3=Element_Stiffness!$C$180,Element_Stiffness!Q211,IF(3=Element_Stiffness!$E$180,Element_Stiffness!W211,0)),0)),0)+IF(Element_Stiffness!$C$216,IF(Element_Stiffness!$C$215=4,IF(3=Element_Stiffness!$C$215,Element_Stiffness!Q240,IF(3=Element_Stiffness!$E$215,Element_Stiffness!W240,0)),IF(Element_Stiffness!$E$215=4,IF(3=Element_Stiffness!$C$215,Element_Stiffness!Q246,IF(3=Element_Stiffness!$E$215,Element_Stiffness!W246,0)),0)),0)</f>
        <v/>
      </c>
      <c r="W33" s="21">
        <f>IF(Element_Stiffness!$C$6,IF(Element_Stiffness!$C$5=4,IF(3=Element_Stiffness!$C$5,Element_Stiffness!R30,IF(3=Element_Stiffness!$E$5,Element_Stiffness!X30,0)),IF(Element_Stiffness!$E$5=4,IF(3=Element_Stiffness!$C$5,Element_Stiffness!R36,IF(3=Element_Stiffness!$E$5,Element_Stiffness!X36,0)),0)),0)+IF(Element_Stiffness!$C$41,IF(Element_Stiffness!$C$40=4,IF(3=Element_Stiffness!$C$40,Element_Stiffness!R65,IF(3=Element_Stiffness!$E$40,Element_Stiffness!X65,0)),IF(Element_Stiffness!$E$40=4,IF(3=Element_Stiffness!$C$40,Element_Stiffness!R71,IF(3=Element_Stiffness!$E$40,Element_Stiffness!X71,0)),0)),0)+IF(Element_Stiffness!$C$76,IF(Element_Stiffness!$C$75=4,IF(3=Element_Stiffness!$C$75,Element_Stiffness!R100,IF(3=Element_Stiffness!$E$75,Element_Stiffness!X100,0)),IF(Element_Stiffness!$E$75=4,IF(3=Element_Stiffness!$C$75,Element_Stiffness!R106,IF(3=Element_Stiffness!$E$75,Element_Stiffness!X106,0)),0)),0)+IF(Element_Stiffness!$C$111,IF(Element_Stiffness!$C$110=4,IF(3=Element_Stiffness!$C$110,Element_Stiffness!R135,IF(3=Element_Stiffness!$E$110,Element_Stiffness!X135,0)),IF(Element_Stiffness!$E$110=4,IF(3=Element_Stiffness!$C$110,Element_Stiffness!R141,IF(3=Element_Stiffness!$E$110,Element_Stiffness!X141,0)),0)),0)+IF(Element_Stiffness!$C$146,IF(Element_Stiffness!$C$145=4,IF(3=Element_Stiffness!$C$145,Element_Stiffness!R170,IF(3=Element_Stiffness!$E$145,Element_Stiffness!X170,0)),IF(Element_Stiffness!$E$145=4,IF(3=Element_Stiffness!$C$145,Element_Stiffness!R176,IF(3=Element_Stiffness!$E$145,Element_Stiffness!X176,0)),0)),0)+IF(Element_Stiffness!$C$181,IF(Element_Stiffness!$C$180=4,IF(3=Element_Stiffness!$C$180,Element_Stiffness!R205,IF(3=Element_Stiffness!$E$180,Element_Stiffness!X205,0)),IF(Element_Stiffness!$E$180=4,IF(3=Element_Stiffness!$C$180,Element_Stiffness!R211,IF(3=Element_Stiffness!$E$180,Element_Stiffness!X211,0)),0)),0)+IF(Element_Stiffness!$C$216,IF(Element_Stiffness!$C$215=4,IF(3=Element_Stiffness!$C$215,Element_Stiffness!R240,IF(3=Element_Stiffness!$E$215,Element_Stiffness!X240,0)),IF(Element_Stiffness!$E$215=4,IF(3=Element_Stiffness!$C$215,Element_Stiffness!R246,IF(3=Element_Stiffness!$E$215,Element_Stiffness!X246,0)),0)),0)</f>
        <v/>
      </c>
      <c r="X33" s="21">
        <f>IF(Element_Stiffness!$C$6,IF(Element_Stiffness!$C$5=4,IF(3=Element_Stiffness!$C$5,Element_Stiffness!S30,IF(3=Element_Stiffness!$E$5,Element_Stiffness!Y30,0)),IF(Element_Stiffness!$E$5=4,IF(3=Element_Stiffness!$C$5,Element_Stiffness!S36,IF(3=Element_Stiffness!$E$5,Element_Stiffness!Y36,0)),0)),0)+IF(Element_Stiffness!$C$41,IF(Element_Stiffness!$C$40=4,IF(3=Element_Stiffness!$C$40,Element_Stiffness!S65,IF(3=Element_Stiffness!$E$40,Element_Stiffness!Y65,0)),IF(Element_Stiffness!$E$40=4,IF(3=Element_Stiffness!$C$40,Element_Stiffness!S71,IF(3=Element_Stiffness!$E$40,Element_Stiffness!Y71,0)),0)),0)+IF(Element_Stiffness!$C$76,IF(Element_Stiffness!$C$75=4,IF(3=Element_Stiffness!$C$75,Element_Stiffness!S100,IF(3=Element_Stiffness!$E$75,Element_Stiffness!Y100,0)),IF(Element_Stiffness!$E$75=4,IF(3=Element_Stiffness!$C$75,Element_Stiffness!S106,IF(3=Element_Stiffness!$E$75,Element_Stiffness!Y106,0)),0)),0)+IF(Element_Stiffness!$C$111,IF(Element_Stiffness!$C$110=4,IF(3=Element_Stiffness!$C$110,Element_Stiffness!S135,IF(3=Element_Stiffness!$E$110,Element_Stiffness!Y135,0)),IF(Element_Stiffness!$E$110=4,IF(3=Element_Stiffness!$C$110,Element_Stiffness!S141,IF(3=Element_Stiffness!$E$110,Element_Stiffness!Y141,0)),0)),0)+IF(Element_Stiffness!$C$146,IF(Element_Stiffness!$C$145=4,IF(3=Element_Stiffness!$C$145,Element_Stiffness!S170,IF(3=Element_Stiffness!$E$145,Element_Stiffness!Y170,0)),IF(Element_Stiffness!$E$145=4,IF(3=Element_Stiffness!$C$145,Element_Stiffness!S176,IF(3=Element_Stiffness!$E$145,Element_Stiffness!Y176,0)),0)),0)+IF(Element_Stiffness!$C$181,IF(Element_Stiffness!$C$180=4,IF(3=Element_Stiffness!$C$180,Element_Stiffness!S205,IF(3=Element_Stiffness!$E$180,Element_Stiffness!Y205,0)),IF(Element_Stiffness!$E$180=4,IF(3=Element_Stiffness!$C$180,Element_Stiffness!S211,IF(3=Element_Stiffness!$E$180,Element_Stiffness!Y211,0)),0)),0)+IF(Element_Stiffness!$C$216,IF(Element_Stiffness!$C$215=4,IF(3=Element_Stiffness!$C$215,Element_Stiffness!S240,IF(3=Element_Stiffness!$E$215,Element_Stiffness!Y240,0)),IF(Element_Stiffness!$E$215=4,IF(3=Element_Stiffness!$C$215,Element_Stiffness!S246,IF(3=Element_Stiffness!$E$215,Element_Stiffness!Y246,0)),0)),0)</f>
        <v/>
      </c>
      <c r="Y33" s="21">
        <f>IF(Element_Stiffness!$C$6,IF(Element_Stiffness!$C$5=4,IF(3=Element_Stiffness!$C$5,Element_Stiffness!T30,IF(3=Element_Stiffness!$E$5,Element_Stiffness!Z30,0)),IF(Element_Stiffness!$E$5=4,IF(3=Element_Stiffness!$C$5,Element_Stiffness!T36,IF(3=Element_Stiffness!$E$5,Element_Stiffness!Z36,0)),0)),0)+IF(Element_Stiffness!$C$41,IF(Element_Stiffness!$C$40=4,IF(3=Element_Stiffness!$C$40,Element_Stiffness!T65,IF(3=Element_Stiffness!$E$40,Element_Stiffness!Z65,0)),IF(Element_Stiffness!$E$40=4,IF(3=Element_Stiffness!$C$40,Element_Stiffness!T71,IF(3=Element_Stiffness!$E$40,Element_Stiffness!Z71,0)),0)),0)+IF(Element_Stiffness!$C$76,IF(Element_Stiffness!$C$75=4,IF(3=Element_Stiffness!$C$75,Element_Stiffness!T100,IF(3=Element_Stiffness!$E$75,Element_Stiffness!Z100,0)),IF(Element_Stiffness!$E$75=4,IF(3=Element_Stiffness!$C$75,Element_Stiffness!T106,IF(3=Element_Stiffness!$E$75,Element_Stiffness!Z106,0)),0)),0)+IF(Element_Stiffness!$C$111,IF(Element_Stiffness!$C$110=4,IF(3=Element_Stiffness!$C$110,Element_Stiffness!T135,IF(3=Element_Stiffness!$E$110,Element_Stiffness!Z135,0)),IF(Element_Stiffness!$E$110=4,IF(3=Element_Stiffness!$C$110,Element_Stiffness!T141,IF(3=Element_Stiffness!$E$110,Element_Stiffness!Z141,0)),0)),0)+IF(Element_Stiffness!$C$146,IF(Element_Stiffness!$C$145=4,IF(3=Element_Stiffness!$C$145,Element_Stiffness!T170,IF(3=Element_Stiffness!$E$145,Element_Stiffness!Z170,0)),IF(Element_Stiffness!$E$145=4,IF(3=Element_Stiffness!$C$145,Element_Stiffness!T176,IF(3=Element_Stiffness!$E$145,Element_Stiffness!Z176,0)),0)),0)+IF(Element_Stiffness!$C$181,IF(Element_Stiffness!$C$180=4,IF(3=Element_Stiffness!$C$180,Element_Stiffness!T205,IF(3=Element_Stiffness!$E$180,Element_Stiffness!Z205,0)),IF(Element_Stiffness!$E$180=4,IF(3=Element_Stiffness!$C$180,Element_Stiffness!T211,IF(3=Element_Stiffness!$E$180,Element_Stiffness!Z211,0)),0)),0)+IF(Element_Stiffness!$C$216,IF(Element_Stiffness!$C$215=4,IF(3=Element_Stiffness!$C$215,Element_Stiffness!T240,IF(3=Element_Stiffness!$E$215,Element_Stiffness!Z240,0)),IF(Element_Stiffness!$E$215=4,IF(3=Element_Stiffness!$C$215,Element_Stiffness!T246,IF(3=Element_Stiffness!$E$215,Element_Stiffness!Z246,0)),0)),0)</f>
        <v/>
      </c>
      <c r="Z33" s="21">
        <f>IF(Element_Stiffness!$C$6,IF(Element_Stiffness!$C$5=4,IF(3=Element_Stiffness!$C$5,Element_Stiffness!U30,IF(3=Element_Stiffness!$E$5,Element_Stiffness!AA30,0)),IF(Element_Stiffness!$E$5=4,IF(3=Element_Stiffness!$C$5,Element_Stiffness!U36,IF(3=Element_Stiffness!$E$5,Element_Stiffness!AA36,0)),0)),0)+IF(Element_Stiffness!$C$41,IF(Element_Stiffness!$C$40=4,IF(3=Element_Stiffness!$C$40,Element_Stiffness!U65,IF(3=Element_Stiffness!$E$40,Element_Stiffness!AA65,0)),IF(Element_Stiffness!$E$40=4,IF(3=Element_Stiffness!$C$40,Element_Stiffness!U71,IF(3=Element_Stiffness!$E$40,Element_Stiffness!AA71,0)),0)),0)+IF(Element_Stiffness!$C$76,IF(Element_Stiffness!$C$75=4,IF(3=Element_Stiffness!$C$75,Element_Stiffness!U100,IF(3=Element_Stiffness!$E$75,Element_Stiffness!AA100,0)),IF(Element_Stiffness!$E$75=4,IF(3=Element_Stiffness!$C$75,Element_Stiffness!U106,IF(3=Element_Stiffness!$E$75,Element_Stiffness!AA106,0)),0)),0)+IF(Element_Stiffness!$C$111,IF(Element_Stiffness!$C$110=4,IF(3=Element_Stiffness!$C$110,Element_Stiffness!U135,IF(3=Element_Stiffness!$E$110,Element_Stiffness!AA135,0)),IF(Element_Stiffness!$E$110=4,IF(3=Element_Stiffness!$C$110,Element_Stiffness!U141,IF(3=Element_Stiffness!$E$110,Element_Stiffness!AA141,0)),0)),0)+IF(Element_Stiffness!$C$146,IF(Element_Stiffness!$C$145=4,IF(3=Element_Stiffness!$C$145,Element_Stiffness!U170,IF(3=Element_Stiffness!$E$145,Element_Stiffness!AA170,0)),IF(Element_Stiffness!$E$145=4,IF(3=Element_Stiffness!$C$145,Element_Stiffness!U176,IF(3=Element_Stiffness!$E$145,Element_Stiffness!AA176,0)),0)),0)+IF(Element_Stiffness!$C$181,IF(Element_Stiffness!$C$180=4,IF(3=Element_Stiffness!$C$180,Element_Stiffness!U205,IF(3=Element_Stiffness!$E$180,Element_Stiffness!AA205,0)),IF(Element_Stiffness!$E$180=4,IF(3=Element_Stiffness!$C$180,Element_Stiffness!U211,IF(3=Element_Stiffness!$E$180,Element_Stiffness!AA211,0)),0)),0)+IF(Element_Stiffness!$C$216,IF(Element_Stiffness!$C$215=4,IF(3=Element_Stiffness!$C$215,Element_Stiffness!U240,IF(3=Element_Stiffness!$E$215,Element_Stiffness!AA240,0)),IF(Element_Stiffness!$E$215=4,IF(3=Element_Stiffness!$C$215,Element_Stiffness!U246,IF(3=Element_Stiffness!$E$215,Element_Stiffness!AA246,0)),0)),0)</f>
        <v/>
      </c>
      <c r="AA33" s="21">
        <f>IF(Element_Stiffness!$C$6,IF(Element_Stiffness!$C$5=4,IF(4=Element_Stiffness!$C$5,Element_Stiffness!P30,IF(4=Element_Stiffness!$E$5,Element_Stiffness!V30,0)),IF(Element_Stiffness!$E$5=4,IF(4=Element_Stiffness!$C$5,Element_Stiffness!P36,IF(4=Element_Stiffness!$E$5,Element_Stiffness!V36,0)),0)),0)+IF(Element_Stiffness!$C$41,IF(Element_Stiffness!$C$40=4,IF(4=Element_Stiffness!$C$40,Element_Stiffness!P65,IF(4=Element_Stiffness!$E$40,Element_Stiffness!V65,0)),IF(Element_Stiffness!$E$40=4,IF(4=Element_Stiffness!$C$40,Element_Stiffness!P71,IF(4=Element_Stiffness!$E$40,Element_Stiffness!V71,0)),0)),0)+IF(Element_Stiffness!$C$76,IF(Element_Stiffness!$C$75=4,IF(4=Element_Stiffness!$C$75,Element_Stiffness!P100,IF(4=Element_Stiffness!$E$75,Element_Stiffness!V100,0)),IF(Element_Stiffness!$E$75=4,IF(4=Element_Stiffness!$C$75,Element_Stiffness!P106,IF(4=Element_Stiffness!$E$75,Element_Stiffness!V106,0)),0)),0)+IF(Element_Stiffness!$C$111,IF(Element_Stiffness!$C$110=4,IF(4=Element_Stiffness!$C$110,Element_Stiffness!P135,IF(4=Element_Stiffness!$E$110,Element_Stiffness!V135,0)),IF(Element_Stiffness!$E$110=4,IF(4=Element_Stiffness!$C$110,Element_Stiffness!P141,IF(4=Element_Stiffness!$E$110,Element_Stiffness!V141,0)),0)),0)+IF(Element_Stiffness!$C$146,IF(Element_Stiffness!$C$145=4,IF(4=Element_Stiffness!$C$145,Element_Stiffness!P170,IF(4=Element_Stiffness!$E$145,Element_Stiffness!V170,0)),IF(Element_Stiffness!$E$145=4,IF(4=Element_Stiffness!$C$145,Element_Stiffness!P176,IF(4=Element_Stiffness!$E$145,Element_Stiffness!V176,0)),0)),0)+IF(Element_Stiffness!$C$181,IF(Element_Stiffness!$C$180=4,IF(4=Element_Stiffness!$C$180,Element_Stiffness!P205,IF(4=Element_Stiffness!$E$180,Element_Stiffness!V205,0)),IF(Element_Stiffness!$E$180=4,IF(4=Element_Stiffness!$C$180,Element_Stiffness!P211,IF(4=Element_Stiffness!$E$180,Element_Stiffness!V211,0)),0)),0)+IF(Element_Stiffness!$C$216,IF(Element_Stiffness!$C$215=4,IF(4=Element_Stiffness!$C$215,Element_Stiffness!P240,IF(4=Element_Stiffness!$E$215,Element_Stiffness!V240,0)),IF(Element_Stiffness!$E$215=4,IF(4=Element_Stiffness!$C$215,Element_Stiffness!P246,IF(4=Element_Stiffness!$E$215,Element_Stiffness!V246,0)),0)),0)</f>
        <v/>
      </c>
      <c r="AB33" s="21">
        <f>IF(Element_Stiffness!$C$6,IF(Element_Stiffness!$C$5=4,IF(4=Element_Stiffness!$C$5,Element_Stiffness!Q30,IF(4=Element_Stiffness!$E$5,Element_Stiffness!W30,0)),IF(Element_Stiffness!$E$5=4,IF(4=Element_Stiffness!$C$5,Element_Stiffness!Q36,IF(4=Element_Stiffness!$E$5,Element_Stiffness!W36,0)),0)),0)+IF(Element_Stiffness!$C$41,IF(Element_Stiffness!$C$40=4,IF(4=Element_Stiffness!$C$40,Element_Stiffness!Q65,IF(4=Element_Stiffness!$E$40,Element_Stiffness!W65,0)),IF(Element_Stiffness!$E$40=4,IF(4=Element_Stiffness!$C$40,Element_Stiffness!Q71,IF(4=Element_Stiffness!$E$40,Element_Stiffness!W71,0)),0)),0)+IF(Element_Stiffness!$C$76,IF(Element_Stiffness!$C$75=4,IF(4=Element_Stiffness!$C$75,Element_Stiffness!Q100,IF(4=Element_Stiffness!$E$75,Element_Stiffness!W100,0)),IF(Element_Stiffness!$E$75=4,IF(4=Element_Stiffness!$C$75,Element_Stiffness!Q106,IF(4=Element_Stiffness!$E$75,Element_Stiffness!W106,0)),0)),0)+IF(Element_Stiffness!$C$111,IF(Element_Stiffness!$C$110=4,IF(4=Element_Stiffness!$C$110,Element_Stiffness!Q135,IF(4=Element_Stiffness!$E$110,Element_Stiffness!W135,0)),IF(Element_Stiffness!$E$110=4,IF(4=Element_Stiffness!$C$110,Element_Stiffness!Q141,IF(4=Element_Stiffness!$E$110,Element_Stiffness!W141,0)),0)),0)+IF(Element_Stiffness!$C$146,IF(Element_Stiffness!$C$145=4,IF(4=Element_Stiffness!$C$145,Element_Stiffness!Q170,IF(4=Element_Stiffness!$E$145,Element_Stiffness!W170,0)),IF(Element_Stiffness!$E$145=4,IF(4=Element_Stiffness!$C$145,Element_Stiffness!Q176,IF(4=Element_Stiffness!$E$145,Element_Stiffness!W176,0)),0)),0)+IF(Element_Stiffness!$C$181,IF(Element_Stiffness!$C$180=4,IF(4=Element_Stiffness!$C$180,Element_Stiffness!Q205,IF(4=Element_Stiffness!$E$180,Element_Stiffness!W205,0)),IF(Element_Stiffness!$E$180=4,IF(4=Element_Stiffness!$C$180,Element_Stiffness!Q211,IF(4=Element_Stiffness!$E$180,Element_Stiffness!W211,0)),0)),0)+IF(Element_Stiffness!$C$216,IF(Element_Stiffness!$C$215=4,IF(4=Element_Stiffness!$C$215,Element_Stiffness!Q240,IF(4=Element_Stiffness!$E$215,Element_Stiffness!W240,0)),IF(Element_Stiffness!$E$215=4,IF(4=Element_Stiffness!$C$215,Element_Stiffness!Q246,IF(4=Element_Stiffness!$E$215,Element_Stiffness!W246,0)),0)),0)</f>
        <v/>
      </c>
      <c r="AC33" s="21">
        <f>IF(Element_Stiffness!$C$6,IF(Element_Stiffness!$C$5=4,IF(4=Element_Stiffness!$C$5,Element_Stiffness!R30,IF(4=Element_Stiffness!$E$5,Element_Stiffness!X30,0)),IF(Element_Stiffness!$E$5=4,IF(4=Element_Stiffness!$C$5,Element_Stiffness!R36,IF(4=Element_Stiffness!$E$5,Element_Stiffness!X36,0)),0)),0)+IF(Element_Stiffness!$C$41,IF(Element_Stiffness!$C$40=4,IF(4=Element_Stiffness!$C$40,Element_Stiffness!R65,IF(4=Element_Stiffness!$E$40,Element_Stiffness!X65,0)),IF(Element_Stiffness!$E$40=4,IF(4=Element_Stiffness!$C$40,Element_Stiffness!R71,IF(4=Element_Stiffness!$E$40,Element_Stiffness!X71,0)),0)),0)+IF(Element_Stiffness!$C$76,IF(Element_Stiffness!$C$75=4,IF(4=Element_Stiffness!$C$75,Element_Stiffness!R100,IF(4=Element_Stiffness!$E$75,Element_Stiffness!X100,0)),IF(Element_Stiffness!$E$75=4,IF(4=Element_Stiffness!$C$75,Element_Stiffness!R106,IF(4=Element_Stiffness!$E$75,Element_Stiffness!X106,0)),0)),0)+IF(Element_Stiffness!$C$111,IF(Element_Stiffness!$C$110=4,IF(4=Element_Stiffness!$C$110,Element_Stiffness!R135,IF(4=Element_Stiffness!$E$110,Element_Stiffness!X135,0)),IF(Element_Stiffness!$E$110=4,IF(4=Element_Stiffness!$C$110,Element_Stiffness!R141,IF(4=Element_Stiffness!$E$110,Element_Stiffness!X141,0)),0)),0)+IF(Element_Stiffness!$C$146,IF(Element_Stiffness!$C$145=4,IF(4=Element_Stiffness!$C$145,Element_Stiffness!R170,IF(4=Element_Stiffness!$E$145,Element_Stiffness!X170,0)),IF(Element_Stiffness!$E$145=4,IF(4=Element_Stiffness!$C$145,Element_Stiffness!R176,IF(4=Element_Stiffness!$E$145,Element_Stiffness!X176,0)),0)),0)+IF(Element_Stiffness!$C$181,IF(Element_Stiffness!$C$180=4,IF(4=Element_Stiffness!$C$180,Element_Stiffness!R205,IF(4=Element_Stiffness!$E$180,Element_Stiffness!X205,0)),IF(Element_Stiffness!$E$180=4,IF(4=Element_Stiffness!$C$180,Element_Stiffness!R211,IF(4=Element_Stiffness!$E$180,Element_Stiffness!X211,0)),0)),0)+IF(Element_Stiffness!$C$216,IF(Element_Stiffness!$C$215=4,IF(4=Element_Stiffness!$C$215,Element_Stiffness!R240,IF(4=Element_Stiffness!$E$215,Element_Stiffness!X240,0)),IF(Element_Stiffness!$E$215=4,IF(4=Element_Stiffness!$C$215,Element_Stiffness!R246,IF(4=Element_Stiffness!$E$215,Element_Stiffness!X246,0)),0)),0)</f>
        <v/>
      </c>
      <c r="AD33" s="21">
        <f>IF(Element_Stiffness!$C$6,IF(Element_Stiffness!$C$5=4,IF(4=Element_Stiffness!$C$5,Element_Stiffness!S30,IF(4=Element_Stiffness!$E$5,Element_Stiffness!Y30,0)),IF(Element_Stiffness!$E$5=4,IF(4=Element_Stiffness!$C$5,Element_Stiffness!S36,IF(4=Element_Stiffness!$E$5,Element_Stiffness!Y36,0)),0)),0)+IF(Element_Stiffness!$C$41,IF(Element_Stiffness!$C$40=4,IF(4=Element_Stiffness!$C$40,Element_Stiffness!S65,IF(4=Element_Stiffness!$E$40,Element_Stiffness!Y65,0)),IF(Element_Stiffness!$E$40=4,IF(4=Element_Stiffness!$C$40,Element_Stiffness!S71,IF(4=Element_Stiffness!$E$40,Element_Stiffness!Y71,0)),0)),0)+IF(Element_Stiffness!$C$76,IF(Element_Stiffness!$C$75=4,IF(4=Element_Stiffness!$C$75,Element_Stiffness!S100,IF(4=Element_Stiffness!$E$75,Element_Stiffness!Y100,0)),IF(Element_Stiffness!$E$75=4,IF(4=Element_Stiffness!$C$75,Element_Stiffness!S106,IF(4=Element_Stiffness!$E$75,Element_Stiffness!Y106,0)),0)),0)+IF(Element_Stiffness!$C$111,IF(Element_Stiffness!$C$110=4,IF(4=Element_Stiffness!$C$110,Element_Stiffness!S135,IF(4=Element_Stiffness!$E$110,Element_Stiffness!Y135,0)),IF(Element_Stiffness!$E$110=4,IF(4=Element_Stiffness!$C$110,Element_Stiffness!S141,IF(4=Element_Stiffness!$E$110,Element_Stiffness!Y141,0)),0)),0)+IF(Element_Stiffness!$C$146,IF(Element_Stiffness!$C$145=4,IF(4=Element_Stiffness!$C$145,Element_Stiffness!S170,IF(4=Element_Stiffness!$E$145,Element_Stiffness!Y170,0)),IF(Element_Stiffness!$E$145=4,IF(4=Element_Stiffness!$C$145,Element_Stiffness!S176,IF(4=Element_Stiffness!$E$145,Element_Stiffness!Y176,0)),0)),0)+IF(Element_Stiffness!$C$181,IF(Element_Stiffness!$C$180=4,IF(4=Element_Stiffness!$C$180,Element_Stiffness!S205,IF(4=Element_Stiffness!$E$180,Element_Stiffness!Y205,0)),IF(Element_Stiffness!$E$180=4,IF(4=Element_Stiffness!$C$180,Element_Stiffness!S211,IF(4=Element_Stiffness!$E$180,Element_Stiffness!Y211,0)),0)),0)+IF(Element_Stiffness!$C$216,IF(Element_Stiffness!$C$215=4,IF(4=Element_Stiffness!$C$215,Element_Stiffness!S240,IF(4=Element_Stiffness!$E$215,Element_Stiffness!Y240,0)),IF(Element_Stiffness!$E$215=4,IF(4=Element_Stiffness!$C$215,Element_Stiffness!S246,IF(4=Element_Stiffness!$E$215,Element_Stiffness!Y246,0)),0)),0)</f>
        <v/>
      </c>
      <c r="AE33" s="21">
        <f>IF(Element_Stiffness!$C$6,IF(Element_Stiffness!$C$5=4,IF(4=Element_Stiffness!$C$5,Element_Stiffness!T30,IF(4=Element_Stiffness!$E$5,Element_Stiffness!Z30,0)),IF(Element_Stiffness!$E$5=4,IF(4=Element_Stiffness!$C$5,Element_Stiffness!T36,IF(4=Element_Stiffness!$E$5,Element_Stiffness!Z36,0)),0)),0)+IF(Element_Stiffness!$C$41,IF(Element_Stiffness!$C$40=4,IF(4=Element_Stiffness!$C$40,Element_Stiffness!T65,IF(4=Element_Stiffness!$E$40,Element_Stiffness!Z65,0)),IF(Element_Stiffness!$E$40=4,IF(4=Element_Stiffness!$C$40,Element_Stiffness!T71,IF(4=Element_Stiffness!$E$40,Element_Stiffness!Z71,0)),0)),0)+IF(Element_Stiffness!$C$76,IF(Element_Stiffness!$C$75=4,IF(4=Element_Stiffness!$C$75,Element_Stiffness!T100,IF(4=Element_Stiffness!$E$75,Element_Stiffness!Z100,0)),IF(Element_Stiffness!$E$75=4,IF(4=Element_Stiffness!$C$75,Element_Stiffness!T106,IF(4=Element_Stiffness!$E$75,Element_Stiffness!Z106,0)),0)),0)+IF(Element_Stiffness!$C$111,IF(Element_Stiffness!$C$110=4,IF(4=Element_Stiffness!$C$110,Element_Stiffness!T135,IF(4=Element_Stiffness!$E$110,Element_Stiffness!Z135,0)),IF(Element_Stiffness!$E$110=4,IF(4=Element_Stiffness!$C$110,Element_Stiffness!T141,IF(4=Element_Stiffness!$E$110,Element_Stiffness!Z141,0)),0)),0)+IF(Element_Stiffness!$C$146,IF(Element_Stiffness!$C$145=4,IF(4=Element_Stiffness!$C$145,Element_Stiffness!T170,IF(4=Element_Stiffness!$E$145,Element_Stiffness!Z170,0)),IF(Element_Stiffness!$E$145=4,IF(4=Element_Stiffness!$C$145,Element_Stiffness!T176,IF(4=Element_Stiffness!$E$145,Element_Stiffness!Z176,0)),0)),0)+IF(Element_Stiffness!$C$181,IF(Element_Stiffness!$C$180=4,IF(4=Element_Stiffness!$C$180,Element_Stiffness!T205,IF(4=Element_Stiffness!$E$180,Element_Stiffness!Z205,0)),IF(Element_Stiffness!$E$180=4,IF(4=Element_Stiffness!$C$180,Element_Stiffness!T211,IF(4=Element_Stiffness!$E$180,Element_Stiffness!Z211,0)),0)),0)+IF(Element_Stiffness!$C$216,IF(Element_Stiffness!$C$215=4,IF(4=Element_Stiffness!$C$215,Element_Stiffness!T240,IF(4=Element_Stiffness!$E$215,Element_Stiffness!Z240,0)),IF(Element_Stiffness!$E$215=4,IF(4=Element_Stiffness!$C$215,Element_Stiffness!T246,IF(4=Element_Stiffness!$E$215,Element_Stiffness!Z246,0)),0)),0)+IF(Inputs!G44=TRUE,1E15,IF(ISNUMBER(Inputs!G44),Inputs!G44,0))</f>
        <v/>
      </c>
      <c r="AF33" s="21">
        <f>IF(Element_Stiffness!$C$6,IF(Element_Stiffness!$C$5=4,IF(4=Element_Stiffness!$C$5,Element_Stiffness!U30,IF(4=Element_Stiffness!$E$5,Element_Stiffness!AA30,0)),IF(Element_Stiffness!$E$5=4,IF(4=Element_Stiffness!$C$5,Element_Stiffness!U36,IF(4=Element_Stiffness!$E$5,Element_Stiffness!AA36,0)),0)),0)+IF(Element_Stiffness!$C$41,IF(Element_Stiffness!$C$40=4,IF(4=Element_Stiffness!$C$40,Element_Stiffness!U65,IF(4=Element_Stiffness!$E$40,Element_Stiffness!AA65,0)),IF(Element_Stiffness!$E$40=4,IF(4=Element_Stiffness!$C$40,Element_Stiffness!U71,IF(4=Element_Stiffness!$E$40,Element_Stiffness!AA71,0)),0)),0)+IF(Element_Stiffness!$C$76,IF(Element_Stiffness!$C$75=4,IF(4=Element_Stiffness!$C$75,Element_Stiffness!U100,IF(4=Element_Stiffness!$E$75,Element_Stiffness!AA100,0)),IF(Element_Stiffness!$E$75=4,IF(4=Element_Stiffness!$C$75,Element_Stiffness!U106,IF(4=Element_Stiffness!$E$75,Element_Stiffness!AA106,0)),0)),0)+IF(Element_Stiffness!$C$111,IF(Element_Stiffness!$C$110=4,IF(4=Element_Stiffness!$C$110,Element_Stiffness!U135,IF(4=Element_Stiffness!$E$110,Element_Stiffness!AA135,0)),IF(Element_Stiffness!$E$110=4,IF(4=Element_Stiffness!$C$110,Element_Stiffness!U141,IF(4=Element_Stiffness!$E$110,Element_Stiffness!AA141,0)),0)),0)+IF(Element_Stiffness!$C$146,IF(Element_Stiffness!$C$145=4,IF(4=Element_Stiffness!$C$145,Element_Stiffness!U170,IF(4=Element_Stiffness!$E$145,Element_Stiffness!AA170,0)),IF(Element_Stiffness!$E$145=4,IF(4=Element_Stiffness!$C$145,Element_Stiffness!U176,IF(4=Element_Stiffness!$E$145,Element_Stiffness!AA176,0)),0)),0)+IF(Element_Stiffness!$C$181,IF(Element_Stiffness!$C$180=4,IF(4=Element_Stiffness!$C$180,Element_Stiffness!U205,IF(4=Element_Stiffness!$E$180,Element_Stiffness!AA205,0)),IF(Element_Stiffness!$E$180=4,IF(4=Element_Stiffness!$C$180,Element_Stiffness!U211,IF(4=Element_Stiffness!$E$180,Element_Stiffness!AA211,0)),0)),0)+IF(Element_Stiffness!$C$216,IF(Element_Stiffness!$C$215=4,IF(4=Element_Stiffness!$C$215,Element_Stiffness!U240,IF(4=Element_Stiffness!$E$215,Element_Stiffness!AA240,0)),IF(Element_Stiffness!$E$215=4,IF(4=Element_Stiffness!$C$215,Element_Stiffness!U246,IF(4=Element_Stiffness!$E$215,Element_Stiffness!AA246,0)),0)),0)</f>
        <v/>
      </c>
      <c r="AG33" s="21">
        <f>IF(Element_Stiffness!$C$6,IF(Element_Stiffness!$C$5=4,IF(5=Element_Stiffness!$C$5,Element_Stiffness!P30,IF(5=Element_Stiffness!$E$5,Element_Stiffness!V30,0)),IF(Element_Stiffness!$E$5=4,IF(5=Element_Stiffness!$C$5,Element_Stiffness!P36,IF(5=Element_Stiffness!$E$5,Element_Stiffness!V36,0)),0)),0)+IF(Element_Stiffness!$C$41,IF(Element_Stiffness!$C$40=4,IF(5=Element_Stiffness!$C$40,Element_Stiffness!P65,IF(5=Element_Stiffness!$E$40,Element_Stiffness!V65,0)),IF(Element_Stiffness!$E$40=4,IF(5=Element_Stiffness!$C$40,Element_Stiffness!P71,IF(5=Element_Stiffness!$E$40,Element_Stiffness!V71,0)),0)),0)+IF(Element_Stiffness!$C$76,IF(Element_Stiffness!$C$75=4,IF(5=Element_Stiffness!$C$75,Element_Stiffness!P100,IF(5=Element_Stiffness!$E$75,Element_Stiffness!V100,0)),IF(Element_Stiffness!$E$75=4,IF(5=Element_Stiffness!$C$75,Element_Stiffness!P106,IF(5=Element_Stiffness!$E$75,Element_Stiffness!V106,0)),0)),0)+IF(Element_Stiffness!$C$111,IF(Element_Stiffness!$C$110=4,IF(5=Element_Stiffness!$C$110,Element_Stiffness!P135,IF(5=Element_Stiffness!$E$110,Element_Stiffness!V135,0)),IF(Element_Stiffness!$E$110=4,IF(5=Element_Stiffness!$C$110,Element_Stiffness!P141,IF(5=Element_Stiffness!$E$110,Element_Stiffness!V141,0)),0)),0)+IF(Element_Stiffness!$C$146,IF(Element_Stiffness!$C$145=4,IF(5=Element_Stiffness!$C$145,Element_Stiffness!P170,IF(5=Element_Stiffness!$E$145,Element_Stiffness!V170,0)),IF(Element_Stiffness!$E$145=4,IF(5=Element_Stiffness!$C$145,Element_Stiffness!P176,IF(5=Element_Stiffness!$E$145,Element_Stiffness!V176,0)),0)),0)+IF(Element_Stiffness!$C$181,IF(Element_Stiffness!$C$180=4,IF(5=Element_Stiffness!$C$180,Element_Stiffness!P205,IF(5=Element_Stiffness!$E$180,Element_Stiffness!V205,0)),IF(Element_Stiffness!$E$180=4,IF(5=Element_Stiffness!$C$180,Element_Stiffness!P211,IF(5=Element_Stiffness!$E$180,Element_Stiffness!V211,0)),0)),0)+IF(Element_Stiffness!$C$216,IF(Element_Stiffness!$C$215=4,IF(5=Element_Stiffness!$C$215,Element_Stiffness!P240,IF(5=Element_Stiffness!$E$215,Element_Stiffness!V240,0)),IF(Element_Stiffness!$E$215=4,IF(5=Element_Stiffness!$C$215,Element_Stiffness!P246,IF(5=Element_Stiffness!$E$215,Element_Stiffness!V246,0)),0)),0)</f>
        <v/>
      </c>
      <c r="AH33" s="21">
        <f>IF(Element_Stiffness!$C$6,IF(Element_Stiffness!$C$5=4,IF(5=Element_Stiffness!$C$5,Element_Stiffness!Q30,IF(5=Element_Stiffness!$E$5,Element_Stiffness!W30,0)),IF(Element_Stiffness!$E$5=4,IF(5=Element_Stiffness!$C$5,Element_Stiffness!Q36,IF(5=Element_Stiffness!$E$5,Element_Stiffness!W36,0)),0)),0)+IF(Element_Stiffness!$C$41,IF(Element_Stiffness!$C$40=4,IF(5=Element_Stiffness!$C$40,Element_Stiffness!Q65,IF(5=Element_Stiffness!$E$40,Element_Stiffness!W65,0)),IF(Element_Stiffness!$E$40=4,IF(5=Element_Stiffness!$C$40,Element_Stiffness!Q71,IF(5=Element_Stiffness!$E$40,Element_Stiffness!W71,0)),0)),0)+IF(Element_Stiffness!$C$76,IF(Element_Stiffness!$C$75=4,IF(5=Element_Stiffness!$C$75,Element_Stiffness!Q100,IF(5=Element_Stiffness!$E$75,Element_Stiffness!W100,0)),IF(Element_Stiffness!$E$75=4,IF(5=Element_Stiffness!$C$75,Element_Stiffness!Q106,IF(5=Element_Stiffness!$E$75,Element_Stiffness!W106,0)),0)),0)+IF(Element_Stiffness!$C$111,IF(Element_Stiffness!$C$110=4,IF(5=Element_Stiffness!$C$110,Element_Stiffness!Q135,IF(5=Element_Stiffness!$E$110,Element_Stiffness!W135,0)),IF(Element_Stiffness!$E$110=4,IF(5=Element_Stiffness!$C$110,Element_Stiffness!Q141,IF(5=Element_Stiffness!$E$110,Element_Stiffness!W141,0)),0)),0)+IF(Element_Stiffness!$C$146,IF(Element_Stiffness!$C$145=4,IF(5=Element_Stiffness!$C$145,Element_Stiffness!Q170,IF(5=Element_Stiffness!$E$145,Element_Stiffness!W170,0)),IF(Element_Stiffness!$E$145=4,IF(5=Element_Stiffness!$C$145,Element_Stiffness!Q176,IF(5=Element_Stiffness!$E$145,Element_Stiffness!W176,0)),0)),0)+IF(Element_Stiffness!$C$181,IF(Element_Stiffness!$C$180=4,IF(5=Element_Stiffness!$C$180,Element_Stiffness!Q205,IF(5=Element_Stiffness!$E$180,Element_Stiffness!W205,0)),IF(Element_Stiffness!$E$180=4,IF(5=Element_Stiffness!$C$180,Element_Stiffness!Q211,IF(5=Element_Stiffness!$E$180,Element_Stiffness!W211,0)),0)),0)+IF(Element_Stiffness!$C$216,IF(Element_Stiffness!$C$215=4,IF(5=Element_Stiffness!$C$215,Element_Stiffness!Q240,IF(5=Element_Stiffness!$E$215,Element_Stiffness!W240,0)),IF(Element_Stiffness!$E$215=4,IF(5=Element_Stiffness!$C$215,Element_Stiffness!Q246,IF(5=Element_Stiffness!$E$215,Element_Stiffness!W246,0)),0)),0)</f>
        <v/>
      </c>
      <c r="AI33" s="21">
        <f>IF(Element_Stiffness!$C$6,IF(Element_Stiffness!$C$5=4,IF(5=Element_Stiffness!$C$5,Element_Stiffness!R30,IF(5=Element_Stiffness!$E$5,Element_Stiffness!X30,0)),IF(Element_Stiffness!$E$5=4,IF(5=Element_Stiffness!$C$5,Element_Stiffness!R36,IF(5=Element_Stiffness!$E$5,Element_Stiffness!X36,0)),0)),0)+IF(Element_Stiffness!$C$41,IF(Element_Stiffness!$C$40=4,IF(5=Element_Stiffness!$C$40,Element_Stiffness!R65,IF(5=Element_Stiffness!$E$40,Element_Stiffness!X65,0)),IF(Element_Stiffness!$E$40=4,IF(5=Element_Stiffness!$C$40,Element_Stiffness!R71,IF(5=Element_Stiffness!$E$40,Element_Stiffness!X71,0)),0)),0)+IF(Element_Stiffness!$C$76,IF(Element_Stiffness!$C$75=4,IF(5=Element_Stiffness!$C$75,Element_Stiffness!R100,IF(5=Element_Stiffness!$E$75,Element_Stiffness!X100,0)),IF(Element_Stiffness!$E$75=4,IF(5=Element_Stiffness!$C$75,Element_Stiffness!R106,IF(5=Element_Stiffness!$E$75,Element_Stiffness!X106,0)),0)),0)+IF(Element_Stiffness!$C$111,IF(Element_Stiffness!$C$110=4,IF(5=Element_Stiffness!$C$110,Element_Stiffness!R135,IF(5=Element_Stiffness!$E$110,Element_Stiffness!X135,0)),IF(Element_Stiffness!$E$110=4,IF(5=Element_Stiffness!$C$110,Element_Stiffness!R141,IF(5=Element_Stiffness!$E$110,Element_Stiffness!X141,0)),0)),0)+IF(Element_Stiffness!$C$146,IF(Element_Stiffness!$C$145=4,IF(5=Element_Stiffness!$C$145,Element_Stiffness!R170,IF(5=Element_Stiffness!$E$145,Element_Stiffness!X170,0)),IF(Element_Stiffness!$E$145=4,IF(5=Element_Stiffness!$C$145,Element_Stiffness!R176,IF(5=Element_Stiffness!$E$145,Element_Stiffness!X176,0)),0)),0)+IF(Element_Stiffness!$C$181,IF(Element_Stiffness!$C$180=4,IF(5=Element_Stiffness!$C$180,Element_Stiffness!R205,IF(5=Element_Stiffness!$E$180,Element_Stiffness!X205,0)),IF(Element_Stiffness!$E$180=4,IF(5=Element_Stiffness!$C$180,Element_Stiffness!R211,IF(5=Element_Stiffness!$E$180,Element_Stiffness!X211,0)),0)),0)+IF(Element_Stiffness!$C$216,IF(Element_Stiffness!$C$215=4,IF(5=Element_Stiffness!$C$215,Element_Stiffness!R240,IF(5=Element_Stiffness!$E$215,Element_Stiffness!X240,0)),IF(Element_Stiffness!$E$215=4,IF(5=Element_Stiffness!$C$215,Element_Stiffness!R246,IF(5=Element_Stiffness!$E$215,Element_Stiffness!X246,0)),0)),0)</f>
        <v/>
      </c>
      <c r="AJ33" s="21">
        <f>IF(Element_Stiffness!$C$6,IF(Element_Stiffness!$C$5=4,IF(5=Element_Stiffness!$C$5,Element_Stiffness!S30,IF(5=Element_Stiffness!$E$5,Element_Stiffness!Y30,0)),IF(Element_Stiffness!$E$5=4,IF(5=Element_Stiffness!$C$5,Element_Stiffness!S36,IF(5=Element_Stiffness!$E$5,Element_Stiffness!Y36,0)),0)),0)+IF(Element_Stiffness!$C$41,IF(Element_Stiffness!$C$40=4,IF(5=Element_Stiffness!$C$40,Element_Stiffness!S65,IF(5=Element_Stiffness!$E$40,Element_Stiffness!Y65,0)),IF(Element_Stiffness!$E$40=4,IF(5=Element_Stiffness!$C$40,Element_Stiffness!S71,IF(5=Element_Stiffness!$E$40,Element_Stiffness!Y71,0)),0)),0)+IF(Element_Stiffness!$C$76,IF(Element_Stiffness!$C$75=4,IF(5=Element_Stiffness!$C$75,Element_Stiffness!S100,IF(5=Element_Stiffness!$E$75,Element_Stiffness!Y100,0)),IF(Element_Stiffness!$E$75=4,IF(5=Element_Stiffness!$C$75,Element_Stiffness!S106,IF(5=Element_Stiffness!$E$75,Element_Stiffness!Y106,0)),0)),0)+IF(Element_Stiffness!$C$111,IF(Element_Stiffness!$C$110=4,IF(5=Element_Stiffness!$C$110,Element_Stiffness!S135,IF(5=Element_Stiffness!$E$110,Element_Stiffness!Y135,0)),IF(Element_Stiffness!$E$110=4,IF(5=Element_Stiffness!$C$110,Element_Stiffness!S141,IF(5=Element_Stiffness!$E$110,Element_Stiffness!Y141,0)),0)),0)+IF(Element_Stiffness!$C$146,IF(Element_Stiffness!$C$145=4,IF(5=Element_Stiffness!$C$145,Element_Stiffness!S170,IF(5=Element_Stiffness!$E$145,Element_Stiffness!Y170,0)),IF(Element_Stiffness!$E$145=4,IF(5=Element_Stiffness!$C$145,Element_Stiffness!S176,IF(5=Element_Stiffness!$E$145,Element_Stiffness!Y176,0)),0)),0)+IF(Element_Stiffness!$C$181,IF(Element_Stiffness!$C$180=4,IF(5=Element_Stiffness!$C$180,Element_Stiffness!S205,IF(5=Element_Stiffness!$E$180,Element_Stiffness!Y205,0)),IF(Element_Stiffness!$E$180=4,IF(5=Element_Stiffness!$C$180,Element_Stiffness!S211,IF(5=Element_Stiffness!$E$180,Element_Stiffness!Y211,0)),0)),0)+IF(Element_Stiffness!$C$216,IF(Element_Stiffness!$C$215=4,IF(5=Element_Stiffness!$C$215,Element_Stiffness!S240,IF(5=Element_Stiffness!$E$215,Element_Stiffness!Y240,0)),IF(Element_Stiffness!$E$215=4,IF(5=Element_Stiffness!$C$215,Element_Stiffness!S246,IF(5=Element_Stiffness!$E$215,Element_Stiffness!Y246,0)),0)),0)</f>
        <v/>
      </c>
      <c r="AK33" s="21">
        <f>IF(Element_Stiffness!$C$6,IF(Element_Stiffness!$C$5=4,IF(5=Element_Stiffness!$C$5,Element_Stiffness!T30,IF(5=Element_Stiffness!$E$5,Element_Stiffness!Z30,0)),IF(Element_Stiffness!$E$5=4,IF(5=Element_Stiffness!$C$5,Element_Stiffness!T36,IF(5=Element_Stiffness!$E$5,Element_Stiffness!Z36,0)),0)),0)+IF(Element_Stiffness!$C$41,IF(Element_Stiffness!$C$40=4,IF(5=Element_Stiffness!$C$40,Element_Stiffness!T65,IF(5=Element_Stiffness!$E$40,Element_Stiffness!Z65,0)),IF(Element_Stiffness!$E$40=4,IF(5=Element_Stiffness!$C$40,Element_Stiffness!T71,IF(5=Element_Stiffness!$E$40,Element_Stiffness!Z71,0)),0)),0)+IF(Element_Stiffness!$C$76,IF(Element_Stiffness!$C$75=4,IF(5=Element_Stiffness!$C$75,Element_Stiffness!T100,IF(5=Element_Stiffness!$E$75,Element_Stiffness!Z100,0)),IF(Element_Stiffness!$E$75=4,IF(5=Element_Stiffness!$C$75,Element_Stiffness!T106,IF(5=Element_Stiffness!$E$75,Element_Stiffness!Z106,0)),0)),0)+IF(Element_Stiffness!$C$111,IF(Element_Stiffness!$C$110=4,IF(5=Element_Stiffness!$C$110,Element_Stiffness!T135,IF(5=Element_Stiffness!$E$110,Element_Stiffness!Z135,0)),IF(Element_Stiffness!$E$110=4,IF(5=Element_Stiffness!$C$110,Element_Stiffness!T141,IF(5=Element_Stiffness!$E$110,Element_Stiffness!Z141,0)),0)),0)+IF(Element_Stiffness!$C$146,IF(Element_Stiffness!$C$145=4,IF(5=Element_Stiffness!$C$145,Element_Stiffness!T170,IF(5=Element_Stiffness!$E$145,Element_Stiffness!Z170,0)),IF(Element_Stiffness!$E$145=4,IF(5=Element_Stiffness!$C$145,Element_Stiffness!T176,IF(5=Element_Stiffness!$E$145,Element_Stiffness!Z176,0)),0)),0)+IF(Element_Stiffness!$C$181,IF(Element_Stiffness!$C$180=4,IF(5=Element_Stiffness!$C$180,Element_Stiffness!T205,IF(5=Element_Stiffness!$E$180,Element_Stiffness!Z205,0)),IF(Element_Stiffness!$E$180=4,IF(5=Element_Stiffness!$C$180,Element_Stiffness!T211,IF(5=Element_Stiffness!$E$180,Element_Stiffness!Z211,0)),0)),0)+IF(Element_Stiffness!$C$216,IF(Element_Stiffness!$C$215=4,IF(5=Element_Stiffness!$C$215,Element_Stiffness!T240,IF(5=Element_Stiffness!$E$215,Element_Stiffness!Z240,0)),IF(Element_Stiffness!$E$215=4,IF(5=Element_Stiffness!$C$215,Element_Stiffness!T246,IF(5=Element_Stiffness!$E$215,Element_Stiffness!Z246,0)),0)),0)</f>
        <v/>
      </c>
      <c r="AL33" s="21">
        <f>IF(Element_Stiffness!$C$6,IF(Element_Stiffness!$C$5=4,IF(5=Element_Stiffness!$C$5,Element_Stiffness!U30,IF(5=Element_Stiffness!$E$5,Element_Stiffness!AA30,0)),IF(Element_Stiffness!$E$5=4,IF(5=Element_Stiffness!$C$5,Element_Stiffness!U36,IF(5=Element_Stiffness!$E$5,Element_Stiffness!AA36,0)),0)),0)+IF(Element_Stiffness!$C$41,IF(Element_Stiffness!$C$40=4,IF(5=Element_Stiffness!$C$40,Element_Stiffness!U65,IF(5=Element_Stiffness!$E$40,Element_Stiffness!AA65,0)),IF(Element_Stiffness!$E$40=4,IF(5=Element_Stiffness!$C$40,Element_Stiffness!U71,IF(5=Element_Stiffness!$E$40,Element_Stiffness!AA71,0)),0)),0)+IF(Element_Stiffness!$C$76,IF(Element_Stiffness!$C$75=4,IF(5=Element_Stiffness!$C$75,Element_Stiffness!U100,IF(5=Element_Stiffness!$E$75,Element_Stiffness!AA100,0)),IF(Element_Stiffness!$E$75=4,IF(5=Element_Stiffness!$C$75,Element_Stiffness!U106,IF(5=Element_Stiffness!$E$75,Element_Stiffness!AA106,0)),0)),0)+IF(Element_Stiffness!$C$111,IF(Element_Stiffness!$C$110=4,IF(5=Element_Stiffness!$C$110,Element_Stiffness!U135,IF(5=Element_Stiffness!$E$110,Element_Stiffness!AA135,0)),IF(Element_Stiffness!$E$110=4,IF(5=Element_Stiffness!$C$110,Element_Stiffness!U141,IF(5=Element_Stiffness!$E$110,Element_Stiffness!AA141,0)),0)),0)+IF(Element_Stiffness!$C$146,IF(Element_Stiffness!$C$145=4,IF(5=Element_Stiffness!$C$145,Element_Stiffness!U170,IF(5=Element_Stiffness!$E$145,Element_Stiffness!AA170,0)),IF(Element_Stiffness!$E$145=4,IF(5=Element_Stiffness!$C$145,Element_Stiffness!U176,IF(5=Element_Stiffness!$E$145,Element_Stiffness!AA176,0)),0)),0)+IF(Element_Stiffness!$C$181,IF(Element_Stiffness!$C$180=4,IF(5=Element_Stiffness!$C$180,Element_Stiffness!U205,IF(5=Element_Stiffness!$E$180,Element_Stiffness!AA205,0)),IF(Element_Stiffness!$E$180=4,IF(5=Element_Stiffness!$C$180,Element_Stiffness!U211,IF(5=Element_Stiffness!$E$180,Element_Stiffness!AA211,0)),0)),0)+IF(Element_Stiffness!$C$216,IF(Element_Stiffness!$C$215=4,IF(5=Element_Stiffness!$C$215,Element_Stiffness!U240,IF(5=Element_Stiffness!$E$215,Element_Stiffness!AA240,0)),IF(Element_Stiffness!$E$215=4,IF(5=Element_Stiffness!$C$215,Element_Stiffness!U246,IF(5=Element_Stiffness!$E$215,Element_Stiffness!AA246,0)),0)),0)</f>
        <v/>
      </c>
      <c r="AM33" s="21">
        <f>IF(Element_Stiffness!$C$6,IF(Element_Stiffness!$C$5=4,IF(6=Element_Stiffness!$C$5,Element_Stiffness!P30,IF(6=Element_Stiffness!$E$5,Element_Stiffness!V30,0)),IF(Element_Stiffness!$E$5=4,IF(6=Element_Stiffness!$C$5,Element_Stiffness!P36,IF(6=Element_Stiffness!$E$5,Element_Stiffness!V36,0)),0)),0)+IF(Element_Stiffness!$C$41,IF(Element_Stiffness!$C$40=4,IF(6=Element_Stiffness!$C$40,Element_Stiffness!P65,IF(6=Element_Stiffness!$E$40,Element_Stiffness!V65,0)),IF(Element_Stiffness!$E$40=4,IF(6=Element_Stiffness!$C$40,Element_Stiffness!P71,IF(6=Element_Stiffness!$E$40,Element_Stiffness!V71,0)),0)),0)+IF(Element_Stiffness!$C$76,IF(Element_Stiffness!$C$75=4,IF(6=Element_Stiffness!$C$75,Element_Stiffness!P100,IF(6=Element_Stiffness!$E$75,Element_Stiffness!V100,0)),IF(Element_Stiffness!$E$75=4,IF(6=Element_Stiffness!$C$75,Element_Stiffness!P106,IF(6=Element_Stiffness!$E$75,Element_Stiffness!V106,0)),0)),0)+IF(Element_Stiffness!$C$111,IF(Element_Stiffness!$C$110=4,IF(6=Element_Stiffness!$C$110,Element_Stiffness!P135,IF(6=Element_Stiffness!$E$110,Element_Stiffness!V135,0)),IF(Element_Stiffness!$E$110=4,IF(6=Element_Stiffness!$C$110,Element_Stiffness!P141,IF(6=Element_Stiffness!$E$110,Element_Stiffness!V141,0)),0)),0)+IF(Element_Stiffness!$C$146,IF(Element_Stiffness!$C$145=4,IF(6=Element_Stiffness!$C$145,Element_Stiffness!P170,IF(6=Element_Stiffness!$E$145,Element_Stiffness!V170,0)),IF(Element_Stiffness!$E$145=4,IF(6=Element_Stiffness!$C$145,Element_Stiffness!P176,IF(6=Element_Stiffness!$E$145,Element_Stiffness!V176,0)),0)),0)+IF(Element_Stiffness!$C$181,IF(Element_Stiffness!$C$180=4,IF(6=Element_Stiffness!$C$180,Element_Stiffness!P205,IF(6=Element_Stiffness!$E$180,Element_Stiffness!V205,0)),IF(Element_Stiffness!$E$180=4,IF(6=Element_Stiffness!$C$180,Element_Stiffness!P211,IF(6=Element_Stiffness!$E$180,Element_Stiffness!V211,0)),0)),0)+IF(Element_Stiffness!$C$216,IF(Element_Stiffness!$C$215=4,IF(6=Element_Stiffness!$C$215,Element_Stiffness!P240,IF(6=Element_Stiffness!$E$215,Element_Stiffness!V240,0)),IF(Element_Stiffness!$E$215=4,IF(6=Element_Stiffness!$C$215,Element_Stiffness!P246,IF(6=Element_Stiffness!$E$215,Element_Stiffness!V246,0)),0)),0)</f>
        <v/>
      </c>
      <c r="AN33" s="21">
        <f>IF(Element_Stiffness!$C$6,IF(Element_Stiffness!$C$5=4,IF(6=Element_Stiffness!$C$5,Element_Stiffness!Q30,IF(6=Element_Stiffness!$E$5,Element_Stiffness!W30,0)),IF(Element_Stiffness!$E$5=4,IF(6=Element_Stiffness!$C$5,Element_Stiffness!Q36,IF(6=Element_Stiffness!$E$5,Element_Stiffness!W36,0)),0)),0)+IF(Element_Stiffness!$C$41,IF(Element_Stiffness!$C$40=4,IF(6=Element_Stiffness!$C$40,Element_Stiffness!Q65,IF(6=Element_Stiffness!$E$40,Element_Stiffness!W65,0)),IF(Element_Stiffness!$E$40=4,IF(6=Element_Stiffness!$C$40,Element_Stiffness!Q71,IF(6=Element_Stiffness!$E$40,Element_Stiffness!W71,0)),0)),0)+IF(Element_Stiffness!$C$76,IF(Element_Stiffness!$C$75=4,IF(6=Element_Stiffness!$C$75,Element_Stiffness!Q100,IF(6=Element_Stiffness!$E$75,Element_Stiffness!W100,0)),IF(Element_Stiffness!$E$75=4,IF(6=Element_Stiffness!$C$75,Element_Stiffness!Q106,IF(6=Element_Stiffness!$E$75,Element_Stiffness!W106,0)),0)),0)+IF(Element_Stiffness!$C$111,IF(Element_Stiffness!$C$110=4,IF(6=Element_Stiffness!$C$110,Element_Stiffness!Q135,IF(6=Element_Stiffness!$E$110,Element_Stiffness!W135,0)),IF(Element_Stiffness!$E$110=4,IF(6=Element_Stiffness!$C$110,Element_Stiffness!Q141,IF(6=Element_Stiffness!$E$110,Element_Stiffness!W141,0)),0)),0)+IF(Element_Stiffness!$C$146,IF(Element_Stiffness!$C$145=4,IF(6=Element_Stiffness!$C$145,Element_Stiffness!Q170,IF(6=Element_Stiffness!$E$145,Element_Stiffness!W170,0)),IF(Element_Stiffness!$E$145=4,IF(6=Element_Stiffness!$C$145,Element_Stiffness!Q176,IF(6=Element_Stiffness!$E$145,Element_Stiffness!W176,0)),0)),0)+IF(Element_Stiffness!$C$181,IF(Element_Stiffness!$C$180=4,IF(6=Element_Stiffness!$C$180,Element_Stiffness!Q205,IF(6=Element_Stiffness!$E$180,Element_Stiffness!W205,0)),IF(Element_Stiffness!$E$180=4,IF(6=Element_Stiffness!$C$180,Element_Stiffness!Q211,IF(6=Element_Stiffness!$E$180,Element_Stiffness!W211,0)),0)),0)+IF(Element_Stiffness!$C$216,IF(Element_Stiffness!$C$215=4,IF(6=Element_Stiffness!$C$215,Element_Stiffness!Q240,IF(6=Element_Stiffness!$E$215,Element_Stiffness!W240,0)),IF(Element_Stiffness!$E$215=4,IF(6=Element_Stiffness!$C$215,Element_Stiffness!Q246,IF(6=Element_Stiffness!$E$215,Element_Stiffness!W246,0)),0)),0)</f>
        <v/>
      </c>
      <c r="AO33" s="21">
        <f>IF(Element_Stiffness!$C$6,IF(Element_Stiffness!$C$5=4,IF(6=Element_Stiffness!$C$5,Element_Stiffness!R30,IF(6=Element_Stiffness!$E$5,Element_Stiffness!X30,0)),IF(Element_Stiffness!$E$5=4,IF(6=Element_Stiffness!$C$5,Element_Stiffness!R36,IF(6=Element_Stiffness!$E$5,Element_Stiffness!X36,0)),0)),0)+IF(Element_Stiffness!$C$41,IF(Element_Stiffness!$C$40=4,IF(6=Element_Stiffness!$C$40,Element_Stiffness!R65,IF(6=Element_Stiffness!$E$40,Element_Stiffness!X65,0)),IF(Element_Stiffness!$E$40=4,IF(6=Element_Stiffness!$C$40,Element_Stiffness!R71,IF(6=Element_Stiffness!$E$40,Element_Stiffness!X71,0)),0)),0)+IF(Element_Stiffness!$C$76,IF(Element_Stiffness!$C$75=4,IF(6=Element_Stiffness!$C$75,Element_Stiffness!R100,IF(6=Element_Stiffness!$E$75,Element_Stiffness!X100,0)),IF(Element_Stiffness!$E$75=4,IF(6=Element_Stiffness!$C$75,Element_Stiffness!R106,IF(6=Element_Stiffness!$E$75,Element_Stiffness!X106,0)),0)),0)+IF(Element_Stiffness!$C$111,IF(Element_Stiffness!$C$110=4,IF(6=Element_Stiffness!$C$110,Element_Stiffness!R135,IF(6=Element_Stiffness!$E$110,Element_Stiffness!X135,0)),IF(Element_Stiffness!$E$110=4,IF(6=Element_Stiffness!$C$110,Element_Stiffness!R141,IF(6=Element_Stiffness!$E$110,Element_Stiffness!X141,0)),0)),0)+IF(Element_Stiffness!$C$146,IF(Element_Stiffness!$C$145=4,IF(6=Element_Stiffness!$C$145,Element_Stiffness!R170,IF(6=Element_Stiffness!$E$145,Element_Stiffness!X170,0)),IF(Element_Stiffness!$E$145=4,IF(6=Element_Stiffness!$C$145,Element_Stiffness!R176,IF(6=Element_Stiffness!$E$145,Element_Stiffness!X176,0)),0)),0)+IF(Element_Stiffness!$C$181,IF(Element_Stiffness!$C$180=4,IF(6=Element_Stiffness!$C$180,Element_Stiffness!R205,IF(6=Element_Stiffness!$E$180,Element_Stiffness!X205,0)),IF(Element_Stiffness!$E$180=4,IF(6=Element_Stiffness!$C$180,Element_Stiffness!R211,IF(6=Element_Stiffness!$E$180,Element_Stiffness!X211,0)),0)),0)+IF(Element_Stiffness!$C$216,IF(Element_Stiffness!$C$215=4,IF(6=Element_Stiffness!$C$215,Element_Stiffness!R240,IF(6=Element_Stiffness!$E$215,Element_Stiffness!X240,0)),IF(Element_Stiffness!$E$215=4,IF(6=Element_Stiffness!$C$215,Element_Stiffness!R246,IF(6=Element_Stiffness!$E$215,Element_Stiffness!X246,0)),0)),0)</f>
        <v/>
      </c>
      <c r="AP33" s="21">
        <f>IF(Element_Stiffness!$C$6,IF(Element_Stiffness!$C$5=4,IF(6=Element_Stiffness!$C$5,Element_Stiffness!S30,IF(6=Element_Stiffness!$E$5,Element_Stiffness!Y30,0)),IF(Element_Stiffness!$E$5=4,IF(6=Element_Stiffness!$C$5,Element_Stiffness!S36,IF(6=Element_Stiffness!$E$5,Element_Stiffness!Y36,0)),0)),0)+IF(Element_Stiffness!$C$41,IF(Element_Stiffness!$C$40=4,IF(6=Element_Stiffness!$C$40,Element_Stiffness!S65,IF(6=Element_Stiffness!$E$40,Element_Stiffness!Y65,0)),IF(Element_Stiffness!$E$40=4,IF(6=Element_Stiffness!$C$40,Element_Stiffness!S71,IF(6=Element_Stiffness!$E$40,Element_Stiffness!Y71,0)),0)),0)+IF(Element_Stiffness!$C$76,IF(Element_Stiffness!$C$75=4,IF(6=Element_Stiffness!$C$75,Element_Stiffness!S100,IF(6=Element_Stiffness!$E$75,Element_Stiffness!Y100,0)),IF(Element_Stiffness!$E$75=4,IF(6=Element_Stiffness!$C$75,Element_Stiffness!S106,IF(6=Element_Stiffness!$E$75,Element_Stiffness!Y106,0)),0)),0)+IF(Element_Stiffness!$C$111,IF(Element_Stiffness!$C$110=4,IF(6=Element_Stiffness!$C$110,Element_Stiffness!S135,IF(6=Element_Stiffness!$E$110,Element_Stiffness!Y135,0)),IF(Element_Stiffness!$E$110=4,IF(6=Element_Stiffness!$C$110,Element_Stiffness!S141,IF(6=Element_Stiffness!$E$110,Element_Stiffness!Y141,0)),0)),0)+IF(Element_Stiffness!$C$146,IF(Element_Stiffness!$C$145=4,IF(6=Element_Stiffness!$C$145,Element_Stiffness!S170,IF(6=Element_Stiffness!$E$145,Element_Stiffness!Y170,0)),IF(Element_Stiffness!$E$145=4,IF(6=Element_Stiffness!$C$145,Element_Stiffness!S176,IF(6=Element_Stiffness!$E$145,Element_Stiffness!Y176,0)),0)),0)+IF(Element_Stiffness!$C$181,IF(Element_Stiffness!$C$180=4,IF(6=Element_Stiffness!$C$180,Element_Stiffness!S205,IF(6=Element_Stiffness!$E$180,Element_Stiffness!Y205,0)),IF(Element_Stiffness!$E$180=4,IF(6=Element_Stiffness!$C$180,Element_Stiffness!S211,IF(6=Element_Stiffness!$E$180,Element_Stiffness!Y211,0)),0)),0)+IF(Element_Stiffness!$C$216,IF(Element_Stiffness!$C$215=4,IF(6=Element_Stiffness!$C$215,Element_Stiffness!S240,IF(6=Element_Stiffness!$E$215,Element_Stiffness!Y240,0)),IF(Element_Stiffness!$E$215=4,IF(6=Element_Stiffness!$C$215,Element_Stiffness!S246,IF(6=Element_Stiffness!$E$215,Element_Stiffness!Y246,0)),0)),0)</f>
        <v/>
      </c>
      <c r="AQ33" s="21">
        <f>IF(Element_Stiffness!$C$6,IF(Element_Stiffness!$C$5=4,IF(6=Element_Stiffness!$C$5,Element_Stiffness!T30,IF(6=Element_Stiffness!$E$5,Element_Stiffness!Z30,0)),IF(Element_Stiffness!$E$5=4,IF(6=Element_Stiffness!$C$5,Element_Stiffness!T36,IF(6=Element_Stiffness!$E$5,Element_Stiffness!Z36,0)),0)),0)+IF(Element_Stiffness!$C$41,IF(Element_Stiffness!$C$40=4,IF(6=Element_Stiffness!$C$40,Element_Stiffness!T65,IF(6=Element_Stiffness!$E$40,Element_Stiffness!Z65,0)),IF(Element_Stiffness!$E$40=4,IF(6=Element_Stiffness!$C$40,Element_Stiffness!T71,IF(6=Element_Stiffness!$E$40,Element_Stiffness!Z71,0)),0)),0)+IF(Element_Stiffness!$C$76,IF(Element_Stiffness!$C$75=4,IF(6=Element_Stiffness!$C$75,Element_Stiffness!T100,IF(6=Element_Stiffness!$E$75,Element_Stiffness!Z100,0)),IF(Element_Stiffness!$E$75=4,IF(6=Element_Stiffness!$C$75,Element_Stiffness!T106,IF(6=Element_Stiffness!$E$75,Element_Stiffness!Z106,0)),0)),0)+IF(Element_Stiffness!$C$111,IF(Element_Stiffness!$C$110=4,IF(6=Element_Stiffness!$C$110,Element_Stiffness!T135,IF(6=Element_Stiffness!$E$110,Element_Stiffness!Z135,0)),IF(Element_Stiffness!$E$110=4,IF(6=Element_Stiffness!$C$110,Element_Stiffness!T141,IF(6=Element_Stiffness!$E$110,Element_Stiffness!Z141,0)),0)),0)+IF(Element_Stiffness!$C$146,IF(Element_Stiffness!$C$145=4,IF(6=Element_Stiffness!$C$145,Element_Stiffness!T170,IF(6=Element_Stiffness!$E$145,Element_Stiffness!Z170,0)),IF(Element_Stiffness!$E$145=4,IF(6=Element_Stiffness!$C$145,Element_Stiffness!T176,IF(6=Element_Stiffness!$E$145,Element_Stiffness!Z176,0)),0)),0)+IF(Element_Stiffness!$C$181,IF(Element_Stiffness!$C$180=4,IF(6=Element_Stiffness!$C$180,Element_Stiffness!T205,IF(6=Element_Stiffness!$E$180,Element_Stiffness!Z205,0)),IF(Element_Stiffness!$E$180=4,IF(6=Element_Stiffness!$C$180,Element_Stiffness!T211,IF(6=Element_Stiffness!$E$180,Element_Stiffness!Z211,0)),0)),0)+IF(Element_Stiffness!$C$216,IF(Element_Stiffness!$C$215=4,IF(6=Element_Stiffness!$C$215,Element_Stiffness!T240,IF(6=Element_Stiffness!$E$215,Element_Stiffness!Z240,0)),IF(Element_Stiffness!$E$215=4,IF(6=Element_Stiffness!$C$215,Element_Stiffness!T246,IF(6=Element_Stiffness!$E$215,Element_Stiffness!Z246,0)),0)),0)</f>
        <v/>
      </c>
      <c r="AR33" s="21">
        <f>IF(Element_Stiffness!$C$6,IF(Element_Stiffness!$C$5=4,IF(6=Element_Stiffness!$C$5,Element_Stiffness!U30,IF(6=Element_Stiffness!$E$5,Element_Stiffness!AA30,0)),IF(Element_Stiffness!$E$5=4,IF(6=Element_Stiffness!$C$5,Element_Stiffness!U36,IF(6=Element_Stiffness!$E$5,Element_Stiffness!AA36,0)),0)),0)+IF(Element_Stiffness!$C$41,IF(Element_Stiffness!$C$40=4,IF(6=Element_Stiffness!$C$40,Element_Stiffness!U65,IF(6=Element_Stiffness!$E$40,Element_Stiffness!AA65,0)),IF(Element_Stiffness!$E$40=4,IF(6=Element_Stiffness!$C$40,Element_Stiffness!U71,IF(6=Element_Stiffness!$E$40,Element_Stiffness!AA71,0)),0)),0)+IF(Element_Stiffness!$C$76,IF(Element_Stiffness!$C$75=4,IF(6=Element_Stiffness!$C$75,Element_Stiffness!U100,IF(6=Element_Stiffness!$E$75,Element_Stiffness!AA100,0)),IF(Element_Stiffness!$E$75=4,IF(6=Element_Stiffness!$C$75,Element_Stiffness!U106,IF(6=Element_Stiffness!$E$75,Element_Stiffness!AA106,0)),0)),0)+IF(Element_Stiffness!$C$111,IF(Element_Stiffness!$C$110=4,IF(6=Element_Stiffness!$C$110,Element_Stiffness!U135,IF(6=Element_Stiffness!$E$110,Element_Stiffness!AA135,0)),IF(Element_Stiffness!$E$110=4,IF(6=Element_Stiffness!$C$110,Element_Stiffness!U141,IF(6=Element_Stiffness!$E$110,Element_Stiffness!AA141,0)),0)),0)+IF(Element_Stiffness!$C$146,IF(Element_Stiffness!$C$145=4,IF(6=Element_Stiffness!$C$145,Element_Stiffness!U170,IF(6=Element_Stiffness!$E$145,Element_Stiffness!AA170,0)),IF(Element_Stiffness!$E$145=4,IF(6=Element_Stiffness!$C$145,Element_Stiffness!U176,IF(6=Element_Stiffness!$E$145,Element_Stiffness!AA176,0)),0)),0)+IF(Element_Stiffness!$C$181,IF(Element_Stiffness!$C$180=4,IF(6=Element_Stiffness!$C$180,Element_Stiffness!U205,IF(6=Element_Stiffness!$E$180,Element_Stiffness!AA205,0)),IF(Element_Stiffness!$E$180=4,IF(6=Element_Stiffness!$C$180,Element_Stiffness!U211,IF(6=Element_Stiffness!$E$180,Element_Stiffness!AA211,0)),0)),0)+IF(Element_Stiffness!$C$216,IF(Element_Stiffness!$C$215=4,IF(6=Element_Stiffness!$C$215,Element_Stiffness!U240,IF(6=Element_Stiffness!$E$215,Element_Stiffness!AA240,0)),IF(Element_Stiffness!$E$215=4,IF(6=Element_Stiffness!$C$215,Element_Stiffness!U246,IF(6=Element_Stiffness!$E$215,Element_Stiffness!AA246,0)),0)),0)</f>
        <v/>
      </c>
      <c r="AS33" s="21">
        <f>IF(Element_Stiffness!$C$6,IF(Element_Stiffness!$C$5=4,IF(7=Element_Stiffness!$C$5,Element_Stiffness!P30,IF(7=Element_Stiffness!$E$5,Element_Stiffness!V30,0)),IF(Element_Stiffness!$E$5=4,IF(7=Element_Stiffness!$C$5,Element_Stiffness!P36,IF(7=Element_Stiffness!$E$5,Element_Stiffness!V36,0)),0)),0)+IF(Element_Stiffness!$C$41,IF(Element_Stiffness!$C$40=4,IF(7=Element_Stiffness!$C$40,Element_Stiffness!P65,IF(7=Element_Stiffness!$E$40,Element_Stiffness!V65,0)),IF(Element_Stiffness!$E$40=4,IF(7=Element_Stiffness!$C$40,Element_Stiffness!P71,IF(7=Element_Stiffness!$E$40,Element_Stiffness!V71,0)),0)),0)+IF(Element_Stiffness!$C$76,IF(Element_Stiffness!$C$75=4,IF(7=Element_Stiffness!$C$75,Element_Stiffness!P100,IF(7=Element_Stiffness!$E$75,Element_Stiffness!V100,0)),IF(Element_Stiffness!$E$75=4,IF(7=Element_Stiffness!$C$75,Element_Stiffness!P106,IF(7=Element_Stiffness!$E$75,Element_Stiffness!V106,0)),0)),0)+IF(Element_Stiffness!$C$111,IF(Element_Stiffness!$C$110=4,IF(7=Element_Stiffness!$C$110,Element_Stiffness!P135,IF(7=Element_Stiffness!$E$110,Element_Stiffness!V135,0)),IF(Element_Stiffness!$E$110=4,IF(7=Element_Stiffness!$C$110,Element_Stiffness!P141,IF(7=Element_Stiffness!$E$110,Element_Stiffness!V141,0)),0)),0)+IF(Element_Stiffness!$C$146,IF(Element_Stiffness!$C$145=4,IF(7=Element_Stiffness!$C$145,Element_Stiffness!P170,IF(7=Element_Stiffness!$E$145,Element_Stiffness!V170,0)),IF(Element_Stiffness!$E$145=4,IF(7=Element_Stiffness!$C$145,Element_Stiffness!P176,IF(7=Element_Stiffness!$E$145,Element_Stiffness!V176,0)),0)),0)+IF(Element_Stiffness!$C$181,IF(Element_Stiffness!$C$180=4,IF(7=Element_Stiffness!$C$180,Element_Stiffness!P205,IF(7=Element_Stiffness!$E$180,Element_Stiffness!V205,0)),IF(Element_Stiffness!$E$180=4,IF(7=Element_Stiffness!$C$180,Element_Stiffness!P211,IF(7=Element_Stiffness!$E$180,Element_Stiffness!V211,0)),0)),0)+IF(Element_Stiffness!$C$216,IF(Element_Stiffness!$C$215=4,IF(7=Element_Stiffness!$C$215,Element_Stiffness!P240,IF(7=Element_Stiffness!$E$215,Element_Stiffness!V240,0)),IF(Element_Stiffness!$E$215=4,IF(7=Element_Stiffness!$C$215,Element_Stiffness!P246,IF(7=Element_Stiffness!$E$215,Element_Stiffness!V246,0)),0)),0)</f>
        <v/>
      </c>
      <c r="AT33" s="21">
        <f>IF(Element_Stiffness!$C$6,IF(Element_Stiffness!$C$5=4,IF(7=Element_Stiffness!$C$5,Element_Stiffness!Q30,IF(7=Element_Stiffness!$E$5,Element_Stiffness!W30,0)),IF(Element_Stiffness!$E$5=4,IF(7=Element_Stiffness!$C$5,Element_Stiffness!Q36,IF(7=Element_Stiffness!$E$5,Element_Stiffness!W36,0)),0)),0)+IF(Element_Stiffness!$C$41,IF(Element_Stiffness!$C$40=4,IF(7=Element_Stiffness!$C$40,Element_Stiffness!Q65,IF(7=Element_Stiffness!$E$40,Element_Stiffness!W65,0)),IF(Element_Stiffness!$E$40=4,IF(7=Element_Stiffness!$C$40,Element_Stiffness!Q71,IF(7=Element_Stiffness!$E$40,Element_Stiffness!W71,0)),0)),0)+IF(Element_Stiffness!$C$76,IF(Element_Stiffness!$C$75=4,IF(7=Element_Stiffness!$C$75,Element_Stiffness!Q100,IF(7=Element_Stiffness!$E$75,Element_Stiffness!W100,0)),IF(Element_Stiffness!$E$75=4,IF(7=Element_Stiffness!$C$75,Element_Stiffness!Q106,IF(7=Element_Stiffness!$E$75,Element_Stiffness!W106,0)),0)),0)+IF(Element_Stiffness!$C$111,IF(Element_Stiffness!$C$110=4,IF(7=Element_Stiffness!$C$110,Element_Stiffness!Q135,IF(7=Element_Stiffness!$E$110,Element_Stiffness!W135,0)),IF(Element_Stiffness!$E$110=4,IF(7=Element_Stiffness!$C$110,Element_Stiffness!Q141,IF(7=Element_Stiffness!$E$110,Element_Stiffness!W141,0)),0)),0)+IF(Element_Stiffness!$C$146,IF(Element_Stiffness!$C$145=4,IF(7=Element_Stiffness!$C$145,Element_Stiffness!Q170,IF(7=Element_Stiffness!$E$145,Element_Stiffness!W170,0)),IF(Element_Stiffness!$E$145=4,IF(7=Element_Stiffness!$C$145,Element_Stiffness!Q176,IF(7=Element_Stiffness!$E$145,Element_Stiffness!W176,0)),0)),0)+IF(Element_Stiffness!$C$181,IF(Element_Stiffness!$C$180=4,IF(7=Element_Stiffness!$C$180,Element_Stiffness!Q205,IF(7=Element_Stiffness!$E$180,Element_Stiffness!W205,0)),IF(Element_Stiffness!$E$180=4,IF(7=Element_Stiffness!$C$180,Element_Stiffness!Q211,IF(7=Element_Stiffness!$E$180,Element_Stiffness!W211,0)),0)),0)+IF(Element_Stiffness!$C$216,IF(Element_Stiffness!$C$215=4,IF(7=Element_Stiffness!$C$215,Element_Stiffness!Q240,IF(7=Element_Stiffness!$E$215,Element_Stiffness!W240,0)),IF(Element_Stiffness!$E$215=4,IF(7=Element_Stiffness!$C$215,Element_Stiffness!Q246,IF(7=Element_Stiffness!$E$215,Element_Stiffness!W246,0)),0)),0)</f>
        <v/>
      </c>
      <c r="AU33" s="21">
        <f>IF(Element_Stiffness!$C$6,IF(Element_Stiffness!$C$5=4,IF(7=Element_Stiffness!$C$5,Element_Stiffness!R30,IF(7=Element_Stiffness!$E$5,Element_Stiffness!X30,0)),IF(Element_Stiffness!$E$5=4,IF(7=Element_Stiffness!$C$5,Element_Stiffness!R36,IF(7=Element_Stiffness!$E$5,Element_Stiffness!X36,0)),0)),0)+IF(Element_Stiffness!$C$41,IF(Element_Stiffness!$C$40=4,IF(7=Element_Stiffness!$C$40,Element_Stiffness!R65,IF(7=Element_Stiffness!$E$40,Element_Stiffness!X65,0)),IF(Element_Stiffness!$E$40=4,IF(7=Element_Stiffness!$C$40,Element_Stiffness!R71,IF(7=Element_Stiffness!$E$40,Element_Stiffness!X71,0)),0)),0)+IF(Element_Stiffness!$C$76,IF(Element_Stiffness!$C$75=4,IF(7=Element_Stiffness!$C$75,Element_Stiffness!R100,IF(7=Element_Stiffness!$E$75,Element_Stiffness!X100,0)),IF(Element_Stiffness!$E$75=4,IF(7=Element_Stiffness!$C$75,Element_Stiffness!R106,IF(7=Element_Stiffness!$E$75,Element_Stiffness!X106,0)),0)),0)+IF(Element_Stiffness!$C$111,IF(Element_Stiffness!$C$110=4,IF(7=Element_Stiffness!$C$110,Element_Stiffness!R135,IF(7=Element_Stiffness!$E$110,Element_Stiffness!X135,0)),IF(Element_Stiffness!$E$110=4,IF(7=Element_Stiffness!$C$110,Element_Stiffness!R141,IF(7=Element_Stiffness!$E$110,Element_Stiffness!X141,0)),0)),0)+IF(Element_Stiffness!$C$146,IF(Element_Stiffness!$C$145=4,IF(7=Element_Stiffness!$C$145,Element_Stiffness!R170,IF(7=Element_Stiffness!$E$145,Element_Stiffness!X170,0)),IF(Element_Stiffness!$E$145=4,IF(7=Element_Stiffness!$C$145,Element_Stiffness!R176,IF(7=Element_Stiffness!$E$145,Element_Stiffness!X176,0)),0)),0)+IF(Element_Stiffness!$C$181,IF(Element_Stiffness!$C$180=4,IF(7=Element_Stiffness!$C$180,Element_Stiffness!R205,IF(7=Element_Stiffness!$E$180,Element_Stiffness!X205,0)),IF(Element_Stiffness!$E$180=4,IF(7=Element_Stiffness!$C$180,Element_Stiffness!R211,IF(7=Element_Stiffness!$E$180,Element_Stiffness!X211,0)),0)),0)+IF(Element_Stiffness!$C$216,IF(Element_Stiffness!$C$215=4,IF(7=Element_Stiffness!$C$215,Element_Stiffness!R240,IF(7=Element_Stiffness!$E$215,Element_Stiffness!X240,0)),IF(Element_Stiffness!$E$215=4,IF(7=Element_Stiffness!$C$215,Element_Stiffness!R246,IF(7=Element_Stiffness!$E$215,Element_Stiffness!X246,0)),0)),0)</f>
        <v/>
      </c>
      <c r="AV33" s="21">
        <f>IF(Element_Stiffness!$C$6,IF(Element_Stiffness!$C$5=4,IF(7=Element_Stiffness!$C$5,Element_Stiffness!S30,IF(7=Element_Stiffness!$E$5,Element_Stiffness!Y30,0)),IF(Element_Stiffness!$E$5=4,IF(7=Element_Stiffness!$C$5,Element_Stiffness!S36,IF(7=Element_Stiffness!$E$5,Element_Stiffness!Y36,0)),0)),0)+IF(Element_Stiffness!$C$41,IF(Element_Stiffness!$C$40=4,IF(7=Element_Stiffness!$C$40,Element_Stiffness!S65,IF(7=Element_Stiffness!$E$40,Element_Stiffness!Y65,0)),IF(Element_Stiffness!$E$40=4,IF(7=Element_Stiffness!$C$40,Element_Stiffness!S71,IF(7=Element_Stiffness!$E$40,Element_Stiffness!Y71,0)),0)),0)+IF(Element_Stiffness!$C$76,IF(Element_Stiffness!$C$75=4,IF(7=Element_Stiffness!$C$75,Element_Stiffness!S100,IF(7=Element_Stiffness!$E$75,Element_Stiffness!Y100,0)),IF(Element_Stiffness!$E$75=4,IF(7=Element_Stiffness!$C$75,Element_Stiffness!S106,IF(7=Element_Stiffness!$E$75,Element_Stiffness!Y106,0)),0)),0)+IF(Element_Stiffness!$C$111,IF(Element_Stiffness!$C$110=4,IF(7=Element_Stiffness!$C$110,Element_Stiffness!S135,IF(7=Element_Stiffness!$E$110,Element_Stiffness!Y135,0)),IF(Element_Stiffness!$E$110=4,IF(7=Element_Stiffness!$C$110,Element_Stiffness!S141,IF(7=Element_Stiffness!$E$110,Element_Stiffness!Y141,0)),0)),0)+IF(Element_Stiffness!$C$146,IF(Element_Stiffness!$C$145=4,IF(7=Element_Stiffness!$C$145,Element_Stiffness!S170,IF(7=Element_Stiffness!$E$145,Element_Stiffness!Y170,0)),IF(Element_Stiffness!$E$145=4,IF(7=Element_Stiffness!$C$145,Element_Stiffness!S176,IF(7=Element_Stiffness!$E$145,Element_Stiffness!Y176,0)),0)),0)+IF(Element_Stiffness!$C$181,IF(Element_Stiffness!$C$180=4,IF(7=Element_Stiffness!$C$180,Element_Stiffness!S205,IF(7=Element_Stiffness!$E$180,Element_Stiffness!Y205,0)),IF(Element_Stiffness!$E$180=4,IF(7=Element_Stiffness!$C$180,Element_Stiffness!S211,IF(7=Element_Stiffness!$E$180,Element_Stiffness!Y211,0)),0)),0)+IF(Element_Stiffness!$C$216,IF(Element_Stiffness!$C$215=4,IF(7=Element_Stiffness!$C$215,Element_Stiffness!S240,IF(7=Element_Stiffness!$E$215,Element_Stiffness!Y240,0)),IF(Element_Stiffness!$E$215=4,IF(7=Element_Stiffness!$C$215,Element_Stiffness!S246,IF(7=Element_Stiffness!$E$215,Element_Stiffness!Y246,0)),0)),0)</f>
        <v/>
      </c>
      <c r="AW33" s="21">
        <f>IF(Element_Stiffness!$C$6,IF(Element_Stiffness!$C$5=4,IF(7=Element_Stiffness!$C$5,Element_Stiffness!T30,IF(7=Element_Stiffness!$E$5,Element_Stiffness!Z30,0)),IF(Element_Stiffness!$E$5=4,IF(7=Element_Stiffness!$C$5,Element_Stiffness!T36,IF(7=Element_Stiffness!$E$5,Element_Stiffness!Z36,0)),0)),0)+IF(Element_Stiffness!$C$41,IF(Element_Stiffness!$C$40=4,IF(7=Element_Stiffness!$C$40,Element_Stiffness!T65,IF(7=Element_Stiffness!$E$40,Element_Stiffness!Z65,0)),IF(Element_Stiffness!$E$40=4,IF(7=Element_Stiffness!$C$40,Element_Stiffness!T71,IF(7=Element_Stiffness!$E$40,Element_Stiffness!Z71,0)),0)),0)+IF(Element_Stiffness!$C$76,IF(Element_Stiffness!$C$75=4,IF(7=Element_Stiffness!$C$75,Element_Stiffness!T100,IF(7=Element_Stiffness!$E$75,Element_Stiffness!Z100,0)),IF(Element_Stiffness!$E$75=4,IF(7=Element_Stiffness!$C$75,Element_Stiffness!T106,IF(7=Element_Stiffness!$E$75,Element_Stiffness!Z106,0)),0)),0)+IF(Element_Stiffness!$C$111,IF(Element_Stiffness!$C$110=4,IF(7=Element_Stiffness!$C$110,Element_Stiffness!T135,IF(7=Element_Stiffness!$E$110,Element_Stiffness!Z135,0)),IF(Element_Stiffness!$E$110=4,IF(7=Element_Stiffness!$C$110,Element_Stiffness!T141,IF(7=Element_Stiffness!$E$110,Element_Stiffness!Z141,0)),0)),0)+IF(Element_Stiffness!$C$146,IF(Element_Stiffness!$C$145=4,IF(7=Element_Stiffness!$C$145,Element_Stiffness!T170,IF(7=Element_Stiffness!$E$145,Element_Stiffness!Z170,0)),IF(Element_Stiffness!$E$145=4,IF(7=Element_Stiffness!$C$145,Element_Stiffness!T176,IF(7=Element_Stiffness!$E$145,Element_Stiffness!Z176,0)),0)),0)+IF(Element_Stiffness!$C$181,IF(Element_Stiffness!$C$180=4,IF(7=Element_Stiffness!$C$180,Element_Stiffness!T205,IF(7=Element_Stiffness!$E$180,Element_Stiffness!Z205,0)),IF(Element_Stiffness!$E$180=4,IF(7=Element_Stiffness!$C$180,Element_Stiffness!T211,IF(7=Element_Stiffness!$E$180,Element_Stiffness!Z211,0)),0)),0)+IF(Element_Stiffness!$C$216,IF(Element_Stiffness!$C$215=4,IF(7=Element_Stiffness!$C$215,Element_Stiffness!T240,IF(7=Element_Stiffness!$E$215,Element_Stiffness!Z240,0)),IF(Element_Stiffness!$E$215=4,IF(7=Element_Stiffness!$C$215,Element_Stiffness!T246,IF(7=Element_Stiffness!$E$215,Element_Stiffness!Z246,0)),0)),0)</f>
        <v/>
      </c>
      <c r="AX33" s="21">
        <f>IF(Element_Stiffness!$C$6,IF(Element_Stiffness!$C$5=4,IF(7=Element_Stiffness!$C$5,Element_Stiffness!U30,IF(7=Element_Stiffness!$E$5,Element_Stiffness!AA30,0)),IF(Element_Stiffness!$E$5=4,IF(7=Element_Stiffness!$C$5,Element_Stiffness!U36,IF(7=Element_Stiffness!$E$5,Element_Stiffness!AA36,0)),0)),0)+IF(Element_Stiffness!$C$41,IF(Element_Stiffness!$C$40=4,IF(7=Element_Stiffness!$C$40,Element_Stiffness!U65,IF(7=Element_Stiffness!$E$40,Element_Stiffness!AA65,0)),IF(Element_Stiffness!$E$40=4,IF(7=Element_Stiffness!$C$40,Element_Stiffness!U71,IF(7=Element_Stiffness!$E$40,Element_Stiffness!AA71,0)),0)),0)+IF(Element_Stiffness!$C$76,IF(Element_Stiffness!$C$75=4,IF(7=Element_Stiffness!$C$75,Element_Stiffness!U100,IF(7=Element_Stiffness!$E$75,Element_Stiffness!AA100,0)),IF(Element_Stiffness!$E$75=4,IF(7=Element_Stiffness!$C$75,Element_Stiffness!U106,IF(7=Element_Stiffness!$E$75,Element_Stiffness!AA106,0)),0)),0)+IF(Element_Stiffness!$C$111,IF(Element_Stiffness!$C$110=4,IF(7=Element_Stiffness!$C$110,Element_Stiffness!U135,IF(7=Element_Stiffness!$E$110,Element_Stiffness!AA135,0)),IF(Element_Stiffness!$E$110=4,IF(7=Element_Stiffness!$C$110,Element_Stiffness!U141,IF(7=Element_Stiffness!$E$110,Element_Stiffness!AA141,0)),0)),0)+IF(Element_Stiffness!$C$146,IF(Element_Stiffness!$C$145=4,IF(7=Element_Stiffness!$C$145,Element_Stiffness!U170,IF(7=Element_Stiffness!$E$145,Element_Stiffness!AA170,0)),IF(Element_Stiffness!$E$145=4,IF(7=Element_Stiffness!$C$145,Element_Stiffness!U176,IF(7=Element_Stiffness!$E$145,Element_Stiffness!AA176,0)),0)),0)+IF(Element_Stiffness!$C$181,IF(Element_Stiffness!$C$180=4,IF(7=Element_Stiffness!$C$180,Element_Stiffness!U205,IF(7=Element_Stiffness!$E$180,Element_Stiffness!AA205,0)),IF(Element_Stiffness!$E$180=4,IF(7=Element_Stiffness!$C$180,Element_Stiffness!U211,IF(7=Element_Stiffness!$E$180,Element_Stiffness!AA211,0)),0)),0)+IF(Element_Stiffness!$C$216,IF(Element_Stiffness!$C$215=4,IF(7=Element_Stiffness!$C$215,Element_Stiffness!U240,IF(7=Element_Stiffness!$E$215,Element_Stiffness!AA240,0)),IF(Element_Stiffness!$E$215=4,IF(7=Element_Stiffness!$C$215,Element_Stiffness!U246,IF(7=Element_Stiffness!$E$215,Element_Stiffness!AA246,0)),0)),0)</f>
        <v/>
      </c>
      <c r="AY33" s="21" t="n">
        <v>0</v>
      </c>
      <c r="AZ33" s="21">
        <f>IF(Element_Stiffness!$C$6,IF(Element_Stiffness!$C$5=4,Element_Stiffness!C30,IF(Element_Stiffness!$E$5=4,Element_Stiffness!C36,0)),0)+IF(Element_Stiffness!$C$41,IF(Element_Stiffness!$C$40=4,Element_Stiffness!C65,IF(Element_Stiffness!$E$40=4,Element_Stiffness!C71,0)),0)+IF(Element_Stiffness!$C$76,IF(Element_Stiffness!$C$75=4,Element_Stiffness!C100,IF(Element_Stiffness!$E$75=4,Element_Stiffness!C106,0)),0)+IF(Element_Stiffness!$C$111,IF(Element_Stiffness!$C$110=4,Element_Stiffness!C135,IF(Element_Stiffness!$E$110=4,Element_Stiffness!C141,0)),0)+IF(Element_Stiffness!$C$146,IF(Element_Stiffness!$C$145=4,Element_Stiffness!C170,IF(Element_Stiffness!$E$145=4,Element_Stiffness!C176,0)),0)+IF(Element_Stiffness!$C$181,IF(Element_Stiffness!$C$180=4,Element_Stiffness!C205,IF(Element_Stiffness!$E$180=4,Element_Stiffness!C211,0)),0)+IF(Element_Stiffness!$C$216,IF(Element_Stiffness!$C$215=4,Element_Stiffness!C240,IF(Element_Stiffness!$E$215=4,Element_Stiffness!C246,0)),0)</f>
        <v/>
      </c>
      <c r="BB33" s="28">
        <f>INDEX(MMULT(MINVERSE(C5:AX52), AY5:AY52), 29, 1)</f>
        <v/>
      </c>
      <c r="BC33" s="28">
        <f>INDEX(MMULT(MINVERSE(C5:AX52), AZ5:AZ52), 29, 1)</f>
        <v/>
      </c>
    </row>
    <row r="34">
      <c r="B34" s="27" t="inlineStr">
        <is>
          <t>N4_rz</t>
        </is>
      </c>
      <c r="C34" s="21">
        <f>IF(Element_Stiffness!$C$6,IF(Element_Stiffness!$C$5=4,IF(0=Element_Stiffness!$C$5,Element_Stiffness!P31,IF(0=Element_Stiffness!$E$5,Element_Stiffness!V31,0)),IF(Element_Stiffness!$E$5=4,IF(0=Element_Stiffness!$C$5,Element_Stiffness!P37,IF(0=Element_Stiffness!$E$5,Element_Stiffness!V37,0)),0)),0)+IF(Element_Stiffness!$C$41,IF(Element_Stiffness!$C$40=4,IF(0=Element_Stiffness!$C$40,Element_Stiffness!P66,IF(0=Element_Stiffness!$E$40,Element_Stiffness!V66,0)),IF(Element_Stiffness!$E$40=4,IF(0=Element_Stiffness!$C$40,Element_Stiffness!P72,IF(0=Element_Stiffness!$E$40,Element_Stiffness!V72,0)),0)),0)+IF(Element_Stiffness!$C$76,IF(Element_Stiffness!$C$75=4,IF(0=Element_Stiffness!$C$75,Element_Stiffness!P101,IF(0=Element_Stiffness!$E$75,Element_Stiffness!V101,0)),IF(Element_Stiffness!$E$75=4,IF(0=Element_Stiffness!$C$75,Element_Stiffness!P107,IF(0=Element_Stiffness!$E$75,Element_Stiffness!V107,0)),0)),0)+IF(Element_Stiffness!$C$111,IF(Element_Stiffness!$C$110=4,IF(0=Element_Stiffness!$C$110,Element_Stiffness!P136,IF(0=Element_Stiffness!$E$110,Element_Stiffness!V136,0)),IF(Element_Stiffness!$E$110=4,IF(0=Element_Stiffness!$C$110,Element_Stiffness!P142,IF(0=Element_Stiffness!$E$110,Element_Stiffness!V142,0)),0)),0)+IF(Element_Stiffness!$C$146,IF(Element_Stiffness!$C$145=4,IF(0=Element_Stiffness!$C$145,Element_Stiffness!P171,IF(0=Element_Stiffness!$E$145,Element_Stiffness!V171,0)),IF(Element_Stiffness!$E$145=4,IF(0=Element_Stiffness!$C$145,Element_Stiffness!P177,IF(0=Element_Stiffness!$E$145,Element_Stiffness!V177,0)),0)),0)+IF(Element_Stiffness!$C$181,IF(Element_Stiffness!$C$180=4,IF(0=Element_Stiffness!$C$180,Element_Stiffness!P206,IF(0=Element_Stiffness!$E$180,Element_Stiffness!V206,0)),IF(Element_Stiffness!$E$180=4,IF(0=Element_Stiffness!$C$180,Element_Stiffness!P212,IF(0=Element_Stiffness!$E$180,Element_Stiffness!V212,0)),0)),0)+IF(Element_Stiffness!$C$216,IF(Element_Stiffness!$C$215=4,IF(0=Element_Stiffness!$C$215,Element_Stiffness!P241,IF(0=Element_Stiffness!$E$215,Element_Stiffness!V241,0)),IF(Element_Stiffness!$E$215=4,IF(0=Element_Stiffness!$C$215,Element_Stiffness!P247,IF(0=Element_Stiffness!$E$215,Element_Stiffness!V247,0)),0)),0)</f>
        <v/>
      </c>
      <c r="D34" s="21">
        <f>IF(Element_Stiffness!$C$6,IF(Element_Stiffness!$C$5=4,IF(0=Element_Stiffness!$C$5,Element_Stiffness!Q31,IF(0=Element_Stiffness!$E$5,Element_Stiffness!W31,0)),IF(Element_Stiffness!$E$5=4,IF(0=Element_Stiffness!$C$5,Element_Stiffness!Q37,IF(0=Element_Stiffness!$E$5,Element_Stiffness!W37,0)),0)),0)+IF(Element_Stiffness!$C$41,IF(Element_Stiffness!$C$40=4,IF(0=Element_Stiffness!$C$40,Element_Stiffness!Q66,IF(0=Element_Stiffness!$E$40,Element_Stiffness!W66,0)),IF(Element_Stiffness!$E$40=4,IF(0=Element_Stiffness!$C$40,Element_Stiffness!Q72,IF(0=Element_Stiffness!$E$40,Element_Stiffness!W72,0)),0)),0)+IF(Element_Stiffness!$C$76,IF(Element_Stiffness!$C$75=4,IF(0=Element_Stiffness!$C$75,Element_Stiffness!Q101,IF(0=Element_Stiffness!$E$75,Element_Stiffness!W101,0)),IF(Element_Stiffness!$E$75=4,IF(0=Element_Stiffness!$C$75,Element_Stiffness!Q107,IF(0=Element_Stiffness!$E$75,Element_Stiffness!W107,0)),0)),0)+IF(Element_Stiffness!$C$111,IF(Element_Stiffness!$C$110=4,IF(0=Element_Stiffness!$C$110,Element_Stiffness!Q136,IF(0=Element_Stiffness!$E$110,Element_Stiffness!W136,0)),IF(Element_Stiffness!$E$110=4,IF(0=Element_Stiffness!$C$110,Element_Stiffness!Q142,IF(0=Element_Stiffness!$E$110,Element_Stiffness!W142,0)),0)),0)+IF(Element_Stiffness!$C$146,IF(Element_Stiffness!$C$145=4,IF(0=Element_Stiffness!$C$145,Element_Stiffness!Q171,IF(0=Element_Stiffness!$E$145,Element_Stiffness!W171,0)),IF(Element_Stiffness!$E$145=4,IF(0=Element_Stiffness!$C$145,Element_Stiffness!Q177,IF(0=Element_Stiffness!$E$145,Element_Stiffness!W177,0)),0)),0)+IF(Element_Stiffness!$C$181,IF(Element_Stiffness!$C$180=4,IF(0=Element_Stiffness!$C$180,Element_Stiffness!Q206,IF(0=Element_Stiffness!$E$180,Element_Stiffness!W206,0)),IF(Element_Stiffness!$E$180=4,IF(0=Element_Stiffness!$C$180,Element_Stiffness!Q212,IF(0=Element_Stiffness!$E$180,Element_Stiffness!W212,0)),0)),0)+IF(Element_Stiffness!$C$216,IF(Element_Stiffness!$C$215=4,IF(0=Element_Stiffness!$C$215,Element_Stiffness!Q241,IF(0=Element_Stiffness!$E$215,Element_Stiffness!W241,0)),IF(Element_Stiffness!$E$215=4,IF(0=Element_Stiffness!$C$215,Element_Stiffness!Q247,IF(0=Element_Stiffness!$E$215,Element_Stiffness!W247,0)),0)),0)</f>
        <v/>
      </c>
      <c r="E34" s="21">
        <f>IF(Element_Stiffness!$C$6,IF(Element_Stiffness!$C$5=4,IF(0=Element_Stiffness!$C$5,Element_Stiffness!R31,IF(0=Element_Stiffness!$E$5,Element_Stiffness!X31,0)),IF(Element_Stiffness!$E$5=4,IF(0=Element_Stiffness!$C$5,Element_Stiffness!R37,IF(0=Element_Stiffness!$E$5,Element_Stiffness!X37,0)),0)),0)+IF(Element_Stiffness!$C$41,IF(Element_Stiffness!$C$40=4,IF(0=Element_Stiffness!$C$40,Element_Stiffness!R66,IF(0=Element_Stiffness!$E$40,Element_Stiffness!X66,0)),IF(Element_Stiffness!$E$40=4,IF(0=Element_Stiffness!$C$40,Element_Stiffness!R72,IF(0=Element_Stiffness!$E$40,Element_Stiffness!X72,0)),0)),0)+IF(Element_Stiffness!$C$76,IF(Element_Stiffness!$C$75=4,IF(0=Element_Stiffness!$C$75,Element_Stiffness!R101,IF(0=Element_Stiffness!$E$75,Element_Stiffness!X101,0)),IF(Element_Stiffness!$E$75=4,IF(0=Element_Stiffness!$C$75,Element_Stiffness!R107,IF(0=Element_Stiffness!$E$75,Element_Stiffness!X107,0)),0)),0)+IF(Element_Stiffness!$C$111,IF(Element_Stiffness!$C$110=4,IF(0=Element_Stiffness!$C$110,Element_Stiffness!R136,IF(0=Element_Stiffness!$E$110,Element_Stiffness!X136,0)),IF(Element_Stiffness!$E$110=4,IF(0=Element_Stiffness!$C$110,Element_Stiffness!R142,IF(0=Element_Stiffness!$E$110,Element_Stiffness!X142,0)),0)),0)+IF(Element_Stiffness!$C$146,IF(Element_Stiffness!$C$145=4,IF(0=Element_Stiffness!$C$145,Element_Stiffness!R171,IF(0=Element_Stiffness!$E$145,Element_Stiffness!X171,0)),IF(Element_Stiffness!$E$145=4,IF(0=Element_Stiffness!$C$145,Element_Stiffness!R177,IF(0=Element_Stiffness!$E$145,Element_Stiffness!X177,0)),0)),0)+IF(Element_Stiffness!$C$181,IF(Element_Stiffness!$C$180=4,IF(0=Element_Stiffness!$C$180,Element_Stiffness!R206,IF(0=Element_Stiffness!$E$180,Element_Stiffness!X206,0)),IF(Element_Stiffness!$E$180=4,IF(0=Element_Stiffness!$C$180,Element_Stiffness!R212,IF(0=Element_Stiffness!$E$180,Element_Stiffness!X212,0)),0)),0)+IF(Element_Stiffness!$C$216,IF(Element_Stiffness!$C$215=4,IF(0=Element_Stiffness!$C$215,Element_Stiffness!R241,IF(0=Element_Stiffness!$E$215,Element_Stiffness!X241,0)),IF(Element_Stiffness!$E$215=4,IF(0=Element_Stiffness!$C$215,Element_Stiffness!R247,IF(0=Element_Stiffness!$E$215,Element_Stiffness!X247,0)),0)),0)</f>
        <v/>
      </c>
      <c r="F34" s="21">
        <f>IF(Element_Stiffness!$C$6,IF(Element_Stiffness!$C$5=4,IF(0=Element_Stiffness!$C$5,Element_Stiffness!S31,IF(0=Element_Stiffness!$E$5,Element_Stiffness!Y31,0)),IF(Element_Stiffness!$E$5=4,IF(0=Element_Stiffness!$C$5,Element_Stiffness!S37,IF(0=Element_Stiffness!$E$5,Element_Stiffness!Y37,0)),0)),0)+IF(Element_Stiffness!$C$41,IF(Element_Stiffness!$C$40=4,IF(0=Element_Stiffness!$C$40,Element_Stiffness!S66,IF(0=Element_Stiffness!$E$40,Element_Stiffness!Y66,0)),IF(Element_Stiffness!$E$40=4,IF(0=Element_Stiffness!$C$40,Element_Stiffness!S72,IF(0=Element_Stiffness!$E$40,Element_Stiffness!Y72,0)),0)),0)+IF(Element_Stiffness!$C$76,IF(Element_Stiffness!$C$75=4,IF(0=Element_Stiffness!$C$75,Element_Stiffness!S101,IF(0=Element_Stiffness!$E$75,Element_Stiffness!Y101,0)),IF(Element_Stiffness!$E$75=4,IF(0=Element_Stiffness!$C$75,Element_Stiffness!S107,IF(0=Element_Stiffness!$E$75,Element_Stiffness!Y107,0)),0)),0)+IF(Element_Stiffness!$C$111,IF(Element_Stiffness!$C$110=4,IF(0=Element_Stiffness!$C$110,Element_Stiffness!S136,IF(0=Element_Stiffness!$E$110,Element_Stiffness!Y136,0)),IF(Element_Stiffness!$E$110=4,IF(0=Element_Stiffness!$C$110,Element_Stiffness!S142,IF(0=Element_Stiffness!$E$110,Element_Stiffness!Y142,0)),0)),0)+IF(Element_Stiffness!$C$146,IF(Element_Stiffness!$C$145=4,IF(0=Element_Stiffness!$C$145,Element_Stiffness!S171,IF(0=Element_Stiffness!$E$145,Element_Stiffness!Y171,0)),IF(Element_Stiffness!$E$145=4,IF(0=Element_Stiffness!$C$145,Element_Stiffness!S177,IF(0=Element_Stiffness!$E$145,Element_Stiffness!Y177,0)),0)),0)+IF(Element_Stiffness!$C$181,IF(Element_Stiffness!$C$180=4,IF(0=Element_Stiffness!$C$180,Element_Stiffness!S206,IF(0=Element_Stiffness!$E$180,Element_Stiffness!Y206,0)),IF(Element_Stiffness!$E$180=4,IF(0=Element_Stiffness!$C$180,Element_Stiffness!S212,IF(0=Element_Stiffness!$E$180,Element_Stiffness!Y212,0)),0)),0)+IF(Element_Stiffness!$C$216,IF(Element_Stiffness!$C$215=4,IF(0=Element_Stiffness!$C$215,Element_Stiffness!S241,IF(0=Element_Stiffness!$E$215,Element_Stiffness!Y241,0)),IF(Element_Stiffness!$E$215=4,IF(0=Element_Stiffness!$C$215,Element_Stiffness!S247,IF(0=Element_Stiffness!$E$215,Element_Stiffness!Y247,0)),0)),0)</f>
        <v/>
      </c>
      <c r="G34" s="21">
        <f>IF(Element_Stiffness!$C$6,IF(Element_Stiffness!$C$5=4,IF(0=Element_Stiffness!$C$5,Element_Stiffness!T31,IF(0=Element_Stiffness!$E$5,Element_Stiffness!Z31,0)),IF(Element_Stiffness!$E$5=4,IF(0=Element_Stiffness!$C$5,Element_Stiffness!T37,IF(0=Element_Stiffness!$E$5,Element_Stiffness!Z37,0)),0)),0)+IF(Element_Stiffness!$C$41,IF(Element_Stiffness!$C$40=4,IF(0=Element_Stiffness!$C$40,Element_Stiffness!T66,IF(0=Element_Stiffness!$E$40,Element_Stiffness!Z66,0)),IF(Element_Stiffness!$E$40=4,IF(0=Element_Stiffness!$C$40,Element_Stiffness!T72,IF(0=Element_Stiffness!$E$40,Element_Stiffness!Z72,0)),0)),0)+IF(Element_Stiffness!$C$76,IF(Element_Stiffness!$C$75=4,IF(0=Element_Stiffness!$C$75,Element_Stiffness!T101,IF(0=Element_Stiffness!$E$75,Element_Stiffness!Z101,0)),IF(Element_Stiffness!$E$75=4,IF(0=Element_Stiffness!$C$75,Element_Stiffness!T107,IF(0=Element_Stiffness!$E$75,Element_Stiffness!Z107,0)),0)),0)+IF(Element_Stiffness!$C$111,IF(Element_Stiffness!$C$110=4,IF(0=Element_Stiffness!$C$110,Element_Stiffness!T136,IF(0=Element_Stiffness!$E$110,Element_Stiffness!Z136,0)),IF(Element_Stiffness!$E$110=4,IF(0=Element_Stiffness!$C$110,Element_Stiffness!T142,IF(0=Element_Stiffness!$E$110,Element_Stiffness!Z142,0)),0)),0)+IF(Element_Stiffness!$C$146,IF(Element_Stiffness!$C$145=4,IF(0=Element_Stiffness!$C$145,Element_Stiffness!T171,IF(0=Element_Stiffness!$E$145,Element_Stiffness!Z171,0)),IF(Element_Stiffness!$E$145=4,IF(0=Element_Stiffness!$C$145,Element_Stiffness!T177,IF(0=Element_Stiffness!$E$145,Element_Stiffness!Z177,0)),0)),0)+IF(Element_Stiffness!$C$181,IF(Element_Stiffness!$C$180=4,IF(0=Element_Stiffness!$C$180,Element_Stiffness!T206,IF(0=Element_Stiffness!$E$180,Element_Stiffness!Z206,0)),IF(Element_Stiffness!$E$180=4,IF(0=Element_Stiffness!$C$180,Element_Stiffness!T212,IF(0=Element_Stiffness!$E$180,Element_Stiffness!Z212,0)),0)),0)+IF(Element_Stiffness!$C$216,IF(Element_Stiffness!$C$215=4,IF(0=Element_Stiffness!$C$215,Element_Stiffness!T241,IF(0=Element_Stiffness!$E$215,Element_Stiffness!Z241,0)),IF(Element_Stiffness!$E$215=4,IF(0=Element_Stiffness!$C$215,Element_Stiffness!T247,IF(0=Element_Stiffness!$E$215,Element_Stiffness!Z247,0)),0)),0)</f>
        <v/>
      </c>
      <c r="H34" s="21">
        <f>IF(Element_Stiffness!$C$6,IF(Element_Stiffness!$C$5=4,IF(0=Element_Stiffness!$C$5,Element_Stiffness!U31,IF(0=Element_Stiffness!$E$5,Element_Stiffness!AA31,0)),IF(Element_Stiffness!$E$5=4,IF(0=Element_Stiffness!$C$5,Element_Stiffness!U37,IF(0=Element_Stiffness!$E$5,Element_Stiffness!AA37,0)),0)),0)+IF(Element_Stiffness!$C$41,IF(Element_Stiffness!$C$40=4,IF(0=Element_Stiffness!$C$40,Element_Stiffness!U66,IF(0=Element_Stiffness!$E$40,Element_Stiffness!AA66,0)),IF(Element_Stiffness!$E$40=4,IF(0=Element_Stiffness!$C$40,Element_Stiffness!U72,IF(0=Element_Stiffness!$E$40,Element_Stiffness!AA72,0)),0)),0)+IF(Element_Stiffness!$C$76,IF(Element_Stiffness!$C$75=4,IF(0=Element_Stiffness!$C$75,Element_Stiffness!U101,IF(0=Element_Stiffness!$E$75,Element_Stiffness!AA101,0)),IF(Element_Stiffness!$E$75=4,IF(0=Element_Stiffness!$C$75,Element_Stiffness!U107,IF(0=Element_Stiffness!$E$75,Element_Stiffness!AA107,0)),0)),0)+IF(Element_Stiffness!$C$111,IF(Element_Stiffness!$C$110=4,IF(0=Element_Stiffness!$C$110,Element_Stiffness!U136,IF(0=Element_Stiffness!$E$110,Element_Stiffness!AA136,0)),IF(Element_Stiffness!$E$110=4,IF(0=Element_Stiffness!$C$110,Element_Stiffness!U142,IF(0=Element_Stiffness!$E$110,Element_Stiffness!AA142,0)),0)),0)+IF(Element_Stiffness!$C$146,IF(Element_Stiffness!$C$145=4,IF(0=Element_Stiffness!$C$145,Element_Stiffness!U171,IF(0=Element_Stiffness!$E$145,Element_Stiffness!AA171,0)),IF(Element_Stiffness!$E$145=4,IF(0=Element_Stiffness!$C$145,Element_Stiffness!U177,IF(0=Element_Stiffness!$E$145,Element_Stiffness!AA177,0)),0)),0)+IF(Element_Stiffness!$C$181,IF(Element_Stiffness!$C$180=4,IF(0=Element_Stiffness!$C$180,Element_Stiffness!U206,IF(0=Element_Stiffness!$E$180,Element_Stiffness!AA206,0)),IF(Element_Stiffness!$E$180=4,IF(0=Element_Stiffness!$C$180,Element_Stiffness!U212,IF(0=Element_Stiffness!$E$180,Element_Stiffness!AA212,0)),0)),0)+IF(Element_Stiffness!$C$216,IF(Element_Stiffness!$C$215=4,IF(0=Element_Stiffness!$C$215,Element_Stiffness!U241,IF(0=Element_Stiffness!$E$215,Element_Stiffness!AA241,0)),IF(Element_Stiffness!$E$215=4,IF(0=Element_Stiffness!$C$215,Element_Stiffness!U247,IF(0=Element_Stiffness!$E$215,Element_Stiffness!AA247,0)),0)),0)</f>
        <v/>
      </c>
      <c r="I34" s="21">
        <f>IF(Element_Stiffness!$C$6,IF(Element_Stiffness!$C$5=4,IF(1=Element_Stiffness!$C$5,Element_Stiffness!P31,IF(1=Element_Stiffness!$E$5,Element_Stiffness!V31,0)),IF(Element_Stiffness!$E$5=4,IF(1=Element_Stiffness!$C$5,Element_Stiffness!P37,IF(1=Element_Stiffness!$E$5,Element_Stiffness!V37,0)),0)),0)+IF(Element_Stiffness!$C$41,IF(Element_Stiffness!$C$40=4,IF(1=Element_Stiffness!$C$40,Element_Stiffness!P66,IF(1=Element_Stiffness!$E$40,Element_Stiffness!V66,0)),IF(Element_Stiffness!$E$40=4,IF(1=Element_Stiffness!$C$40,Element_Stiffness!P72,IF(1=Element_Stiffness!$E$40,Element_Stiffness!V72,0)),0)),0)+IF(Element_Stiffness!$C$76,IF(Element_Stiffness!$C$75=4,IF(1=Element_Stiffness!$C$75,Element_Stiffness!P101,IF(1=Element_Stiffness!$E$75,Element_Stiffness!V101,0)),IF(Element_Stiffness!$E$75=4,IF(1=Element_Stiffness!$C$75,Element_Stiffness!P107,IF(1=Element_Stiffness!$E$75,Element_Stiffness!V107,0)),0)),0)+IF(Element_Stiffness!$C$111,IF(Element_Stiffness!$C$110=4,IF(1=Element_Stiffness!$C$110,Element_Stiffness!P136,IF(1=Element_Stiffness!$E$110,Element_Stiffness!V136,0)),IF(Element_Stiffness!$E$110=4,IF(1=Element_Stiffness!$C$110,Element_Stiffness!P142,IF(1=Element_Stiffness!$E$110,Element_Stiffness!V142,0)),0)),0)+IF(Element_Stiffness!$C$146,IF(Element_Stiffness!$C$145=4,IF(1=Element_Stiffness!$C$145,Element_Stiffness!P171,IF(1=Element_Stiffness!$E$145,Element_Stiffness!V171,0)),IF(Element_Stiffness!$E$145=4,IF(1=Element_Stiffness!$C$145,Element_Stiffness!P177,IF(1=Element_Stiffness!$E$145,Element_Stiffness!V177,0)),0)),0)+IF(Element_Stiffness!$C$181,IF(Element_Stiffness!$C$180=4,IF(1=Element_Stiffness!$C$180,Element_Stiffness!P206,IF(1=Element_Stiffness!$E$180,Element_Stiffness!V206,0)),IF(Element_Stiffness!$E$180=4,IF(1=Element_Stiffness!$C$180,Element_Stiffness!P212,IF(1=Element_Stiffness!$E$180,Element_Stiffness!V212,0)),0)),0)+IF(Element_Stiffness!$C$216,IF(Element_Stiffness!$C$215=4,IF(1=Element_Stiffness!$C$215,Element_Stiffness!P241,IF(1=Element_Stiffness!$E$215,Element_Stiffness!V241,0)),IF(Element_Stiffness!$E$215=4,IF(1=Element_Stiffness!$C$215,Element_Stiffness!P247,IF(1=Element_Stiffness!$E$215,Element_Stiffness!V247,0)),0)),0)</f>
        <v/>
      </c>
      <c r="J34" s="21">
        <f>IF(Element_Stiffness!$C$6,IF(Element_Stiffness!$C$5=4,IF(1=Element_Stiffness!$C$5,Element_Stiffness!Q31,IF(1=Element_Stiffness!$E$5,Element_Stiffness!W31,0)),IF(Element_Stiffness!$E$5=4,IF(1=Element_Stiffness!$C$5,Element_Stiffness!Q37,IF(1=Element_Stiffness!$E$5,Element_Stiffness!W37,0)),0)),0)+IF(Element_Stiffness!$C$41,IF(Element_Stiffness!$C$40=4,IF(1=Element_Stiffness!$C$40,Element_Stiffness!Q66,IF(1=Element_Stiffness!$E$40,Element_Stiffness!W66,0)),IF(Element_Stiffness!$E$40=4,IF(1=Element_Stiffness!$C$40,Element_Stiffness!Q72,IF(1=Element_Stiffness!$E$40,Element_Stiffness!W72,0)),0)),0)+IF(Element_Stiffness!$C$76,IF(Element_Stiffness!$C$75=4,IF(1=Element_Stiffness!$C$75,Element_Stiffness!Q101,IF(1=Element_Stiffness!$E$75,Element_Stiffness!W101,0)),IF(Element_Stiffness!$E$75=4,IF(1=Element_Stiffness!$C$75,Element_Stiffness!Q107,IF(1=Element_Stiffness!$E$75,Element_Stiffness!W107,0)),0)),0)+IF(Element_Stiffness!$C$111,IF(Element_Stiffness!$C$110=4,IF(1=Element_Stiffness!$C$110,Element_Stiffness!Q136,IF(1=Element_Stiffness!$E$110,Element_Stiffness!W136,0)),IF(Element_Stiffness!$E$110=4,IF(1=Element_Stiffness!$C$110,Element_Stiffness!Q142,IF(1=Element_Stiffness!$E$110,Element_Stiffness!W142,0)),0)),0)+IF(Element_Stiffness!$C$146,IF(Element_Stiffness!$C$145=4,IF(1=Element_Stiffness!$C$145,Element_Stiffness!Q171,IF(1=Element_Stiffness!$E$145,Element_Stiffness!W171,0)),IF(Element_Stiffness!$E$145=4,IF(1=Element_Stiffness!$C$145,Element_Stiffness!Q177,IF(1=Element_Stiffness!$E$145,Element_Stiffness!W177,0)),0)),0)+IF(Element_Stiffness!$C$181,IF(Element_Stiffness!$C$180=4,IF(1=Element_Stiffness!$C$180,Element_Stiffness!Q206,IF(1=Element_Stiffness!$E$180,Element_Stiffness!W206,0)),IF(Element_Stiffness!$E$180=4,IF(1=Element_Stiffness!$C$180,Element_Stiffness!Q212,IF(1=Element_Stiffness!$E$180,Element_Stiffness!W212,0)),0)),0)+IF(Element_Stiffness!$C$216,IF(Element_Stiffness!$C$215=4,IF(1=Element_Stiffness!$C$215,Element_Stiffness!Q241,IF(1=Element_Stiffness!$E$215,Element_Stiffness!W241,0)),IF(Element_Stiffness!$E$215=4,IF(1=Element_Stiffness!$C$215,Element_Stiffness!Q247,IF(1=Element_Stiffness!$E$215,Element_Stiffness!W247,0)),0)),0)</f>
        <v/>
      </c>
      <c r="K34" s="21">
        <f>IF(Element_Stiffness!$C$6,IF(Element_Stiffness!$C$5=4,IF(1=Element_Stiffness!$C$5,Element_Stiffness!R31,IF(1=Element_Stiffness!$E$5,Element_Stiffness!X31,0)),IF(Element_Stiffness!$E$5=4,IF(1=Element_Stiffness!$C$5,Element_Stiffness!R37,IF(1=Element_Stiffness!$E$5,Element_Stiffness!X37,0)),0)),0)+IF(Element_Stiffness!$C$41,IF(Element_Stiffness!$C$40=4,IF(1=Element_Stiffness!$C$40,Element_Stiffness!R66,IF(1=Element_Stiffness!$E$40,Element_Stiffness!X66,0)),IF(Element_Stiffness!$E$40=4,IF(1=Element_Stiffness!$C$40,Element_Stiffness!R72,IF(1=Element_Stiffness!$E$40,Element_Stiffness!X72,0)),0)),0)+IF(Element_Stiffness!$C$76,IF(Element_Stiffness!$C$75=4,IF(1=Element_Stiffness!$C$75,Element_Stiffness!R101,IF(1=Element_Stiffness!$E$75,Element_Stiffness!X101,0)),IF(Element_Stiffness!$E$75=4,IF(1=Element_Stiffness!$C$75,Element_Stiffness!R107,IF(1=Element_Stiffness!$E$75,Element_Stiffness!X107,0)),0)),0)+IF(Element_Stiffness!$C$111,IF(Element_Stiffness!$C$110=4,IF(1=Element_Stiffness!$C$110,Element_Stiffness!R136,IF(1=Element_Stiffness!$E$110,Element_Stiffness!X136,0)),IF(Element_Stiffness!$E$110=4,IF(1=Element_Stiffness!$C$110,Element_Stiffness!R142,IF(1=Element_Stiffness!$E$110,Element_Stiffness!X142,0)),0)),0)+IF(Element_Stiffness!$C$146,IF(Element_Stiffness!$C$145=4,IF(1=Element_Stiffness!$C$145,Element_Stiffness!R171,IF(1=Element_Stiffness!$E$145,Element_Stiffness!X171,0)),IF(Element_Stiffness!$E$145=4,IF(1=Element_Stiffness!$C$145,Element_Stiffness!R177,IF(1=Element_Stiffness!$E$145,Element_Stiffness!X177,0)),0)),0)+IF(Element_Stiffness!$C$181,IF(Element_Stiffness!$C$180=4,IF(1=Element_Stiffness!$C$180,Element_Stiffness!R206,IF(1=Element_Stiffness!$E$180,Element_Stiffness!X206,0)),IF(Element_Stiffness!$E$180=4,IF(1=Element_Stiffness!$C$180,Element_Stiffness!R212,IF(1=Element_Stiffness!$E$180,Element_Stiffness!X212,0)),0)),0)+IF(Element_Stiffness!$C$216,IF(Element_Stiffness!$C$215=4,IF(1=Element_Stiffness!$C$215,Element_Stiffness!R241,IF(1=Element_Stiffness!$E$215,Element_Stiffness!X241,0)),IF(Element_Stiffness!$E$215=4,IF(1=Element_Stiffness!$C$215,Element_Stiffness!R247,IF(1=Element_Stiffness!$E$215,Element_Stiffness!X247,0)),0)),0)</f>
        <v/>
      </c>
      <c r="L34" s="21">
        <f>IF(Element_Stiffness!$C$6,IF(Element_Stiffness!$C$5=4,IF(1=Element_Stiffness!$C$5,Element_Stiffness!S31,IF(1=Element_Stiffness!$E$5,Element_Stiffness!Y31,0)),IF(Element_Stiffness!$E$5=4,IF(1=Element_Stiffness!$C$5,Element_Stiffness!S37,IF(1=Element_Stiffness!$E$5,Element_Stiffness!Y37,0)),0)),0)+IF(Element_Stiffness!$C$41,IF(Element_Stiffness!$C$40=4,IF(1=Element_Stiffness!$C$40,Element_Stiffness!S66,IF(1=Element_Stiffness!$E$40,Element_Stiffness!Y66,0)),IF(Element_Stiffness!$E$40=4,IF(1=Element_Stiffness!$C$40,Element_Stiffness!S72,IF(1=Element_Stiffness!$E$40,Element_Stiffness!Y72,0)),0)),0)+IF(Element_Stiffness!$C$76,IF(Element_Stiffness!$C$75=4,IF(1=Element_Stiffness!$C$75,Element_Stiffness!S101,IF(1=Element_Stiffness!$E$75,Element_Stiffness!Y101,0)),IF(Element_Stiffness!$E$75=4,IF(1=Element_Stiffness!$C$75,Element_Stiffness!S107,IF(1=Element_Stiffness!$E$75,Element_Stiffness!Y107,0)),0)),0)+IF(Element_Stiffness!$C$111,IF(Element_Stiffness!$C$110=4,IF(1=Element_Stiffness!$C$110,Element_Stiffness!S136,IF(1=Element_Stiffness!$E$110,Element_Stiffness!Y136,0)),IF(Element_Stiffness!$E$110=4,IF(1=Element_Stiffness!$C$110,Element_Stiffness!S142,IF(1=Element_Stiffness!$E$110,Element_Stiffness!Y142,0)),0)),0)+IF(Element_Stiffness!$C$146,IF(Element_Stiffness!$C$145=4,IF(1=Element_Stiffness!$C$145,Element_Stiffness!S171,IF(1=Element_Stiffness!$E$145,Element_Stiffness!Y171,0)),IF(Element_Stiffness!$E$145=4,IF(1=Element_Stiffness!$C$145,Element_Stiffness!S177,IF(1=Element_Stiffness!$E$145,Element_Stiffness!Y177,0)),0)),0)+IF(Element_Stiffness!$C$181,IF(Element_Stiffness!$C$180=4,IF(1=Element_Stiffness!$C$180,Element_Stiffness!S206,IF(1=Element_Stiffness!$E$180,Element_Stiffness!Y206,0)),IF(Element_Stiffness!$E$180=4,IF(1=Element_Stiffness!$C$180,Element_Stiffness!S212,IF(1=Element_Stiffness!$E$180,Element_Stiffness!Y212,0)),0)),0)+IF(Element_Stiffness!$C$216,IF(Element_Stiffness!$C$215=4,IF(1=Element_Stiffness!$C$215,Element_Stiffness!S241,IF(1=Element_Stiffness!$E$215,Element_Stiffness!Y241,0)),IF(Element_Stiffness!$E$215=4,IF(1=Element_Stiffness!$C$215,Element_Stiffness!S247,IF(1=Element_Stiffness!$E$215,Element_Stiffness!Y247,0)),0)),0)</f>
        <v/>
      </c>
      <c r="M34" s="21">
        <f>IF(Element_Stiffness!$C$6,IF(Element_Stiffness!$C$5=4,IF(1=Element_Stiffness!$C$5,Element_Stiffness!T31,IF(1=Element_Stiffness!$E$5,Element_Stiffness!Z31,0)),IF(Element_Stiffness!$E$5=4,IF(1=Element_Stiffness!$C$5,Element_Stiffness!T37,IF(1=Element_Stiffness!$E$5,Element_Stiffness!Z37,0)),0)),0)+IF(Element_Stiffness!$C$41,IF(Element_Stiffness!$C$40=4,IF(1=Element_Stiffness!$C$40,Element_Stiffness!T66,IF(1=Element_Stiffness!$E$40,Element_Stiffness!Z66,0)),IF(Element_Stiffness!$E$40=4,IF(1=Element_Stiffness!$C$40,Element_Stiffness!T72,IF(1=Element_Stiffness!$E$40,Element_Stiffness!Z72,0)),0)),0)+IF(Element_Stiffness!$C$76,IF(Element_Stiffness!$C$75=4,IF(1=Element_Stiffness!$C$75,Element_Stiffness!T101,IF(1=Element_Stiffness!$E$75,Element_Stiffness!Z101,0)),IF(Element_Stiffness!$E$75=4,IF(1=Element_Stiffness!$C$75,Element_Stiffness!T107,IF(1=Element_Stiffness!$E$75,Element_Stiffness!Z107,0)),0)),0)+IF(Element_Stiffness!$C$111,IF(Element_Stiffness!$C$110=4,IF(1=Element_Stiffness!$C$110,Element_Stiffness!T136,IF(1=Element_Stiffness!$E$110,Element_Stiffness!Z136,0)),IF(Element_Stiffness!$E$110=4,IF(1=Element_Stiffness!$C$110,Element_Stiffness!T142,IF(1=Element_Stiffness!$E$110,Element_Stiffness!Z142,0)),0)),0)+IF(Element_Stiffness!$C$146,IF(Element_Stiffness!$C$145=4,IF(1=Element_Stiffness!$C$145,Element_Stiffness!T171,IF(1=Element_Stiffness!$E$145,Element_Stiffness!Z171,0)),IF(Element_Stiffness!$E$145=4,IF(1=Element_Stiffness!$C$145,Element_Stiffness!T177,IF(1=Element_Stiffness!$E$145,Element_Stiffness!Z177,0)),0)),0)+IF(Element_Stiffness!$C$181,IF(Element_Stiffness!$C$180=4,IF(1=Element_Stiffness!$C$180,Element_Stiffness!T206,IF(1=Element_Stiffness!$E$180,Element_Stiffness!Z206,0)),IF(Element_Stiffness!$E$180=4,IF(1=Element_Stiffness!$C$180,Element_Stiffness!T212,IF(1=Element_Stiffness!$E$180,Element_Stiffness!Z212,0)),0)),0)+IF(Element_Stiffness!$C$216,IF(Element_Stiffness!$C$215=4,IF(1=Element_Stiffness!$C$215,Element_Stiffness!T241,IF(1=Element_Stiffness!$E$215,Element_Stiffness!Z241,0)),IF(Element_Stiffness!$E$215=4,IF(1=Element_Stiffness!$C$215,Element_Stiffness!T247,IF(1=Element_Stiffness!$E$215,Element_Stiffness!Z247,0)),0)),0)</f>
        <v/>
      </c>
      <c r="N34" s="21">
        <f>IF(Element_Stiffness!$C$6,IF(Element_Stiffness!$C$5=4,IF(1=Element_Stiffness!$C$5,Element_Stiffness!U31,IF(1=Element_Stiffness!$E$5,Element_Stiffness!AA31,0)),IF(Element_Stiffness!$E$5=4,IF(1=Element_Stiffness!$C$5,Element_Stiffness!U37,IF(1=Element_Stiffness!$E$5,Element_Stiffness!AA37,0)),0)),0)+IF(Element_Stiffness!$C$41,IF(Element_Stiffness!$C$40=4,IF(1=Element_Stiffness!$C$40,Element_Stiffness!U66,IF(1=Element_Stiffness!$E$40,Element_Stiffness!AA66,0)),IF(Element_Stiffness!$E$40=4,IF(1=Element_Stiffness!$C$40,Element_Stiffness!U72,IF(1=Element_Stiffness!$E$40,Element_Stiffness!AA72,0)),0)),0)+IF(Element_Stiffness!$C$76,IF(Element_Stiffness!$C$75=4,IF(1=Element_Stiffness!$C$75,Element_Stiffness!U101,IF(1=Element_Stiffness!$E$75,Element_Stiffness!AA101,0)),IF(Element_Stiffness!$E$75=4,IF(1=Element_Stiffness!$C$75,Element_Stiffness!U107,IF(1=Element_Stiffness!$E$75,Element_Stiffness!AA107,0)),0)),0)+IF(Element_Stiffness!$C$111,IF(Element_Stiffness!$C$110=4,IF(1=Element_Stiffness!$C$110,Element_Stiffness!U136,IF(1=Element_Stiffness!$E$110,Element_Stiffness!AA136,0)),IF(Element_Stiffness!$E$110=4,IF(1=Element_Stiffness!$C$110,Element_Stiffness!U142,IF(1=Element_Stiffness!$E$110,Element_Stiffness!AA142,0)),0)),0)+IF(Element_Stiffness!$C$146,IF(Element_Stiffness!$C$145=4,IF(1=Element_Stiffness!$C$145,Element_Stiffness!U171,IF(1=Element_Stiffness!$E$145,Element_Stiffness!AA171,0)),IF(Element_Stiffness!$E$145=4,IF(1=Element_Stiffness!$C$145,Element_Stiffness!U177,IF(1=Element_Stiffness!$E$145,Element_Stiffness!AA177,0)),0)),0)+IF(Element_Stiffness!$C$181,IF(Element_Stiffness!$C$180=4,IF(1=Element_Stiffness!$C$180,Element_Stiffness!U206,IF(1=Element_Stiffness!$E$180,Element_Stiffness!AA206,0)),IF(Element_Stiffness!$E$180=4,IF(1=Element_Stiffness!$C$180,Element_Stiffness!U212,IF(1=Element_Stiffness!$E$180,Element_Stiffness!AA212,0)),0)),0)+IF(Element_Stiffness!$C$216,IF(Element_Stiffness!$C$215=4,IF(1=Element_Stiffness!$C$215,Element_Stiffness!U241,IF(1=Element_Stiffness!$E$215,Element_Stiffness!AA241,0)),IF(Element_Stiffness!$E$215=4,IF(1=Element_Stiffness!$C$215,Element_Stiffness!U247,IF(1=Element_Stiffness!$E$215,Element_Stiffness!AA247,0)),0)),0)</f>
        <v/>
      </c>
      <c r="O34" s="21">
        <f>IF(Element_Stiffness!$C$6,IF(Element_Stiffness!$C$5=4,IF(2=Element_Stiffness!$C$5,Element_Stiffness!P31,IF(2=Element_Stiffness!$E$5,Element_Stiffness!V31,0)),IF(Element_Stiffness!$E$5=4,IF(2=Element_Stiffness!$C$5,Element_Stiffness!P37,IF(2=Element_Stiffness!$E$5,Element_Stiffness!V37,0)),0)),0)+IF(Element_Stiffness!$C$41,IF(Element_Stiffness!$C$40=4,IF(2=Element_Stiffness!$C$40,Element_Stiffness!P66,IF(2=Element_Stiffness!$E$40,Element_Stiffness!V66,0)),IF(Element_Stiffness!$E$40=4,IF(2=Element_Stiffness!$C$40,Element_Stiffness!P72,IF(2=Element_Stiffness!$E$40,Element_Stiffness!V72,0)),0)),0)+IF(Element_Stiffness!$C$76,IF(Element_Stiffness!$C$75=4,IF(2=Element_Stiffness!$C$75,Element_Stiffness!P101,IF(2=Element_Stiffness!$E$75,Element_Stiffness!V101,0)),IF(Element_Stiffness!$E$75=4,IF(2=Element_Stiffness!$C$75,Element_Stiffness!P107,IF(2=Element_Stiffness!$E$75,Element_Stiffness!V107,0)),0)),0)+IF(Element_Stiffness!$C$111,IF(Element_Stiffness!$C$110=4,IF(2=Element_Stiffness!$C$110,Element_Stiffness!P136,IF(2=Element_Stiffness!$E$110,Element_Stiffness!V136,0)),IF(Element_Stiffness!$E$110=4,IF(2=Element_Stiffness!$C$110,Element_Stiffness!P142,IF(2=Element_Stiffness!$E$110,Element_Stiffness!V142,0)),0)),0)+IF(Element_Stiffness!$C$146,IF(Element_Stiffness!$C$145=4,IF(2=Element_Stiffness!$C$145,Element_Stiffness!P171,IF(2=Element_Stiffness!$E$145,Element_Stiffness!V171,0)),IF(Element_Stiffness!$E$145=4,IF(2=Element_Stiffness!$C$145,Element_Stiffness!P177,IF(2=Element_Stiffness!$E$145,Element_Stiffness!V177,0)),0)),0)+IF(Element_Stiffness!$C$181,IF(Element_Stiffness!$C$180=4,IF(2=Element_Stiffness!$C$180,Element_Stiffness!P206,IF(2=Element_Stiffness!$E$180,Element_Stiffness!V206,0)),IF(Element_Stiffness!$E$180=4,IF(2=Element_Stiffness!$C$180,Element_Stiffness!P212,IF(2=Element_Stiffness!$E$180,Element_Stiffness!V212,0)),0)),0)+IF(Element_Stiffness!$C$216,IF(Element_Stiffness!$C$215=4,IF(2=Element_Stiffness!$C$215,Element_Stiffness!P241,IF(2=Element_Stiffness!$E$215,Element_Stiffness!V241,0)),IF(Element_Stiffness!$E$215=4,IF(2=Element_Stiffness!$C$215,Element_Stiffness!P247,IF(2=Element_Stiffness!$E$215,Element_Stiffness!V247,0)),0)),0)</f>
        <v/>
      </c>
      <c r="P34" s="21">
        <f>IF(Element_Stiffness!$C$6,IF(Element_Stiffness!$C$5=4,IF(2=Element_Stiffness!$C$5,Element_Stiffness!Q31,IF(2=Element_Stiffness!$E$5,Element_Stiffness!W31,0)),IF(Element_Stiffness!$E$5=4,IF(2=Element_Stiffness!$C$5,Element_Stiffness!Q37,IF(2=Element_Stiffness!$E$5,Element_Stiffness!W37,0)),0)),0)+IF(Element_Stiffness!$C$41,IF(Element_Stiffness!$C$40=4,IF(2=Element_Stiffness!$C$40,Element_Stiffness!Q66,IF(2=Element_Stiffness!$E$40,Element_Stiffness!W66,0)),IF(Element_Stiffness!$E$40=4,IF(2=Element_Stiffness!$C$40,Element_Stiffness!Q72,IF(2=Element_Stiffness!$E$40,Element_Stiffness!W72,0)),0)),0)+IF(Element_Stiffness!$C$76,IF(Element_Stiffness!$C$75=4,IF(2=Element_Stiffness!$C$75,Element_Stiffness!Q101,IF(2=Element_Stiffness!$E$75,Element_Stiffness!W101,0)),IF(Element_Stiffness!$E$75=4,IF(2=Element_Stiffness!$C$75,Element_Stiffness!Q107,IF(2=Element_Stiffness!$E$75,Element_Stiffness!W107,0)),0)),0)+IF(Element_Stiffness!$C$111,IF(Element_Stiffness!$C$110=4,IF(2=Element_Stiffness!$C$110,Element_Stiffness!Q136,IF(2=Element_Stiffness!$E$110,Element_Stiffness!W136,0)),IF(Element_Stiffness!$E$110=4,IF(2=Element_Stiffness!$C$110,Element_Stiffness!Q142,IF(2=Element_Stiffness!$E$110,Element_Stiffness!W142,0)),0)),0)+IF(Element_Stiffness!$C$146,IF(Element_Stiffness!$C$145=4,IF(2=Element_Stiffness!$C$145,Element_Stiffness!Q171,IF(2=Element_Stiffness!$E$145,Element_Stiffness!W171,0)),IF(Element_Stiffness!$E$145=4,IF(2=Element_Stiffness!$C$145,Element_Stiffness!Q177,IF(2=Element_Stiffness!$E$145,Element_Stiffness!W177,0)),0)),0)+IF(Element_Stiffness!$C$181,IF(Element_Stiffness!$C$180=4,IF(2=Element_Stiffness!$C$180,Element_Stiffness!Q206,IF(2=Element_Stiffness!$E$180,Element_Stiffness!W206,0)),IF(Element_Stiffness!$E$180=4,IF(2=Element_Stiffness!$C$180,Element_Stiffness!Q212,IF(2=Element_Stiffness!$E$180,Element_Stiffness!W212,0)),0)),0)+IF(Element_Stiffness!$C$216,IF(Element_Stiffness!$C$215=4,IF(2=Element_Stiffness!$C$215,Element_Stiffness!Q241,IF(2=Element_Stiffness!$E$215,Element_Stiffness!W241,0)),IF(Element_Stiffness!$E$215=4,IF(2=Element_Stiffness!$C$215,Element_Stiffness!Q247,IF(2=Element_Stiffness!$E$215,Element_Stiffness!W247,0)),0)),0)</f>
        <v/>
      </c>
      <c r="Q34" s="21">
        <f>IF(Element_Stiffness!$C$6,IF(Element_Stiffness!$C$5=4,IF(2=Element_Stiffness!$C$5,Element_Stiffness!R31,IF(2=Element_Stiffness!$E$5,Element_Stiffness!X31,0)),IF(Element_Stiffness!$E$5=4,IF(2=Element_Stiffness!$C$5,Element_Stiffness!R37,IF(2=Element_Stiffness!$E$5,Element_Stiffness!X37,0)),0)),0)+IF(Element_Stiffness!$C$41,IF(Element_Stiffness!$C$40=4,IF(2=Element_Stiffness!$C$40,Element_Stiffness!R66,IF(2=Element_Stiffness!$E$40,Element_Stiffness!X66,0)),IF(Element_Stiffness!$E$40=4,IF(2=Element_Stiffness!$C$40,Element_Stiffness!R72,IF(2=Element_Stiffness!$E$40,Element_Stiffness!X72,0)),0)),0)+IF(Element_Stiffness!$C$76,IF(Element_Stiffness!$C$75=4,IF(2=Element_Stiffness!$C$75,Element_Stiffness!R101,IF(2=Element_Stiffness!$E$75,Element_Stiffness!X101,0)),IF(Element_Stiffness!$E$75=4,IF(2=Element_Stiffness!$C$75,Element_Stiffness!R107,IF(2=Element_Stiffness!$E$75,Element_Stiffness!X107,0)),0)),0)+IF(Element_Stiffness!$C$111,IF(Element_Stiffness!$C$110=4,IF(2=Element_Stiffness!$C$110,Element_Stiffness!R136,IF(2=Element_Stiffness!$E$110,Element_Stiffness!X136,0)),IF(Element_Stiffness!$E$110=4,IF(2=Element_Stiffness!$C$110,Element_Stiffness!R142,IF(2=Element_Stiffness!$E$110,Element_Stiffness!X142,0)),0)),0)+IF(Element_Stiffness!$C$146,IF(Element_Stiffness!$C$145=4,IF(2=Element_Stiffness!$C$145,Element_Stiffness!R171,IF(2=Element_Stiffness!$E$145,Element_Stiffness!X171,0)),IF(Element_Stiffness!$E$145=4,IF(2=Element_Stiffness!$C$145,Element_Stiffness!R177,IF(2=Element_Stiffness!$E$145,Element_Stiffness!X177,0)),0)),0)+IF(Element_Stiffness!$C$181,IF(Element_Stiffness!$C$180=4,IF(2=Element_Stiffness!$C$180,Element_Stiffness!R206,IF(2=Element_Stiffness!$E$180,Element_Stiffness!X206,0)),IF(Element_Stiffness!$E$180=4,IF(2=Element_Stiffness!$C$180,Element_Stiffness!R212,IF(2=Element_Stiffness!$E$180,Element_Stiffness!X212,0)),0)),0)+IF(Element_Stiffness!$C$216,IF(Element_Stiffness!$C$215=4,IF(2=Element_Stiffness!$C$215,Element_Stiffness!R241,IF(2=Element_Stiffness!$E$215,Element_Stiffness!X241,0)),IF(Element_Stiffness!$E$215=4,IF(2=Element_Stiffness!$C$215,Element_Stiffness!R247,IF(2=Element_Stiffness!$E$215,Element_Stiffness!X247,0)),0)),0)</f>
        <v/>
      </c>
      <c r="R34" s="21">
        <f>IF(Element_Stiffness!$C$6,IF(Element_Stiffness!$C$5=4,IF(2=Element_Stiffness!$C$5,Element_Stiffness!S31,IF(2=Element_Stiffness!$E$5,Element_Stiffness!Y31,0)),IF(Element_Stiffness!$E$5=4,IF(2=Element_Stiffness!$C$5,Element_Stiffness!S37,IF(2=Element_Stiffness!$E$5,Element_Stiffness!Y37,0)),0)),0)+IF(Element_Stiffness!$C$41,IF(Element_Stiffness!$C$40=4,IF(2=Element_Stiffness!$C$40,Element_Stiffness!S66,IF(2=Element_Stiffness!$E$40,Element_Stiffness!Y66,0)),IF(Element_Stiffness!$E$40=4,IF(2=Element_Stiffness!$C$40,Element_Stiffness!S72,IF(2=Element_Stiffness!$E$40,Element_Stiffness!Y72,0)),0)),0)+IF(Element_Stiffness!$C$76,IF(Element_Stiffness!$C$75=4,IF(2=Element_Stiffness!$C$75,Element_Stiffness!S101,IF(2=Element_Stiffness!$E$75,Element_Stiffness!Y101,0)),IF(Element_Stiffness!$E$75=4,IF(2=Element_Stiffness!$C$75,Element_Stiffness!S107,IF(2=Element_Stiffness!$E$75,Element_Stiffness!Y107,0)),0)),0)+IF(Element_Stiffness!$C$111,IF(Element_Stiffness!$C$110=4,IF(2=Element_Stiffness!$C$110,Element_Stiffness!S136,IF(2=Element_Stiffness!$E$110,Element_Stiffness!Y136,0)),IF(Element_Stiffness!$E$110=4,IF(2=Element_Stiffness!$C$110,Element_Stiffness!S142,IF(2=Element_Stiffness!$E$110,Element_Stiffness!Y142,0)),0)),0)+IF(Element_Stiffness!$C$146,IF(Element_Stiffness!$C$145=4,IF(2=Element_Stiffness!$C$145,Element_Stiffness!S171,IF(2=Element_Stiffness!$E$145,Element_Stiffness!Y171,0)),IF(Element_Stiffness!$E$145=4,IF(2=Element_Stiffness!$C$145,Element_Stiffness!S177,IF(2=Element_Stiffness!$E$145,Element_Stiffness!Y177,0)),0)),0)+IF(Element_Stiffness!$C$181,IF(Element_Stiffness!$C$180=4,IF(2=Element_Stiffness!$C$180,Element_Stiffness!S206,IF(2=Element_Stiffness!$E$180,Element_Stiffness!Y206,0)),IF(Element_Stiffness!$E$180=4,IF(2=Element_Stiffness!$C$180,Element_Stiffness!S212,IF(2=Element_Stiffness!$E$180,Element_Stiffness!Y212,0)),0)),0)+IF(Element_Stiffness!$C$216,IF(Element_Stiffness!$C$215=4,IF(2=Element_Stiffness!$C$215,Element_Stiffness!S241,IF(2=Element_Stiffness!$E$215,Element_Stiffness!Y241,0)),IF(Element_Stiffness!$E$215=4,IF(2=Element_Stiffness!$C$215,Element_Stiffness!S247,IF(2=Element_Stiffness!$E$215,Element_Stiffness!Y247,0)),0)),0)</f>
        <v/>
      </c>
      <c r="S34" s="21">
        <f>IF(Element_Stiffness!$C$6,IF(Element_Stiffness!$C$5=4,IF(2=Element_Stiffness!$C$5,Element_Stiffness!T31,IF(2=Element_Stiffness!$E$5,Element_Stiffness!Z31,0)),IF(Element_Stiffness!$E$5=4,IF(2=Element_Stiffness!$C$5,Element_Stiffness!T37,IF(2=Element_Stiffness!$E$5,Element_Stiffness!Z37,0)),0)),0)+IF(Element_Stiffness!$C$41,IF(Element_Stiffness!$C$40=4,IF(2=Element_Stiffness!$C$40,Element_Stiffness!T66,IF(2=Element_Stiffness!$E$40,Element_Stiffness!Z66,0)),IF(Element_Stiffness!$E$40=4,IF(2=Element_Stiffness!$C$40,Element_Stiffness!T72,IF(2=Element_Stiffness!$E$40,Element_Stiffness!Z72,0)),0)),0)+IF(Element_Stiffness!$C$76,IF(Element_Stiffness!$C$75=4,IF(2=Element_Stiffness!$C$75,Element_Stiffness!T101,IF(2=Element_Stiffness!$E$75,Element_Stiffness!Z101,0)),IF(Element_Stiffness!$E$75=4,IF(2=Element_Stiffness!$C$75,Element_Stiffness!T107,IF(2=Element_Stiffness!$E$75,Element_Stiffness!Z107,0)),0)),0)+IF(Element_Stiffness!$C$111,IF(Element_Stiffness!$C$110=4,IF(2=Element_Stiffness!$C$110,Element_Stiffness!T136,IF(2=Element_Stiffness!$E$110,Element_Stiffness!Z136,0)),IF(Element_Stiffness!$E$110=4,IF(2=Element_Stiffness!$C$110,Element_Stiffness!T142,IF(2=Element_Stiffness!$E$110,Element_Stiffness!Z142,0)),0)),0)+IF(Element_Stiffness!$C$146,IF(Element_Stiffness!$C$145=4,IF(2=Element_Stiffness!$C$145,Element_Stiffness!T171,IF(2=Element_Stiffness!$E$145,Element_Stiffness!Z171,0)),IF(Element_Stiffness!$E$145=4,IF(2=Element_Stiffness!$C$145,Element_Stiffness!T177,IF(2=Element_Stiffness!$E$145,Element_Stiffness!Z177,0)),0)),0)+IF(Element_Stiffness!$C$181,IF(Element_Stiffness!$C$180=4,IF(2=Element_Stiffness!$C$180,Element_Stiffness!T206,IF(2=Element_Stiffness!$E$180,Element_Stiffness!Z206,0)),IF(Element_Stiffness!$E$180=4,IF(2=Element_Stiffness!$C$180,Element_Stiffness!T212,IF(2=Element_Stiffness!$E$180,Element_Stiffness!Z212,0)),0)),0)+IF(Element_Stiffness!$C$216,IF(Element_Stiffness!$C$215=4,IF(2=Element_Stiffness!$C$215,Element_Stiffness!T241,IF(2=Element_Stiffness!$E$215,Element_Stiffness!Z241,0)),IF(Element_Stiffness!$E$215=4,IF(2=Element_Stiffness!$C$215,Element_Stiffness!T247,IF(2=Element_Stiffness!$E$215,Element_Stiffness!Z247,0)),0)),0)</f>
        <v/>
      </c>
      <c r="T34" s="21">
        <f>IF(Element_Stiffness!$C$6,IF(Element_Stiffness!$C$5=4,IF(2=Element_Stiffness!$C$5,Element_Stiffness!U31,IF(2=Element_Stiffness!$E$5,Element_Stiffness!AA31,0)),IF(Element_Stiffness!$E$5=4,IF(2=Element_Stiffness!$C$5,Element_Stiffness!U37,IF(2=Element_Stiffness!$E$5,Element_Stiffness!AA37,0)),0)),0)+IF(Element_Stiffness!$C$41,IF(Element_Stiffness!$C$40=4,IF(2=Element_Stiffness!$C$40,Element_Stiffness!U66,IF(2=Element_Stiffness!$E$40,Element_Stiffness!AA66,0)),IF(Element_Stiffness!$E$40=4,IF(2=Element_Stiffness!$C$40,Element_Stiffness!U72,IF(2=Element_Stiffness!$E$40,Element_Stiffness!AA72,0)),0)),0)+IF(Element_Stiffness!$C$76,IF(Element_Stiffness!$C$75=4,IF(2=Element_Stiffness!$C$75,Element_Stiffness!U101,IF(2=Element_Stiffness!$E$75,Element_Stiffness!AA101,0)),IF(Element_Stiffness!$E$75=4,IF(2=Element_Stiffness!$C$75,Element_Stiffness!U107,IF(2=Element_Stiffness!$E$75,Element_Stiffness!AA107,0)),0)),0)+IF(Element_Stiffness!$C$111,IF(Element_Stiffness!$C$110=4,IF(2=Element_Stiffness!$C$110,Element_Stiffness!U136,IF(2=Element_Stiffness!$E$110,Element_Stiffness!AA136,0)),IF(Element_Stiffness!$E$110=4,IF(2=Element_Stiffness!$C$110,Element_Stiffness!U142,IF(2=Element_Stiffness!$E$110,Element_Stiffness!AA142,0)),0)),0)+IF(Element_Stiffness!$C$146,IF(Element_Stiffness!$C$145=4,IF(2=Element_Stiffness!$C$145,Element_Stiffness!U171,IF(2=Element_Stiffness!$E$145,Element_Stiffness!AA171,0)),IF(Element_Stiffness!$E$145=4,IF(2=Element_Stiffness!$C$145,Element_Stiffness!U177,IF(2=Element_Stiffness!$E$145,Element_Stiffness!AA177,0)),0)),0)+IF(Element_Stiffness!$C$181,IF(Element_Stiffness!$C$180=4,IF(2=Element_Stiffness!$C$180,Element_Stiffness!U206,IF(2=Element_Stiffness!$E$180,Element_Stiffness!AA206,0)),IF(Element_Stiffness!$E$180=4,IF(2=Element_Stiffness!$C$180,Element_Stiffness!U212,IF(2=Element_Stiffness!$E$180,Element_Stiffness!AA212,0)),0)),0)+IF(Element_Stiffness!$C$216,IF(Element_Stiffness!$C$215=4,IF(2=Element_Stiffness!$C$215,Element_Stiffness!U241,IF(2=Element_Stiffness!$E$215,Element_Stiffness!AA241,0)),IF(Element_Stiffness!$E$215=4,IF(2=Element_Stiffness!$C$215,Element_Stiffness!U247,IF(2=Element_Stiffness!$E$215,Element_Stiffness!AA247,0)),0)),0)</f>
        <v/>
      </c>
      <c r="U34" s="21">
        <f>IF(Element_Stiffness!$C$6,IF(Element_Stiffness!$C$5=4,IF(3=Element_Stiffness!$C$5,Element_Stiffness!P31,IF(3=Element_Stiffness!$E$5,Element_Stiffness!V31,0)),IF(Element_Stiffness!$E$5=4,IF(3=Element_Stiffness!$C$5,Element_Stiffness!P37,IF(3=Element_Stiffness!$E$5,Element_Stiffness!V37,0)),0)),0)+IF(Element_Stiffness!$C$41,IF(Element_Stiffness!$C$40=4,IF(3=Element_Stiffness!$C$40,Element_Stiffness!P66,IF(3=Element_Stiffness!$E$40,Element_Stiffness!V66,0)),IF(Element_Stiffness!$E$40=4,IF(3=Element_Stiffness!$C$40,Element_Stiffness!P72,IF(3=Element_Stiffness!$E$40,Element_Stiffness!V72,0)),0)),0)+IF(Element_Stiffness!$C$76,IF(Element_Stiffness!$C$75=4,IF(3=Element_Stiffness!$C$75,Element_Stiffness!P101,IF(3=Element_Stiffness!$E$75,Element_Stiffness!V101,0)),IF(Element_Stiffness!$E$75=4,IF(3=Element_Stiffness!$C$75,Element_Stiffness!P107,IF(3=Element_Stiffness!$E$75,Element_Stiffness!V107,0)),0)),0)+IF(Element_Stiffness!$C$111,IF(Element_Stiffness!$C$110=4,IF(3=Element_Stiffness!$C$110,Element_Stiffness!P136,IF(3=Element_Stiffness!$E$110,Element_Stiffness!V136,0)),IF(Element_Stiffness!$E$110=4,IF(3=Element_Stiffness!$C$110,Element_Stiffness!P142,IF(3=Element_Stiffness!$E$110,Element_Stiffness!V142,0)),0)),0)+IF(Element_Stiffness!$C$146,IF(Element_Stiffness!$C$145=4,IF(3=Element_Stiffness!$C$145,Element_Stiffness!P171,IF(3=Element_Stiffness!$E$145,Element_Stiffness!V171,0)),IF(Element_Stiffness!$E$145=4,IF(3=Element_Stiffness!$C$145,Element_Stiffness!P177,IF(3=Element_Stiffness!$E$145,Element_Stiffness!V177,0)),0)),0)+IF(Element_Stiffness!$C$181,IF(Element_Stiffness!$C$180=4,IF(3=Element_Stiffness!$C$180,Element_Stiffness!P206,IF(3=Element_Stiffness!$E$180,Element_Stiffness!V206,0)),IF(Element_Stiffness!$E$180=4,IF(3=Element_Stiffness!$C$180,Element_Stiffness!P212,IF(3=Element_Stiffness!$E$180,Element_Stiffness!V212,0)),0)),0)+IF(Element_Stiffness!$C$216,IF(Element_Stiffness!$C$215=4,IF(3=Element_Stiffness!$C$215,Element_Stiffness!P241,IF(3=Element_Stiffness!$E$215,Element_Stiffness!V241,0)),IF(Element_Stiffness!$E$215=4,IF(3=Element_Stiffness!$C$215,Element_Stiffness!P247,IF(3=Element_Stiffness!$E$215,Element_Stiffness!V247,0)),0)),0)</f>
        <v/>
      </c>
      <c r="V34" s="21">
        <f>IF(Element_Stiffness!$C$6,IF(Element_Stiffness!$C$5=4,IF(3=Element_Stiffness!$C$5,Element_Stiffness!Q31,IF(3=Element_Stiffness!$E$5,Element_Stiffness!W31,0)),IF(Element_Stiffness!$E$5=4,IF(3=Element_Stiffness!$C$5,Element_Stiffness!Q37,IF(3=Element_Stiffness!$E$5,Element_Stiffness!W37,0)),0)),0)+IF(Element_Stiffness!$C$41,IF(Element_Stiffness!$C$40=4,IF(3=Element_Stiffness!$C$40,Element_Stiffness!Q66,IF(3=Element_Stiffness!$E$40,Element_Stiffness!W66,0)),IF(Element_Stiffness!$E$40=4,IF(3=Element_Stiffness!$C$40,Element_Stiffness!Q72,IF(3=Element_Stiffness!$E$40,Element_Stiffness!W72,0)),0)),0)+IF(Element_Stiffness!$C$76,IF(Element_Stiffness!$C$75=4,IF(3=Element_Stiffness!$C$75,Element_Stiffness!Q101,IF(3=Element_Stiffness!$E$75,Element_Stiffness!W101,0)),IF(Element_Stiffness!$E$75=4,IF(3=Element_Stiffness!$C$75,Element_Stiffness!Q107,IF(3=Element_Stiffness!$E$75,Element_Stiffness!W107,0)),0)),0)+IF(Element_Stiffness!$C$111,IF(Element_Stiffness!$C$110=4,IF(3=Element_Stiffness!$C$110,Element_Stiffness!Q136,IF(3=Element_Stiffness!$E$110,Element_Stiffness!W136,0)),IF(Element_Stiffness!$E$110=4,IF(3=Element_Stiffness!$C$110,Element_Stiffness!Q142,IF(3=Element_Stiffness!$E$110,Element_Stiffness!W142,0)),0)),0)+IF(Element_Stiffness!$C$146,IF(Element_Stiffness!$C$145=4,IF(3=Element_Stiffness!$C$145,Element_Stiffness!Q171,IF(3=Element_Stiffness!$E$145,Element_Stiffness!W171,0)),IF(Element_Stiffness!$E$145=4,IF(3=Element_Stiffness!$C$145,Element_Stiffness!Q177,IF(3=Element_Stiffness!$E$145,Element_Stiffness!W177,0)),0)),0)+IF(Element_Stiffness!$C$181,IF(Element_Stiffness!$C$180=4,IF(3=Element_Stiffness!$C$180,Element_Stiffness!Q206,IF(3=Element_Stiffness!$E$180,Element_Stiffness!W206,0)),IF(Element_Stiffness!$E$180=4,IF(3=Element_Stiffness!$C$180,Element_Stiffness!Q212,IF(3=Element_Stiffness!$E$180,Element_Stiffness!W212,0)),0)),0)+IF(Element_Stiffness!$C$216,IF(Element_Stiffness!$C$215=4,IF(3=Element_Stiffness!$C$215,Element_Stiffness!Q241,IF(3=Element_Stiffness!$E$215,Element_Stiffness!W241,0)),IF(Element_Stiffness!$E$215=4,IF(3=Element_Stiffness!$C$215,Element_Stiffness!Q247,IF(3=Element_Stiffness!$E$215,Element_Stiffness!W247,0)),0)),0)</f>
        <v/>
      </c>
      <c r="W34" s="21">
        <f>IF(Element_Stiffness!$C$6,IF(Element_Stiffness!$C$5=4,IF(3=Element_Stiffness!$C$5,Element_Stiffness!R31,IF(3=Element_Stiffness!$E$5,Element_Stiffness!X31,0)),IF(Element_Stiffness!$E$5=4,IF(3=Element_Stiffness!$C$5,Element_Stiffness!R37,IF(3=Element_Stiffness!$E$5,Element_Stiffness!X37,0)),0)),0)+IF(Element_Stiffness!$C$41,IF(Element_Stiffness!$C$40=4,IF(3=Element_Stiffness!$C$40,Element_Stiffness!R66,IF(3=Element_Stiffness!$E$40,Element_Stiffness!X66,0)),IF(Element_Stiffness!$E$40=4,IF(3=Element_Stiffness!$C$40,Element_Stiffness!R72,IF(3=Element_Stiffness!$E$40,Element_Stiffness!X72,0)),0)),0)+IF(Element_Stiffness!$C$76,IF(Element_Stiffness!$C$75=4,IF(3=Element_Stiffness!$C$75,Element_Stiffness!R101,IF(3=Element_Stiffness!$E$75,Element_Stiffness!X101,0)),IF(Element_Stiffness!$E$75=4,IF(3=Element_Stiffness!$C$75,Element_Stiffness!R107,IF(3=Element_Stiffness!$E$75,Element_Stiffness!X107,0)),0)),0)+IF(Element_Stiffness!$C$111,IF(Element_Stiffness!$C$110=4,IF(3=Element_Stiffness!$C$110,Element_Stiffness!R136,IF(3=Element_Stiffness!$E$110,Element_Stiffness!X136,0)),IF(Element_Stiffness!$E$110=4,IF(3=Element_Stiffness!$C$110,Element_Stiffness!R142,IF(3=Element_Stiffness!$E$110,Element_Stiffness!X142,0)),0)),0)+IF(Element_Stiffness!$C$146,IF(Element_Stiffness!$C$145=4,IF(3=Element_Stiffness!$C$145,Element_Stiffness!R171,IF(3=Element_Stiffness!$E$145,Element_Stiffness!X171,0)),IF(Element_Stiffness!$E$145=4,IF(3=Element_Stiffness!$C$145,Element_Stiffness!R177,IF(3=Element_Stiffness!$E$145,Element_Stiffness!X177,0)),0)),0)+IF(Element_Stiffness!$C$181,IF(Element_Stiffness!$C$180=4,IF(3=Element_Stiffness!$C$180,Element_Stiffness!R206,IF(3=Element_Stiffness!$E$180,Element_Stiffness!X206,0)),IF(Element_Stiffness!$E$180=4,IF(3=Element_Stiffness!$C$180,Element_Stiffness!R212,IF(3=Element_Stiffness!$E$180,Element_Stiffness!X212,0)),0)),0)+IF(Element_Stiffness!$C$216,IF(Element_Stiffness!$C$215=4,IF(3=Element_Stiffness!$C$215,Element_Stiffness!R241,IF(3=Element_Stiffness!$E$215,Element_Stiffness!X241,0)),IF(Element_Stiffness!$E$215=4,IF(3=Element_Stiffness!$C$215,Element_Stiffness!R247,IF(3=Element_Stiffness!$E$215,Element_Stiffness!X247,0)),0)),0)</f>
        <v/>
      </c>
      <c r="X34" s="21">
        <f>IF(Element_Stiffness!$C$6,IF(Element_Stiffness!$C$5=4,IF(3=Element_Stiffness!$C$5,Element_Stiffness!S31,IF(3=Element_Stiffness!$E$5,Element_Stiffness!Y31,0)),IF(Element_Stiffness!$E$5=4,IF(3=Element_Stiffness!$C$5,Element_Stiffness!S37,IF(3=Element_Stiffness!$E$5,Element_Stiffness!Y37,0)),0)),0)+IF(Element_Stiffness!$C$41,IF(Element_Stiffness!$C$40=4,IF(3=Element_Stiffness!$C$40,Element_Stiffness!S66,IF(3=Element_Stiffness!$E$40,Element_Stiffness!Y66,0)),IF(Element_Stiffness!$E$40=4,IF(3=Element_Stiffness!$C$40,Element_Stiffness!S72,IF(3=Element_Stiffness!$E$40,Element_Stiffness!Y72,0)),0)),0)+IF(Element_Stiffness!$C$76,IF(Element_Stiffness!$C$75=4,IF(3=Element_Stiffness!$C$75,Element_Stiffness!S101,IF(3=Element_Stiffness!$E$75,Element_Stiffness!Y101,0)),IF(Element_Stiffness!$E$75=4,IF(3=Element_Stiffness!$C$75,Element_Stiffness!S107,IF(3=Element_Stiffness!$E$75,Element_Stiffness!Y107,0)),0)),0)+IF(Element_Stiffness!$C$111,IF(Element_Stiffness!$C$110=4,IF(3=Element_Stiffness!$C$110,Element_Stiffness!S136,IF(3=Element_Stiffness!$E$110,Element_Stiffness!Y136,0)),IF(Element_Stiffness!$E$110=4,IF(3=Element_Stiffness!$C$110,Element_Stiffness!S142,IF(3=Element_Stiffness!$E$110,Element_Stiffness!Y142,0)),0)),0)+IF(Element_Stiffness!$C$146,IF(Element_Stiffness!$C$145=4,IF(3=Element_Stiffness!$C$145,Element_Stiffness!S171,IF(3=Element_Stiffness!$E$145,Element_Stiffness!Y171,0)),IF(Element_Stiffness!$E$145=4,IF(3=Element_Stiffness!$C$145,Element_Stiffness!S177,IF(3=Element_Stiffness!$E$145,Element_Stiffness!Y177,0)),0)),0)+IF(Element_Stiffness!$C$181,IF(Element_Stiffness!$C$180=4,IF(3=Element_Stiffness!$C$180,Element_Stiffness!S206,IF(3=Element_Stiffness!$E$180,Element_Stiffness!Y206,0)),IF(Element_Stiffness!$E$180=4,IF(3=Element_Stiffness!$C$180,Element_Stiffness!S212,IF(3=Element_Stiffness!$E$180,Element_Stiffness!Y212,0)),0)),0)+IF(Element_Stiffness!$C$216,IF(Element_Stiffness!$C$215=4,IF(3=Element_Stiffness!$C$215,Element_Stiffness!S241,IF(3=Element_Stiffness!$E$215,Element_Stiffness!Y241,0)),IF(Element_Stiffness!$E$215=4,IF(3=Element_Stiffness!$C$215,Element_Stiffness!S247,IF(3=Element_Stiffness!$E$215,Element_Stiffness!Y247,0)),0)),0)</f>
        <v/>
      </c>
      <c r="Y34" s="21">
        <f>IF(Element_Stiffness!$C$6,IF(Element_Stiffness!$C$5=4,IF(3=Element_Stiffness!$C$5,Element_Stiffness!T31,IF(3=Element_Stiffness!$E$5,Element_Stiffness!Z31,0)),IF(Element_Stiffness!$E$5=4,IF(3=Element_Stiffness!$C$5,Element_Stiffness!T37,IF(3=Element_Stiffness!$E$5,Element_Stiffness!Z37,0)),0)),0)+IF(Element_Stiffness!$C$41,IF(Element_Stiffness!$C$40=4,IF(3=Element_Stiffness!$C$40,Element_Stiffness!T66,IF(3=Element_Stiffness!$E$40,Element_Stiffness!Z66,0)),IF(Element_Stiffness!$E$40=4,IF(3=Element_Stiffness!$C$40,Element_Stiffness!T72,IF(3=Element_Stiffness!$E$40,Element_Stiffness!Z72,0)),0)),0)+IF(Element_Stiffness!$C$76,IF(Element_Stiffness!$C$75=4,IF(3=Element_Stiffness!$C$75,Element_Stiffness!T101,IF(3=Element_Stiffness!$E$75,Element_Stiffness!Z101,0)),IF(Element_Stiffness!$E$75=4,IF(3=Element_Stiffness!$C$75,Element_Stiffness!T107,IF(3=Element_Stiffness!$E$75,Element_Stiffness!Z107,0)),0)),0)+IF(Element_Stiffness!$C$111,IF(Element_Stiffness!$C$110=4,IF(3=Element_Stiffness!$C$110,Element_Stiffness!T136,IF(3=Element_Stiffness!$E$110,Element_Stiffness!Z136,0)),IF(Element_Stiffness!$E$110=4,IF(3=Element_Stiffness!$C$110,Element_Stiffness!T142,IF(3=Element_Stiffness!$E$110,Element_Stiffness!Z142,0)),0)),0)+IF(Element_Stiffness!$C$146,IF(Element_Stiffness!$C$145=4,IF(3=Element_Stiffness!$C$145,Element_Stiffness!T171,IF(3=Element_Stiffness!$E$145,Element_Stiffness!Z171,0)),IF(Element_Stiffness!$E$145=4,IF(3=Element_Stiffness!$C$145,Element_Stiffness!T177,IF(3=Element_Stiffness!$E$145,Element_Stiffness!Z177,0)),0)),0)+IF(Element_Stiffness!$C$181,IF(Element_Stiffness!$C$180=4,IF(3=Element_Stiffness!$C$180,Element_Stiffness!T206,IF(3=Element_Stiffness!$E$180,Element_Stiffness!Z206,0)),IF(Element_Stiffness!$E$180=4,IF(3=Element_Stiffness!$C$180,Element_Stiffness!T212,IF(3=Element_Stiffness!$E$180,Element_Stiffness!Z212,0)),0)),0)+IF(Element_Stiffness!$C$216,IF(Element_Stiffness!$C$215=4,IF(3=Element_Stiffness!$C$215,Element_Stiffness!T241,IF(3=Element_Stiffness!$E$215,Element_Stiffness!Z241,0)),IF(Element_Stiffness!$E$215=4,IF(3=Element_Stiffness!$C$215,Element_Stiffness!T247,IF(3=Element_Stiffness!$E$215,Element_Stiffness!Z247,0)),0)),0)</f>
        <v/>
      </c>
      <c r="Z34" s="21">
        <f>IF(Element_Stiffness!$C$6,IF(Element_Stiffness!$C$5=4,IF(3=Element_Stiffness!$C$5,Element_Stiffness!U31,IF(3=Element_Stiffness!$E$5,Element_Stiffness!AA31,0)),IF(Element_Stiffness!$E$5=4,IF(3=Element_Stiffness!$C$5,Element_Stiffness!U37,IF(3=Element_Stiffness!$E$5,Element_Stiffness!AA37,0)),0)),0)+IF(Element_Stiffness!$C$41,IF(Element_Stiffness!$C$40=4,IF(3=Element_Stiffness!$C$40,Element_Stiffness!U66,IF(3=Element_Stiffness!$E$40,Element_Stiffness!AA66,0)),IF(Element_Stiffness!$E$40=4,IF(3=Element_Stiffness!$C$40,Element_Stiffness!U72,IF(3=Element_Stiffness!$E$40,Element_Stiffness!AA72,0)),0)),0)+IF(Element_Stiffness!$C$76,IF(Element_Stiffness!$C$75=4,IF(3=Element_Stiffness!$C$75,Element_Stiffness!U101,IF(3=Element_Stiffness!$E$75,Element_Stiffness!AA101,0)),IF(Element_Stiffness!$E$75=4,IF(3=Element_Stiffness!$C$75,Element_Stiffness!U107,IF(3=Element_Stiffness!$E$75,Element_Stiffness!AA107,0)),0)),0)+IF(Element_Stiffness!$C$111,IF(Element_Stiffness!$C$110=4,IF(3=Element_Stiffness!$C$110,Element_Stiffness!U136,IF(3=Element_Stiffness!$E$110,Element_Stiffness!AA136,0)),IF(Element_Stiffness!$E$110=4,IF(3=Element_Stiffness!$C$110,Element_Stiffness!U142,IF(3=Element_Stiffness!$E$110,Element_Stiffness!AA142,0)),0)),0)+IF(Element_Stiffness!$C$146,IF(Element_Stiffness!$C$145=4,IF(3=Element_Stiffness!$C$145,Element_Stiffness!U171,IF(3=Element_Stiffness!$E$145,Element_Stiffness!AA171,0)),IF(Element_Stiffness!$E$145=4,IF(3=Element_Stiffness!$C$145,Element_Stiffness!U177,IF(3=Element_Stiffness!$E$145,Element_Stiffness!AA177,0)),0)),0)+IF(Element_Stiffness!$C$181,IF(Element_Stiffness!$C$180=4,IF(3=Element_Stiffness!$C$180,Element_Stiffness!U206,IF(3=Element_Stiffness!$E$180,Element_Stiffness!AA206,0)),IF(Element_Stiffness!$E$180=4,IF(3=Element_Stiffness!$C$180,Element_Stiffness!U212,IF(3=Element_Stiffness!$E$180,Element_Stiffness!AA212,0)),0)),0)+IF(Element_Stiffness!$C$216,IF(Element_Stiffness!$C$215=4,IF(3=Element_Stiffness!$C$215,Element_Stiffness!U241,IF(3=Element_Stiffness!$E$215,Element_Stiffness!AA241,0)),IF(Element_Stiffness!$E$215=4,IF(3=Element_Stiffness!$C$215,Element_Stiffness!U247,IF(3=Element_Stiffness!$E$215,Element_Stiffness!AA247,0)),0)),0)</f>
        <v/>
      </c>
      <c r="AA34" s="21">
        <f>IF(Element_Stiffness!$C$6,IF(Element_Stiffness!$C$5=4,IF(4=Element_Stiffness!$C$5,Element_Stiffness!P31,IF(4=Element_Stiffness!$E$5,Element_Stiffness!V31,0)),IF(Element_Stiffness!$E$5=4,IF(4=Element_Stiffness!$C$5,Element_Stiffness!P37,IF(4=Element_Stiffness!$E$5,Element_Stiffness!V37,0)),0)),0)+IF(Element_Stiffness!$C$41,IF(Element_Stiffness!$C$40=4,IF(4=Element_Stiffness!$C$40,Element_Stiffness!P66,IF(4=Element_Stiffness!$E$40,Element_Stiffness!V66,0)),IF(Element_Stiffness!$E$40=4,IF(4=Element_Stiffness!$C$40,Element_Stiffness!P72,IF(4=Element_Stiffness!$E$40,Element_Stiffness!V72,0)),0)),0)+IF(Element_Stiffness!$C$76,IF(Element_Stiffness!$C$75=4,IF(4=Element_Stiffness!$C$75,Element_Stiffness!P101,IF(4=Element_Stiffness!$E$75,Element_Stiffness!V101,0)),IF(Element_Stiffness!$E$75=4,IF(4=Element_Stiffness!$C$75,Element_Stiffness!P107,IF(4=Element_Stiffness!$E$75,Element_Stiffness!V107,0)),0)),0)+IF(Element_Stiffness!$C$111,IF(Element_Stiffness!$C$110=4,IF(4=Element_Stiffness!$C$110,Element_Stiffness!P136,IF(4=Element_Stiffness!$E$110,Element_Stiffness!V136,0)),IF(Element_Stiffness!$E$110=4,IF(4=Element_Stiffness!$C$110,Element_Stiffness!P142,IF(4=Element_Stiffness!$E$110,Element_Stiffness!V142,0)),0)),0)+IF(Element_Stiffness!$C$146,IF(Element_Stiffness!$C$145=4,IF(4=Element_Stiffness!$C$145,Element_Stiffness!P171,IF(4=Element_Stiffness!$E$145,Element_Stiffness!V171,0)),IF(Element_Stiffness!$E$145=4,IF(4=Element_Stiffness!$C$145,Element_Stiffness!P177,IF(4=Element_Stiffness!$E$145,Element_Stiffness!V177,0)),0)),0)+IF(Element_Stiffness!$C$181,IF(Element_Stiffness!$C$180=4,IF(4=Element_Stiffness!$C$180,Element_Stiffness!P206,IF(4=Element_Stiffness!$E$180,Element_Stiffness!V206,0)),IF(Element_Stiffness!$E$180=4,IF(4=Element_Stiffness!$C$180,Element_Stiffness!P212,IF(4=Element_Stiffness!$E$180,Element_Stiffness!V212,0)),0)),0)+IF(Element_Stiffness!$C$216,IF(Element_Stiffness!$C$215=4,IF(4=Element_Stiffness!$C$215,Element_Stiffness!P241,IF(4=Element_Stiffness!$E$215,Element_Stiffness!V241,0)),IF(Element_Stiffness!$E$215=4,IF(4=Element_Stiffness!$C$215,Element_Stiffness!P247,IF(4=Element_Stiffness!$E$215,Element_Stiffness!V247,0)),0)),0)</f>
        <v/>
      </c>
      <c r="AB34" s="21">
        <f>IF(Element_Stiffness!$C$6,IF(Element_Stiffness!$C$5=4,IF(4=Element_Stiffness!$C$5,Element_Stiffness!Q31,IF(4=Element_Stiffness!$E$5,Element_Stiffness!W31,0)),IF(Element_Stiffness!$E$5=4,IF(4=Element_Stiffness!$C$5,Element_Stiffness!Q37,IF(4=Element_Stiffness!$E$5,Element_Stiffness!W37,0)),0)),0)+IF(Element_Stiffness!$C$41,IF(Element_Stiffness!$C$40=4,IF(4=Element_Stiffness!$C$40,Element_Stiffness!Q66,IF(4=Element_Stiffness!$E$40,Element_Stiffness!W66,0)),IF(Element_Stiffness!$E$40=4,IF(4=Element_Stiffness!$C$40,Element_Stiffness!Q72,IF(4=Element_Stiffness!$E$40,Element_Stiffness!W72,0)),0)),0)+IF(Element_Stiffness!$C$76,IF(Element_Stiffness!$C$75=4,IF(4=Element_Stiffness!$C$75,Element_Stiffness!Q101,IF(4=Element_Stiffness!$E$75,Element_Stiffness!W101,0)),IF(Element_Stiffness!$E$75=4,IF(4=Element_Stiffness!$C$75,Element_Stiffness!Q107,IF(4=Element_Stiffness!$E$75,Element_Stiffness!W107,0)),0)),0)+IF(Element_Stiffness!$C$111,IF(Element_Stiffness!$C$110=4,IF(4=Element_Stiffness!$C$110,Element_Stiffness!Q136,IF(4=Element_Stiffness!$E$110,Element_Stiffness!W136,0)),IF(Element_Stiffness!$E$110=4,IF(4=Element_Stiffness!$C$110,Element_Stiffness!Q142,IF(4=Element_Stiffness!$E$110,Element_Stiffness!W142,0)),0)),0)+IF(Element_Stiffness!$C$146,IF(Element_Stiffness!$C$145=4,IF(4=Element_Stiffness!$C$145,Element_Stiffness!Q171,IF(4=Element_Stiffness!$E$145,Element_Stiffness!W171,0)),IF(Element_Stiffness!$E$145=4,IF(4=Element_Stiffness!$C$145,Element_Stiffness!Q177,IF(4=Element_Stiffness!$E$145,Element_Stiffness!W177,0)),0)),0)+IF(Element_Stiffness!$C$181,IF(Element_Stiffness!$C$180=4,IF(4=Element_Stiffness!$C$180,Element_Stiffness!Q206,IF(4=Element_Stiffness!$E$180,Element_Stiffness!W206,0)),IF(Element_Stiffness!$E$180=4,IF(4=Element_Stiffness!$C$180,Element_Stiffness!Q212,IF(4=Element_Stiffness!$E$180,Element_Stiffness!W212,0)),0)),0)+IF(Element_Stiffness!$C$216,IF(Element_Stiffness!$C$215=4,IF(4=Element_Stiffness!$C$215,Element_Stiffness!Q241,IF(4=Element_Stiffness!$E$215,Element_Stiffness!W241,0)),IF(Element_Stiffness!$E$215=4,IF(4=Element_Stiffness!$C$215,Element_Stiffness!Q247,IF(4=Element_Stiffness!$E$215,Element_Stiffness!W247,0)),0)),0)</f>
        <v/>
      </c>
      <c r="AC34" s="21">
        <f>IF(Element_Stiffness!$C$6,IF(Element_Stiffness!$C$5=4,IF(4=Element_Stiffness!$C$5,Element_Stiffness!R31,IF(4=Element_Stiffness!$E$5,Element_Stiffness!X31,0)),IF(Element_Stiffness!$E$5=4,IF(4=Element_Stiffness!$C$5,Element_Stiffness!R37,IF(4=Element_Stiffness!$E$5,Element_Stiffness!X37,0)),0)),0)+IF(Element_Stiffness!$C$41,IF(Element_Stiffness!$C$40=4,IF(4=Element_Stiffness!$C$40,Element_Stiffness!R66,IF(4=Element_Stiffness!$E$40,Element_Stiffness!X66,0)),IF(Element_Stiffness!$E$40=4,IF(4=Element_Stiffness!$C$40,Element_Stiffness!R72,IF(4=Element_Stiffness!$E$40,Element_Stiffness!X72,0)),0)),0)+IF(Element_Stiffness!$C$76,IF(Element_Stiffness!$C$75=4,IF(4=Element_Stiffness!$C$75,Element_Stiffness!R101,IF(4=Element_Stiffness!$E$75,Element_Stiffness!X101,0)),IF(Element_Stiffness!$E$75=4,IF(4=Element_Stiffness!$C$75,Element_Stiffness!R107,IF(4=Element_Stiffness!$E$75,Element_Stiffness!X107,0)),0)),0)+IF(Element_Stiffness!$C$111,IF(Element_Stiffness!$C$110=4,IF(4=Element_Stiffness!$C$110,Element_Stiffness!R136,IF(4=Element_Stiffness!$E$110,Element_Stiffness!X136,0)),IF(Element_Stiffness!$E$110=4,IF(4=Element_Stiffness!$C$110,Element_Stiffness!R142,IF(4=Element_Stiffness!$E$110,Element_Stiffness!X142,0)),0)),0)+IF(Element_Stiffness!$C$146,IF(Element_Stiffness!$C$145=4,IF(4=Element_Stiffness!$C$145,Element_Stiffness!R171,IF(4=Element_Stiffness!$E$145,Element_Stiffness!X171,0)),IF(Element_Stiffness!$E$145=4,IF(4=Element_Stiffness!$C$145,Element_Stiffness!R177,IF(4=Element_Stiffness!$E$145,Element_Stiffness!X177,0)),0)),0)+IF(Element_Stiffness!$C$181,IF(Element_Stiffness!$C$180=4,IF(4=Element_Stiffness!$C$180,Element_Stiffness!R206,IF(4=Element_Stiffness!$E$180,Element_Stiffness!X206,0)),IF(Element_Stiffness!$E$180=4,IF(4=Element_Stiffness!$C$180,Element_Stiffness!R212,IF(4=Element_Stiffness!$E$180,Element_Stiffness!X212,0)),0)),0)+IF(Element_Stiffness!$C$216,IF(Element_Stiffness!$C$215=4,IF(4=Element_Stiffness!$C$215,Element_Stiffness!R241,IF(4=Element_Stiffness!$E$215,Element_Stiffness!X241,0)),IF(Element_Stiffness!$E$215=4,IF(4=Element_Stiffness!$C$215,Element_Stiffness!R247,IF(4=Element_Stiffness!$E$215,Element_Stiffness!X247,0)),0)),0)</f>
        <v/>
      </c>
      <c r="AD34" s="21">
        <f>IF(Element_Stiffness!$C$6,IF(Element_Stiffness!$C$5=4,IF(4=Element_Stiffness!$C$5,Element_Stiffness!S31,IF(4=Element_Stiffness!$E$5,Element_Stiffness!Y31,0)),IF(Element_Stiffness!$E$5=4,IF(4=Element_Stiffness!$C$5,Element_Stiffness!S37,IF(4=Element_Stiffness!$E$5,Element_Stiffness!Y37,0)),0)),0)+IF(Element_Stiffness!$C$41,IF(Element_Stiffness!$C$40=4,IF(4=Element_Stiffness!$C$40,Element_Stiffness!S66,IF(4=Element_Stiffness!$E$40,Element_Stiffness!Y66,0)),IF(Element_Stiffness!$E$40=4,IF(4=Element_Stiffness!$C$40,Element_Stiffness!S72,IF(4=Element_Stiffness!$E$40,Element_Stiffness!Y72,0)),0)),0)+IF(Element_Stiffness!$C$76,IF(Element_Stiffness!$C$75=4,IF(4=Element_Stiffness!$C$75,Element_Stiffness!S101,IF(4=Element_Stiffness!$E$75,Element_Stiffness!Y101,0)),IF(Element_Stiffness!$E$75=4,IF(4=Element_Stiffness!$C$75,Element_Stiffness!S107,IF(4=Element_Stiffness!$E$75,Element_Stiffness!Y107,0)),0)),0)+IF(Element_Stiffness!$C$111,IF(Element_Stiffness!$C$110=4,IF(4=Element_Stiffness!$C$110,Element_Stiffness!S136,IF(4=Element_Stiffness!$E$110,Element_Stiffness!Y136,0)),IF(Element_Stiffness!$E$110=4,IF(4=Element_Stiffness!$C$110,Element_Stiffness!S142,IF(4=Element_Stiffness!$E$110,Element_Stiffness!Y142,0)),0)),0)+IF(Element_Stiffness!$C$146,IF(Element_Stiffness!$C$145=4,IF(4=Element_Stiffness!$C$145,Element_Stiffness!S171,IF(4=Element_Stiffness!$E$145,Element_Stiffness!Y171,0)),IF(Element_Stiffness!$E$145=4,IF(4=Element_Stiffness!$C$145,Element_Stiffness!S177,IF(4=Element_Stiffness!$E$145,Element_Stiffness!Y177,0)),0)),0)+IF(Element_Stiffness!$C$181,IF(Element_Stiffness!$C$180=4,IF(4=Element_Stiffness!$C$180,Element_Stiffness!S206,IF(4=Element_Stiffness!$E$180,Element_Stiffness!Y206,0)),IF(Element_Stiffness!$E$180=4,IF(4=Element_Stiffness!$C$180,Element_Stiffness!S212,IF(4=Element_Stiffness!$E$180,Element_Stiffness!Y212,0)),0)),0)+IF(Element_Stiffness!$C$216,IF(Element_Stiffness!$C$215=4,IF(4=Element_Stiffness!$C$215,Element_Stiffness!S241,IF(4=Element_Stiffness!$E$215,Element_Stiffness!Y241,0)),IF(Element_Stiffness!$E$215=4,IF(4=Element_Stiffness!$C$215,Element_Stiffness!S247,IF(4=Element_Stiffness!$E$215,Element_Stiffness!Y247,0)),0)),0)</f>
        <v/>
      </c>
      <c r="AE34" s="21">
        <f>IF(Element_Stiffness!$C$6,IF(Element_Stiffness!$C$5=4,IF(4=Element_Stiffness!$C$5,Element_Stiffness!T31,IF(4=Element_Stiffness!$E$5,Element_Stiffness!Z31,0)),IF(Element_Stiffness!$E$5=4,IF(4=Element_Stiffness!$C$5,Element_Stiffness!T37,IF(4=Element_Stiffness!$E$5,Element_Stiffness!Z37,0)),0)),0)+IF(Element_Stiffness!$C$41,IF(Element_Stiffness!$C$40=4,IF(4=Element_Stiffness!$C$40,Element_Stiffness!T66,IF(4=Element_Stiffness!$E$40,Element_Stiffness!Z66,0)),IF(Element_Stiffness!$E$40=4,IF(4=Element_Stiffness!$C$40,Element_Stiffness!T72,IF(4=Element_Stiffness!$E$40,Element_Stiffness!Z72,0)),0)),0)+IF(Element_Stiffness!$C$76,IF(Element_Stiffness!$C$75=4,IF(4=Element_Stiffness!$C$75,Element_Stiffness!T101,IF(4=Element_Stiffness!$E$75,Element_Stiffness!Z101,0)),IF(Element_Stiffness!$E$75=4,IF(4=Element_Stiffness!$C$75,Element_Stiffness!T107,IF(4=Element_Stiffness!$E$75,Element_Stiffness!Z107,0)),0)),0)+IF(Element_Stiffness!$C$111,IF(Element_Stiffness!$C$110=4,IF(4=Element_Stiffness!$C$110,Element_Stiffness!T136,IF(4=Element_Stiffness!$E$110,Element_Stiffness!Z136,0)),IF(Element_Stiffness!$E$110=4,IF(4=Element_Stiffness!$C$110,Element_Stiffness!T142,IF(4=Element_Stiffness!$E$110,Element_Stiffness!Z142,0)),0)),0)+IF(Element_Stiffness!$C$146,IF(Element_Stiffness!$C$145=4,IF(4=Element_Stiffness!$C$145,Element_Stiffness!T171,IF(4=Element_Stiffness!$E$145,Element_Stiffness!Z171,0)),IF(Element_Stiffness!$E$145=4,IF(4=Element_Stiffness!$C$145,Element_Stiffness!T177,IF(4=Element_Stiffness!$E$145,Element_Stiffness!Z177,0)),0)),0)+IF(Element_Stiffness!$C$181,IF(Element_Stiffness!$C$180=4,IF(4=Element_Stiffness!$C$180,Element_Stiffness!T206,IF(4=Element_Stiffness!$E$180,Element_Stiffness!Z206,0)),IF(Element_Stiffness!$E$180=4,IF(4=Element_Stiffness!$C$180,Element_Stiffness!T212,IF(4=Element_Stiffness!$E$180,Element_Stiffness!Z212,0)),0)),0)+IF(Element_Stiffness!$C$216,IF(Element_Stiffness!$C$215=4,IF(4=Element_Stiffness!$C$215,Element_Stiffness!T241,IF(4=Element_Stiffness!$E$215,Element_Stiffness!Z241,0)),IF(Element_Stiffness!$E$215=4,IF(4=Element_Stiffness!$C$215,Element_Stiffness!T247,IF(4=Element_Stiffness!$E$215,Element_Stiffness!Z247,0)),0)),0)</f>
        <v/>
      </c>
      <c r="AF34" s="21">
        <f>IF(Element_Stiffness!$C$6,IF(Element_Stiffness!$C$5=4,IF(4=Element_Stiffness!$C$5,Element_Stiffness!U31,IF(4=Element_Stiffness!$E$5,Element_Stiffness!AA31,0)),IF(Element_Stiffness!$E$5=4,IF(4=Element_Stiffness!$C$5,Element_Stiffness!U37,IF(4=Element_Stiffness!$E$5,Element_Stiffness!AA37,0)),0)),0)+IF(Element_Stiffness!$C$41,IF(Element_Stiffness!$C$40=4,IF(4=Element_Stiffness!$C$40,Element_Stiffness!U66,IF(4=Element_Stiffness!$E$40,Element_Stiffness!AA66,0)),IF(Element_Stiffness!$E$40=4,IF(4=Element_Stiffness!$C$40,Element_Stiffness!U72,IF(4=Element_Stiffness!$E$40,Element_Stiffness!AA72,0)),0)),0)+IF(Element_Stiffness!$C$76,IF(Element_Stiffness!$C$75=4,IF(4=Element_Stiffness!$C$75,Element_Stiffness!U101,IF(4=Element_Stiffness!$E$75,Element_Stiffness!AA101,0)),IF(Element_Stiffness!$E$75=4,IF(4=Element_Stiffness!$C$75,Element_Stiffness!U107,IF(4=Element_Stiffness!$E$75,Element_Stiffness!AA107,0)),0)),0)+IF(Element_Stiffness!$C$111,IF(Element_Stiffness!$C$110=4,IF(4=Element_Stiffness!$C$110,Element_Stiffness!U136,IF(4=Element_Stiffness!$E$110,Element_Stiffness!AA136,0)),IF(Element_Stiffness!$E$110=4,IF(4=Element_Stiffness!$C$110,Element_Stiffness!U142,IF(4=Element_Stiffness!$E$110,Element_Stiffness!AA142,0)),0)),0)+IF(Element_Stiffness!$C$146,IF(Element_Stiffness!$C$145=4,IF(4=Element_Stiffness!$C$145,Element_Stiffness!U171,IF(4=Element_Stiffness!$E$145,Element_Stiffness!AA171,0)),IF(Element_Stiffness!$E$145=4,IF(4=Element_Stiffness!$C$145,Element_Stiffness!U177,IF(4=Element_Stiffness!$E$145,Element_Stiffness!AA177,0)),0)),0)+IF(Element_Stiffness!$C$181,IF(Element_Stiffness!$C$180=4,IF(4=Element_Stiffness!$C$180,Element_Stiffness!U206,IF(4=Element_Stiffness!$E$180,Element_Stiffness!AA206,0)),IF(Element_Stiffness!$E$180=4,IF(4=Element_Stiffness!$C$180,Element_Stiffness!U212,IF(4=Element_Stiffness!$E$180,Element_Stiffness!AA212,0)),0)),0)+IF(Element_Stiffness!$C$216,IF(Element_Stiffness!$C$215=4,IF(4=Element_Stiffness!$C$215,Element_Stiffness!U241,IF(4=Element_Stiffness!$E$215,Element_Stiffness!AA241,0)),IF(Element_Stiffness!$E$215=4,IF(4=Element_Stiffness!$C$215,Element_Stiffness!U247,IF(4=Element_Stiffness!$E$215,Element_Stiffness!AA247,0)),0)),0)+IF(Inputs!H44=TRUE,1E15,IF(ISNUMBER(Inputs!H44),Inputs!H44,0))</f>
        <v/>
      </c>
      <c r="AG34" s="21">
        <f>IF(Element_Stiffness!$C$6,IF(Element_Stiffness!$C$5=4,IF(5=Element_Stiffness!$C$5,Element_Stiffness!P31,IF(5=Element_Stiffness!$E$5,Element_Stiffness!V31,0)),IF(Element_Stiffness!$E$5=4,IF(5=Element_Stiffness!$C$5,Element_Stiffness!P37,IF(5=Element_Stiffness!$E$5,Element_Stiffness!V37,0)),0)),0)+IF(Element_Stiffness!$C$41,IF(Element_Stiffness!$C$40=4,IF(5=Element_Stiffness!$C$40,Element_Stiffness!P66,IF(5=Element_Stiffness!$E$40,Element_Stiffness!V66,0)),IF(Element_Stiffness!$E$40=4,IF(5=Element_Stiffness!$C$40,Element_Stiffness!P72,IF(5=Element_Stiffness!$E$40,Element_Stiffness!V72,0)),0)),0)+IF(Element_Stiffness!$C$76,IF(Element_Stiffness!$C$75=4,IF(5=Element_Stiffness!$C$75,Element_Stiffness!P101,IF(5=Element_Stiffness!$E$75,Element_Stiffness!V101,0)),IF(Element_Stiffness!$E$75=4,IF(5=Element_Stiffness!$C$75,Element_Stiffness!P107,IF(5=Element_Stiffness!$E$75,Element_Stiffness!V107,0)),0)),0)+IF(Element_Stiffness!$C$111,IF(Element_Stiffness!$C$110=4,IF(5=Element_Stiffness!$C$110,Element_Stiffness!P136,IF(5=Element_Stiffness!$E$110,Element_Stiffness!V136,0)),IF(Element_Stiffness!$E$110=4,IF(5=Element_Stiffness!$C$110,Element_Stiffness!P142,IF(5=Element_Stiffness!$E$110,Element_Stiffness!V142,0)),0)),0)+IF(Element_Stiffness!$C$146,IF(Element_Stiffness!$C$145=4,IF(5=Element_Stiffness!$C$145,Element_Stiffness!P171,IF(5=Element_Stiffness!$E$145,Element_Stiffness!V171,0)),IF(Element_Stiffness!$E$145=4,IF(5=Element_Stiffness!$C$145,Element_Stiffness!P177,IF(5=Element_Stiffness!$E$145,Element_Stiffness!V177,0)),0)),0)+IF(Element_Stiffness!$C$181,IF(Element_Stiffness!$C$180=4,IF(5=Element_Stiffness!$C$180,Element_Stiffness!P206,IF(5=Element_Stiffness!$E$180,Element_Stiffness!V206,0)),IF(Element_Stiffness!$E$180=4,IF(5=Element_Stiffness!$C$180,Element_Stiffness!P212,IF(5=Element_Stiffness!$E$180,Element_Stiffness!V212,0)),0)),0)+IF(Element_Stiffness!$C$216,IF(Element_Stiffness!$C$215=4,IF(5=Element_Stiffness!$C$215,Element_Stiffness!P241,IF(5=Element_Stiffness!$E$215,Element_Stiffness!V241,0)),IF(Element_Stiffness!$E$215=4,IF(5=Element_Stiffness!$C$215,Element_Stiffness!P247,IF(5=Element_Stiffness!$E$215,Element_Stiffness!V247,0)),0)),0)</f>
        <v/>
      </c>
      <c r="AH34" s="21">
        <f>IF(Element_Stiffness!$C$6,IF(Element_Stiffness!$C$5=4,IF(5=Element_Stiffness!$C$5,Element_Stiffness!Q31,IF(5=Element_Stiffness!$E$5,Element_Stiffness!W31,0)),IF(Element_Stiffness!$E$5=4,IF(5=Element_Stiffness!$C$5,Element_Stiffness!Q37,IF(5=Element_Stiffness!$E$5,Element_Stiffness!W37,0)),0)),0)+IF(Element_Stiffness!$C$41,IF(Element_Stiffness!$C$40=4,IF(5=Element_Stiffness!$C$40,Element_Stiffness!Q66,IF(5=Element_Stiffness!$E$40,Element_Stiffness!W66,0)),IF(Element_Stiffness!$E$40=4,IF(5=Element_Stiffness!$C$40,Element_Stiffness!Q72,IF(5=Element_Stiffness!$E$40,Element_Stiffness!W72,0)),0)),0)+IF(Element_Stiffness!$C$76,IF(Element_Stiffness!$C$75=4,IF(5=Element_Stiffness!$C$75,Element_Stiffness!Q101,IF(5=Element_Stiffness!$E$75,Element_Stiffness!W101,0)),IF(Element_Stiffness!$E$75=4,IF(5=Element_Stiffness!$C$75,Element_Stiffness!Q107,IF(5=Element_Stiffness!$E$75,Element_Stiffness!W107,0)),0)),0)+IF(Element_Stiffness!$C$111,IF(Element_Stiffness!$C$110=4,IF(5=Element_Stiffness!$C$110,Element_Stiffness!Q136,IF(5=Element_Stiffness!$E$110,Element_Stiffness!W136,0)),IF(Element_Stiffness!$E$110=4,IF(5=Element_Stiffness!$C$110,Element_Stiffness!Q142,IF(5=Element_Stiffness!$E$110,Element_Stiffness!W142,0)),0)),0)+IF(Element_Stiffness!$C$146,IF(Element_Stiffness!$C$145=4,IF(5=Element_Stiffness!$C$145,Element_Stiffness!Q171,IF(5=Element_Stiffness!$E$145,Element_Stiffness!W171,0)),IF(Element_Stiffness!$E$145=4,IF(5=Element_Stiffness!$C$145,Element_Stiffness!Q177,IF(5=Element_Stiffness!$E$145,Element_Stiffness!W177,0)),0)),0)+IF(Element_Stiffness!$C$181,IF(Element_Stiffness!$C$180=4,IF(5=Element_Stiffness!$C$180,Element_Stiffness!Q206,IF(5=Element_Stiffness!$E$180,Element_Stiffness!W206,0)),IF(Element_Stiffness!$E$180=4,IF(5=Element_Stiffness!$C$180,Element_Stiffness!Q212,IF(5=Element_Stiffness!$E$180,Element_Stiffness!W212,0)),0)),0)+IF(Element_Stiffness!$C$216,IF(Element_Stiffness!$C$215=4,IF(5=Element_Stiffness!$C$215,Element_Stiffness!Q241,IF(5=Element_Stiffness!$E$215,Element_Stiffness!W241,0)),IF(Element_Stiffness!$E$215=4,IF(5=Element_Stiffness!$C$215,Element_Stiffness!Q247,IF(5=Element_Stiffness!$E$215,Element_Stiffness!W247,0)),0)),0)</f>
        <v/>
      </c>
      <c r="AI34" s="21">
        <f>IF(Element_Stiffness!$C$6,IF(Element_Stiffness!$C$5=4,IF(5=Element_Stiffness!$C$5,Element_Stiffness!R31,IF(5=Element_Stiffness!$E$5,Element_Stiffness!X31,0)),IF(Element_Stiffness!$E$5=4,IF(5=Element_Stiffness!$C$5,Element_Stiffness!R37,IF(5=Element_Stiffness!$E$5,Element_Stiffness!X37,0)),0)),0)+IF(Element_Stiffness!$C$41,IF(Element_Stiffness!$C$40=4,IF(5=Element_Stiffness!$C$40,Element_Stiffness!R66,IF(5=Element_Stiffness!$E$40,Element_Stiffness!X66,0)),IF(Element_Stiffness!$E$40=4,IF(5=Element_Stiffness!$C$40,Element_Stiffness!R72,IF(5=Element_Stiffness!$E$40,Element_Stiffness!X72,0)),0)),0)+IF(Element_Stiffness!$C$76,IF(Element_Stiffness!$C$75=4,IF(5=Element_Stiffness!$C$75,Element_Stiffness!R101,IF(5=Element_Stiffness!$E$75,Element_Stiffness!X101,0)),IF(Element_Stiffness!$E$75=4,IF(5=Element_Stiffness!$C$75,Element_Stiffness!R107,IF(5=Element_Stiffness!$E$75,Element_Stiffness!X107,0)),0)),0)+IF(Element_Stiffness!$C$111,IF(Element_Stiffness!$C$110=4,IF(5=Element_Stiffness!$C$110,Element_Stiffness!R136,IF(5=Element_Stiffness!$E$110,Element_Stiffness!X136,0)),IF(Element_Stiffness!$E$110=4,IF(5=Element_Stiffness!$C$110,Element_Stiffness!R142,IF(5=Element_Stiffness!$E$110,Element_Stiffness!X142,0)),0)),0)+IF(Element_Stiffness!$C$146,IF(Element_Stiffness!$C$145=4,IF(5=Element_Stiffness!$C$145,Element_Stiffness!R171,IF(5=Element_Stiffness!$E$145,Element_Stiffness!X171,0)),IF(Element_Stiffness!$E$145=4,IF(5=Element_Stiffness!$C$145,Element_Stiffness!R177,IF(5=Element_Stiffness!$E$145,Element_Stiffness!X177,0)),0)),0)+IF(Element_Stiffness!$C$181,IF(Element_Stiffness!$C$180=4,IF(5=Element_Stiffness!$C$180,Element_Stiffness!R206,IF(5=Element_Stiffness!$E$180,Element_Stiffness!X206,0)),IF(Element_Stiffness!$E$180=4,IF(5=Element_Stiffness!$C$180,Element_Stiffness!R212,IF(5=Element_Stiffness!$E$180,Element_Stiffness!X212,0)),0)),0)+IF(Element_Stiffness!$C$216,IF(Element_Stiffness!$C$215=4,IF(5=Element_Stiffness!$C$215,Element_Stiffness!R241,IF(5=Element_Stiffness!$E$215,Element_Stiffness!X241,0)),IF(Element_Stiffness!$E$215=4,IF(5=Element_Stiffness!$C$215,Element_Stiffness!R247,IF(5=Element_Stiffness!$E$215,Element_Stiffness!X247,0)),0)),0)</f>
        <v/>
      </c>
      <c r="AJ34" s="21">
        <f>IF(Element_Stiffness!$C$6,IF(Element_Stiffness!$C$5=4,IF(5=Element_Stiffness!$C$5,Element_Stiffness!S31,IF(5=Element_Stiffness!$E$5,Element_Stiffness!Y31,0)),IF(Element_Stiffness!$E$5=4,IF(5=Element_Stiffness!$C$5,Element_Stiffness!S37,IF(5=Element_Stiffness!$E$5,Element_Stiffness!Y37,0)),0)),0)+IF(Element_Stiffness!$C$41,IF(Element_Stiffness!$C$40=4,IF(5=Element_Stiffness!$C$40,Element_Stiffness!S66,IF(5=Element_Stiffness!$E$40,Element_Stiffness!Y66,0)),IF(Element_Stiffness!$E$40=4,IF(5=Element_Stiffness!$C$40,Element_Stiffness!S72,IF(5=Element_Stiffness!$E$40,Element_Stiffness!Y72,0)),0)),0)+IF(Element_Stiffness!$C$76,IF(Element_Stiffness!$C$75=4,IF(5=Element_Stiffness!$C$75,Element_Stiffness!S101,IF(5=Element_Stiffness!$E$75,Element_Stiffness!Y101,0)),IF(Element_Stiffness!$E$75=4,IF(5=Element_Stiffness!$C$75,Element_Stiffness!S107,IF(5=Element_Stiffness!$E$75,Element_Stiffness!Y107,0)),0)),0)+IF(Element_Stiffness!$C$111,IF(Element_Stiffness!$C$110=4,IF(5=Element_Stiffness!$C$110,Element_Stiffness!S136,IF(5=Element_Stiffness!$E$110,Element_Stiffness!Y136,0)),IF(Element_Stiffness!$E$110=4,IF(5=Element_Stiffness!$C$110,Element_Stiffness!S142,IF(5=Element_Stiffness!$E$110,Element_Stiffness!Y142,0)),0)),0)+IF(Element_Stiffness!$C$146,IF(Element_Stiffness!$C$145=4,IF(5=Element_Stiffness!$C$145,Element_Stiffness!S171,IF(5=Element_Stiffness!$E$145,Element_Stiffness!Y171,0)),IF(Element_Stiffness!$E$145=4,IF(5=Element_Stiffness!$C$145,Element_Stiffness!S177,IF(5=Element_Stiffness!$E$145,Element_Stiffness!Y177,0)),0)),0)+IF(Element_Stiffness!$C$181,IF(Element_Stiffness!$C$180=4,IF(5=Element_Stiffness!$C$180,Element_Stiffness!S206,IF(5=Element_Stiffness!$E$180,Element_Stiffness!Y206,0)),IF(Element_Stiffness!$E$180=4,IF(5=Element_Stiffness!$C$180,Element_Stiffness!S212,IF(5=Element_Stiffness!$E$180,Element_Stiffness!Y212,0)),0)),0)+IF(Element_Stiffness!$C$216,IF(Element_Stiffness!$C$215=4,IF(5=Element_Stiffness!$C$215,Element_Stiffness!S241,IF(5=Element_Stiffness!$E$215,Element_Stiffness!Y241,0)),IF(Element_Stiffness!$E$215=4,IF(5=Element_Stiffness!$C$215,Element_Stiffness!S247,IF(5=Element_Stiffness!$E$215,Element_Stiffness!Y247,0)),0)),0)</f>
        <v/>
      </c>
      <c r="AK34" s="21">
        <f>IF(Element_Stiffness!$C$6,IF(Element_Stiffness!$C$5=4,IF(5=Element_Stiffness!$C$5,Element_Stiffness!T31,IF(5=Element_Stiffness!$E$5,Element_Stiffness!Z31,0)),IF(Element_Stiffness!$E$5=4,IF(5=Element_Stiffness!$C$5,Element_Stiffness!T37,IF(5=Element_Stiffness!$E$5,Element_Stiffness!Z37,0)),0)),0)+IF(Element_Stiffness!$C$41,IF(Element_Stiffness!$C$40=4,IF(5=Element_Stiffness!$C$40,Element_Stiffness!T66,IF(5=Element_Stiffness!$E$40,Element_Stiffness!Z66,0)),IF(Element_Stiffness!$E$40=4,IF(5=Element_Stiffness!$C$40,Element_Stiffness!T72,IF(5=Element_Stiffness!$E$40,Element_Stiffness!Z72,0)),0)),0)+IF(Element_Stiffness!$C$76,IF(Element_Stiffness!$C$75=4,IF(5=Element_Stiffness!$C$75,Element_Stiffness!T101,IF(5=Element_Stiffness!$E$75,Element_Stiffness!Z101,0)),IF(Element_Stiffness!$E$75=4,IF(5=Element_Stiffness!$C$75,Element_Stiffness!T107,IF(5=Element_Stiffness!$E$75,Element_Stiffness!Z107,0)),0)),0)+IF(Element_Stiffness!$C$111,IF(Element_Stiffness!$C$110=4,IF(5=Element_Stiffness!$C$110,Element_Stiffness!T136,IF(5=Element_Stiffness!$E$110,Element_Stiffness!Z136,0)),IF(Element_Stiffness!$E$110=4,IF(5=Element_Stiffness!$C$110,Element_Stiffness!T142,IF(5=Element_Stiffness!$E$110,Element_Stiffness!Z142,0)),0)),0)+IF(Element_Stiffness!$C$146,IF(Element_Stiffness!$C$145=4,IF(5=Element_Stiffness!$C$145,Element_Stiffness!T171,IF(5=Element_Stiffness!$E$145,Element_Stiffness!Z171,0)),IF(Element_Stiffness!$E$145=4,IF(5=Element_Stiffness!$C$145,Element_Stiffness!T177,IF(5=Element_Stiffness!$E$145,Element_Stiffness!Z177,0)),0)),0)+IF(Element_Stiffness!$C$181,IF(Element_Stiffness!$C$180=4,IF(5=Element_Stiffness!$C$180,Element_Stiffness!T206,IF(5=Element_Stiffness!$E$180,Element_Stiffness!Z206,0)),IF(Element_Stiffness!$E$180=4,IF(5=Element_Stiffness!$C$180,Element_Stiffness!T212,IF(5=Element_Stiffness!$E$180,Element_Stiffness!Z212,0)),0)),0)+IF(Element_Stiffness!$C$216,IF(Element_Stiffness!$C$215=4,IF(5=Element_Stiffness!$C$215,Element_Stiffness!T241,IF(5=Element_Stiffness!$E$215,Element_Stiffness!Z241,0)),IF(Element_Stiffness!$E$215=4,IF(5=Element_Stiffness!$C$215,Element_Stiffness!T247,IF(5=Element_Stiffness!$E$215,Element_Stiffness!Z247,0)),0)),0)</f>
        <v/>
      </c>
      <c r="AL34" s="21">
        <f>IF(Element_Stiffness!$C$6,IF(Element_Stiffness!$C$5=4,IF(5=Element_Stiffness!$C$5,Element_Stiffness!U31,IF(5=Element_Stiffness!$E$5,Element_Stiffness!AA31,0)),IF(Element_Stiffness!$E$5=4,IF(5=Element_Stiffness!$C$5,Element_Stiffness!U37,IF(5=Element_Stiffness!$E$5,Element_Stiffness!AA37,0)),0)),0)+IF(Element_Stiffness!$C$41,IF(Element_Stiffness!$C$40=4,IF(5=Element_Stiffness!$C$40,Element_Stiffness!U66,IF(5=Element_Stiffness!$E$40,Element_Stiffness!AA66,0)),IF(Element_Stiffness!$E$40=4,IF(5=Element_Stiffness!$C$40,Element_Stiffness!U72,IF(5=Element_Stiffness!$E$40,Element_Stiffness!AA72,0)),0)),0)+IF(Element_Stiffness!$C$76,IF(Element_Stiffness!$C$75=4,IF(5=Element_Stiffness!$C$75,Element_Stiffness!U101,IF(5=Element_Stiffness!$E$75,Element_Stiffness!AA101,0)),IF(Element_Stiffness!$E$75=4,IF(5=Element_Stiffness!$C$75,Element_Stiffness!U107,IF(5=Element_Stiffness!$E$75,Element_Stiffness!AA107,0)),0)),0)+IF(Element_Stiffness!$C$111,IF(Element_Stiffness!$C$110=4,IF(5=Element_Stiffness!$C$110,Element_Stiffness!U136,IF(5=Element_Stiffness!$E$110,Element_Stiffness!AA136,0)),IF(Element_Stiffness!$E$110=4,IF(5=Element_Stiffness!$C$110,Element_Stiffness!U142,IF(5=Element_Stiffness!$E$110,Element_Stiffness!AA142,0)),0)),0)+IF(Element_Stiffness!$C$146,IF(Element_Stiffness!$C$145=4,IF(5=Element_Stiffness!$C$145,Element_Stiffness!U171,IF(5=Element_Stiffness!$E$145,Element_Stiffness!AA171,0)),IF(Element_Stiffness!$E$145=4,IF(5=Element_Stiffness!$C$145,Element_Stiffness!U177,IF(5=Element_Stiffness!$E$145,Element_Stiffness!AA177,0)),0)),0)+IF(Element_Stiffness!$C$181,IF(Element_Stiffness!$C$180=4,IF(5=Element_Stiffness!$C$180,Element_Stiffness!U206,IF(5=Element_Stiffness!$E$180,Element_Stiffness!AA206,0)),IF(Element_Stiffness!$E$180=4,IF(5=Element_Stiffness!$C$180,Element_Stiffness!U212,IF(5=Element_Stiffness!$E$180,Element_Stiffness!AA212,0)),0)),0)+IF(Element_Stiffness!$C$216,IF(Element_Stiffness!$C$215=4,IF(5=Element_Stiffness!$C$215,Element_Stiffness!U241,IF(5=Element_Stiffness!$E$215,Element_Stiffness!AA241,0)),IF(Element_Stiffness!$E$215=4,IF(5=Element_Stiffness!$C$215,Element_Stiffness!U247,IF(5=Element_Stiffness!$E$215,Element_Stiffness!AA247,0)),0)),0)</f>
        <v/>
      </c>
      <c r="AM34" s="21">
        <f>IF(Element_Stiffness!$C$6,IF(Element_Stiffness!$C$5=4,IF(6=Element_Stiffness!$C$5,Element_Stiffness!P31,IF(6=Element_Stiffness!$E$5,Element_Stiffness!V31,0)),IF(Element_Stiffness!$E$5=4,IF(6=Element_Stiffness!$C$5,Element_Stiffness!P37,IF(6=Element_Stiffness!$E$5,Element_Stiffness!V37,0)),0)),0)+IF(Element_Stiffness!$C$41,IF(Element_Stiffness!$C$40=4,IF(6=Element_Stiffness!$C$40,Element_Stiffness!P66,IF(6=Element_Stiffness!$E$40,Element_Stiffness!V66,0)),IF(Element_Stiffness!$E$40=4,IF(6=Element_Stiffness!$C$40,Element_Stiffness!P72,IF(6=Element_Stiffness!$E$40,Element_Stiffness!V72,0)),0)),0)+IF(Element_Stiffness!$C$76,IF(Element_Stiffness!$C$75=4,IF(6=Element_Stiffness!$C$75,Element_Stiffness!P101,IF(6=Element_Stiffness!$E$75,Element_Stiffness!V101,0)),IF(Element_Stiffness!$E$75=4,IF(6=Element_Stiffness!$C$75,Element_Stiffness!P107,IF(6=Element_Stiffness!$E$75,Element_Stiffness!V107,0)),0)),0)+IF(Element_Stiffness!$C$111,IF(Element_Stiffness!$C$110=4,IF(6=Element_Stiffness!$C$110,Element_Stiffness!P136,IF(6=Element_Stiffness!$E$110,Element_Stiffness!V136,0)),IF(Element_Stiffness!$E$110=4,IF(6=Element_Stiffness!$C$110,Element_Stiffness!P142,IF(6=Element_Stiffness!$E$110,Element_Stiffness!V142,0)),0)),0)+IF(Element_Stiffness!$C$146,IF(Element_Stiffness!$C$145=4,IF(6=Element_Stiffness!$C$145,Element_Stiffness!P171,IF(6=Element_Stiffness!$E$145,Element_Stiffness!V171,0)),IF(Element_Stiffness!$E$145=4,IF(6=Element_Stiffness!$C$145,Element_Stiffness!P177,IF(6=Element_Stiffness!$E$145,Element_Stiffness!V177,0)),0)),0)+IF(Element_Stiffness!$C$181,IF(Element_Stiffness!$C$180=4,IF(6=Element_Stiffness!$C$180,Element_Stiffness!P206,IF(6=Element_Stiffness!$E$180,Element_Stiffness!V206,0)),IF(Element_Stiffness!$E$180=4,IF(6=Element_Stiffness!$C$180,Element_Stiffness!P212,IF(6=Element_Stiffness!$E$180,Element_Stiffness!V212,0)),0)),0)+IF(Element_Stiffness!$C$216,IF(Element_Stiffness!$C$215=4,IF(6=Element_Stiffness!$C$215,Element_Stiffness!P241,IF(6=Element_Stiffness!$E$215,Element_Stiffness!V241,0)),IF(Element_Stiffness!$E$215=4,IF(6=Element_Stiffness!$C$215,Element_Stiffness!P247,IF(6=Element_Stiffness!$E$215,Element_Stiffness!V247,0)),0)),0)</f>
        <v/>
      </c>
      <c r="AN34" s="21">
        <f>IF(Element_Stiffness!$C$6,IF(Element_Stiffness!$C$5=4,IF(6=Element_Stiffness!$C$5,Element_Stiffness!Q31,IF(6=Element_Stiffness!$E$5,Element_Stiffness!W31,0)),IF(Element_Stiffness!$E$5=4,IF(6=Element_Stiffness!$C$5,Element_Stiffness!Q37,IF(6=Element_Stiffness!$E$5,Element_Stiffness!W37,0)),0)),0)+IF(Element_Stiffness!$C$41,IF(Element_Stiffness!$C$40=4,IF(6=Element_Stiffness!$C$40,Element_Stiffness!Q66,IF(6=Element_Stiffness!$E$40,Element_Stiffness!W66,0)),IF(Element_Stiffness!$E$40=4,IF(6=Element_Stiffness!$C$40,Element_Stiffness!Q72,IF(6=Element_Stiffness!$E$40,Element_Stiffness!W72,0)),0)),0)+IF(Element_Stiffness!$C$76,IF(Element_Stiffness!$C$75=4,IF(6=Element_Stiffness!$C$75,Element_Stiffness!Q101,IF(6=Element_Stiffness!$E$75,Element_Stiffness!W101,0)),IF(Element_Stiffness!$E$75=4,IF(6=Element_Stiffness!$C$75,Element_Stiffness!Q107,IF(6=Element_Stiffness!$E$75,Element_Stiffness!W107,0)),0)),0)+IF(Element_Stiffness!$C$111,IF(Element_Stiffness!$C$110=4,IF(6=Element_Stiffness!$C$110,Element_Stiffness!Q136,IF(6=Element_Stiffness!$E$110,Element_Stiffness!W136,0)),IF(Element_Stiffness!$E$110=4,IF(6=Element_Stiffness!$C$110,Element_Stiffness!Q142,IF(6=Element_Stiffness!$E$110,Element_Stiffness!W142,0)),0)),0)+IF(Element_Stiffness!$C$146,IF(Element_Stiffness!$C$145=4,IF(6=Element_Stiffness!$C$145,Element_Stiffness!Q171,IF(6=Element_Stiffness!$E$145,Element_Stiffness!W171,0)),IF(Element_Stiffness!$E$145=4,IF(6=Element_Stiffness!$C$145,Element_Stiffness!Q177,IF(6=Element_Stiffness!$E$145,Element_Stiffness!W177,0)),0)),0)+IF(Element_Stiffness!$C$181,IF(Element_Stiffness!$C$180=4,IF(6=Element_Stiffness!$C$180,Element_Stiffness!Q206,IF(6=Element_Stiffness!$E$180,Element_Stiffness!W206,0)),IF(Element_Stiffness!$E$180=4,IF(6=Element_Stiffness!$C$180,Element_Stiffness!Q212,IF(6=Element_Stiffness!$E$180,Element_Stiffness!W212,0)),0)),0)+IF(Element_Stiffness!$C$216,IF(Element_Stiffness!$C$215=4,IF(6=Element_Stiffness!$C$215,Element_Stiffness!Q241,IF(6=Element_Stiffness!$E$215,Element_Stiffness!W241,0)),IF(Element_Stiffness!$E$215=4,IF(6=Element_Stiffness!$C$215,Element_Stiffness!Q247,IF(6=Element_Stiffness!$E$215,Element_Stiffness!W247,0)),0)),0)</f>
        <v/>
      </c>
      <c r="AO34" s="21">
        <f>IF(Element_Stiffness!$C$6,IF(Element_Stiffness!$C$5=4,IF(6=Element_Stiffness!$C$5,Element_Stiffness!R31,IF(6=Element_Stiffness!$E$5,Element_Stiffness!X31,0)),IF(Element_Stiffness!$E$5=4,IF(6=Element_Stiffness!$C$5,Element_Stiffness!R37,IF(6=Element_Stiffness!$E$5,Element_Stiffness!X37,0)),0)),0)+IF(Element_Stiffness!$C$41,IF(Element_Stiffness!$C$40=4,IF(6=Element_Stiffness!$C$40,Element_Stiffness!R66,IF(6=Element_Stiffness!$E$40,Element_Stiffness!X66,0)),IF(Element_Stiffness!$E$40=4,IF(6=Element_Stiffness!$C$40,Element_Stiffness!R72,IF(6=Element_Stiffness!$E$40,Element_Stiffness!X72,0)),0)),0)+IF(Element_Stiffness!$C$76,IF(Element_Stiffness!$C$75=4,IF(6=Element_Stiffness!$C$75,Element_Stiffness!R101,IF(6=Element_Stiffness!$E$75,Element_Stiffness!X101,0)),IF(Element_Stiffness!$E$75=4,IF(6=Element_Stiffness!$C$75,Element_Stiffness!R107,IF(6=Element_Stiffness!$E$75,Element_Stiffness!X107,0)),0)),0)+IF(Element_Stiffness!$C$111,IF(Element_Stiffness!$C$110=4,IF(6=Element_Stiffness!$C$110,Element_Stiffness!R136,IF(6=Element_Stiffness!$E$110,Element_Stiffness!X136,0)),IF(Element_Stiffness!$E$110=4,IF(6=Element_Stiffness!$C$110,Element_Stiffness!R142,IF(6=Element_Stiffness!$E$110,Element_Stiffness!X142,0)),0)),0)+IF(Element_Stiffness!$C$146,IF(Element_Stiffness!$C$145=4,IF(6=Element_Stiffness!$C$145,Element_Stiffness!R171,IF(6=Element_Stiffness!$E$145,Element_Stiffness!X171,0)),IF(Element_Stiffness!$E$145=4,IF(6=Element_Stiffness!$C$145,Element_Stiffness!R177,IF(6=Element_Stiffness!$E$145,Element_Stiffness!X177,0)),0)),0)+IF(Element_Stiffness!$C$181,IF(Element_Stiffness!$C$180=4,IF(6=Element_Stiffness!$C$180,Element_Stiffness!R206,IF(6=Element_Stiffness!$E$180,Element_Stiffness!X206,0)),IF(Element_Stiffness!$E$180=4,IF(6=Element_Stiffness!$C$180,Element_Stiffness!R212,IF(6=Element_Stiffness!$E$180,Element_Stiffness!X212,0)),0)),0)+IF(Element_Stiffness!$C$216,IF(Element_Stiffness!$C$215=4,IF(6=Element_Stiffness!$C$215,Element_Stiffness!R241,IF(6=Element_Stiffness!$E$215,Element_Stiffness!X241,0)),IF(Element_Stiffness!$E$215=4,IF(6=Element_Stiffness!$C$215,Element_Stiffness!R247,IF(6=Element_Stiffness!$E$215,Element_Stiffness!X247,0)),0)),0)</f>
        <v/>
      </c>
      <c r="AP34" s="21">
        <f>IF(Element_Stiffness!$C$6,IF(Element_Stiffness!$C$5=4,IF(6=Element_Stiffness!$C$5,Element_Stiffness!S31,IF(6=Element_Stiffness!$E$5,Element_Stiffness!Y31,0)),IF(Element_Stiffness!$E$5=4,IF(6=Element_Stiffness!$C$5,Element_Stiffness!S37,IF(6=Element_Stiffness!$E$5,Element_Stiffness!Y37,0)),0)),0)+IF(Element_Stiffness!$C$41,IF(Element_Stiffness!$C$40=4,IF(6=Element_Stiffness!$C$40,Element_Stiffness!S66,IF(6=Element_Stiffness!$E$40,Element_Stiffness!Y66,0)),IF(Element_Stiffness!$E$40=4,IF(6=Element_Stiffness!$C$40,Element_Stiffness!S72,IF(6=Element_Stiffness!$E$40,Element_Stiffness!Y72,0)),0)),0)+IF(Element_Stiffness!$C$76,IF(Element_Stiffness!$C$75=4,IF(6=Element_Stiffness!$C$75,Element_Stiffness!S101,IF(6=Element_Stiffness!$E$75,Element_Stiffness!Y101,0)),IF(Element_Stiffness!$E$75=4,IF(6=Element_Stiffness!$C$75,Element_Stiffness!S107,IF(6=Element_Stiffness!$E$75,Element_Stiffness!Y107,0)),0)),0)+IF(Element_Stiffness!$C$111,IF(Element_Stiffness!$C$110=4,IF(6=Element_Stiffness!$C$110,Element_Stiffness!S136,IF(6=Element_Stiffness!$E$110,Element_Stiffness!Y136,0)),IF(Element_Stiffness!$E$110=4,IF(6=Element_Stiffness!$C$110,Element_Stiffness!S142,IF(6=Element_Stiffness!$E$110,Element_Stiffness!Y142,0)),0)),0)+IF(Element_Stiffness!$C$146,IF(Element_Stiffness!$C$145=4,IF(6=Element_Stiffness!$C$145,Element_Stiffness!S171,IF(6=Element_Stiffness!$E$145,Element_Stiffness!Y171,0)),IF(Element_Stiffness!$E$145=4,IF(6=Element_Stiffness!$C$145,Element_Stiffness!S177,IF(6=Element_Stiffness!$E$145,Element_Stiffness!Y177,0)),0)),0)+IF(Element_Stiffness!$C$181,IF(Element_Stiffness!$C$180=4,IF(6=Element_Stiffness!$C$180,Element_Stiffness!S206,IF(6=Element_Stiffness!$E$180,Element_Stiffness!Y206,0)),IF(Element_Stiffness!$E$180=4,IF(6=Element_Stiffness!$C$180,Element_Stiffness!S212,IF(6=Element_Stiffness!$E$180,Element_Stiffness!Y212,0)),0)),0)+IF(Element_Stiffness!$C$216,IF(Element_Stiffness!$C$215=4,IF(6=Element_Stiffness!$C$215,Element_Stiffness!S241,IF(6=Element_Stiffness!$E$215,Element_Stiffness!Y241,0)),IF(Element_Stiffness!$E$215=4,IF(6=Element_Stiffness!$C$215,Element_Stiffness!S247,IF(6=Element_Stiffness!$E$215,Element_Stiffness!Y247,0)),0)),0)</f>
        <v/>
      </c>
      <c r="AQ34" s="21">
        <f>IF(Element_Stiffness!$C$6,IF(Element_Stiffness!$C$5=4,IF(6=Element_Stiffness!$C$5,Element_Stiffness!T31,IF(6=Element_Stiffness!$E$5,Element_Stiffness!Z31,0)),IF(Element_Stiffness!$E$5=4,IF(6=Element_Stiffness!$C$5,Element_Stiffness!T37,IF(6=Element_Stiffness!$E$5,Element_Stiffness!Z37,0)),0)),0)+IF(Element_Stiffness!$C$41,IF(Element_Stiffness!$C$40=4,IF(6=Element_Stiffness!$C$40,Element_Stiffness!T66,IF(6=Element_Stiffness!$E$40,Element_Stiffness!Z66,0)),IF(Element_Stiffness!$E$40=4,IF(6=Element_Stiffness!$C$40,Element_Stiffness!T72,IF(6=Element_Stiffness!$E$40,Element_Stiffness!Z72,0)),0)),0)+IF(Element_Stiffness!$C$76,IF(Element_Stiffness!$C$75=4,IF(6=Element_Stiffness!$C$75,Element_Stiffness!T101,IF(6=Element_Stiffness!$E$75,Element_Stiffness!Z101,0)),IF(Element_Stiffness!$E$75=4,IF(6=Element_Stiffness!$C$75,Element_Stiffness!T107,IF(6=Element_Stiffness!$E$75,Element_Stiffness!Z107,0)),0)),0)+IF(Element_Stiffness!$C$111,IF(Element_Stiffness!$C$110=4,IF(6=Element_Stiffness!$C$110,Element_Stiffness!T136,IF(6=Element_Stiffness!$E$110,Element_Stiffness!Z136,0)),IF(Element_Stiffness!$E$110=4,IF(6=Element_Stiffness!$C$110,Element_Stiffness!T142,IF(6=Element_Stiffness!$E$110,Element_Stiffness!Z142,0)),0)),0)+IF(Element_Stiffness!$C$146,IF(Element_Stiffness!$C$145=4,IF(6=Element_Stiffness!$C$145,Element_Stiffness!T171,IF(6=Element_Stiffness!$E$145,Element_Stiffness!Z171,0)),IF(Element_Stiffness!$E$145=4,IF(6=Element_Stiffness!$C$145,Element_Stiffness!T177,IF(6=Element_Stiffness!$E$145,Element_Stiffness!Z177,0)),0)),0)+IF(Element_Stiffness!$C$181,IF(Element_Stiffness!$C$180=4,IF(6=Element_Stiffness!$C$180,Element_Stiffness!T206,IF(6=Element_Stiffness!$E$180,Element_Stiffness!Z206,0)),IF(Element_Stiffness!$E$180=4,IF(6=Element_Stiffness!$C$180,Element_Stiffness!T212,IF(6=Element_Stiffness!$E$180,Element_Stiffness!Z212,0)),0)),0)+IF(Element_Stiffness!$C$216,IF(Element_Stiffness!$C$215=4,IF(6=Element_Stiffness!$C$215,Element_Stiffness!T241,IF(6=Element_Stiffness!$E$215,Element_Stiffness!Z241,0)),IF(Element_Stiffness!$E$215=4,IF(6=Element_Stiffness!$C$215,Element_Stiffness!T247,IF(6=Element_Stiffness!$E$215,Element_Stiffness!Z247,0)),0)),0)</f>
        <v/>
      </c>
      <c r="AR34" s="21">
        <f>IF(Element_Stiffness!$C$6,IF(Element_Stiffness!$C$5=4,IF(6=Element_Stiffness!$C$5,Element_Stiffness!U31,IF(6=Element_Stiffness!$E$5,Element_Stiffness!AA31,0)),IF(Element_Stiffness!$E$5=4,IF(6=Element_Stiffness!$C$5,Element_Stiffness!U37,IF(6=Element_Stiffness!$E$5,Element_Stiffness!AA37,0)),0)),0)+IF(Element_Stiffness!$C$41,IF(Element_Stiffness!$C$40=4,IF(6=Element_Stiffness!$C$40,Element_Stiffness!U66,IF(6=Element_Stiffness!$E$40,Element_Stiffness!AA66,0)),IF(Element_Stiffness!$E$40=4,IF(6=Element_Stiffness!$C$40,Element_Stiffness!U72,IF(6=Element_Stiffness!$E$40,Element_Stiffness!AA72,0)),0)),0)+IF(Element_Stiffness!$C$76,IF(Element_Stiffness!$C$75=4,IF(6=Element_Stiffness!$C$75,Element_Stiffness!U101,IF(6=Element_Stiffness!$E$75,Element_Stiffness!AA101,0)),IF(Element_Stiffness!$E$75=4,IF(6=Element_Stiffness!$C$75,Element_Stiffness!U107,IF(6=Element_Stiffness!$E$75,Element_Stiffness!AA107,0)),0)),0)+IF(Element_Stiffness!$C$111,IF(Element_Stiffness!$C$110=4,IF(6=Element_Stiffness!$C$110,Element_Stiffness!U136,IF(6=Element_Stiffness!$E$110,Element_Stiffness!AA136,0)),IF(Element_Stiffness!$E$110=4,IF(6=Element_Stiffness!$C$110,Element_Stiffness!U142,IF(6=Element_Stiffness!$E$110,Element_Stiffness!AA142,0)),0)),0)+IF(Element_Stiffness!$C$146,IF(Element_Stiffness!$C$145=4,IF(6=Element_Stiffness!$C$145,Element_Stiffness!U171,IF(6=Element_Stiffness!$E$145,Element_Stiffness!AA171,0)),IF(Element_Stiffness!$E$145=4,IF(6=Element_Stiffness!$C$145,Element_Stiffness!U177,IF(6=Element_Stiffness!$E$145,Element_Stiffness!AA177,0)),0)),0)+IF(Element_Stiffness!$C$181,IF(Element_Stiffness!$C$180=4,IF(6=Element_Stiffness!$C$180,Element_Stiffness!U206,IF(6=Element_Stiffness!$E$180,Element_Stiffness!AA206,0)),IF(Element_Stiffness!$E$180=4,IF(6=Element_Stiffness!$C$180,Element_Stiffness!U212,IF(6=Element_Stiffness!$E$180,Element_Stiffness!AA212,0)),0)),0)+IF(Element_Stiffness!$C$216,IF(Element_Stiffness!$C$215=4,IF(6=Element_Stiffness!$C$215,Element_Stiffness!U241,IF(6=Element_Stiffness!$E$215,Element_Stiffness!AA241,0)),IF(Element_Stiffness!$E$215=4,IF(6=Element_Stiffness!$C$215,Element_Stiffness!U247,IF(6=Element_Stiffness!$E$215,Element_Stiffness!AA247,0)),0)),0)</f>
        <v/>
      </c>
      <c r="AS34" s="21">
        <f>IF(Element_Stiffness!$C$6,IF(Element_Stiffness!$C$5=4,IF(7=Element_Stiffness!$C$5,Element_Stiffness!P31,IF(7=Element_Stiffness!$E$5,Element_Stiffness!V31,0)),IF(Element_Stiffness!$E$5=4,IF(7=Element_Stiffness!$C$5,Element_Stiffness!P37,IF(7=Element_Stiffness!$E$5,Element_Stiffness!V37,0)),0)),0)+IF(Element_Stiffness!$C$41,IF(Element_Stiffness!$C$40=4,IF(7=Element_Stiffness!$C$40,Element_Stiffness!P66,IF(7=Element_Stiffness!$E$40,Element_Stiffness!V66,0)),IF(Element_Stiffness!$E$40=4,IF(7=Element_Stiffness!$C$40,Element_Stiffness!P72,IF(7=Element_Stiffness!$E$40,Element_Stiffness!V72,0)),0)),0)+IF(Element_Stiffness!$C$76,IF(Element_Stiffness!$C$75=4,IF(7=Element_Stiffness!$C$75,Element_Stiffness!P101,IF(7=Element_Stiffness!$E$75,Element_Stiffness!V101,0)),IF(Element_Stiffness!$E$75=4,IF(7=Element_Stiffness!$C$75,Element_Stiffness!P107,IF(7=Element_Stiffness!$E$75,Element_Stiffness!V107,0)),0)),0)+IF(Element_Stiffness!$C$111,IF(Element_Stiffness!$C$110=4,IF(7=Element_Stiffness!$C$110,Element_Stiffness!P136,IF(7=Element_Stiffness!$E$110,Element_Stiffness!V136,0)),IF(Element_Stiffness!$E$110=4,IF(7=Element_Stiffness!$C$110,Element_Stiffness!P142,IF(7=Element_Stiffness!$E$110,Element_Stiffness!V142,0)),0)),0)+IF(Element_Stiffness!$C$146,IF(Element_Stiffness!$C$145=4,IF(7=Element_Stiffness!$C$145,Element_Stiffness!P171,IF(7=Element_Stiffness!$E$145,Element_Stiffness!V171,0)),IF(Element_Stiffness!$E$145=4,IF(7=Element_Stiffness!$C$145,Element_Stiffness!P177,IF(7=Element_Stiffness!$E$145,Element_Stiffness!V177,0)),0)),0)+IF(Element_Stiffness!$C$181,IF(Element_Stiffness!$C$180=4,IF(7=Element_Stiffness!$C$180,Element_Stiffness!P206,IF(7=Element_Stiffness!$E$180,Element_Stiffness!V206,0)),IF(Element_Stiffness!$E$180=4,IF(7=Element_Stiffness!$C$180,Element_Stiffness!P212,IF(7=Element_Stiffness!$E$180,Element_Stiffness!V212,0)),0)),0)+IF(Element_Stiffness!$C$216,IF(Element_Stiffness!$C$215=4,IF(7=Element_Stiffness!$C$215,Element_Stiffness!P241,IF(7=Element_Stiffness!$E$215,Element_Stiffness!V241,0)),IF(Element_Stiffness!$E$215=4,IF(7=Element_Stiffness!$C$215,Element_Stiffness!P247,IF(7=Element_Stiffness!$E$215,Element_Stiffness!V247,0)),0)),0)</f>
        <v/>
      </c>
      <c r="AT34" s="21">
        <f>IF(Element_Stiffness!$C$6,IF(Element_Stiffness!$C$5=4,IF(7=Element_Stiffness!$C$5,Element_Stiffness!Q31,IF(7=Element_Stiffness!$E$5,Element_Stiffness!W31,0)),IF(Element_Stiffness!$E$5=4,IF(7=Element_Stiffness!$C$5,Element_Stiffness!Q37,IF(7=Element_Stiffness!$E$5,Element_Stiffness!W37,0)),0)),0)+IF(Element_Stiffness!$C$41,IF(Element_Stiffness!$C$40=4,IF(7=Element_Stiffness!$C$40,Element_Stiffness!Q66,IF(7=Element_Stiffness!$E$40,Element_Stiffness!W66,0)),IF(Element_Stiffness!$E$40=4,IF(7=Element_Stiffness!$C$40,Element_Stiffness!Q72,IF(7=Element_Stiffness!$E$40,Element_Stiffness!W72,0)),0)),0)+IF(Element_Stiffness!$C$76,IF(Element_Stiffness!$C$75=4,IF(7=Element_Stiffness!$C$75,Element_Stiffness!Q101,IF(7=Element_Stiffness!$E$75,Element_Stiffness!W101,0)),IF(Element_Stiffness!$E$75=4,IF(7=Element_Stiffness!$C$75,Element_Stiffness!Q107,IF(7=Element_Stiffness!$E$75,Element_Stiffness!W107,0)),0)),0)+IF(Element_Stiffness!$C$111,IF(Element_Stiffness!$C$110=4,IF(7=Element_Stiffness!$C$110,Element_Stiffness!Q136,IF(7=Element_Stiffness!$E$110,Element_Stiffness!W136,0)),IF(Element_Stiffness!$E$110=4,IF(7=Element_Stiffness!$C$110,Element_Stiffness!Q142,IF(7=Element_Stiffness!$E$110,Element_Stiffness!W142,0)),0)),0)+IF(Element_Stiffness!$C$146,IF(Element_Stiffness!$C$145=4,IF(7=Element_Stiffness!$C$145,Element_Stiffness!Q171,IF(7=Element_Stiffness!$E$145,Element_Stiffness!W171,0)),IF(Element_Stiffness!$E$145=4,IF(7=Element_Stiffness!$C$145,Element_Stiffness!Q177,IF(7=Element_Stiffness!$E$145,Element_Stiffness!W177,0)),0)),0)+IF(Element_Stiffness!$C$181,IF(Element_Stiffness!$C$180=4,IF(7=Element_Stiffness!$C$180,Element_Stiffness!Q206,IF(7=Element_Stiffness!$E$180,Element_Stiffness!W206,0)),IF(Element_Stiffness!$E$180=4,IF(7=Element_Stiffness!$C$180,Element_Stiffness!Q212,IF(7=Element_Stiffness!$E$180,Element_Stiffness!W212,0)),0)),0)+IF(Element_Stiffness!$C$216,IF(Element_Stiffness!$C$215=4,IF(7=Element_Stiffness!$C$215,Element_Stiffness!Q241,IF(7=Element_Stiffness!$E$215,Element_Stiffness!W241,0)),IF(Element_Stiffness!$E$215=4,IF(7=Element_Stiffness!$C$215,Element_Stiffness!Q247,IF(7=Element_Stiffness!$E$215,Element_Stiffness!W247,0)),0)),0)</f>
        <v/>
      </c>
      <c r="AU34" s="21">
        <f>IF(Element_Stiffness!$C$6,IF(Element_Stiffness!$C$5=4,IF(7=Element_Stiffness!$C$5,Element_Stiffness!R31,IF(7=Element_Stiffness!$E$5,Element_Stiffness!X31,0)),IF(Element_Stiffness!$E$5=4,IF(7=Element_Stiffness!$C$5,Element_Stiffness!R37,IF(7=Element_Stiffness!$E$5,Element_Stiffness!X37,0)),0)),0)+IF(Element_Stiffness!$C$41,IF(Element_Stiffness!$C$40=4,IF(7=Element_Stiffness!$C$40,Element_Stiffness!R66,IF(7=Element_Stiffness!$E$40,Element_Stiffness!X66,0)),IF(Element_Stiffness!$E$40=4,IF(7=Element_Stiffness!$C$40,Element_Stiffness!R72,IF(7=Element_Stiffness!$E$40,Element_Stiffness!X72,0)),0)),0)+IF(Element_Stiffness!$C$76,IF(Element_Stiffness!$C$75=4,IF(7=Element_Stiffness!$C$75,Element_Stiffness!R101,IF(7=Element_Stiffness!$E$75,Element_Stiffness!X101,0)),IF(Element_Stiffness!$E$75=4,IF(7=Element_Stiffness!$C$75,Element_Stiffness!R107,IF(7=Element_Stiffness!$E$75,Element_Stiffness!X107,0)),0)),0)+IF(Element_Stiffness!$C$111,IF(Element_Stiffness!$C$110=4,IF(7=Element_Stiffness!$C$110,Element_Stiffness!R136,IF(7=Element_Stiffness!$E$110,Element_Stiffness!X136,0)),IF(Element_Stiffness!$E$110=4,IF(7=Element_Stiffness!$C$110,Element_Stiffness!R142,IF(7=Element_Stiffness!$E$110,Element_Stiffness!X142,0)),0)),0)+IF(Element_Stiffness!$C$146,IF(Element_Stiffness!$C$145=4,IF(7=Element_Stiffness!$C$145,Element_Stiffness!R171,IF(7=Element_Stiffness!$E$145,Element_Stiffness!X171,0)),IF(Element_Stiffness!$E$145=4,IF(7=Element_Stiffness!$C$145,Element_Stiffness!R177,IF(7=Element_Stiffness!$E$145,Element_Stiffness!X177,0)),0)),0)+IF(Element_Stiffness!$C$181,IF(Element_Stiffness!$C$180=4,IF(7=Element_Stiffness!$C$180,Element_Stiffness!R206,IF(7=Element_Stiffness!$E$180,Element_Stiffness!X206,0)),IF(Element_Stiffness!$E$180=4,IF(7=Element_Stiffness!$C$180,Element_Stiffness!R212,IF(7=Element_Stiffness!$E$180,Element_Stiffness!X212,0)),0)),0)+IF(Element_Stiffness!$C$216,IF(Element_Stiffness!$C$215=4,IF(7=Element_Stiffness!$C$215,Element_Stiffness!R241,IF(7=Element_Stiffness!$E$215,Element_Stiffness!X241,0)),IF(Element_Stiffness!$E$215=4,IF(7=Element_Stiffness!$C$215,Element_Stiffness!R247,IF(7=Element_Stiffness!$E$215,Element_Stiffness!X247,0)),0)),0)</f>
        <v/>
      </c>
      <c r="AV34" s="21">
        <f>IF(Element_Stiffness!$C$6,IF(Element_Stiffness!$C$5=4,IF(7=Element_Stiffness!$C$5,Element_Stiffness!S31,IF(7=Element_Stiffness!$E$5,Element_Stiffness!Y31,0)),IF(Element_Stiffness!$E$5=4,IF(7=Element_Stiffness!$C$5,Element_Stiffness!S37,IF(7=Element_Stiffness!$E$5,Element_Stiffness!Y37,0)),0)),0)+IF(Element_Stiffness!$C$41,IF(Element_Stiffness!$C$40=4,IF(7=Element_Stiffness!$C$40,Element_Stiffness!S66,IF(7=Element_Stiffness!$E$40,Element_Stiffness!Y66,0)),IF(Element_Stiffness!$E$40=4,IF(7=Element_Stiffness!$C$40,Element_Stiffness!S72,IF(7=Element_Stiffness!$E$40,Element_Stiffness!Y72,0)),0)),0)+IF(Element_Stiffness!$C$76,IF(Element_Stiffness!$C$75=4,IF(7=Element_Stiffness!$C$75,Element_Stiffness!S101,IF(7=Element_Stiffness!$E$75,Element_Stiffness!Y101,0)),IF(Element_Stiffness!$E$75=4,IF(7=Element_Stiffness!$C$75,Element_Stiffness!S107,IF(7=Element_Stiffness!$E$75,Element_Stiffness!Y107,0)),0)),0)+IF(Element_Stiffness!$C$111,IF(Element_Stiffness!$C$110=4,IF(7=Element_Stiffness!$C$110,Element_Stiffness!S136,IF(7=Element_Stiffness!$E$110,Element_Stiffness!Y136,0)),IF(Element_Stiffness!$E$110=4,IF(7=Element_Stiffness!$C$110,Element_Stiffness!S142,IF(7=Element_Stiffness!$E$110,Element_Stiffness!Y142,0)),0)),0)+IF(Element_Stiffness!$C$146,IF(Element_Stiffness!$C$145=4,IF(7=Element_Stiffness!$C$145,Element_Stiffness!S171,IF(7=Element_Stiffness!$E$145,Element_Stiffness!Y171,0)),IF(Element_Stiffness!$E$145=4,IF(7=Element_Stiffness!$C$145,Element_Stiffness!S177,IF(7=Element_Stiffness!$E$145,Element_Stiffness!Y177,0)),0)),0)+IF(Element_Stiffness!$C$181,IF(Element_Stiffness!$C$180=4,IF(7=Element_Stiffness!$C$180,Element_Stiffness!S206,IF(7=Element_Stiffness!$E$180,Element_Stiffness!Y206,0)),IF(Element_Stiffness!$E$180=4,IF(7=Element_Stiffness!$C$180,Element_Stiffness!S212,IF(7=Element_Stiffness!$E$180,Element_Stiffness!Y212,0)),0)),0)+IF(Element_Stiffness!$C$216,IF(Element_Stiffness!$C$215=4,IF(7=Element_Stiffness!$C$215,Element_Stiffness!S241,IF(7=Element_Stiffness!$E$215,Element_Stiffness!Y241,0)),IF(Element_Stiffness!$E$215=4,IF(7=Element_Stiffness!$C$215,Element_Stiffness!S247,IF(7=Element_Stiffness!$E$215,Element_Stiffness!Y247,0)),0)),0)</f>
        <v/>
      </c>
      <c r="AW34" s="21">
        <f>IF(Element_Stiffness!$C$6,IF(Element_Stiffness!$C$5=4,IF(7=Element_Stiffness!$C$5,Element_Stiffness!T31,IF(7=Element_Stiffness!$E$5,Element_Stiffness!Z31,0)),IF(Element_Stiffness!$E$5=4,IF(7=Element_Stiffness!$C$5,Element_Stiffness!T37,IF(7=Element_Stiffness!$E$5,Element_Stiffness!Z37,0)),0)),0)+IF(Element_Stiffness!$C$41,IF(Element_Stiffness!$C$40=4,IF(7=Element_Stiffness!$C$40,Element_Stiffness!T66,IF(7=Element_Stiffness!$E$40,Element_Stiffness!Z66,0)),IF(Element_Stiffness!$E$40=4,IF(7=Element_Stiffness!$C$40,Element_Stiffness!T72,IF(7=Element_Stiffness!$E$40,Element_Stiffness!Z72,0)),0)),0)+IF(Element_Stiffness!$C$76,IF(Element_Stiffness!$C$75=4,IF(7=Element_Stiffness!$C$75,Element_Stiffness!T101,IF(7=Element_Stiffness!$E$75,Element_Stiffness!Z101,0)),IF(Element_Stiffness!$E$75=4,IF(7=Element_Stiffness!$C$75,Element_Stiffness!T107,IF(7=Element_Stiffness!$E$75,Element_Stiffness!Z107,0)),0)),0)+IF(Element_Stiffness!$C$111,IF(Element_Stiffness!$C$110=4,IF(7=Element_Stiffness!$C$110,Element_Stiffness!T136,IF(7=Element_Stiffness!$E$110,Element_Stiffness!Z136,0)),IF(Element_Stiffness!$E$110=4,IF(7=Element_Stiffness!$C$110,Element_Stiffness!T142,IF(7=Element_Stiffness!$E$110,Element_Stiffness!Z142,0)),0)),0)+IF(Element_Stiffness!$C$146,IF(Element_Stiffness!$C$145=4,IF(7=Element_Stiffness!$C$145,Element_Stiffness!T171,IF(7=Element_Stiffness!$E$145,Element_Stiffness!Z171,0)),IF(Element_Stiffness!$E$145=4,IF(7=Element_Stiffness!$C$145,Element_Stiffness!T177,IF(7=Element_Stiffness!$E$145,Element_Stiffness!Z177,0)),0)),0)+IF(Element_Stiffness!$C$181,IF(Element_Stiffness!$C$180=4,IF(7=Element_Stiffness!$C$180,Element_Stiffness!T206,IF(7=Element_Stiffness!$E$180,Element_Stiffness!Z206,0)),IF(Element_Stiffness!$E$180=4,IF(7=Element_Stiffness!$C$180,Element_Stiffness!T212,IF(7=Element_Stiffness!$E$180,Element_Stiffness!Z212,0)),0)),0)+IF(Element_Stiffness!$C$216,IF(Element_Stiffness!$C$215=4,IF(7=Element_Stiffness!$C$215,Element_Stiffness!T241,IF(7=Element_Stiffness!$E$215,Element_Stiffness!Z241,0)),IF(Element_Stiffness!$E$215=4,IF(7=Element_Stiffness!$C$215,Element_Stiffness!T247,IF(7=Element_Stiffness!$E$215,Element_Stiffness!Z247,0)),0)),0)</f>
        <v/>
      </c>
      <c r="AX34" s="21">
        <f>IF(Element_Stiffness!$C$6,IF(Element_Stiffness!$C$5=4,IF(7=Element_Stiffness!$C$5,Element_Stiffness!U31,IF(7=Element_Stiffness!$E$5,Element_Stiffness!AA31,0)),IF(Element_Stiffness!$E$5=4,IF(7=Element_Stiffness!$C$5,Element_Stiffness!U37,IF(7=Element_Stiffness!$E$5,Element_Stiffness!AA37,0)),0)),0)+IF(Element_Stiffness!$C$41,IF(Element_Stiffness!$C$40=4,IF(7=Element_Stiffness!$C$40,Element_Stiffness!U66,IF(7=Element_Stiffness!$E$40,Element_Stiffness!AA66,0)),IF(Element_Stiffness!$E$40=4,IF(7=Element_Stiffness!$C$40,Element_Stiffness!U72,IF(7=Element_Stiffness!$E$40,Element_Stiffness!AA72,0)),0)),0)+IF(Element_Stiffness!$C$76,IF(Element_Stiffness!$C$75=4,IF(7=Element_Stiffness!$C$75,Element_Stiffness!U101,IF(7=Element_Stiffness!$E$75,Element_Stiffness!AA101,0)),IF(Element_Stiffness!$E$75=4,IF(7=Element_Stiffness!$C$75,Element_Stiffness!U107,IF(7=Element_Stiffness!$E$75,Element_Stiffness!AA107,0)),0)),0)+IF(Element_Stiffness!$C$111,IF(Element_Stiffness!$C$110=4,IF(7=Element_Stiffness!$C$110,Element_Stiffness!U136,IF(7=Element_Stiffness!$E$110,Element_Stiffness!AA136,0)),IF(Element_Stiffness!$E$110=4,IF(7=Element_Stiffness!$C$110,Element_Stiffness!U142,IF(7=Element_Stiffness!$E$110,Element_Stiffness!AA142,0)),0)),0)+IF(Element_Stiffness!$C$146,IF(Element_Stiffness!$C$145=4,IF(7=Element_Stiffness!$C$145,Element_Stiffness!U171,IF(7=Element_Stiffness!$E$145,Element_Stiffness!AA171,0)),IF(Element_Stiffness!$E$145=4,IF(7=Element_Stiffness!$C$145,Element_Stiffness!U177,IF(7=Element_Stiffness!$E$145,Element_Stiffness!AA177,0)),0)),0)+IF(Element_Stiffness!$C$181,IF(Element_Stiffness!$C$180=4,IF(7=Element_Stiffness!$C$180,Element_Stiffness!U206,IF(7=Element_Stiffness!$E$180,Element_Stiffness!AA206,0)),IF(Element_Stiffness!$E$180=4,IF(7=Element_Stiffness!$C$180,Element_Stiffness!U212,IF(7=Element_Stiffness!$E$180,Element_Stiffness!AA212,0)),0)),0)+IF(Element_Stiffness!$C$216,IF(Element_Stiffness!$C$215=4,IF(7=Element_Stiffness!$C$215,Element_Stiffness!U241,IF(7=Element_Stiffness!$E$215,Element_Stiffness!AA241,0)),IF(Element_Stiffness!$E$215=4,IF(7=Element_Stiffness!$C$215,Element_Stiffness!U247,IF(7=Element_Stiffness!$E$215,Element_Stiffness!AA247,0)),0)),0)</f>
        <v/>
      </c>
      <c r="AY34" s="21" t="n">
        <v>0</v>
      </c>
      <c r="AZ34" s="21">
        <f>IF(Element_Stiffness!$C$6,IF(Element_Stiffness!$C$5=4,Element_Stiffness!C31,IF(Element_Stiffness!$E$5=4,Element_Stiffness!C37,0)),0)+IF(Element_Stiffness!$C$41,IF(Element_Stiffness!$C$40=4,Element_Stiffness!C66,IF(Element_Stiffness!$E$40=4,Element_Stiffness!C72,0)),0)+IF(Element_Stiffness!$C$76,IF(Element_Stiffness!$C$75=4,Element_Stiffness!C101,IF(Element_Stiffness!$E$75=4,Element_Stiffness!C107,0)),0)+IF(Element_Stiffness!$C$111,IF(Element_Stiffness!$C$110=4,Element_Stiffness!C136,IF(Element_Stiffness!$E$110=4,Element_Stiffness!C142,0)),0)+IF(Element_Stiffness!$C$146,IF(Element_Stiffness!$C$145=4,Element_Stiffness!C171,IF(Element_Stiffness!$E$145=4,Element_Stiffness!C177,0)),0)+IF(Element_Stiffness!$C$181,IF(Element_Stiffness!$C$180=4,Element_Stiffness!C206,IF(Element_Stiffness!$E$180=4,Element_Stiffness!C212,0)),0)+IF(Element_Stiffness!$C$216,IF(Element_Stiffness!$C$215=4,Element_Stiffness!C241,IF(Element_Stiffness!$E$215=4,Element_Stiffness!C247,0)),0)</f>
        <v/>
      </c>
      <c r="BB34" s="28">
        <f>INDEX(MMULT(MINVERSE(C5:AX52), AY5:AY52), 30, 1)</f>
        <v/>
      </c>
      <c r="BC34" s="28">
        <f>INDEX(MMULT(MINVERSE(C5:AX52), AZ5:AZ52), 30, 1)</f>
        <v/>
      </c>
    </row>
    <row r="35">
      <c r="B35" s="27" t="inlineStr">
        <is>
          <t>N5_tx</t>
        </is>
      </c>
      <c r="C35" s="21">
        <f>IF(Element_Stiffness!$C$6,IF(Element_Stiffness!$C$5=5,IF(0=Element_Stiffness!$C$5,Element_Stiffness!P26,IF(0=Element_Stiffness!$E$5,Element_Stiffness!V26,0)),IF(Element_Stiffness!$E$5=5,IF(0=Element_Stiffness!$C$5,Element_Stiffness!P32,IF(0=Element_Stiffness!$E$5,Element_Stiffness!V32,0)),0)),0)+IF(Element_Stiffness!$C$41,IF(Element_Stiffness!$C$40=5,IF(0=Element_Stiffness!$C$40,Element_Stiffness!P61,IF(0=Element_Stiffness!$E$40,Element_Stiffness!V61,0)),IF(Element_Stiffness!$E$40=5,IF(0=Element_Stiffness!$C$40,Element_Stiffness!P67,IF(0=Element_Stiffness!$E$40,Element_Stiffness!V67,0)),0)),0)+IF(Element_Stiffness!$C$76,IF(Element_Stiffness!$C$75=5,IF(0=Element_Stiffness!$C$75,Element_Stiffness!P96,IF(0=Element_Stiffness!$E$75,Element_Stiffness!V96,0)),IF(Element_Stiffness!$E$75=5,IF(0=Element_Stiffness!$C$75,Element_Stiffness!P102,IF(0=Element_Stiffness!$E$75,Element_Stiffness!V102,0)),0)),0)+IF(Element_Stiffness!$C$111,IF(Element_Stiffness!$C$110=5,IF(0=Element_Stiffness!$C$110,Element_Stiffness!P131,IF(0=Element_Stiffness!$E$110,Element_Stiffness!V131,0)),IF(Element_Stiffness!$E$110=5,IF(0=Element_Stiffness!$C$110,Element_Stiffness!P137,IF(0=Element_Stiffness!$E$110,Element_Stiffness!V137,0)),0)),0)+IF(Element_Stiffness!$C$146,IF(Element_Stiffness!$C$145=5,IF(0=Element_Stiffness!$C$145,Element_Stiffness!P166,IF(0=Element_Stiffness!$E$145,Element_Stiffness!V166,0)),IF(Element_Stiffness!$E$145=5,IF(0=Element_Stiffness!$C$145,Element_Stiffness!P172,IF(0=Element_Stiffness!$E$145,Element_Stiffness!V172,0)),0)),0)+IF(Element_Stiffness!$C$181,IF(Element_Stiffness!$C$180=5,IF(0=Element_Stiffness!$C$180,Element_Stiffness!P201,IF(0=Element_Stiffness!$E$180,Element_Stiffness!V201,0)),IF(Element_Stiffness!$E$180=5,IF(0=Element_Stiffness!$C$180,Element_Stiffness!P207,IF(0=Element_Stiffness!$E$180,Element_Stiffness!V207,0)),0)),0)+IF(Element_Stiffness!$C$216,IF(Element_Stiffness!$C$215=5,IF(0=Element_Stiffness!$C$215,Element_Stiffness!P236,IF(0=Element_Stiffness!$E$215,Element_Stiffness!V236,0)),IF(Element_Stiffness!$E$215=5,IF(0=Element_Stiffness!$C$215,Element_Stiffness!P242,IF(0=Element_Stiffness!$E$215,Element_Stiffness!V242,0)),0)),0)</f>
        <v/>
      </c>
      <c r="D35" s="21">
        <f>IF(Element_Stiffness!$C$6,IF(Element_Stiffness!$C$5=5,IF(0=Element_Stiffness!$C$5,Element_Stiffness!Q26,IF(0=Element_Stiffness!$E$5,Element_Stiffness!W26,0)),IF(Element_Stiffness!$E$5=5,IF(0=Element_Stiffness!$C$5,Element_Stiffness!Q32,IF(0=Element_Stiffness!$E$5,Element_Stiffness!W32,0)),0)),0)+IF(Element_Stiffness!$C$41,IF(Element_Stiffness!$C$40=5,IF(0=Element_Stiffness!$C$40,Element_Stiffness!Q61,IF(0=Element_Stiffness!$E$40,Element_Stiffness!W61,0)),IF(Element_Stiffness!$E$40=5,IF(0=Element_Stiffness!$C$40,Element_Stiffness!Q67,IF(0=Element_Stiffness!$E$40,Element_Stiffness!W67,0)),0)),0)+IF(Element_Stiffness!$C$76,IF(Element_Stiffness!$C$75=5,IF(0=Element_Stiffness!$C$75,Element_Stiffness!Q96,IF(0=Element_Stiffness!$E$75,Element_Stiffness!W96,0)),IF(Element_Stiffness!$E$75=5,IF(0=Element_Stiffness!$C$75,Element_Stiffness!Q102,IF(0=Element_Stiffness!$E$75,Element_Stiffness!W102,0)),0)),0)+IF(Element_Stiffness!$C$111,IF(Element_Stiffness!$C$110=5,IF(0=Element_Stiffness!$C$110,Element_Stiffness!Q131,IF(0=Element_Stiffness!$E$110,Element_Stiffness!W131,0)),IF(Element_Stiffness!$E$110=5,IF(0=Element_Stiffness!$C$110,Element_Stiffness!Q137,IF(0=Element_Stiffness!$E$110,Element_Stiffness!W137,0)),0)),0)+IF(Element_Stiffness!$C$146,IF(Element_Stiffness!$C$145=5,IF(0=Element_Stiffness!$C$145,Element_Stiffness!Q166,IF(0=Element_Stiffness!$E$145,Element_Stiffness!W166,0)),IF(Element_Stiffness!$E$145=5,IF(0=Element_Stiffness!$C$145,Element_Stiffness!Q172,IF(0=Element_Stiffness!$E$145,Element_Stiffness!W172,0)),0)),0)+IF(Element_Stiffness!$C$181,IF(Element_Stiffness!$C$180=5,IF(0=Element_Stiffness!$C$180,Element_Stiffness!Q201,IF(0=Element_Stiffness!$E$180,Element_Stiffness!W201,0)),IF(Element_Stiffness!$E$180=5,IF(0=Element_Stiffness!$C$180,Element_Stiffness!Q207,IF(0=Element_Stiffness!$E$180,Element_Stiffness!W207,0)),0)),0)+IF(Element_Stiffness!$C$216,IF(Element_Stiffness!$C$215=5,IF(0=Element_Stiffness!$C$215,Element_Stiffness!Q236,IF(0=Element_Stiffness!$E$215,Element_Stiffness!W236,0)),IF(Element_Stiffness!$E$215=5,IF(0=Element_Stiffness!$C$215,Element_Stiffness!Q242,IF(0=Element_Stiffness!$E$215,Element_Stiffness!W242,0)),0)),0)</f>
        <v/>
      </c>
      <c r="E35" s="21">
        <f>IF(Element_Stiffness!$C$6,IF(Element_Stiffness!$C$5=5,IF(0=Element_Stiffness!$C$5,Element_Stiffness!R26,IF(0=Element_Stiffness!$E$5,Element_Stiffness!X26,0)),IF(Element_Stiffness!$E$5=5,IF(0=Element_Stiffness!$C$5,Element_Stiffness!R32,IF(0=Element_Stiffness!$E$5,Element_Stiffness!X32,0)),0)),0)+IF(Element_Stiffness!$C$41,IF(Element_Stiffness!$C$40=5,IF(0=Element_Stiffness!$C$40,Element_Stiffness!R61,IF(0=Element_Stiffness!$E$40,Element_Stiffness!X61,0)),IF(Element_Stiffness!$E$40=5,IF(0=Element_Stiffness!$C$40,Element_Stiffness!R67,IF(0=Element_Stiffness!$E$40,Element_Stiffness!X67,0)),0)),0)+IF(Element_Stiffness!$C$76,IF(Element_Stiffness!$C$75=5,IF(0=Element_Stiffness!$C$75,Element_Stiffness!R96,IF(0=Element_Stiffness!$E$75,Element_Stiffness!X96,0)),IF(Element_Stiffness!$E$75=5,IF(0=Element_Stiffness!$C$75,Element_Stiffness!R102,IF(0=Element_Stiffness!$E$75,Element_Stiffness!X102,0)),0)),0)+IF(Element_Stiffness!$C$111,IF(Element_Stiffness!$C$110=5,IF(0=Element_Stiffness!$C$110,Element_Stiffness!R131,IF(0=Element_Stiffness!$E$110,Element_Stiffness!X131,0)),IF(Element_Stiffness!$E$110=5,IF(0=Element_Stiffness!$C$110,Element_Stiffness!R137,IF(0=Element_Stiffness!$E$110,Element_Stiffness!X137,0)),0)),0)+IF(Element_Stiffness!$C$146,IF(Element_Stiffness!$C$145=5,IF(0=Element_Stiffness!$C$145,Element_Stiffness!R166,IF(0=Element_Stiffness!$E$145,Element_Stiffness!X166,0)),IF(Element_Stiffness!$E$145=5,IF(0=Element_Stiffness!$C$145,Element_Stiffness!R172,IF(0=Element_Stiffness!$E$145,Element_Stiffness!X172,0)),0)),0)+IF(Element_Stiffness!$C$181,IF(Element_Stiffness!$C$180=5,IF(0=Element_Stiffness!$C$180,Element_Stiffness!R201,IF(0=Element_Stiffness!$E$180,Element_Stiffness!X201,0)),IF(Element_Stiffness!$E$180=5,IF(0=Element_Stiffness!$C$180,Element_Stiffness!R207,IF(0=Element_Stiffness!$E$180,Element_Stiffness!X207,0)),0)),0)+IF(Element_Stiffness!$C$216,IF(Element_Stiffness!$C$215=5,IF(0=Element_Stiffness!$C$215,Element_Stiffness!R236,IF(0=Element_Stiffness!$E$215,Element_Stiffness!X236,0)),IF(Element_Stiffness!$E$215=5,IF(0=Element_Stiffness!$C$215,Element_Stiffness!R242,IF(0=Element_Stiffness!$E$215,Element_Stiffness!X242,0)),0)),0)</f>
        <v/>
      </c>
      <c r="F35" s="21">
        <f>IF(Element_Stiffness!$C$6,IF(Element_Stiffness!$C$5=5,IF(0=Element_Stiffness!$C$5,Element_Stiffness!S26,IF(0=Element_Stiffness!$E$5,Element_Stiffness!Y26,0)),IF(Element_Stiffness!$E$5=5,IF(0=Element_Stiffness!$C$5,Element_Stiffness!S32,IF(0=Element_Stiffness!$E$5,Element_Stiffness!Y32,0)),0)),0)+IF(Element_Stiffness!$C$41,IF(Element_Stiffness!$C$40=5,IF(0=Element_Stiffness!$C$40,Element_Stiffness!S61,IF(0=Element_Stiffness!$E$40,Element_Stiffness!Y61,0)),IF(Element_Stiffness!$E$40=5,IF(0=Element_Stiffness!$C$40,Element_Stiffness!S67,IF(0=Element_Stiffness!$E$40,Element_Stiffness!Y67,0)),0)),0)+IF(Element_Stiffness!$C$76,IF(Element_Stiffness!$C$75=5,IF(0=Element_Stiffness!$C$75,Element_Stiffness!S96,IF(0=Element_Stiffness!$E$75,Element_Stiffness!Y96,0)),IF(Element_Stiffness!$E$75=5,IF(0=Element_Stiffness!$C$75,Element_Stiffness!S102,IF(0=Element_Stiffness!$E$75,Element_Stiffness!Y102,0)),0)),0)+IF(Element_Stiffness!$C$111,IF(Element_Stiffness!$C$110=5,IF(0=Element_Stiffness!$C$110,Element_Stiffness!S131,IF(0=Element_Stiffness!$E$110,Element_Stiffness!Y131,0)),IF(Element_Stiffness!$E$110=5,IF(0=Element_Stiffness!$C$110,Element_Stiffness!S137,IF(0=Element_Stiffness!$E$110,Element_Stiffness!Y137,0)),0)),0)+IF(Element_Stiffness!$C$146,IF(Element_Stiffness!$C$145=5,IF(0=Element_Stiffness!$C$145,Element_Stiffness!S166,IF(0=Element_Stiffness!$E$145,Element_Stiffness!Y166,0)),IF(Element_Stiffness!$E$145=5,IF(0=Element_Stiffness!$C$145,Element_Stiffness!S172,IF(0=Element_Stiffness!$E$145,Element_Stiffness!Y172,0)),0)),0)+IF(Element_Stiffness!$C$181,IF(Element_Stiffness!$C$180=5,IF(0=Element_Stiffness!$C$180,Element_Stiffness!S201,IF(0=Element_Stiffness!$E$180,Element_Stiffness!Y201,0)),IF(Element_Stiffness!$E$180=5,IF(0=Element_Stiffness!$C$180,Element_Stiffness!S207,IF(0=Element_Stiffness!$E$180,Element_Stiffness!Y207,0)),0)),0)+IF(Element_Stiffness!$C$216,IF(Element_Stiffness!$C$215=5,IF(0=Element_Stiffness!$C$215,Element_Stiffness!S236,IF(0=Element_Stiffness!$E$215,Element_Stiffness!Y236,0)),IF(Element_Stiffness!$E$215=5,IF(0=Element_Stiffness!$C$215,Element_Stiffness!S242,IF(0=Element_Stiffness!$E$215,Element_Stiffness!Y242,0)),0)),0)</f>
        <v/>
      </c>
      <c r="G35" s="21">
        <f>IF(Element_Stiffness!$C$6,IF(Element_Stiffness!$C$5=5,IF(0=Element_Stiffness!$C$5,Element_Stiffness!T26,IF(0=Element_Stiffness!$E$5,Element_Stiffness!Z26,0)),IF(Element_Stiffness!$E$5=5,IF(0=Element_Stiffness!$C$5,Element_Stiffness!T32,IF(0=Element_Stiffness!$E$5,Element_Stiffness!Z32,0)),0)),0)+IF(Element_Stiffness!$C$41,IF(Element_Stiffness!$C$40=5,IF(0=Element_Stiffness!$C$40,Element_Stiffness!T61,IF(0=Element_Stiffness!$E$40,Element_Stiffness!Z61,0)),IF(Element_Stiffness!$E$40=5,IF(0=Element_Stiffness!$C$40,Element_Stiffness!T67,IF(0=Element_Stiffness!$E$40,Element_Stiffness!Z67,0)),0)),0)+IF(Element_Stiffness!$C$76,IF(Element_Stiffness!$C$75=5,IF(0=Element_Stiffness!$C$75,Element_Stiffness!T96,IF(0=Element_Stiffness!$E$75,Element_Stiffness!Z96,0)),IF(Element_Stiffness!$E$75=5,IF(0=Element_Stiffness!$C$75,Element_Stiffness!T102,IF(0=Element_Stiffness!$E$75,Element_Stiffness!Z102,0)),0)),0)+IF(Element_Stiffness!$C$111,IF(Element_Stiffness!$C$110=5,IF(0=Element_Stiffness!$C$110,Element_Stiffness!T131,IF(0=Element_Stiffness!$E$110,Element_Stiffness!Z131,0)),IF(Element_Stiffness!$E$110=5,IF(0=Element_Stiffness!$C$110,Element_Stiffness!T137,IF(0=Element_Stiffness!$E$110,Element_Stiffness!Z137,0)),0)),0)+IF(Element_Stiffness!$C$146,IF(Element_Stiffness!$C$145=5,IF(0=Element_Stiffness!$C$145,Element_Stiffness!T166,IF(0=Element_Stiffness!$E$145,Element_Stiffness!Z166,0)),IF(Element_Stiffness!$E$145=5,IF(0=Element_Stiffness!$C$145,Element_Stiffness!T172,IF(0=Element_Stiffness!$E$145,Element_Stiffness!Z172,0)),0)),0)+IF(Element_Stiffness!$C$181,IF(Element_Stiffness!$C$180=5,IF(0=Element_Stiffness!$C$180,Element_Stiffness!T201,IF(0=Element_Stiffness!$E$180,Element_Stiffness!Z201,0)),IF(Element_Stiffness!$E$180=5,IF(0=Element_Stiffness!$C$180,Element_Stiffness!T207,IF(0=Element_Stiffness!$E$180,Element_Stiffness!Z207,0)),0)),0)+IF(Element_Stiffness!$C$216,IF(Element_Stiffness!$C$215=5,IF(0=Element_Stiffness!$C$215,Element_Stiffness!T236,IF(0=Element_Stiffness!$E$215,Element_Stiffness!Z236,0)),IF(Element_Stiffness!$E$215=5,IF(0=Element_Stiffness!$C$215,Element_Stiffness!T242,IF(0=Element_Stiffness!$E$215,Element_Stiffness!Z242,0)),0)),0)</f>
        <v/>
      </c>
      <c r="H35" s="21">
        <f>IF(Element_Stiffness!$C$6,IF(Element_Stiffness!$C$5=5,IF(0=Element_Stiffness!$C$5,Element_Stiffness!U26,IF(0=Element_Stiffness!$E$5,Element_Stiffness!AA26,0)),IF(Element_Stiffness!$E$5=5,IF(0=Element_Stiffness!$C$5,Element_Stiffness!U32,IF(0=Element_Stiffness!$E$5,Element_Stiffness!AA32,0)),0)),0)+IF(Element_Stiffness!$C$41,IF(Element_Stiffness!$C$40=5,IF(0=Element_Stiffness!$C$40,Element_Stiffness!U61,IF(0=Element_Stiffness!$E$40,Element_Stiffness!AA61,0)),IF(Element_Stiffness!$E$40=5,IF(0=Element_Stiffness!$C$40,Element_Stiffness!U67,IF(0=Element_Stiffness!$E$40,Element_Stiffness!AA67,0)),0)),0)+IF(Element_Stiffness!$C$76,IF(Element_Stiffness!$C$75=5,IF(0=Element_Stiffness!$C$75,Element_Stiffness!U96,IF(0=Element_Stiffness!$E$75,Element_Stiffness!AA96,0)),IF(Element_Stiffness!$E$75=5,IF(0=Element_Stiffness!$C$75,Element_Stiffness!U102,IF(0=Element_Stiffness!$E$75,Element_Stiffness!AA102,0)),0)),0)+IF(Element_Stiffness!$C$111,IF(Element_Stiffness!$C$110=5,IF(0=Element_Stiffness!$C$110,Element_Stiffness!U131,IF(0=Element_Stiffness!$E$110,Element_Stiffness!AA131,0)),IF(Element_Stiffness!$E$110=5,IF(0=Element_Stiffness!$C$110,Element_Stiffness!U137,IF(0=Element_Stiffness!$E$110,Element_Stiffness!AA137,0)),0)),0)+IF(Element_Stiffness!$C$146,IF(Element_Stiffness!$C$145=5,IF(0=Element_Stiffness!$C$145,Element_Stiffness!U166,IF(0=Element_Stiffness!$E$145,Element_Stiffness!AA166,0)),IF(Element_Stiffness!$E$145=5,IF(0=Element_Stiffness!$C$145,Element_Stiffness!U172,IF(0=Element_Stiffness!$E$145,Element_Stiffness!AA172,0)),0)),0)+IF(Element_Stiffness!$C$181,IF(Element_Stiffness!$C$180=5,IF(0=Element_Stiffness!$C$180,Element_Stiffness!U201,IF(0=Element_Stiffness!$E$180,Element_Stiffness!AA201,0)),IF(Element_Stiffness!$E$180=5,IF(0=Element_Stiffness!$C$180,Element_Stiffness!U207,IF(0=Element_Stiffness!$E$180,Element_Stiffness!AA207,0)),0)),0)+IF(Element_Stiffness!$C$216,IF(Element_Stiffness!$C$215=5,IF(0=Element_Stiffness!$C$215,Element_Stiffness!U236,IF(0=Element_Stiffness!$E$215,Element_Stiffness!AA236,0)),IF(Element_Stiffness!$E$215=5,IF(0=Element_Stiffness!$C$215,Element_Stiffness!U242,IF(0=Element_Stiffness!$E$215,Element_Stiffness!AA242,0)),0)),0)</f>
        <v/>
      </c>
      <c r="I35" s="21">
        <f>IF(Element_Stiffness!$C$6,IF(Element_Stiffness!$C$5=5,IF(1=Element_Stiffness!$C$5,Element_Stiffness!P26,IF(1=Element_Stiffness!$E$5,Element_Stiffness!V26,0)),IF(Element_Stiffness!$E$5=5,IF(1=Element_Stiffness!$C$5,Element_Stiffness!P32,IF(1=Element_Stiffness!$E$5,Element_Stiffness!V32,0)),0)),0)+IF(Element_Stiffness!$C$41,IF(Element_Stiffness!$C$40=5,IF(1=Element_Stiffness!$C$40,Element_Stiffness!P61,IF(1=Element_Stiffness!$E$40,Element_Stiffness!V61,0)),IF(Element_Stiffness!$E$40=5,IF(1=Element_Stiffness!$C$40,Element_Stiffness!P67,IF(1=Element_Stiffness!$E$40,Element_Stiffness!V67,0)),0)),0)+IF(Element_Stiffness!$C$76,IF(Element_Stiffness!$C$75=5,IF(1=Element_Stiffness!$C$75,Element_Stiffness!P96,IF(1=Element_Stiffness!$E$75,Element_Stiffness!V96,0)),IF(Element_Stiffness!$E$75=5,IF(1=Element_Stiffness!$C$75,Element_Stiffness!P102,IF(1=Element_Stiffness!$E$75,Element_Stiffness!V102,0)),0)),0)+IF(Element_Stiffness!$C$111,IF(Element_Stiffness!$C$110=5,IF(1=Element_Stiffness!$C$110,Element_Stiffness!P131,IF(1=Element_Stiffness!$E$110,Element_Stiffness!V131,0)),IF(Element_Stiffness!$E$110=5,IF(1=Element_Stiffness!$C$110,Element_Stiffness!P137,IF(1=Element_Stiffness!$E$110,Element_Stiffness!V137,0)),0)),0)+IF(Element_Stiffness!$C$146,IF(Element_Stiffness!$C$145=5,IF(1=Element_Stiffness!$C$145,Element_Stiffness!P166,IF(1=Element_Stiffness!$E$145,Element_Stiffness!V166,0)),IF(Element_Stiffness!$E$145=5,IF(1=Element_Stiffness!$C$145,Element_Stiffness!P172,IF(1=Element_Stiffness!$E$145,Element_Stiffness!V172,0)),0)),0)+IF(Element_Stiffness!$C$181,IF(Element_Stiffness!$C$180=5,IF(1=Element_Stiffness!$C$180,Element_Stiffness!P201,IF(1=Element_Stiffness!$E$180,Element_Stiffness!V201,0)),IF(Element_Stiffness!$E$180=5,IF(1=Element_Stiffness!$C$180,Element_Stiffness!P207,IF(1=Element_Stiffness!$E$180,Element_Stiffness!V207,0)),0)),0)+IF(Element_Stiffness!$C$216,IF(Element_Stiffness!$C$215=5,IF(1=Element_Stiffness!$C$215,Element_Stiffness!P236,IF(1=Element_Stiffness!$E$215,Element_Stiffness!V236,0)),IF(Element_Stiffness!$E$215=5,IF(1=Element_Stiffness!$C$215,Element_Stiffness!P242,IF(1=Element_Stiffness!$E$215,Element_Stiffness!V242,0)),0)),0)</f>
        <v/>
      </c>
      <c r="J35" s="21">
        <f>IF(Element_Stiffness!$C$6,IF(Element_Stiffness!$C$5=5,IF(1=Element_Stiffness!$C$5,Element_Stiffness!Q26,IF(1=Element_Stiffness!$E$5,Element_Stiffness!W26,0)),IF(Element_Stiffness!$E$5=5,IF(1=Element_Stiffness!$C$5,Element_Stiffness!Q32,IF(1=Element_Stiffness!$E$5,Element_Stiffness!W32,0)),0)),0)+IF(Element_Stiffness!$C$41,IF(Element_Stiffness!$C$40=5,IF(1=Element_Stiffness!$C$40,Element_Stiffness!Q61,IF(1=Element_Stiffness!$E$40,Element_Stiffness!W61,0)),IF(Element_Stiffness!$E$40=5,IF(1=Element_Stiffness!$C$40,Element_Stiffness!Q67,IF(1=Element_Stiffness!$E$40,Element_Stiffness!W67,0)),0)),0)+IF(Element_Stiffness!$C$76,IF(Element_Stiffness!$C$75=5,IF(1=Element_Stiffness!$C$75,Element_Stiffness!Q96,IF(1=Element_Stiffness!$E$75,Element_Stiffness!W96,0)),IF(Element_Stiffness!$E$75=5,IF(1=Element_Stiffness!$C$75,Element_Stiffness!Q102,IF(1=Element_Stiffness!$E$75,Element_Stiffness!W102,0)),0)),0)+IF(Element_Stiffness!$C$111,IF(Element_Stiffness!$C$110=5,IF(1=Element_Stiffness!$C$110,Element_Stiffness!Q131,IF(1=Element_Stiffness!$E$110,Element_Stiffness!W131,0)),IF(Element_Stiffness!$E$110=5,IF(1=Element_Stiffness!$C$110,Element_Stiffness!Q137,IF(1=Element_Stiffness!$E$110,Element_Stiffness!W137,0)),0)),0)+IF(Element_Stiffness!$C$146,IF(Element_Stiffness!$C$145=5,IF(1=Element_Stiffness!$C$145,Element_Stiffness!Q166,IF(1=Element_Stiffness!$E$145,Element_Stiffness!W166,0)),IF(Element_Stiffness!$E$145=5,IF(1=Element_Stiffness!$C$145,Element_Stiffness!Q172,IF(1=Element_Stiffness!$E$145,Element_Stiffness!W172,0)),0)),0)+IF(Element_Stiffness!$C$181,IF(Element_Stiffness!$C$180=5,IF(1=Element_Stiffness!$C$180,Element_Stiffness!Q201,IF(1=Element_Stiffness!$E$180,Element_Stiffness!W201,0)),IF(Element_Stiffness!$E$180=5,IF(1=Element_Stiffness!$C$180,Element_Stiffness!Q207,IF(1=Element_Stiffness!$E$180,Element_Stiffness!W207,0)),0)),0)+IF(Element_Stiffness!$C$216,IF(Element_Stiffness!$C$215=5,IF(1=Element_Stiffness!$C$215,Element_Stiffness!Q236,IF(1=Element_Stiffness!$E$215,Element_Stiffness!W236,0)),IF(Element_Stiffness!$E$215=5,IF(1=Element_Stiffness!$C$215,Element_Stiffness!Q242,IF(1=Element_Stiffness!$E$215,Element_Stiffness!W242,0)),0)),0)</f>
        <v/>
      </c>
      <c r="K35" s="21">
        <f>IF(Element_Stiffness!$C$6,IF(Element_Stiffness!$C$5=5,IF(1=Element_Stiffness!$C$5,Element_Stiffness!R26,IF(1=Element_Stiffness!$E$5,Element_Stiffness!X26,0)),IF(Element_Stiffness!$E$5=5,IF(1=Element_Stiffness!$C$5,Element_Stiffness!R32,IF(1=Element_Stiffness!$E$5,Element_Stiffness!X32,0)),0)),0)+IF(Element_Stiffness!$C$41,IF(Element_Stiffness!$C$40=5,IF(1=Element_Stiffness!$C$40,Element_Stiffness!R61,IF(1=Element_Stiffness!$E$40,Element_Stiffness!X61,0)),IF(Element_Stiffness!$E$40=5,IF(1=Element_Stiffness!$C$40,Element_Stiffness!R67,IF(1=Element_Stiffness!$E$40,Element_Stiffness!X67,0)),0)),0)+IF(Element_Stiffness!$C$76,IF(Element_Stiffness!$C$75=5,IF(1=Element_Stiffness!$C$75,Element_Stiffness!R96,IF(1=Element_Stiffness!$E$75,Element_Stiffness!X96,0)),IF(Element_Stiffness!$E$75=5,IF(1=Element_Stiffness!$C$75,Element_Stiffness!R102,IF(1=Element_Stiffness!$E$75,Element_Stiffness!X102,0)),0)),0)+IF(Element_Stiffness!$C$111,IF(Element_Stiffness!$C$110=5,IF(1=Element_Stiffness!$C$110,Element_Stiffness!R131,IF(1=Element_Stiffness!$E$110,Element_Stiffness!X131,0)),IF(Element_Stiffness!$E$110=5,IF(1=Element_Stiffness!$C$110,Element_Stiffness!R137,IF(1=Element_Stiffness!$E$110,Element_Stiffness!X137,0)),0)),0)+IF(Element_Stiffness!$C$146,IF(Element_Stiffness!$C$145=5,IF(1=Element_Stiffness!$C$145,Element_Stiffness!R166,IF(1=Element_Stiffness!$E$145,Element_Stiffness!X166,0)),IF(Element_Stiffness!$E$145=5,IF(1=Element_Stiffness!$C$145,Element_Stiffness!R172,IF(1=Element_Stiffness!$E$145,Element_Stiffness!X172,0)),0)),0)+IF(Element_Stiffness!$C$181,IF(Element_Stiffness!$C$180=5,IF(1=Element_Stiffness!$C$180,Element_Stiffness!R201,IF(1=Element_Stiffness!$E$180,Element_Stiffness!X201,0)),IF(Element_Stiffness!$E$180=5,IF(1=Element_Stiffness!$C$180,Element_Stiffness!R207,IF(1=Element_Stiffness!$E$180,Element_Stiffness!X207,0)),0)),0)+IF(Element_Stiffness!$C$216,IF(Element_Stiffness!$C$215=5,IF(1=Element_Stiffness!$C$215,Element_Stiffness!R236,IF(1=Element_Stiffness!$E$215,Element_Stiffness!X236,0)),IF(Element_Stiffness!$E$215=5,IF(1=Element_Stiffness!$C$215,Element_Stiffness!R242,IF(1=Element_Stiffness!$E$215,Element_Stiffness!X242,0)),0)),0)</f>
        <v/>
      </c>
      <c r="L35" s="21">
        <f>IF(Element_Stiffness!$C$6,IF(Element_Stiffness!$C$5=5,IF(1=Element_Stiffness!$C$5,Element_Stiffness!S26,IF(1=Element_Stiffness!$E$5,Element_Stiffness!Y26,0)),IF(Element_Stiffness!$E$5=5,IF(1=Element_Stiffness!$C$5,Element_Stiffness!S32,IF(1=Element_Stiffness!$E$5,Element_Stiffness!Y32,0)),0)),0)+IF(Element_Stiffness!$C$41,IF(Element_Stiffness!$C$40=5,IF(1=Element_Stiffness!$C$40,Element_Stiffness!S61,IF(1=Element_Stiffness!$E$40,Element_Stiffness!Y61,0)),IF(Element_Stiffness!$E$40=5,IF(1=Element_Stiffness!$C$40,Element_Stiffness!S67,IF(1=Element_Stiffness!$E$40,Element_Stiffness!Y67,0)),0)),0)+IF(Element_Stiffness!$C$76,IF(Element_Stiffness!$C$75=5,IF(1=Element_Stiffness!$C$75,Element_Stiffness!S96,IF(1=Element_Stiffness!$E$75,Element_Stiffness!Y96,0)),IF(Element_Stiffness!$E$75=5,IF(1=Element_Stiffness!$C$75,Element_Stiffness!S102,IF(1=Element_Stiffness!$E$75,Element_Stiffness!Y102,0)),0)),0)+IF(Element_Stiffness!$C$111,IF(Element_Stiffness!$C$110=5,IF(1=Element_Stiffness!$C$110,Element_Stiffness!S131,IF(1=Element_Stiffness!$E$110,Element_Stiffness!Y131,0)),IF(Element_Stiffness!$E$110=5,IF(1=Element_Stiffness!$C$110,Element_Stiffness!S137,IF(1=Element_Stiffness!$E$110,Element_Stiffness!Y137,0)),0)),0)+IF(Element_Stiffness!$C$146,IF(Element_Stiffness!$C$145=5,IF(1=Element_Stiffness!$C$145,Element_Stiffness!S166,IF(1=Element_Stiffness!$E$145,Element_Stiffness!Y166,0)),IF(Element_Stiffness!$E$145=5,IF(1=Element_Stiffness!$C$145,Element_Stiffness!S172,IF(1=Element_Stiffness!$E$145,Element_Stiffness!Y172,0)),0)),0)+IF(Element_Stiffness!$C$181,IF(Element_Stiffness!$C$180=5,IF(1=Element_Stiffness!$C$180,Element_Stiffness!S201,IF(1=Element_Stiffness!$E$180,Element_Stiffness!Y201,0)),IF(Element_Stiffness!$E$180=5,IF(1=Element_Stiffness!$C$180,Element_Stiffness!S207,IF(1=Element_Stiffness!$E$180,Element_Stiffness!Y207,0)),0)),0)+IF(Element_Stiffness!$C$216,IF(Element_Stiffness!$C$215=5,IF(1=Element_Stiffness!$C$215,Element_Stiffness!S236,IF(1=Element_Stiffness!$E$215,Element_Stiffness!Y236,0)),IF(Element_Stiffness!$E$215=5,IF(1=Element_Stiffness!$C$215,Element_Stiffness!S242,IF(1=Element_Stiffness!$E$215,Element_Stiffness!Y242,0)),0)),0)</f>
        <v/>
      </c>
      <c r="M35" s="21">
        <f>IF(Element_Stiffness!$C$6,IF(Element_Stiffness!$C$5=5,IF(1=Element_Stiffness!$C$5,Element_Stiffness!T26,IF(1=Element_Stiffness!$E$5,Element_Stiffness!Z26,0)),IF(Element_Stiffness!$E$5=5,IF(1=Element_Stiffness!$C$5,Element_Stiffness!T32,IF(1=Element_Stiffness!$E$5,Element_Stiffness!Z32,0)),0)),0)+IF(Element_Stiffness!$C$41,IF(Element_Stiffness!$C$40=5,IF(1=Element_Stiffness!$C$40,Element_Stiffness!T61,IF(1=Element_Stiffness!$E$40,Element_Stiffness!Z61,0)),IF(Element_Stiffness!$E$40=5,IF(1=Element_Stiffness!$C$40,Element_Stiffness!T67,IF(1=Element_Stiffness!$E$40,Element_Stiffness!Z67,0)),0)),0)+IF(Element_Stiffness!$C$76,IF(Element_Stiffness!$C$75=5,IF(1=Element_Stiffness!$C$75,Element_Stiffness!T96,IF(1=Element_Stiffness!$E$75,Element_Stiffness!Z96,0)),IF(Element_Stiffness!$E$75=5,IF(1=Element_Stiffness!$C$75,Element_Stiffness!T102,IF(1=Element_Stiffness!$E$75,Element_Stiffness!Z102,0)),0)),0)+IF(Element_Stiffness!$C$111,IF(Element_Stiffness!$C$110=5,IF(1=Element_Stiffness!$C$110,Element_Stiffness!T131,IF(1=Element_Stiffness!$E$110,Element_Stiffness!Z131,0)),IF(Element_Stiffness!$E$110=5,IF(1=Element_Stiffness!$C$110,Element_Stiffness!T137,IF(1=Element_Stiffness!$E$110,Element_Stiffness!Z137,0)),0)),0)+IF(Element_Stiffness!$C$146,IF(Element_Stiffness!$C$145=5,IF(1=Element_Stiffness!$C$145,Element_Stiffness!T166,IF(1=Element_Stiffness!$E$145,Element_Stiffness!Z166,0)),IF(Element_Stiffness!$E$145=5,IF(1=Element_Stiffness!$C$145,Element_Stiffness!T172,IF(1=Element_Stiffness!$E$145,Element_Stiffness!Z172,0)),0)),0)+IF(Element_Stiffness!$C$181,IF(Element_Stiffness!$C$180=5,IF(1=Element_Stiffness!$C$180,Element_Stiffness!T201,IF(1=Element_Stiffness!$E$180,Element_Stiffness!Z201,0)),IF(Element_Stiffness!$E$180=5,IF(1=Element_Stiffness!$C$180,Element_Stiffness!T207,IF(1=Element_Stiffness!$E$180,Element_Stiffness!Z207,0)),0)),0)+IF(Element_Stiffness!$C$216,IF(Element_Stiffness!$C$215=5,IF(1=Element_Stiffness!$C$215,Element_Stiffness!T236,IF(1=Element_Stiffness!$E$215,Element_Stiffness!Z236,0)),IF(Element_Stiffness!$E$215=5,IF(1=Element_Stiffness!$C$215,Element_Stiffness!T242,IF(1=Element_Stiffness!$E$215,Element_Stiffness!Z242,0)),0)),0)</f>
        <v/>
      </c>
      <c r="N35" s="21">
        <f>IF(Element_Stiffness!$C$6,IF(Element_Stiffness!$C$5=5,IF(1=Element_Stiffness!$C$5,Element_Stiffness!U26,IF(1=Element_Stiffness!$E$5,Element_Stiffness!AA26,0)),IF(Element_Stiffness!$E$5=5,IF(1=Element_Stiffness!$C$5,Element_Stiffness!U32,IF(1=Element_Stiffness!$E$5,Element_Stiffness!AA32,0)),0)),0)+IF(Element_Stiffness!$C$41,IF(Element_Stiffness!$C$40=5,IF(1=Element_Stiffness!$C$40,Element_Stiffness!U61,IF(1=Element_Stiffness!$E$40,Element_Stiffness!AA61,0)),IF(Element_Stiffness!$E$40=5,IF(1=Element_Stiffness!$C$40,Element_Stiffness!U67,IF(1=Element_Stiffness!$E$40,Element_Stiffness!AA67,0)),0)),0)+IF(Element_Stiffness!$C$76,IF(Element_Stiffness!$C$75=5,IF(1=Element_Stiffness!$C$75,Element_Stiffness!U96,IF(1=Element_Stiffness!$E$75,Element_Stiffness!AA96,0)),IF(Element_Stiffness!$E$75=5,IF(1=Element_Stiffness!$C$75,Element_Stiffness!U102,IF(1=Element_Stiffness!$E$75,Element_Stiffness!AA102,0)),0)),0)+IF(Element_Stiffness!$C$111,IF(Element_Stiffness!$C$110=5,IF(1=Element_Stiffness!$C$110,Element_Stiffness!U131,IF(1=Element_Stiffness!$E$110,Element_Stiffness!AA131,0)),IF(Element_Stiffness!$E$110=5,IF(1=Element_Stiffness!$C$110,Element_Stiffness!U137,IF(1=Element_Stiffness!$E$110,Element_Stiffness!AA137,0)),0)),0)+IF(Element_Stiffness!$C$146,IF(Element_Stiffness!$C$145=5,IF(1=Element_Stiffness!$C$145,Element_Stiffness!U166,IF(1=Element_Stiffness!$E$145,Element_Stiffness!AA166,0)),IF(Element_Stiffness!$E$145=5,IF(1=Element_Stiffness!$C$145,Element_Stiffness!U172,IF(1=Element_Stiffness!$E$145,Element_Stiffness!AA172,0)),0)),0)+IF(Element_Stiffness!$C$181,IF(Element_Stiffness!$C$180=5,IF(1=Element_Stiffness!$C$180,Element_Stiffness!U201,IF(1=Element_Stiffness!$E$180,Element_Stiffness!AA201,0)),IF(Element_Stiffness!$E$180=5,IF(1=Element_Stiffness!$C$180,Element_Stiffness!U207,IF(1=Element_Stiffness!$E$180,Element_Stiffness!AA207,0)),0)),0)+IF(Element_Stiffness!$C$216,IF(Element_Stiffness!$C$215=5,IF(1=Element_Stiffness!$C$215,Element_Stiffness!U236,IF(1=Element_Stiffness!$E$215,Element_Stiffness!AA236,0)),IF(Element_Stiffness!$E$215=5,IF(1=Element_Stiffness!$C$215,Element_Stiffness!U242,IF(1=Element_Stiffness!$E$215,Element_Stiffness!AA242,0)),0)),0)</f>
        <v/>
      </c>
      <c r="O35" s="21">
        <f>IF(Element_Stiffness!$C$6,IF(Element_Stiffness!$C$5=5,IF(2=Element_Stiffness!$C$5,Element_Stiffness!P26,IF(2=Element_Stiffness!$E$5,Element_Stiffness!V26,0)),IF(Element_Stiffness!$E$5=5,IF(2=Element_Stiffness!$C$5,Element_Stiffness!P32,IF(2=Element_Stiffness!$E$5,Element_Stiffness!V32,0)),0)),0)+IF(Element_Stiffness!$C$41,IF(Element_Stiffness!$C$40=5,IF(2=Element_Stiffness!$C$40,Element_Stiffness!P61,IF(2=Element_Stiffness!$E$40,Element_Stiffness!V61,0)),IF(Element_Stiffness!$E$40=5,IF(2=Element_Stiffness!$C$40,Element_Stiffness!P67,IF(2=Element_Stiffness!$E$40,Element_Stiffness!V67,0)),0)),0)+IF(Element_Stiffness!$C$76,IF(Element_Stiffness!$C$75=5,IF(2=Element_Stiffness!$C$75,Element_Stiffness!P96,IF(2=Element_Stiffness!$E$75,Element_Stiffness!V96,0)),IF(Element_Stiffness!$E$75=5,IF(2=Element_Stiffness!$C$75,Element_Stiffness!P102,IF(2=Element_Stiffness!$E$75,Element_Stiffness!V102,0)),0)),0)+IF(Element_Stiffness!$C$111,IF(Element_Stiffness!$C$110=5,IF(2=Element_Stiffness!$C$110,Element_Stiffness!P131,IF(2=Element_Stiffness!$E$110,Element_Stiffness!V131,0)),IF(Element_Stiffness!$E$110=5,IF(2=Element_Stiffness!$C$110,Element_Stiffness!P137,IF(2=Element_Stiffness!$E$110,Element_Stiffness!V137,0)),0)),0)+IF(Element_Stiffness!$C$146,IF(Element_Stiffness!$C$145=5,IF(2=Element_Stiffness!$C$145,Element_Stiffness!P166,IF(2=Element_Stiffness!$E$145,Element_Stiffness!V166,0)),IF(Element_Stiffness!$E$145=5,IF(2=Element_Stiffness!$C$145,Element_Stiffness!P172,IF(2=Element_Stiffness!$E$145,Element_Stiffness!V172,0)),0)),0)+IF(Element_Stiffness!$C$181,IF(Element_Stiffness!$C$180=5,IF(2=Element_Stiffness!$C$180,Element_Stiffness!P201,IF(2=Element_Stiffness!$E$180,Element_Stiffness!V201,0)),IF(Element_Stiffness!$E$180=5,IF(2=Element_Stiffness!$C$180,Element_Stiffness!P207,IF(2=Element_Stiffness!$E$180,Element_Stiffness!V207,0)),0)),0)+IF(Element_Stiffness!$C$216,IF(Element_Stiffness!$C$215=5,IF(2=Element_Stiffness!$C$215,Element_Stiffness!P236,IF(2=Element_Stiffness!$E$215,Element_Stiffness!V236,0)),IF(Element_Stiffness!$E$215=5,IF(2=Element_Stiffness!$C$215,Element_Stiffness!P242,IF(2=Element_Stiffness!$E$215,Element_Stiffness!V242,0)),0)),0)</f>
        <v/>
      </c>
      <c r="P35" s="21">
        <f>IF(Element_Stiffness!$C$6,IF(Element_Stiffness!$C$5=5,IF(2=Element_Stiffness!$C$5,Element_Stiffness!Q26,IF(2=Element_Stiffness!$E$5,Element_Stiffness!W26,0)),IF(Element_Stiffness!$E$5=5,IF(2=Element_Stiffness!$C$5,Element_Stiffness!Q32,IF(2=Element_Stiffness!$E$5,Element_Stiffness!W32,0)),0)),0)+IF(Element_Stiffness!$C$41,IF(Element_Stiffness!$C$40=5,IF(2=Element_Stiffness!$C$40,Element_Stiffness!Q61,IF(2=Element_Stiffness!$E$40,Element_Stiffness!W61,0)),IF(Element_Stiffness!$E$40=5,IF(2=Element_Stiffness!$C$40,Element_Stiffness!Q67,IF(2=Element_Stiffness!$E$40,Element_Stiffness!W67,0)),0)),0)+IF(Element_Stiffness!$C$76,IF(Element_Stiffness!$C$75=5,IF(2=Element_Stiffness!$C$75,Element_Stiffness!Q96,IF(2=Element_Stiffness!$E$75,Element_Stiffness!W96,0)),IF(Element_Stiffness!$E$75=5,IF(2=Element_Stiffness!$C$75,Element_Stiffness!Q102,IF(2=Element_Stiffness!$E$75,Element_Stiffness!W102,0)),0)),0)+IF(Element_Stiffness!$C$111,IF(Element_Stiffness!$C$110=5,IF(2=Element_Stiffness!$C$110,Element_Stiffness!Q131,IF(2=Element_Stiffness!$E$110,Element_Stiffness!W131,0)),IF(Element_Stiffness!$E$110=5,IF(2=Element_Stiffness!$C$110,Element_Stiffness!Q137,IF(2=Element_Stiffness!$E$110,Element_Stiffness!W137,0)),0)),0)+IF(Element_Stiffness!$C$146,IF(Element_Stiffness!$C$145=5,IF(2=Element_Stiffness!$C$145,Element_Stiffness!Q166,IF(2=Element_Stiffness!$E$145,Element_Stiffness!W166,0)),IF(Element_Stiffness!$E$145=5,IF(2=Element_Stiffness!$C$145,Element_Stiffness!Q172,IF(2=Element_Stiffness!$E$145,Element_Stiffness!W172,0)),0)),0)+IF(Element_Stiffness!$C$181,IF(Element_Stiffness!$C$180=5,IF(2=Element_Stiffness!$C$180,Element_Stiffness!Q201,IF(2=Element_Stiffness!$E$180,Element_Stiffness!W201,0)),IF(Element_Stiffness!$E$180=5,IF(2=Element_Stiffness!$C$180,Element_Stiffness!Q207,IF(2=Element_Stiffness!$E$180,Element_Stiffness!W207,0)),0)),0)+IF(Element_Stiffness!$C$216,IF(Element_Stiffness!$C$215=5,IF(2=Element_Stiffness!$C$215,Element_Stiffness!Q236,IF(2=Element_Stiffness!$E$215,Element_Stiffness!W236,0)),IF(Element_Stiffness!$E$215=5,IF(2=Element_Stiffness!$C$215,Element_Stiffness!Q242,IF(2=Element_Stiffness!$E$215,Element_Stiffness!W242,0)),0)),0)</f>
        <v/>
      </c>
      <c r="Q35" s="21">
        <f>IF(Element_Stiffness!$C$6,IF(Element_Stiffness!$C$5=5,IF(2=Element_Stiffness!$C$5,Element_Stiffness!R26,IF(2=Element_Stiffness!$E$5,Element_Stiffness!X26,0)),IF(Element_Stiffness!$E$5=5,IF(2=Element_Stiffness!$C$5,Element_Stiffness!R32,IF(2=Element_Stiffness!$E$5,Element_Stiffness!X32,0)),0)),0)+IF(Element_Stiffness!$C$41,IF(Element_Stiffness!$C$40=5,IF(2=Element_Stiffness!$C$40,Element_Stiffness!R61,IF(2=Element_Stiffness!$E$40,Element_Stiffness!X61,0)),IF(Element_Stiffness!$E$40=5,IF(2=Element_Stiffness!$C$40,Element_Stiffness!R67,IF(2=Element_Stiffness!$E$40,Element_Stiffness!X67,0)),0)),0)+IF(Element_Stiffness!$C$76,IF(Element_Stiffness!$C$75=5,IF(2=Element_Stiffness!$C$75,Element_Stiffness!R96,IF(2=Element_Stiffness!$E$75,Element_Stiffness!X96,0)),IF(Element_Stiffness!$E$75=5,IF(2=Element_Stiffness!$C$75,Element_Stiffness!R102,IF(2=Element_Stiffness!$E$75,Element_Stiffness!X102,0)),0)),0)+IF(Element_Stiffness!$C$111,IF(Element_Stiffness!$C$110=5,IF(2=Element_Stiffness!$C$110,Element_Stiffness!R131,IF(2=Element_Stiffness!$E$110,Element_Stiffness!X131,0)),IF(Element_Stiffness!$E$110=5,IF(2=Element_Stiffness!$C$110,Element_Stiffness!R137,IF(2=Element_Stiffness!$E$110,Element_Stiffness!X137,0)),0)),0)+IF(Element_Stiffness!$C$146,IF(Element_Stiffness!$C$145=5,IF(2=Element_Stiffness!$C$145,Element_Stiffness!R166,IF(2=Element_Stiffness!$E$145,Element_Stiffness!X166,0)),IF(Element_Stiffness!$E$145=5,IF(2=Element_Stiffness!$C$145,Element_Stiffness!R172,IF(2=Element_Stiffness!$E$145,Element_Stiffness!X172,0)),0)),0)+IF(Element_Stiffness!$C$181,IF(Element_Stiffness!$C$180=5,IF(2=Element_Stiffness!$C$180,Element_Stiffness!R201,IF(2=Element_Stiffness!$E$180,Element_Stiffness!X201,0)),IF(Element_Stiffness!$E$180=5,IF(2=Element_Stiffness!$C$180,Element_Stiffness!R207,IF(2=Element_Stiffness!$E$180,Element_Stiffness!X207,0)),0)),0)+IF(Element_Stiffness!$C$216,IF(Element_Stiffness!$C$215=5,IF(2=Element_Stiffness!$C$215,Element_Stiffness!R236,IF(2=Element_Stiffness!$E$215,Element_Stiffness!X236,0)),IF(Element_Stiffness!$E$215=5,IF(2=Element_Stiffness!$C$215,Element_Stiffness!R242,IF(2=Element_Stiffness!$E$215,Element_Stiffness!X242,0)),0)),0)</f>
        <v/>
      </c>
      <c r="R35" s="21">
        <f>IF(Element_Stiffness!$C$6,IF(Element_Stiffness!$C$5=5,IF(2=Element_Stiffness!$C$5,Element_Stiffness!S26,IF(2=Element_Stiffness!$E$5,Element_Stiffness!Y26,0)),IF(Element_Stiffness!$E$5=5,IF(2=Element_Stiffness!$C$5,Element_Stiffness!S32,IF(2=Element_Stiffness!$E$5,Element_Stiffness!Y32,0)),0)),0)+IF(Element_Stiffness!$C$41,IF(Element_Stiffness!$C$40=5,IF(2=Element_Stiffness!$C$40,Element_Stiffness!S61,IF(2=Element_Stiffness!$E$40,Element_Stiffness!Y61,0)),IF(Element_Stiffness!$E$40=5,IF(2=Element_Stiffness!$C$40,Element_Stiffness!S67,IF(2=Element_Stiffness!$E$40,Element_Stiffness!Y67,0)),0)),0)+IF(Element_Stiffness!$C$76,IF(Element_Stiffness!$C$75=5,IF(2=Element_Stiffness!$C$75,Element_Stiffness!S96,IF(2=Element_Stiffness!$E$75,Element_Stiffness!Y96,0)),IF(Element_Stiffness!$E$75=5,IF(2=Element_Stiffness!$C$75,Element_Stiffness!S102,IF(2=Element_Stiffness!$E$75,Element_Stiffness!Y102,0)),0)),0)+IF(Element_Stiffness!$C$111,IF(Element_Stiffness!$C$110=5,IF(2=Element_Stiffness!$C$110,Element_Stiffness!S131,IF(2=Element_Stiffness!$E$110,Element_Stiffness!Y131,0)),IF(Element_Stiffness!$E$110=5,IF(2=Element_Stiffness!$C$110,Element_Stiffness!S137,IF(2=Element_Stiffness!$E$110,Element_Stiffness!Y137,0)),0)),0)+IF(Element_Stiffness!$C$146,IF(Element_Stiffness!$C$145=5,IF(2=Element_Stiffness!$C$145,Element_Stiffness!S166,IF(2=Element_Stiffness!$E$145,Element_Stiffness!Y166,0)),IF(Element_Stiffness!$E$145=5,IF(2=Element_Stiffness!$C$145,Element_Stiffness!S172,IF(2=Element_Stiffness!$E$145,Element_Stiffness!Y172,0)),0)),0)+IF(Element_Stiffness!$C$181,IF(Element_Stiffness!$C$180=5,IF(2=Element_Stiffness!$C$180,Element_Stiffness!S201,IF(2=Element_Stiffness!$E$180,Element_Stiffness!Y201,0)),IF(Element_Stiffness!$E$180=5,IF(2=Element_Stiffness!$C$180,Element_Stiffness!S207,IF(2=Element_Stiffness!$E$180,Element_Stiffness!Y207,0)),0)),0)+IF(Element_Stiffness!$C$216,IF(Element_Stiffness!$C$215=5,IF(2=Element_Stiffness!$C$215,Element_Stiffness!S236,IF(2=Element_Stiffness!$E$215,Element_Stiffness!Y236,0)),IF(Element_Stiffness!$E$215=5,IF(2=Element_Stiffness!$C$215,Element_Stiffness!S242,IF(2=Element_Stiffness!$E$215,Element_Stiffness!Y242,0)),0)),0)</f>
        <v/>
      </c>
      <c r="S35" s="21">
        <f>IF(Element_Stiffness!$C$6,IF(Element_Stiffness!$C$5=5,IF(2=Element_Stiffness!$C$5,Element_Stiffness!T26,IF(2=Element_Stiffness!$E$5,Element_Stiffness!Z26,0)),IF(Element_Stiffness!$E$5=5,IF(2=Element_Stiffness!$C$5,Element_Stiffness!T32,IF(2=Element_Stiffness!$E$5,Element_Stiffness!Z32,0)),0)),0)+IF(Element_Stiffness!$C$41,IF(Element_Stiffness!$C$40=5,IF(2=Element_Stiffness!$C$40,Element_Stiffness!T61,IF(2=Element_Stiffness!$E$40,Element_Stiffness!Z61,0)),IF(Element_Stiffness!$E$40=5,IF(2=Element_Stiffness!$C$40,Element_Stiffness!T67,IF(2=Element_Stiffness!$E$40,Element_Stiffness!Z67,0)),0)),0)+IF(Element_Stiffness!$C$76,IF(Element_Stiffness!$C$75=5,IF(2=Element_Stiffness!$C$75,Element_Stiffness!T96,IF(2=Element_Stiffness!$E$75,Element_Stiffness!Z96,0)),IF(Element_Stiffness!$E$75=5,IF(2=Element_Stiffness!$C$75,Element_Stiffness!T102,IF(2=Element_Stiffness!$E$75,Element_Stiffness!Z102,0)),0)),0)+IF(Element_Stiffness!$C$111,IF(Element_Stiffness!$C$110=5,IF(2=Element_Stiffness!$C$110,Element_Stiffness!T131,IF(2=Element_Stiffness!$E$110,Element_Stiffness!Z131,0)),IF(Element_Stiffness!$E$110=5,IF(2=Element_Stiffness!$C$110,Element_Stiffness!T137,IF(2=Element_Stiffness!$E$110,Element_Stiffness!Z137,0)),0)),0)+IF(Element_Stiffness!$C$146,IF(Element_Stiffness!$C$145=5,IF(2=Element_Stiffness!$C$145,Element_Stiffness!T166,IF(2=Element_Stiffness!$E$145,Element_Stiffness!Z166,0)),IF(Element_Stiffness!$E$145=5,IF(2=Element_Stiffness!$C$145,Element_Stiffness!T172,IF(2=Element_Stiffness!$E$145,Element_Stiffness!Z172,0)),0)),0)+IF(Element_Stiffness!$C$181,IF(Element_Stiffness!$C$180=5,IF(2=Element_Stiffness!$C$180,Element_Stiffness!T201,IF(2=Element_Stiffness!$E$180,Element_Stiffness!Z201,0)),IF(Element_Stiffness!$E$180=5,IF(2=Element_Stiffness!$C$180,Element_Stiffness!T207,IF(2=Element_Stiffness!$E$180,Element_Stiffness!Z207,0)),0)),0)+IF(Element_Stiffness!$C$216,IF(Element_Stiffness!$C$215=5,IF(2=Element_Stiffness!$C$215,Element_Stiffness!T236,IF(2=Element_Stiffness!$E$215,Element_Stiffness!Z236,0)),IF(Element_Stiffness!$E$215=5,IF(2=Element_Stiffness!$C$215,Element_Stiffness!T242,IF(2=Element_Stiffness!$E$215,Element_Stiffness!Z242,0)),0)),0)</f>
        <v/>
      </c>
      <c r="T35" s="21">
        <f>IF(Element_Stiffness!$C$6,IF(Element_Stiffness!$C$5=5,IF(2=Element_Stiffness!$C$5,Element_Stiffness!U26,IF(2=Element_Stiffness!$E$5,Element_Stiffness!AA26,0)),IF(Element_Stiffness!$E$5=5,IF(2=Element_Stiffness!$C$5,Element_Stiffness!U32,IF(2=Element_Stiffness!$E$5,Element_Stiffness!AA32,0)),0)),0)+IF(Element_Stiffness!$C$41,IF(Element_Stiffness!$C$40=5,IF(2=Element_Stiffness!$C$40,Element_Stiffness!U61,IF(2=Element_Stiffness!$E$40,Element_Stiffness!AA61,0)),IF(Element_Stiffness!$E$40=5,IF(2=Element_Stiffness!$C$40,Element_Stiffness!U67,IF(2=Element_Stiffness!$E$40,Element_Stiffness!AA67,0)),0)),0)+IF(Element_Stiffness!$C$76,IF(Element_Stiffness!$C$75=5,IF(2=Element_Stiffness!$C$75,Element_Stiffness!U96,IF(2=Element_Stiffness!$E$75,Element_Stiffness!AA96,0)),IF(Element_Stiffness!$E$75=5,IF(2=Element_Stiffness!$C$75,Element_Stiffness!U102,IF(2=Element_Stiffness!$E$75,Element_Stiffness!AA102,0)),0)),0)+IF(Element_Stiffness!$C$111,IF(Element_Stiffness!$C$110=5,IF(2=Element_Stiffness!$C$110,Element_Stiffness!U131,IF(2=Element_Stiffness!$E$110,Element_Stiffness!AA131,0)),IF(Element_Stiffness!$E$110=5,IF(2=Element_Stiffness!$C$110,Element_Stiffness!U137,IF(2=Element_Stiffness!$E$110,Element_Stiffness!AA137,0)),0)),0)+IF(Element_Stiffness!$C$146,IF(Element_Stiffness!$C$145=5,IF(2=Element_Stiffness!$C$145,Element_Stiffness!U166,IF(2=Element_Stiffness!$E$145,Element_Stiffness!AA166,0)),IF(Element_Stiffness!$E$145=5,IF(2=Element_Stiffness!$C$145,Element_Stiffness!U172,IF(2=Element_Stiffness!$E$145,Element_Stiffness!AA172,0)),0)),0)+IF(Element_Stiffness!$C$181,IF(Element_Stiffness!$C$180=5,IF(2=Element_Stiffness!$C$180,Element_Stiffness!U201,IF(2=Element_Stiffness!$E$180,Element_Stiffness!AA201,0)),IF(Element_Stiffness!$E$180=5,IF(2=Element_Stiffness!$C$180,Element_Stiffness!U207,IF(2=Element_Stiffness!$E$180,Element_Stiffness!AA207,0)),0)),0)+IF(Element_Stiffness!$C$216,IF(Element_Stiffness!$C$215=5,IF(2=Element_Stiffness!$C$215,Element_Stiffness!U236,IF(2=Element_Stiffness!$E$215,Element_Stiffness!AA236,0)),IF(Element_Stiffness!$E$215=5,IF(2=Element_Stiffness!$C$215,Element_Stiffness!U242,IF(2=Element_Stiffness!$E$215,Element_Stiffness!AA242,0)),0)),0)</f>
        <v/>
      </c>
      <c r="U35" s="21">
        <f>IF(Element_Stiffness!$C$6,IF(Element_Stiffness!$C$5=5,IF(3=Element_Stiffness!$C$5,Element_Stiffness!P26,IF(3=Element_Stiffness!$E$5,Element_Stiffness!V26,0)),IF(Element_Stiffness!$E$5=5,IF(3=Element_Stiffness!$C$5,Element_Stiffness!P32,IF(3=Element_Stiffness!$E$5,Element_Stiffness!V32,0)),0)),0)+IF(Element_Stiffness!$C$41,IF(Element_Stiffness!$C$40=5,IF(3=Element_Stiffness!$C$40,Element_Stiffness!P61,IF(3=Element_Stiffness!$E$40,Element_Stiffness!V61,0)),IF(Element_Stiffness!$E$40=5,IF(3=Element_Stiffness!$C$40,Element_Stiffness!P67,IF(3=Element_Stiffness!$E$40,Element_Stiffness!V67,0)),0)),0)+IF(Element_Stiffness!$C$76,IF(Element_Stiffness!$C$75=5,IF(3=Element_Stiffness!$C$75,Element_Stiffness!P96,IF(3=Element_Stiffness!$E$75,Element_Stiffness!V96,0)),IF(Element_Stiffness!$E$75=5,IF(3=Element_Stiffness!$C$75,Element_Stiffness!P102,IF(3=Element_Stiffness!$E$75,Element_Stiffness!V102,0)),0)),0)+IF(Element_Stiffness!$C$111,IF(Element_Stiffness!$C$110=5,IF(3=Element_Stiffness!$C$110,Element_Stiffness!P131,IF(3=Element_Stiffness!$E$110,Element_Stiffness!V131,0)),IF(Element_Stiffness!$E$110=5,IF(3=Element_Stiffness!$C$110,Element_Stiffness!P137,IF(3=Element_Stiffness!$E$110,Element_Stiffness!V137,0)),0)),0)+IF(Element_Stiffness!$C$146,IF(Element_Stiffness!$C$145=5,IF(3=Element_Stiffness!$C$145,Element_Stiffness!P166,IF(3=Element_Stiffness!$E$145,Element_Stiffness!V166,0)),IF(Element_Stiffness!$E$145=5,IF(3=Element_Stiffness!$C$145,Element_Stiffness!P172,IF(3=Element_Stiffness!$E$145,Element_Stiffness!V172,0)),0)),0)+IF(Element_Stiffness!$C$181,IF(Element_Stiffness!$C$180=5,IF(3=Element_Stiffness!$C$180,Element_Stiffness!P201,IF(3=Element_Stiffness!$E$180,Element_Stiffness!V201,0)),IF(Element_Stiffness!$E$180=5,IF(3=Element_Stiffness!$C$180,Element_Stiffness!P207,IF(3=Element_Stiffness!$E$180,Element_Stiffness!V207,0)),0)),0)+IF(Element_Stiffness!$C$216,IF(Element_Stiffness!$C$215=5,IF(3=Element_Stiffness!$C$215,Element_Stiffness!P236,IF(3=Element_Stiffness!$E$215,Element_Stiffness!V236,0)),IF(Element_Stiffness!$E$215=5,IF(3=Element_Stiffness!$C$215,Element_Stiffness!P242,IF(3=Element_Stiffness!$E$215,Element_Stiffness!V242,0)),0)),0)</f>
        <v/>
      </c>
      <c r="V35" s="21">
        <f>IF(Element_Stiffness!$C$6,IF(Element_Stiffness!$C$5=5,IF(3=Element_Stiffness!$C$5,Element_Stiffness!Q26,IF(3=Element_Stiffness!$E$5,Element_Stiffness!W26,0)),IF(Element_Stiffness!$E$5=5,IF(3=Element_Stiffness!$C$5,Element_Stiffness!Q32,IF(3=Element_Stiffness!$E$5,Element_Stiffness!W32,0)),0)),0)+IF(Element_Stiffness!$C$41,IF(Element_Stiffness!$C$40=5,IF(3=Element_Stiffness!$C$40,Element_Stiffness!Q61,IF(3=Element_Stiffness!$E$40,Element_Stiffness!W61,0)),IF(Element_Stiffness!$E$40=5,IF(3=Element_Stiffness!$C$40,Element_Stiffness!Q67,IF(3=Element_Stiffness!$E$40,Element_Stiffness!W67,0)),0)),0)+IF(Element_Stiffness!$C$76,IF(Element_Stiffness!$C$75=5,IF(3=Element_Stiffness!$C$75,Element_Stiffness!Q96,IF(3=Element_Stiffness!$E$75,Element_Stiffness!W96,0)),IF(Element_Stiffness!$E$75=5,IF(3=Element_Stiffness!$C$75,Element_Stiffness!Q102,IF(3=Element_Stiffness!$E$75,Element_Stiffness!W102,0)),0)),0)+IF(Element_Stiffness!$C$111,IF(Element_Stiffness!$C$110=5,IF(3=Element_Stiffness!$C$110,Element_Stiffness!Q131,IF(3=Element_Stiffness!$E$110,Element_Stiffness!W131,0)),IF(Element_Stiffness!$E$110=5,IF(3=Element_Stiffness!$C$110,Element_Stiffness!Q137,IF(3=Element_Stiffness!$E$110,Element_Stiffness!W137,0)),0)),0)+IF(Element_Stiffness!$C$146,IF(Element_Stiffness!$C$145=5,IF(3=Element_Stiffness!$C$145,Element_Stiffness!Q166,IF(3=Element_Stiffness!$E$145,Element_Stiffness!W166,0)),IF(Element_Stiffness!$E$145=5,IF(3=Element_Stiffness!$C$145,Element_Stiffness!Q172,IF(3=Element_Stiffness!$E$145,Element_Stiffness!W172,0)),0)),0)+IF(Element_Stiffness!$C$181,IF(Element_Stiffness!$C$180=5,IF(3=Element_Stiffness!$C$180,Element_Stiffness!Q201,IF(3=Element_Stiffness!$E$180,Element_Stiffness!W201,0)),IF(Element_Stiffness!$E$180=5,IF(3=Element_Stiffness!$C$180,Element_Stiffness!Q207,IF(3=Element_Stiffness!$E$180,Element_Stiffness!W207,0)),0)),0)+IF(Element_Stiffness!$C$216,IF(Element_Stiffness!$C$215=5,IF(3=Element_Stiffness!$C$215,Element_Stiffness!Q236,IF(3=Element_Stiffness!$E$215,Element_Stiffness!W236,0)),IF(Element_Stiffness!$E$215=5,IF(3=Element_Stiffness!$C$215,Element_Stiffness!Q242,IF(3=Element_Stiffness!$E$215,Element_Stiffness!W242,0)),0)),0)</f>
        <v/>
      </c>
      <c r="W35" s="21">
        <f>IF(Element_Stiffness!$C$6,IF(Element_Stiffness!$C$5=5,IF(3=Element_Stiffness!$C$5,Element_Stiffness!R26,IF(3=Element_Stiffness!$E$5,Element_Stiffness!X26,0)),IF(Element_Stiffness!$E$5=5,IF(3=Element_Stiffness!$C$5,Element_Stiffness!R32,IF(3=Element_Stiffness!$E$5,Element_Stiffness!X32,0)),0)),0)+IF(Element_Stiffness!$C$41,IF(Element_Stiffness!$C$40=5,IF(3=Element_Stiffness!$C$40,Element_Stiffness!R61,IF(3=Element_Stiffness!$E$40,Element_Stiffness!X61,0)),IF(Element_Stiffness!$E$40=5,IF(3=Element_Stiffness!$C$40,Element_Stiffness!R67,IF(3=Element_Stiffness!$E$40,Element_Stiffness!X67,0)),0)),0)+IF(Element_Stiffness!$C$76,IF(Element_Stiffness!$C$75=5,IF(3=Element_Stiffness!$C$75,Element_Stiffness!R96,IF(3=Element_Stiffness!$E$75,Element_Stiffness!X96,0)),IF(Element_Stiffness!$E$75=5,IF(3=Element_Stiffness!$C$75,Element_Stiffness!R102,IF(3=Element_Stiffness!$E$75,Element_Stiffness!X102,0)),0)),0)+IF(Element_Stiffness!$C$111,IF(Element_Stiffness!$C$110=5,IF(3=Element_Stiffness!$C$110,Element_Stiffness!R131,IF(3=Element_Stiffness!$E$110,Element_Stiffness!X131,0)),IF(Element_Stiffness!$E$110=5,IF(3=Element_Stiffness!$C$110,Element_Stiffness!R137,IF(3=Element_Stiffness!$E$110,Element_Stiffness!X137,0)),0)),0)+IF(Element_Stiffness!$C$146,IF(Element_Stiffness!$C$145=5,IF(3=Element_Stiffness!$C$145,Element_Stiffness!R166,IF(3=Element_Stiffness!$E$145,Element_Stiffness!X166,0)),IF(Element_Stiffness!$E$145=5,IF(3=Element_Stiffness!$C$145,Element_Stiffness!R172,IF(3=Element_Stiffness!$E$145,Element_Stiffness!X172,0)),0)),0)+IF(Element_Stiffness!$C$181,IF(Element_Stiffness!$C$180=5,IF(3=Element_Stiffness!$C$180,Element_Stiffness!R201,IF(3=Element_Stiffness!$E$180,Element_Stiffness!X201,0)),IF(Element_Stiffness!$E$180=5,IF(3=Element_Stiffness!$C$180,Element_Stiffness!R207,IF(3=Element_Stiffness!$E$180,Element_Stiffness!X207,0)),0)),0)+IF(Element_Stiffness!$C$216,IF(Element_Stiffness!$C$215=5,IF(3=Element_Stiffness!$C$215,Element_Stiffness!R236,IF(3=Element_Stiffness!$E$215,Element_Stiffness!X236,0)),IF(Element_Stiffness!$E$215=5,IF(3=Element_Stiffness!$C$215,Element_Stiffness!R242,IF(3=Element_Stiffness!$E$215,Element_Stiffness!X242,0)),0)),0)</f>
        <v/>
      </c>
      <c r="X35" s="21">
        <f>IF(Element_Stiffness!$C$6,IF(Element_Stiffness!$C$5=5,IF(3=Element_Stiffness!$C$5,Element_Stiffness!S26,IF(3=Element_Stiffness!$E$5,Element_Stiffness!Y26,0)),IF(Element_Stiffness!$E$5=5,IF(3=Element_Stiffness!$C$5,Element_Stiffness!S32,IF(3=Element_Stiffness!$E$5,Element_Stiffness!Y32,0)),0)),0)+IF(Element_Stiffness!$C$41,IF(Element_Stiffness!$C$40=5,IF(3=Element_Stiffness!$C$40,Element_Stiffness!S61,IF(3=Element_Stiffness!$E$40,Element_Stiffness!Y61,0)),IF(Element_Stiffness!$E$40=5,IF(3=Element_Stiffness!$C$40,Element_Stiffness!S67,IF(3=Element_Stiffness!$E$40,Element_Stiffness!Y67,0)),0)),0)+IF(Element_Stiffness!$C$76,IF(Element_Stiffness!$C$75=5,IF(3=Element_Stiffness!$C$75,Element_Stiffness!S96,IF(3=Element_Stiffness!$E$75,Element_Stiffness!Y96,0)),IF(Element_Stiffness!$E$75=5,IF(3=Element_Stiffness!$C$75,Element_Stiffness!S102,IF(3=Element_Stiffness!$E$75,Element_Stiffness!Y102,0)),0)),0)+IF(Element_Stiffness!$C$111,IF(Element_Stiffness!$C$110=5,IF(3=Element_Stiffness!$C$110,Element_Stiffness!S131,IF(3=Element_Stiffness!$E$110,Element_Stiffness!Y131,0)),IF(Element_Stiffness!$E$110=5,IF(3=Element_Stiffness!$C$110,Element_Stiffness!S137,IF(3=Element_Stiffness!$E$110,Element_Stiffness!Y137,0)),0)),0)+IF(Element_Stiffness!$C$146,IF(Element_Stiffness!$C$145=5,IF(3=Element_Stiffness!$C$145,Element_Stiffness!S166,IF(3=Element_Stiffness!$E$145,Element_Stiffness!Y166,0)),IF(Element_Stiffness!$E$145=5,IF(3=Element_Stiffness!$C$145,Element_Stiffness!S172,IF(3=Element_Stiffness!$E$145,Element_Stiffness!Y172,0)),0)),0)+IF(Element_Stiffness!$C$181,IF(Element_Stiffness!$C$180=5,IF(3=Element_Stiffness!$C$180,Element_Stiffness!S201,IF(3=Element_Stiffness!$E$180,Element_Stiffness!Y201,0)),IF(Element_Stiffness!$E$180=5,IF(3=Element_Stiffness!$C$180,Element_Stiffness!S207,IF(3=Element_Stiffness!$E$180,Element_Stiffness!Y207,0)),0)),0)+IF(Element_Stiffness!$C$216,IF(Element_Stiffness!$C$215=5,IF(3=Element_Stiffness!$C$215,Element_Stiffness!S236,IF(3=Element_Stiffness!$E$215,Element_Stiffness!Y236,0)),IF(Element_Stiffness!$E$215=5,IF(3=Element_Stiffness!$C$215,Element_Stiffness!S242,IF(3=Element_Stiffness!$E$215,Element_Stiffness!Y242,0)),0)),0)</f>
        <v/>
      </c>
      <c r="Y35" s="21">
        <f>IF(Element_Stiffness!$C$6,IF(Element_Stiffness!$C$5=5,IF(3=Element_Stiffness!$C$5,Element_Stiffness!T26,IF(3=Element_Stiffness!$E$5,Element_Stiffness!Z26,0)),IF(Element_Stiffness!$E$5=5,IF(3=Element_Stiffness!$C$5,Element_Stiffness!T32,IF(3=Element_Stiffness!$E$5,Element_Stiffness!Z32,0)),0)),0)+IF(Element_Stiffness!$C$41,IF(Element_Stiffness!$C$40=5,IF(3=Element_Stiffness!$C$40,Element_Stiffness!T61,IF(3=Element_Stiffness!$E$40,Element_Stiffness!Z61,0)),IF(Element_Stiffness!$E$40=5,IF(3=Element_Stiffness!$C$40,Element_Stiffness!T67,IF(3=Element_Stiffness!$E$40,Element_Stiffness!Z67,0)),0)),0)+IF(Element_Stiffness!$C$76,IF(Element_Stiffness!$C$75=5,IF(3=Element_Stiffness!$C$75,Element_Stiffness!T96,IF(3=Element_Stiffness!$E$75,Element_Stiffness!Z96,0)),IF(Element_Stiffness!$E$75=5,IF(3=Element_Stiffness!$C$75,Element_Stiffness!T102,IF(3=Element_Stiffness!$E$75,Element_Stiffness!Z102,0)),0)),0)+IF(Element_Stiffness!$C$111,IF(Element_Stiffness!$C$110=5,IF(3=Element_Stiffness!$C$110,Element_Stiffness!T131,IF(3=Element_Stiffness!$E$110,Element_Stiffness!Z131,0)),IF(Element_Stiffness!$E$110=5,IF(3=Element_Stiffness!$C$110,Element_Stiffness!T137,IF(3=Element_Stiffness!$E$110,Element_Stiffness!Z137,0)),0)),0)+IF(Element_Stiffness!$C$146,IF(Element_Stiffness!$C$145=5,IF(3=Element_Stiffness!$C$145,Element_Stiffness!T166,IF(3=Element_Stiffness!$E$145,Element_Stiffness!Z166,0)),IF(Element_Stiffness!$E$145=5,IF(3=Element_Stiffness!$C$145,Element_Stiffness!T172,IF(3=Element_Stiffness!$E$145,Element_Stiffness!Z172,0)),0)),0)+IF(Element_Stiffness!$C$181,IF(Element_Stiffness!$C$180=5,IF(3=Element_Stiffness!$C$180,Element_Stiffness!T201,IF(3=Element_Stiffness!$E$180,Element_Stiffness!Z201,0)),IF(Element_Stiffness!$E$180=5,IF(3=Element_Stiffness!$C$180,Element_Stiffness!T207,IF(3=Element_Stiffness!$E$180,Element_Stiffness!Z207,0)),0)),0)+IF(Element_Stiffness!$C$216,IF(Element_Stiffness!$C$215=5,IF(3=Element_Stiffness!$C$215,Element_Stiffness!T236,IF(3=Element_Stiffness!$E$215,Element_Stiffness!Z236,0)),IF(Element_Stiffness!$E$215=5,IF(3=Element_Stiffness!$C$215,Element_Stiffness!T242,IF(3=Element_Stiffness!$E$215,Element_Stiffness!Z242,0)),0)),0)</f>
        <v/>
      </c>
      <c r="Z35" s="21">
        <f>IF(Element_Stiffness!$C$6,IF(Element_Stiffness!$C$5=5,IF(3=Element_Stiffness!$C$5,Element_Stiffness!U26,IF(3=Element_Stiffness!$E$5,Element_Stiffness!AA26,0)),IF(Element_Stiffness!$E$5=5,IF(3=Element_Stiffness!$C$5,Element_Stiffness!U32,IF(3=Element_Stiffness!$E$5,Element_Stiffness!AA32,0)),0)),0)+IF(Element_Stiffness!$C$41,IF(Element_Stiffness!$C$40=5,IF(3=Element_Stiffness!$C$40,Element_Stiffness!U61,IF(3=Element_Stiffness!$E$40,Element_Stiffness!AA61,0)),IF(Element_Stiffness!$E$40=5,IF(3=Element_Stiffness!$C$40,Element_Stiffness!U67,IF(3=Element_Stiffness!$E$40,Element_Stiffness!AA67,0)),0)),0)+IF(Element_Stiffness!$C$76,IF(Element_Stiffness!$C$75=5,IF(3=Element_Stiffness!$C$75,Element_Stiffness!U96,IF(3=Element_Stiffness!$E$75,Element_Stiffness!AA96,0)),IF(Element_Stiffness!$E$75=5,IF(3=Element_Stiffness!$C$75,Element_Stiffness!U102,IF(3=Element_Stiffness!$E$75,Element_Stiffness!AA102,0)),0)),0)+IF(Element_Stiffness!$C$111,IF(Element_Stiffness!$C$110=5,IF(3=Element_Stiffness!$C$110,Element_Stiffness!U131,IF(3=Element_Stiffness!$E$110,Element_Stiffness!AA131,0)),IF(Element_Stiffness!$E$110=5,IF(3=Element_Stiffness!$C$110,Element_Stiffness!U137,IF(3=Element_Stiffness!$E$110,Element_Stiffness!AA137,0)),0)),0)+IF(Element_Stiffness!$C$146,IF(Element_Stiffness!$C$145=5,IF(3=Element_Stiffness!$C$145,Element_Stiffness!U166,IF(3=Element_Stiffness!$E$145,Element_Stiffness!AA166,0)),IF(Element_Stiffness!$E$145=5,IF(3=Element_Stiffness!$C$145,Element_Stiffness!U172,IF(3=Element_Stiffness!$E$145,Element_Stiffness!AA172,0)),0)),0)+IF(Element_Stiffness!$C$181,IF(Element_Stiffness!$C$180=5,IF(3=Element_Stiffness!$C$180,Element_Stiffness!U201,IF(3=Element_Stiffness!$E$180,Element_Stiffness!AA201,0)),IF(Element_Stiffness!$E$180=5,IF(3=Element_Stiffness!$C$180,Element_Stiffness!U207,IF(3=Element_Stiffness!$E$180,Element_Stiffness!AA207,0)),0)),0)+IF(Element_Stiffness!$C$216,IF(Element_Stiffness!$C$215=5,IF(3=Element_Stiffness!$C$215,Element_Stiffness!U236,IF(3=Element_Stiffness!$E$215,Element_Stiffness!AA236,0)),IF(Element_Stiffness!$E$215=5,IF(3=Element_Stiffness!$C$215,Element_Stiffness!U242,IF(3=Element_Stiffness!$E$215,Element_Stiffness!AA242,0)),0)),0)</f>
        <v/>
      </c>
      <c r="AA35" s="21">
        <f>IF(Element_Stiffness!$C$6,IF(Element_Stiffness!$C$5=5,IF(4=Element_Stiffness!$C$5,Element_Stiffness!P26,IF(4=Element_Stiffness!$E$5,Element_Stiffness!V26,0)),IF(Element_Stiffness!$E$5=5,IF(4=Element_Stiffness!$C$5,Element_Stiffness!P32,IF(4=Element_Stiffness!$E$5,Element_Stiffness!V32,0)),0)),0)+IF(Element_Stiffness!$C$41,IF(Element_Stiffness!$C$40=5,IF(4=Element_Stiffness!$C$40,Element_Stiffness!P61,IF(4=Element_Stiffness!$E$40,Element_Stiffness!V61,0)),IF(Element_Stiffness!$E$40=5,IF(4=Element_Stiffness!$C$40,Element_Stiffness!P67,IF(4=Element_Stiffness!$E$40,Element_Stiffness!V67,0)),0)),0)+IF(Element_Stiffness!$C$76,IF(Element_Stiffness!$C$75=5,IF(4=Element_Stiffness!$C$75,Element_Stiffness!P96,IF(4=Element_Stiffness!$E$75,Element_Stiffness!V96,0)),IF(Element_Stiffness!$E$75=5,IF(4=Element_Stiffness!$C$75,Element_Stiffness!P102,IF(4=Element_Stiffness!$E$75,Element_Stiffness!V102,0)),0)),0)+IF(Element_Stiffness!$C$111,IF(Element_Stiffness!$C$110=5,IF(4=Element_Stiffness!$C$110,Element_Stiffness!P131,IF(4=Element_Stiffness!$E$110,Element_Stiffness!V131,0)),IF(Element_Stiffness!$E$110=5,IF(4=Element_Stiffness!$C$110,Element_Stiffness!P137,IF(4=Element_Stiffness!$E$110,Element_Stiffness!V137,0)),0)),0)+IF(Element_Stiffness!$C$146,IF(Element_Stiffness!$C$145=5,IF(4=Element_Stiffness!$C$145,Element_Stiffness!P166,IF(4=Element_Stiffness!$E$145,Element_Stiffness!V166,0)),IF(Element_Stiffness!$E$145=5,IF(4=Element_Stiffness!$C$145,Element_Stiffness!P172,IF(4=Element_Stiffness!$E$145,Element_Stiffness!V172,0)),0)),0)+IF(Element_Stiffness!$C$181,IF(Element_Stiffness!$C$180=5,IF(4=Element_Stiffness!$C$180,Element_Stiffness!P201,IF(4=Element_Stiffness!$E$180,Element_Stiffness!V201,0)),IF(Element_Stiffness!$E$180=5,IF(4=Element_Stiffness!$C$180,Element_Stiffness!P207,IF(4=Element_Stiffness!$E$180,Element_Stiffness!V207,0)),0)),0)+IF(Element_Stiffness!$C$216,IF(Element_Stiffness!$C$215=5,IF(4=Element_Stiffness!$C$215,Element_Stiffness!P236,IF(4=Element_Stiffness!$E$215,Element_Stiffness!V236,0)),IF(Element_Stiffness!$E$215=5,IF(4=Element_Stiffness!$C$215,Element_Stiffness!P242,IF(4=Element_Stiffness!$E$215,Element_Stiffness!V242,0)),0)),0)</f>
        <v/>
      </c>
      <c r="AB35" s="21">
        <f>IF(Element_Stiffness!$C$6,IF(Element_Stiffness!$C$5=5,IF(4=Element_Stiffness!$C$5,Element_Stiffness!Q26,IF(4=Element_Stiffness!$E$5,Element_Stiffness!W26,0)),IF(Element_Stiffness!$E$5=5,IF(4=Element_Stiffness!$C$5,Element_Stiffness!Q32,IF(4=Element_Stiffness!$E$5,Element_Stiffness!W32,0)),0)),0)+IF(Element_Stiffness!$C$41,IF(Element_Stiffness!$C$40=5,IF(4=Element_Stiffness!$C$40,Element_Stiffness!Q61,IF(4=Element_Stiffness!$E$40,Element_Stiffness!W61,0)),IF(Element_Stiffness!$E$40=5,IF(4=Element_Stiffness!$C$40,Element_Stiffness!Q67,IF(4=Element_Stiffness!$E$40,Element_Stiffness!W67,0)),0)),0)+IF(Element_Stiffness!$C$76,IF(Element_Stiffness!$C$75=5,IF(4=Element_Stiffness!$C$75,Element_Stiffness!Q96,IF(4=Element_Stiffness!$E$75,Element_Stiffness!W96,0)),IF(Element_Stiffness!$E$75=5,IF(4=Element_Stiffness!$C$75,Element_Stiffness!Q102,IF(4=Element_Stiffness!$E$75,Element_Stiffness!W102,0)),0)),0)+IF(Element_Stiffness!$C$111,IF(Element_Stiffness!$C$110=5,IF(4=Element_Stiffness!$C$110,Element_Stiffness!Q131,IF(4=Element_Stiffness!$E$110,Element_Stiffness!W131,0)),IF(Element_Stiffness!$E$110=5,IF(4=Element_Stiffness!$C$110,Element_Stiffness!Q137,IF(4=Element_Stiffness!$E$110,Element_Stiffness!W137,0)),0)),0)+IF(Element_Stiffness!$C$146,IF(Element_Stiffness!$C$145=5,IF(4=Element_Stiffness!$C$145,Element_Stiffness!Q166,IF(4=Element_Stiffness!$E$145,Element_Stiffness!W166,0)),IF(Element_Stiffness!$E$145=5,IF(4=Element_Stiffness!$C$145,Element_Stiffness!Q172,IF(4=Element_Stiffness!$E$145,Element_Stiffness!W172,0)),0)),0)+IF(Element_Stiffness!$C$181,IF(Element_Stiffness!$C$180=5,IF(4=Element_Stiffness!$C$180,Element_Stiffness!Q201,IF(4=Element_Stiffness!$E$180,Element_Stiffness!W201,0)),IF(Element_Stiffness!$E$180=5,IF(4=Element_Stiffness!$C$180,Element_Stiffness!Q207,IF(4=Element_Stiffness!$E$180,Element_Stiffness!W207,0)),0)),0)+IF(Element_Stiffness!$C$216,IF(Element_Stiffness!$C$215=5,IF(4=Element_Stiffness!$C$215,Element_Stiffness!Q236,IF(4=Element_Stiffness!$E$215,Element_Stiffness!W236,0)),IF(Element_Stiffness!$E$215=5,IF(4=Element_Stiffness!$C$215,Element_Stiffness!Q242,IF(4=Element_Stiffness!$E$215,Element_Stiffness!W242,0)),0)),0)</f>
        <v/>
      </c>
      <c r="AC35" s="21">
        <f>IF(Element_Stiffness!$C$6,IF(Element_Stiffness!$C$5=5,IF(4=Element_Stiffness!$C$5,Element_Stiffness!R26,IF(4=Element_Stiffness!$E$5,Element_Stiffness!X26,0)),IF(Element_Stiffness!$E$5=5,IF(4=Element_Stiffness!$C$5,Element_Stiffness!R32,IF(4=Element_Stiffness!$E$5,Element_Stiffness!X32,0)),0)),0)+IF(Element_Stiffness!$C$41,IF(Element_Stiffness!$C$40=5,IF(4=Element_Stiffness!$C$40,Element_Stiffness!R61,IF(4=Element_Stiffness!$E$40,Element_Stiffness!X61,0)),IF(Element_Stiffness!$E$40=5,IF(4=Element_Stiffness!$C$40,Element_Stiffness!R67,IF(4=Element_Stiffness!$E$40,Element_Stiffness!X67,0)),0)),0)+IF(Element_Stiffness!$C$76,IF(Element_Stiffness!$C$75=5,IF(4=Element_Stiffness!$C$75,Element_Stiffness!R96,IF(4=Element_Stiffness!$E$75,Element_Stiffness!X96,0)),IF(Element_Stiffness!$E$75=5,IF(4=Element_Stiffness!$C$75,Element_Stiffness!R102,IF(4=Element_Stiffness!$E$75,Element_Stiffness!X102,0)),0)),0)+IF(Element_Stiffness!$C$111,IF(Element_Stiffness!$C$110=5,IF(4=Element_Stiffness!$C$110,Element_Stiffness!R131,IF(4=Element_Stiffness!$E$110,Element_Stiffness!X131,0)),IF(Element_Stiffness!$E$110=5,IF(4=Element_Stiffness!$C$110,Element_Stiffness!R137,IF(4=Element_Stiffness!$E$110,Element_Stiffness!X137,0)),0)),0)+IF(Element_Stiffness!$C$146,IF(Element_Stiffness!$C$145=5,IF(4=Element_Stiffness!$C$145,Element_Stiffness!R166,IF(4=Element_Stiffness!$E$145,Element_Stiffness!X166,0)),IF(Element_Stiffness!$E$145=5,IF(4=Element_Stiffness!$C$145,Element_Stiffness!R172,IF(4=Element_Stiffness!$E$145,Element_Stiffness!X172,0)),0)),0)+IF(Element_Stiffness!$C$181,IF(Element_Stiffness!$C$180=5,IF(4=Element_Stiffness!$C$180,Element_Stiffness!R201,IF(4=Element_Stiffness!$E$180,Element_Stiffness!X201,0)),IF(Element_Stiffness!$E$180=5,IF(4=Element_Stiffness!$C$180,Element_Stiffness!R207,IF(4=Element_Stiffness!$E$180,Element_Stiffness!X207,0)),0)),0)+IF(Element_Stiffness!$C$216,IF(Element_Stiffness!$C$215=5,IF(4=Element_Stiffness!$C$215,Element_Stiffness!R236,IF(4=Element_Stiffness!$E$215,Element_Stiffness!X236,0)),IF(Element_Stiffness!$E$215=5,IF(4=Element_Stiffness!$C$215,Element_Stiffness!R242,IF(4=Element_Stiffness!$E$215,Element_Stiffness!X242,0)),0)),0)</f>
        <v/>
      </c>
      <c r="AD35" s="21">
        <f>IF(Element_Stiffness!$C$6,IF(Element_Stiffness!$C$5=5,IF(4=Element_Stiffness!$C$5,Element_Stiffness!S26,IF(4=Element_Stiffness!$E$5,Element_Stiffness!Y26,0)),IF(Element_Stiffness!$E$5=5,IF(4=Element_Stiffness!$C$5,Element_Stiffness!S32,IF(4=Element_Stiffness!$E$5,Element_Stiffness!Y32,0)),0)),0)+IF(Element_Stiffness!$C$41,IF(Element_Stiffness!$C$40=5,IF(4=Element_Stiffness!$C$40,Element_Stiffness!S61,IF(4=Element_Stiffness!$E$40,Element_Stiffness!Y61,0)),IF(Element_Stiffness!$E$40=5,IF(4=Element_Stiffness!$C$40,Element_Stiffness!S67,IF(4=Element_Stiffness!$E$40,Element_Stiffness!Y67,0)),0)),0)+IF(Element_Stiffness!$C$76,IF(Element_Stiffness!$C$75=5,IF(4=Element_Stiffness!$C$75,Element_Stiffness!S96,IF(4=Element_Stiffness!$E$75,Element_Stiffness!Y96,0)),IF(Element_Stiffness!$E$75=5,IF(4=Element_Stiffness!$C$75,Element_Stiffness!S102,IF(4=Element_Stiffness!$E$75,Element_Stiffness!Y102,0)),0)),0)+IF(Element_Stiffness!$C$111,IF(Element_Stiffness!$C$110=5,IF(4=Element_Stiffness!$C$110,Element_Stiffness!S131,IF(4=Element_Stiffness!$E$110,Element_Stiffness!Y131,0)),IF(Element_Stiffness!$E$110=5,IF(4=Element_Stiffness!$C$110,Element_Stiffness!S137,IF(4=Element_Stiffness!$E$110,Element_Stiffness!Y137,0)),0)),0)+IF(Element_Stiffness!$C$146,IF(Element_Stiffness!$C$145=5,IF(4=Element_Stiffness!$C$145,Element_Stiffness!S166,IF(4=Element_Stiffness!$E$145,Element_Stiffness!Y166,0)),IF(Element_Stiffness!$E$145=5,IF(4=Element_Stiffness!$C$145,Element_Stiffness!S172,IF(4=Element_Stiffness!$E$145,Element_Stiffness!Y172,0)),0)),0)+IF(Element_Stiffness!$C$181,IF(Element_Stiffness!$C$180=5,IF(4=Element_Stiffness!$C$180,Element_Stiffness!S201,IF(4=Element_Stiffness!$E$180,Element_Stiffness!Y201,0)),IF(Element_Stiffness!$E$180=5,IF(4=Element_Stiffness!$C$180,Element_Stiffness!S207,IF(4=Element_Stiffness!$E$180,Element_Stiffness!Y207,0)),0)),0)+IF(Element_Stiffness!$C$216,IF(Element_Stiffness!$C$215=5,IF(4=Element_Stiffness!$C$215,Element_Stiffness!S236,IF(4=Element_Stiffness!$E$215,Element_Stiffness!Y236,0)),IF(Element_Stiffness!$E$215=5,IF(4=Element_Stiffness!$C$215,Element_Stiffness!S242,IF(4=Element_Stiffness!$E$215,Element_Stiffness!Y242,0)),0)),0)</f>
        <v/>
      </c>
      <c r="AE35" s="21">
        <f>IF(Element_Stiffness!$C$6,IF(Element_Stiffness!$C$5=5,IF(4=Element_Stiffness!$C$5,Element_Stiffness!T26,IF(4=Element_Stiffness!$E$5,Element_Stiffness!Z26,0)),IF(Element_Stiffness!$E$5=5,IF(4=Element_Stiffness!$C$5,Element_Stiffness!T32,IF(4=Element_Stiffness!$E$5,Element_Stiffness!Z32,0)),0)),0)+IF(Element_Stiffness!$C$41,IF(Element_Stiffness!$C$40=5,IF(4=Element_Stiffness!$C$40,Element_Stiffness!T61,IF(4=Element_Stiffness!$E$40,Element_Stiffness!Z61,0)),IF(Element_Stiffness!$E$40=5,IF(4=Element_Stiffness!$C$40,Element_Stiffness!T67,IF(4=Element_Stiffness!$E$40,Element_Stiffness!Z67,0)),0)),0)+IF(Element_Stiffness!$C$76,IF(Element_Stiffness!$C$75=5,IF(4=Element_Stiffness!$C$75,Element_Stiffness!T96,IF(4=Element_Stiffness!$E$75,Element_Stiffness!Z96,0)),IF(Element_Stiffness!$E$75=5,IF(4=Element_Stiffness!$C$75,Element_Stiffness!T102,IF(4=Element_Stiffness!$E$75,Element_Stiffness!Z102,0)),0)),0)+IF(Element_Stiffness!$C$111,IF(Element_Stiffness!$C$110=5,IF(4=Element_Stiffness!$C$110,Element_Stiffness!T131,IF(4=Element_Stiffness!$E$110,Element_Stiffness!Z131,0)),IF(Element_Stiffness!$E$110=5,IF(4=Element_Stiffness!$C$110,Element_Stiffness!T137,IF(4=Element_Stiffness!$E$110,Element_Stiffness!Z137,0)),0)),0)+IF(Element_Stiffness!$C$146,IF(Element_Stiffness!$C$145=5,IF(4=Element_Stiffness!$C$145,Element_Stiffness!T166,IF(4=Element_Stiffness!$E$145,Element_Stiffness!Z166,0)),IF(Element_Stiffness!$E$145=5,IF(4=Element_Stiffness!$C$145,Element_Stiffness!T172,IF(4=Element_Stiffness!$E$145,Element_Stiffness!Z172,0)),0)),0)+IF(Element_Stiffness!$C$181,IF(Element_Stiffness!$C$180=5,IF(4=Element_Stiffness!$C$180,Element_Stiffness!T201,IF(4=Element_Stiffness!$E$180,Element_Stiffness!Z201,0)),IF(Element_Stiffness!$E$180=5,IF(4=Element_Stiffness!$C$180,Element_Stiffness!T207,IF(4=Element_Stiffness!$E$180,Element_Stiffness!Z207,0)),0)),0)+IF(Element_Stiffness!$C$216,IF(Element_Stiffness!$C$215=5,IF(4=Element_Stiffness!$C$215,Element_Stiffness!T236,IF(4=Element_Stiffness!$E$215,Element_Stiffness!Z236,0)),IF(Element_Stiffness!$E$215=5,IF(4=Element_Stiffness!$C$215,Element_Stiffness!T242,IF(4=Element_Stiffness!$E$215,Element_Stiffness!Z242,0)),0)),0)</f>
        <v/>
      </c>
      <c r="AF35" s="21">
        <f>IF(Element_Stiffness!$C$6,IF(Element_Stiffness!$C$5=5,IF(4=Element_Stiffness!$C$5,Element_Stiffness!U26,IF(4=Element_Stiffness!$E$5,Element_Stiffness!AA26,0)),IF(Element_Stiffness!$E$5=5,IF(4=Element_Stiffness!$C$5,Element_Stiffness!U32,IF(4=Element_Stiffness!$E$5,Element_Stiffness!AA32,0)),0)),0)+IF(Element_Stiffness!$C$41,IF(Element_Stiffness!$C$40=5,IF(4=Element_Stiffness!$C$40,Element_Stiffness!U61,IF(4=Element_Stiffness!$E$40,Element_Stiffness!AA61,0)),IF(Element_Stiffness!$E$40=5,IF(4=Element_Stiffness!$C$40,Element_Stiffness!U67,IF(4=Element_Stiffness!$E$40,Element_Stiffness!AA67,0)),0)),0)+IF(Element_Stiffness!$C$76,IF(Element_Stiffness!$C$75=5,IF(4=Element_Stiffness!$C$75,Element_Stiffness!U96,IF(4=Element_Stiffness!$E$75,Element_Stiffness!AA96,0)),IF(Element_Stiffness!$E$75=5,IF(4=Element_Stiffness!$C$75,Element_Stiffness!U102,IF(4=Element_Stiffness!$E$75,Element_Stiffness!AA102,0)),0)),0)+IF(Element_Stiffness!$C$111,IF(Element_Stiffness!$C$110=5,IF(4=Element_Stiffness!$C$110,Element_Stiffness!U131,IF(4=Element_Stiffness!$E$110,Element_Stiffness!AA131,0)),IF(Element_Stiffness!$E$110=5,IF(4=Element_Stiffness!$C$110,Element_Stiffness!U137,IF(4=Element_Stiffness!$E$110,Element_Stiffness!AA137,0)),0)),0)+IF(Element_Stiffness!$C$146,IF(Element_Stiffness!$C$145=5,IF(4=Element_Stiffness!$C$145,Element_Stiffness!U166,IF(4=Element_Stiffness!$E$145,Element_Stiffness!AA166,0)),IF(Element_Stiffness!$E$145=5,IF(4=Element_Stiffness!$C$145,Element_Stiffness!U172,IF(4=Element_Stiffness!$E$145,Element_Stiffness!AA172,0)),0)),0)+IF(Element_Stiffness!$C$181,IF(Element_Stiffness!$C$180=5,IF(4=Element_Stiffness!$C$180,Element_Stiffness!U201,IF(4=Element_Stiffness!$E$180,Element_Stiffness!AA201,0)),IF(Element_Stiffness!$E$180=5,IF(4=Element_Stiffness!$C$180,Element_Stiffness!U207,IF(4=Element_Stiffness!$E$180,Element_Stiffness!AA207,0)),0)),0)+IF(Element_Stiffness!$C$216,IF(Element_Stiffness!$C$215=5,IF(4=Element_Stiffness!$C$215,Element_Stiffness!U236,IF(4=Element_Stiffness!$E$215,Element_Stiffness!AA236,0)),IF(Element_Stiffness!$E$215=5,IF(4=Element_Stiffness!$C$215,Element_Stiffness!U242,IF(4=Element_Stiffness!$E$215,Element_Stiffness!AA242,0)),0)),0)</f>
        <v/>
      </c>
      <c r="AG35" s="21">
        <f>IF(Element_Stiffness!$C$6,IF(Element_Stiffness!$C$5=5,IF(5=Element_Stiffness!$C$5,Element_Stiffness!P26,IF(5=Element_Stiffness!$E$5,Element_Stiffness!V26,0)),IF(Element_Stiffness!$E$5=5,IF(5=Element_Stiffness!$C$5,Element_Stiffness!P32,IF(5=Element_Stiffness!$E$5,Element_Stiffness!V32,0)),0)),0)+IF(Element_Stiffness!$C$41,IF(Element_Stiffness!$C$40=5,IF(5=Element_Stiffness!$C$40,Element_Stiffness!P61,IF(5=Element_Stiffness!$E$40,Element_Stiffness!V61,0)),IF(Element_Stiffness!$E$40=5,IF(5=Element_Stiffness!$C$40,Element_Stiffness!P67,IF(5=Element_Stiffness!$E$40,Element_Stiffness!V67,0)),0)),0)+IF(Element_Stiffness!$C$76,IF(Element_Stiffness!$C$75=5,IF(5=Element_Stiffness!$C$75,Element_Stiffness!P96,IF(5=Element_Stiffness!$E$75,Element_Stiffness!V96,0)),IF(Element_Stiffness!$E$75=5,IF(5=Element_Stiffness!$C$75,Element_Stiffness!P102,IF(5=Element_Stiffness!$E$75,Element_Stiffness!V102,0)),0)),0)+IF(Element_Stiffness!$C$111,IF(Element_Stiffness!$C$110=5,IF(5=Element_Stiffness!$C$110,Element_Stiffness!P131,IF(5=Element_Stiffness!$E$110,Element_Stiffness!V131,0)),IF(Element_Stiffness!$E$110=5,IF(5=Element_Stiffness!$C$110,Element_Stiffness!P137,IF(5=Element_Stiffness!$E$110,Element_Stiffness!V137,0)),0)),0)+IF(Element_Stiffness!$C$146,IF(Element_Stiffness!$C$145=5,IF(5=Element_Stiffness!$C$145,Element_Stiffness!P166,IF(5=Element_Stiffness!$E$145,Element_Stiffness!V166,0)),IF(Element_Stiffness!$E$145=5,IF(5=Element_Stiffness!$C$145,Element_Stiffness!P172,IF(5=Element_Stiffness!$E$145,Element_Stiffness!V172,0)),0)),0)+IF(Element_Stiffness!$C$181,IF(Element_Stiffness!$C$180=5,IF(5=Element_Stiffness!$C$180,Element_Stiffness!P201,IF(5=Element_Stiffness!$E$180,Element_Stiffness!V201,0)),IF(Element_Stiffness!$E$180=5,IF(5=Element_Stiffness!$C$180,Element_Stiffness!P207,IF(5=Element_Stiffness!$E$180,Element_Stiffness!V207,0)),0)),0)+IF(Element_Stiffness!$C$216,IF(Element_Stiffness!$C$215=5,IF(5=Element_Stiffness!$C$215,Element_Stiffness!P236,IF(5=Element_Stiffness!$E$215,Element_Stiffness!V236,0)),IF(Element_Stiffness!$E$215=5,IF(5=Element_Stiffness!$C$215,Element_Stiffness!P242,IF(5=Element_Stiffness!$E$215,Element_Stiffness!V242,0)),0)),0)+IF(Inputs!C45=TRUE,1E15,IF(ISNUMBER(Inputs!C45),Inputs!C45,0))</f>
        <v/>
      </c>
      <c r="AH35" s="21">
        <f>IF(Element_Stiffness!$C$6,IF(Element_Stiffness!$C$5=5,IF(5=Element_Stiffness!$C$5,Element_Stiffness!Q26,IF(5=Element_Stiffness!$E$5,Element_Stiffness!W26,0)),IF(Element_Stiffness!$E$5=5,IF(5=Element_Stiffness!$C$5,Element_Stiffness!Q32,IF(5=Element_Stiffness!$E$5,Element_Stiffness!W32,0)),0)),0)+IF(Element_Stiffness!$C$41,IF(Element_Stiffness!$C$40=5,IF(5=Element_Stiffness!$C$40,Element_Stiffness!Q61,IF(5=Element_Stiffness!$E$40,Element_Stiffness!W61,0)),IF(Element_Stiffness!$E$40=5,IF(5=Element_Stiffness!$C$40,Element_Stiffness!Q67,IF(5=Element_Stiffness!$E$40,Element_Stiffness!W67,0)),0)),0)+IF(Element_Stiffness!$C$76,IF(Element_Stiffness!$C$75=5,IF(5=Element_Stiffness!$C$75,Element_Stiffness!Q96,IF(5=Element_Stiffness!$E$75,Element_Stiffness!W96,0)),IF(Element_Stiffness!$E$75=5,IF(5=Element_Stiffness!$C$75,Element_Stiffness!Q102,IF(5=Element_Stiffness!$E$75,Element_Stiffness!W102,0)),0)),0)+IF(Element_Stiffness!$C$111,IF(Element_Stiffness!$C$110=5,IF(5=Element_Stiffness!$C$110,Element_Stiffness!Q131,IF(5=Element_Stiffness!$E$110,Element_Stiffness!W131,0)),IF(Element_Stiffness!$E$110=5,IF(5=Element_Stiffness!$C$110,Element_Stiffness!Q137,IF(5=Element_Stiffness!$E$110,Element_Stiffness!W137,0)),0)),0)+IF(Element_Stiffness!$C$146,IF(Element_Stiffness!$C$145=5,IF(5=Element_Stiffness!$C$145,Element_Stiffness!Q166,IF(5=Element_Stiffness!$E$145,Element_Stiffness!W166,0)),IF(Element_Stiffness!$E$145=5,IF(5=Element_Stiffness!$C$145,Element_Stiffness!Q172,IF(5=Element_Stiffness!$E$145,Element_Stiffness!W172,0)),0)),0)+IF(Element_Stiffness!$C$181,IF(Element_Stiffness!$C$180=5,IF(5=Element_Stiffness!$C$180,Element_Stiffness!Q201,IF(5=Element_Stiffness!$E$180,Element_Stiffness!W201,0)),IF(Element_Stiffness!$E$180=5,IF(5=Element_Stiffness!$C$180,Element_Stiffness!Q207,IF(5=Element_Stiffness!$E$180,Element_Stiffness!W207,0)),0)),0)+IF(Element_Stiffness!$C$216,IF(Element_Stiffness!$C$215=5,IF(5=Element_Stiffness!$C$215,Element_Stiffness!Q236,IF(5=Element_Stiffness!$E$215,Element_Stiffness!W236,0)),IF(Element_Stiffness!$E$215=5,IF(5=Element_Stiffness!$C$215,Element_Stiffness!Q242,IF(5=Element_Stiffness!$E$215,Element_Stiffness!W242,0)),0)),0)</f>
        <v/>
      </c>
      <c r="AI35" s="21">
        <f>IF(Element_Stiffness!$C$6,IF(Element_Stiffness!$C$5=5,IF(5=Element_Stiffness!$C$5,Element_Stiffness!R26,IF(5=Element_Stiffness!$E$5,Element_Stiffness!X26,0)),IF(Element_Stiffness!$E$5=5,IF(5=Element_Stiffness!$C$5,Element_Stiffness!R32,IF(5=Element_Stiffness!$E$5,Element_Stiffness!X32,0)),0)),0)+IF(Element_Stiffness!$C$41,IF(Element_Stiffness!$C$40=5,IF(5=Element_Stiffness!$C$40,Element_Stiffness!R61,IF(5=Element_Stiffness!$E$40,Element_Stiffness!X61,0)),IF(Element_Stiffness!$E$40=5,IF(5=Element_Stiffness!$C$40,Element_Stiffness!R67,IF(5=Element_Stiffness!$E$40,Element_Stiffness!X67,0)),0)),0)+IF(Element_Stiffness!$C$76,IF(Element_Stiffness!$C$75=5,IF(5=Element_Stiffness!$C$75,Element_Stiffness!R96,IF(5=Element_Stiffness!$E$75,Element_Stiffness!X96,0)),IF(Element_Stiffness!$E$75=5,IF(5=Element_Stiffness!$C$75,Element_Stiffness!R102,IF(5=Element_Stiffness!$E$75,Element_Stiffness!X102,0)),0)),0)+IF(Element_Stiffness!$C$111,IF(Element_Stiffness!$C$110=5,IF(5=Element_Stiffness!$C$110,Element_Stiffness!R131,IF(5=Element_Stiffness!$E$110,Element_Stiffness!X131,0)),IF(Element_Stiffness!$E$110=5,IF(5=Element_Stiffness!$C$110,Element_Stiffness!R137,IF(5=Element_Stiffness!$E$110,Element_Stiffness!X137,0)),0)),0)+IF(Element_Stiffness!$C$146,IF(Element_Stiffness!$C$145=5,IF(5=Element_Stiffness!$C$145,Element_Stiffness!R166,IF(5=Element_Stiffness!$E$145,Element_Stiffness!X166,0)),IF(Element_Stiffness!$E$145=5,IF(5=Element_Stiffness!$C$145,Element_Stiffness!R172,IF(5=Element_Stiffness!$E$145,Element_Stiffness!X172,0)),0)),0)+IF(Element_Stiffness!$C$181,IF(Element_Stiffness!$C$180=5,IF(5=Element_Stiffness!$C$180,Element_Stiffness!R201,IF(5=Element_Stiffness!$E$180,Element_Stiffness!X201,0)),IF(Element_Stiffness!$E$180=5,IF(5=Element_Stiffness!$C$180,Element_Stiffness!R207,IF(5=Element_Stiffness!$E$180,Element_Stiffness!X207,0)),0)),0)+IF(Element_Stiffness!$C$216,IF(Element_Stiffness!$C$215=5,IF(5=Element_Stiffness!$C$215,Element_Stiffness!R236,IF(5=Element_Stiffness!$E$215,Element_Stiffness!X236,0)),IF(Element_Stiffness!$E$215=5,IF(5=Element_Stiffness!$C$215,Element_Stiffness!R242,IF(5=Element_Stiffness!$E$215,Element_Stiffness!X242,0)),0)),0)</f>
        <v/>
      </c>
      <c r="AJ35" s="21">
        <f>IF(Element_Stiffness!$C$6,IF(Element_Stiffness!$C$5=5,IF(5=Element_Stiffness!$C$5,Element_Stiffness!S26,IF(5=Element_Stiffness!$E$5,Element_Stiffness!Y26,0)),IF(Element_Stiffness!$E$5=5,IF(5=Element_Stiffness!$C$5,Element_Stiffness!S32,IF(5=Element_Stiffness!$E$5,Element_Stiffness!Y32,0)),0)),0)+IF(Element_Stiffness!$C$41,IF(Element_Stiffness!$C$40=5,IF(5=Element_Stiffness!$C$40,Element_Stiffness!S61,IF(5=Element_Stiffness!$E$40,Element_Stiffness!Y61,0)),IF(Element_Stiffness!$E$40=5,IF(5=Element_Stiffness!$C$40,Element_Stiffness!S67,IF(5=Element_Stiffness!$E$40,Element_Stiffness!Y67,0)),0)),0)+IF(Element_Stiffness!$C$76,IF(Element_Stiffness!$C$75=5,IF(5=Element_Stiffness!$C$75,Element_Stiffness!S96,IF(5=Element_Stiffness!$E$75,Element_Stiffness!Y96,0)),IF(Element_Stiffness!$E$75=5,IF(5=Element_Stiffness!$C$75,Element_Stiffness!S102,IF(5=Element_Stiffness!$E$75,Element_Stiffness!Y102,0)),0)),0)+IF(Element_Stiffness!$C$111,IF(Element_Stiffness!$C$110=5,IF(5=Element_Stiffness!$C$110,Element_Stiffness!S131,IF(5=Element_Stiffness!$E$110,Element_Stiffness!Y131,0)),IF(Element_Stiffness!$E$110=5,IF(5=Element_Stiffness!$C$110,Element_Stiffness!S137,IF(5=Element_Stiffness!$E$110,Element_Stiffness!Y137,0)),0)),0)+IF(Element_Stiffness!$C$146,IF(Element_Stiffness!$C$145=5,IF(5=Element_Stiffness!$C$145,Element_Stiffness!S166,IF(5=Element_Stiffness!$E$145,Element_Stiffness!Y166,0)),IF(Element_Stiffness!$E$145=5,IF(5=Element_Stiffness!$C$145,Element_Stiffness!S172,IF(5=Element_Stiffness!$E$145,Element_Stiffness!Y172,0)),0)),0)+IF(Element_Stiffness!$C$181,IF(Element_Stiffness!$C$180=5,IF(5=Element_Stiffness!$C$180,Element_Stiffness!S201,IF(5=Element_Stiffness!$E$180,Element_Stiffness!Y201,0)),IF(Element_Stiffness!$E$180=5,IF(5=Element_Stiffness!$C$180,Element_Stiffness!S207,IF(5=Element_Stiffness!$E$180,Element_Stiffness!Y207,0)),0)),0)+IF(Element_Stiffness!$C$216,IF(Element_Stiffness!$C$215=5,IF(5=Element_Stiffness!$C$215,Element_Stiffness!S236,IF(5=Element_Stiffness!$E$215,Element_Stiffness!Y236,0)),IF(Element_Stiffness!$E$215=5,IF(5=Element_Stiffness!$C$215,Element_Stiffness!S242,IF(5=Element_Stiffness!$E$215,Element_Stiffness!Y242,0)),0)),0)</f>
        <v/>
      </c>
      <c r="AK35" s="21">
        <f>IF(Element_Stiffness!$C$6,IF(Element_Stiffness!$C$5=5,IF(5=Element_Stiffness!$C$5,Element_Stiffness!T26,IF(5=Element_Stiffness!$E$5,Element_Stiffness!Z26,0)),IF(Element_Stiffness!$E$5=5,IF(5=Element_Stiffness!$C$5,Element_Stiffness!T32,IF(5=Element_Stiffness!$E$5,Element_Stiffness!Z32,0)),0)),0)+IF(Element_Stiffness!$C$41,IF(Element_Stiffness!$C$40=5,IF(5=Element_Stiffness!$C$40,Element_Stiffness!T61,IF(5=Element_Stiffness!$E$40,Element_Stiffness!Z61,0)),IF(Element_Stiffness!$E$40=5,IF(5=Element_Stiffness!$C$40,Element_Stiffness!T67,IF(5=Element_Stiffness!$E$40,Element_Stiffness!Z67,0)),0)),0)+IF(Element_Stiffness!$C$76,IF(Element_Stiffness!$C$75=5,IF(5=Element_Stiffness!$C$75,Element_Stiffness!T96,IF(5=Element_Stiffness!$E$75,Element_Stiffness!Z96,0)),IF(Element_Stiffness!$E$75=5,IF(5=Element_Stiffness!$C$75,Element_Stiffness!T102,IF(5=Element_Stiffness!$E$75,Element_Stiffness!Z102,0)),0)),0)+IF(Element_Stiffness!$C$111,IF(Element_Stiffness!$C$110=5,IF(5=Element_Stiffness!$C$110,Element_Stiffness!T131,IF(5=Element_Stiffness!$E$110,Element_Stiffness!Z131,0)),IF(Element_Stiffness!$E$110=5,IF(5=Element_Stiffness!$C$110,Element_Stiffness!T137,IF(5=Element_Stiffness!$E$110,Element_Stiffness!Z137,0)),0)),0)+IF(Element_Stiffness!$C$146,IF(Element_Stiffness!$C$145=5,IF(5=Element_Stiffness!$C$145,Element_Stiffness!T166,IF(5=Element_Stiffness!$E$145,Element_Stiffness!Z166,0)),IF(Element_Stiffness!$E$145=5,IF(5=Element_Stiffness!$C$145,Element_Stiffness!T172,IF(5=Element_Stiffness!$E$145,Element_Stiffness!Z172,0)),0)),0)+IF(Element_Stiffness!$C$181,IF(Element_Stiffness!$C$180=5,IF(5=Element_Stiffness!$C$180,Element_Stiffness!T201,IF(5=Element_Stiffness!$E$180,Element_Stiffness!Z201,0)),IF(Element_Stiffness!$E$180=5,IF(5=Element_Stiffness!$C$180,Element_Stiffness!T207,IF(5=Element_Stiffness!$E$180,Element_Stiffness!Z207,0)),0)),0)+IF(Element_Stiffness!$C$216,IF(Element_Stiffness!$C$215=5,IF(5=Element_Stiffness!$C$215,Element_Stiffness!T236,IF(5=Element_Stiffness!$E$215,Element_Stiffness!Z236,0)),IF(Element_Stiffness!$E$215=5,IF(5=Element_Stiffness!$C$215,Element_Stiffness!T242,IF(5=Element_Stiffness!$E$215,Element_Stiffness!Z242,0)),0)),0)</f>
        <v/>
      </c>
      <c r="AL35" s="21">
        <f>IF(Element_Stiffness!$C$6,IF(Element_Stiffness!$C$5=5,IF(5=Element_Stiffness!$C$5,Element_Stiffness!U26,IF(5=Element_Stiffness!$E$5,Element_Stiffness!AA26,0)),IF(Element_Stiffness!$E$5=5,IF(5=Element_Stiffness!$C$5,Element_Stiffness!U32,IF(5=Element_Stiffness!$E$5,Element_Stiffness!AA32,0)),0)),0)+IF(Element_Stiffness!$C$41,IF(Element_Stiffness!$C$40=5,IF(5=Element_Stiffness!$C$40,Element_Stiffness!U61,IF(5=Element_Stiffness!$E$40,Element_Stiffness!AA61,0)),IF(Element_Stiffness!$E$40=5,IF(5=Element_Stiffness!$C$40,Element_Stiffness!U67,IF(5=Element_Stiffness!$E$40,Element_Stiffness!AA67,0)),0)),0)+IF(Element_Stiffness!$C$76,IF(Element_Stiffness!$C$75=5,IF(5=Element_Stiffness!$C$75,Element_Stiffness!U96,IF(5=Element_Stiffness!$E$75,Element_Stiffness!AA96,0)),IF(Element_Stiffness!$E$75=5,IF(5=Element_Stiffness!$C$75,Element_Stiffness!U102,IF(5=Element_Stiffness!$E$75,Element_Stiffness!AA102,0)),0)),0)+IF(Element_Stiffness!$C$111,IF(Element_Stiffness!$C$110=5,IF(5=Element_Stiffness!$C$110,Element_Stiffness!U131,IF(5=Element_Stiffness!$E$110,Element_Stiffness!AA131,0)),IF(Element_Stiffness!$E$110=5,IF(5=Element_Stiffness!$C$110,Element_Stiffness!U137,IF(5=Element_Stiffness!$E$110,Element_Stiffness!AA137,0)),0)),0)+IF(Element_Stiffness!$C$146,IF(Element_Stiffness!$C$145=5,IF(5=Element_Stiffness!$C$145,Element_Stiffness!U166,IF(5=Element_Stiffness!$E$145,Element_Stiffness!AA166,0)),IF(Element_Stiffness!$E$145=5,IF(5=Element_Stiffness!$C$145,Element_Stiffness!U172,IF(5=Element_Stiffness!$E$145,Element_Stiffness!AA172,0)),0)),0)+IF(Element_Stiffness!$C$181,IF(Element_Stiffness!$C$180=5,IF(5=Element_Stiffness!$C$180,Element_Stiffness!U201,IF(5=Element_Stiffness!$E$180,Element_Stiffness!AA201,0)),IF(Element_Stiffness!$E$180=5,IF(5=Element_Stiffness!$C$180,Element_Stiffness!U207,IF(5=Element_Stiffness!$E$180,Element_Stiffness!AA207,0)),0)),0)+IF(Element_Stiffness!$C$216,IF(Element_Stiffness!$C$215=5,IF(5=Element_Stiffness!$C$215,Element_Stiffness!U236,IF(5=Element_Stiffness!$E$215,Element_Stiffness!AA236,0)),IF(Element_Stiffness!$E$215=5,IF(5=Element_Stiffness!$C$215,Element_Stiffness!U242,IF(5=Element_Stiffness!$E$215,Element_Stiffness!AA242,0)),0)),0)</f>
        <v/>
      </c>
      <c r="AM35" s="21">
        <f>IF(Element_Stiffness!$C$6,IF(Element_Stiffness!$C$5=5,IF(6=Element_Stiffness!$C$5,Element_Stiffness!P26,IF(6=Element_Stiffness!$E$5,Element_Stiffness!V26,0)),IF(Element_Stiffness!$E$5=5,IF(6=Element_Stiffness!$C$5,Element_Stiffness!P32,IF(6=Element_Stiffness!$E$5,Element_Stiffness!V32,0)),0)),0)+IF(Element_Stiffness!$C$41,IF(Element_Stiffness!$C$40=5,IF(6=Element_Stiffness!$C$40,Element_Stiffness!P61,IF(6=Element_Stiffness!$E$40,Element_Stiffness!V61,0)),IF(Element_Stiffness!$E$40=5,IF(6=Element_Stiffness!$C$40,Element_Stiffness!P67,IF(6=Element_Stiffness!$E$40,Element_Stiffness!V67,0)),0)),0)+IF(Element_Stiffness!$C$76,IF(Element_Stiffness!$C$75=5,IF(6=Element_Stiffness!$C$75,Element_Stiffness!P96,IF(6=Element_Stiffness!$E$75,Element_Stiffness!V96,0)),IF(Element_Stiffness!$E$75=5,IF(6=Element_Stiffness!$C$75,Element_Stiffness!P102,IF(6=Element_Stiffness!$E$75,Element_Stiffness!V102,0)),0)),0)+IF(Element_Stiffness!$C$111,IF(Element_Stiffness!$C$110=5,IF(6=Element_Stiffness!$C$110,Element_Stiffness!P131,IF(6=Element_Stiffness!$E$110,Element_Stiffness!V131,0)),IF(Element_Stiffness!$E$110=5,IF(6=Element_Stiffness!$C$110,Element_Stiffness!P137,IF(6=Element_Stiffness!$E$110,Element_Stiffness!V137,0)),0)),0)+IF(Element_Stiffness!$C$146,IF(Element_Stiffness!$C$145=5,IF(6=Element_Stiffness!$C$145,Element_Stiffness!P166,IF(6=Element_Stiffness!$E$145,Element_Stiffness!V166,0)),IF(Element_Stiffness!$E$145=5,IF(6=Element_Stiffness!$C$145,Element_Stiffness!P172,IF(6=Element_Stiffness!$E$145,Element_Stiffness!V172,0)),0)),0)+IF(Element_Stiffness!$C$181,IF(Element_Stiffness!$C$180=5,IF(6=Element_Stiffness!$C$180,Element_Stiffness!P201,IF(6=Element_Stiffness!$E$180,Element_Stiffness!V201,0)),IF(Element_Stiffness!$E$180=5,IF(6=Element_Stiffness!$C$180,Element_Stiffness!P207,IF(6=Element_Stiffness!$E$180,Element_Stiffness!V207,0)),0)),0)+IF(Element_Stiffness!$C$216,IF(Element_Stiffness!$C$215=5,IF(6=Element_Stiffness!$C$215,Element_Stiffness!P236,IF(6=Element_Stiffness!$E$215,Element_Stiffness!V236,0)),IF(Element_Stiffness!$E$215=5,IF(6=Element_Stiffness!$C$215,Element_Stiffness!P242,IF(6=Element_Stiffness!$E$215,Element_Stiffness!V242,0)),0)),0)</f>
        <v/>
      </c>
      <c r="AN35" s="21">
        <f>IF(Element_Stiffness!$C$6,IF(Element_Stiffness!$C$5=5,IF(6=Element_Stiffness!$C$5,Element_Stiffness!Q26,IF(6=Element_Stiffness!$E$5,Element_Stiffness!W26,0)),IF(Element_Stiffness!$E$5=5,IF(6=Element_Stiffness!$C$5,Element_Stiffness!Q32,IF(6=Element_Stiffness!$E$5,Element_Stiffness!W32,0)),0)),0)+IF(Element_Stiffness!$C$41,IF(Element_Stiffness!$C$40=5,IF(6=Element_Stiffness!$C$40,Element_Stiffness!Q61,IF(6=Element_Stiffness!$E$40,Element_Stiffness!W61,0)),IF(Element_Stiffness!$E$40=5,IF(6=Element_Stiffness!$C$40,Element_Stiffness!Q67,IF(6=Element_Stiffness!$E$40,Element_Stiffness!W67,0)),0)),0)+IF(Element_Stiffness!$C$76,IF(Element_Stiffness!$C$75=5,IF(6=Element_Stiffness!$C$75,Element_Stiffness!Q96,IF(6=Element_Stiffness!$E$75,Element_Stiffness!W96,0)),IF(Element_Stiffness!$E$75=5,IF(6=Element_Stiffness!$C$75,Element_Stiffness!Q102,IF(6=Element_Stiffness!$E$75,Element_Stiffness!W102,0)),0)),0)+IF(Element_Stiffness!$C$111,IF(Element_Stiffness!$C$110=5,IF(6=Element_Stiffness!$C$110,Element_Stiffness!Q131,IF(6=Element_Stiffness!$E$110,Element_Stiffness!W131,0)),IF(Element_Stiffness!$E$110=5,IF(6=Element_Stiffness!$C$110,Element_Stiffness!Q137,IF(6=Element_Stiffness!$E$110,Element_Stiffness!W137,0)),0)),0)+IF(Element_Stiffness!$C$146,IF(Element_Stiffness!$C$145=5,IF(6=Element_Stiffness!$C$145,Element_Stiffness!Q166,IF(6=Element_Stiffness!$E$145,Element_Stiffness!W166,0)),IF(Element_Stiffness!$E$145=5,IF(6=Element_Stiffness!$C$145,Element_Stiffness!Q172,IF(6=Element_Stiffness!$E$145,Element_Stiffness!W172,0)),0)),0)+IF(Element_Stiffness!$C$181,IF(Element_Stiffness!$C$180=5,IF(6=Element_Stiffness!$C$180,Element_Stiffness!Q201,IF(6=Element_Stiffness!$E$180,Element_Stiffness!W201,0)),IF(Element_Stiffness!$E$180=5,IF(6=Element_Stiffness!$C$180,Element_Stiffness!Q207,IF(6=Element_Stiffness!$E$180,Element_Stiffness!W207,0)),0)),0)+IF(Element_Stiffness!$C$216,IF(Element_Stiffness!$C$215=5,IF(6=Element_Stiffness!$C$215,Element_Stiffness!Q236,IF(6=Element_Stiffness!$E$215,Element_Stiffness!W236,0)),IF(Element_Stiffness!$E$215=5,IF(6=Element_Stiffness!$C$215,Element_Stiffness!Q242,IF(6=Element_Stiffness!$E$215,Element_Stiffness!W242,0)),0)),0)</f>
        <v/>
      </c>
      <c r="AO35" s="21">
        <f>IF(Element_Stiffness!$C$6,IF(Element_Stiffness!$C$5=5,IF(6=Element_Stiffness!$C$5,Element_Stiffness!R26,IF(6=Element_Stiffness!$E$5,Element_Stiffness!X26,0)),IF(Element_Stiffness!$E$5=5,IF(6=Element_Stiffness!$C$5,Element_Stiffness!R32,IF(6=Element_Stiffness!$E$5,Element_Stiffness!X32,0)),0)),0)+IF(Element_Stiffness!$C$41,IF(Element_Stiffness!$C$40=5,IF(6=Element_Stiffness!$C$40,Element_Stiffness!R61,IF(6=Element_Stiffness!$E$40,Element_Stiffness!X61,0)),IF(Element_Stiffness!$E$40=5,IF(6=Element_Stiffness!$C$40,Element_Stiffness!R67,IF(6=Element_Stiffness!$E$40,Element_Stiffness!X67,0)),0)),0)+IF(Element_Stiffness!$C$76,IF(Element_Stiffness!$C$75=5,IF(6=Element_Stiffness!$C$75,Element_Stiffness!R96,IF(6=Element_Stiffness!$E$75,Element_Stiffness!X96,0)),IF(Element_Stiffness!$E$75=5,IF(6=Element_Stiffness!$C$75,Element_Stiffness!R102,IF(6=Element_Stiffness!$E$75,Element_Stiffness!X102,0)),0)),0)+IF(Element_Stiffness!$C$111,IF(Element_Stiffness!$C$110=5,IF(6=Element_Stiffness!$C$110,Element_Stiffness!R131,IF(6=Element_Stiffness!$E$110,Element_Stiffness!X131,0)),IF(Element_Stiffness!$E$110=5,IF(6=Element_Stiffness!$C$110,Element_Stiffness!R137,IF(6=Element_Stiffness!$E$110,Element_Stiffness!X137,0)),0)),0)+IF(Element_Stiffness!$C$146,IF(Element_Stiffness!$C$145=5,IF(6=Element_Stiffness!$C$145,Element_Stiffness!R166,IF(6=Element_Stiffness!$E$145,Element_Stiffness!X166,0)),IF(Element_Stiffness!$E$145=5,IF(6=Element_Stiffness!$C$145,Element_Stiffness!R172,IF(6=Element_Stiffness!$E$145,Element_Stiffness!X172,0)),0)),0)+IF(Element_Stiffness!$C$181,IF(Element_Stiffness!$C$180=5,IF(6=Element_Stiffness!$C$180,Element_Stiffness!R201,IF(6=Element_Stiffness!$E$180,Element_Stiffness!X201,0)),IF(Element_Stiffness!$E$180=5,IF(6=Element_Stiffness!$C$180,Element_Stiffness!R207,IF(6=Element_Stiffness!$E$180,Element_Stiffness!X207,0)),0)),0)+IF(Element_Stiffness!$C$216,IF(Element_Stiffness!$C$215=5,IF(6=Element_Stiffness!$C$215,Element_Stiffness!R236,IF(6=Element_Stiffness!$E$215,Element_Stiffness!X236,0)),IF(Element_Stiffness!$E$215=5,IF(6=Element_Stiffness!$C$215,Element_Stiffness!R242,IF(6=Element_Stiffness!$E$215,Element_Stiffness!X242,0)),0)),0)</f>
        <v/>
      </c>
      <c r="AP35" s="21">
        <f>IF(Element_Stiffness!$C$6,IF(Element_Stiffness!$C$5=5,IF(6=Element_Stiffness!$C$5,Element_Stiffness!S26,IF(6=Element_Stiffness!$E$5,Element_Stiffness!Y26,0)),IF(Element_Stiffness!$E$5=5,IF(6=Element_Stiffness!$C$5,Element_Stiffness!S32,IF(6=Element_Stiffness!$E$5,Element_Stiffness!Y32,0)),0)),0)+IF(Element_Stiffness!$C$41,IF(Element_Stiffness!$C$40=5,IF(6=Element_Stiffness!$C$40,Element_Stiffness!S61,IF(6=Element_Stiffness!$E$40,Element_Stiffness!Y61,0)),IF(Element_Stiffness!$E$40=5,IF(6=Element_Stiffness!$C$40,Element_Stiffness!S67,IF(6=Element_Stiffness!$E$40,Element_Stiffness!Y67,0)),0)),0)+IF(Element_Stiffness!$C$76,IF(Element_Stiffness!$C$75=5,IF(6=Element_Stiffness!$C$75,Element_Stiffness!S96,IF(6=Element_Stiffness!$E$75,Element_Stiffness!Y96,0)),IF(Element_Stiffness!$E$75=5,IF(6=Element_Stiffness!$C$75,Element_Stiffness!S102,IF(6=Element_Stiffness!$E$75,Element_Stiffness!Y102,0)),0)),0)+IF(Element_Stiffness!$C$111,IF(Element_Stiffness!$C$110=5,IF(6=Element_Stiffness!$C$110,Element_Stiffness!S131,IF(6=Element_Stiffness!$E$110,Element_Stiffness!Y131,0)),IF(Element_Stiffness!$E$110=5,IF(6=Element_Stiffness!$C$110,Element_Stiffness!S137,IF(6=Element_Stiffness!$E$110,Element_Stiffness!Y137,0)),0)),0)+IF(Element_Stiffness!$C$146,IF(Element_Stiffness!$C$145=5,IF(6=Element_Stiffness!$C$145,Element_Stiffness!S166,IF(6=Element_Stiffness!$E$145,Element_Stiffness!Y166,0)),IF(Element_Stiffness!$E$145=5,IF(6=Element_Stiffness!$C$145,Element_Stiffness!S172,IF(6=Element_Stiffness!$E$145,Element_Stiffness!Y172,0)),0)),0)+IF(Element_Stiffness!$C$181,IF(Element_Stiffness!$C$180=5,IF(6=Element_Stiffness!$C$180,Element_Stiffness!S201,IF(6=Element_Stiffness!$E$180,Element_Stiffness!Y201,0)),IF(Element_Stiffness!$E$180=5,IF(6=Element_Stiffness!$C$180,Element_Stiffness!S207,IF(6=Element_Stiffness!$E$180,Element_Stiffness!Y207,0)),0)),0)+IF(Element_Stiffness!$C$216,IF(Element_Stiffness!$C$215=5,IF(6=Element_Stiffness!$C$215,Element_Stiffness!S236,IF(6=Element_Stiffness!$E$215,Element_Stiffness!Y236,0)),IF(Element_Stiffness!$E$215=5,IF(6=Element_Stiffness!$C$215,Element_Stiffness!S242,IF(6=Element_Stiffness!$E$215,Element_Stiffness!Y242,0)),0)),0)</f>
        <v/>
      </c>
      <c r="AQ35" s="21">
        <f>IF(Element_Stiffness!$C$6,IF(Element_Stiffness!$C$5=5,IF(6=Element_Stiffness!$C$5,Element_Stiffness!T26,IF(6=Element_Stiffness!$E$5,Element_Stiffness!Z26,0)),IF(Element_Stiffness!$E$5=5,IF(6=Element_Stiffness!$C$5,Element_Stiffness!T32,IF(6=Element_Stiffness!$E$5,Element_Stiffness!Z32,0)),0)),0)+IF(Element_Stiffness!$C$41,IF(Element_Stiffness!$C$40=5,IF(6=Element_Stiffness!$C$40,Element_Stiffness!T61,IF(6=Element_Stiffness!$E$40,Element_Stiffness!Z61,0)),IF(Element_Stiffness!$E$40=5,IF(6=Element_Stiffness!$C$40,Element_Stiffness!T67,IF(6=Element_Stiffness!$E$40,Element_Stiffness!Z67,0)),0)),0)+IF(Element_Stiffness!$C$76,IF(Element_Stiffness!$C$75=5,IF(6=Element_Stiffness!$C$75,Element_Stiffness!T96,IF(6=Element_Stiffness!$E$75,Element_Stiffness!Z96,0)),IF(Element_Stiffness!$E$75=5,IF(6=Element_Stiffness!$C$75,Element_Stiffness!T102,IF(6=Element_Stiffness!$E$75,Element_Stiffness!Z102,0)),0)),0)+IF(Element_Stiffness!$C$111,IF(Element_Stiffness!$C$110=5,IF(6=Element_Stiffness!$C$110,Element_Stiffness!T131,IF(6=Element_Stiffness!$E$110,Element_Stiffness!Z131,0)),IF(Element_Stiffness!$E$110=5,IF(6=Element_Stiffness!$C$110,Element_Stiffness!T137,IF(6=Element_Stiffness!$E$110,Element_Stiffness!Z137,0)),0)),0)+IF(Element_Stiffness!$C$146,IF(Element_Stiffness!$C$145=5,IF(6=Element_Stiffness!$C$145,Element_Stiffness!T166,IF(6=Element_Stiffness!$E$145,Element_Stiffness!Z166,0)),IF(Element_Stiffness!$E$145=5,IF(6=Element_Stiffness!$C$145,Element_Stiffness!T172,IF(6=Element_Stiffness!$E$145,Element_Stiffness!Z172,0)),0)),0)+IF(Element_Stiffness!$C$181,IF(Element_Stiffness!$C$180=5,IF(6=Element_Stiffness!$C$180,Element_Stiffness!T201,IF(6=Element_Stiffness!$E$180,Element_Stiffness!Z201,0)),IF(Element_Stiffness!$E$180=5,IF(6=Element_Stiffness!$C$180,Element_Stiffness!T207,IF(6=Element_Stiffness!$E$180,Element_Stiffness!Z207,0)),0)),0)+IF(Element_Stiffness!$C$216,IF(Element_Stiffness!$C$215=5,IF(6=Element_Stiffness!$C$215,Element_Stiffness!T236,IF(6=Element_Stiffness!$E$215,Element_Stiffness!Z236,0)),IF(Element_Stiffness!$E$215=5,IF(6=Element_Stiffness!$C$215,Element_Stiffness!T242,IF(6=Element_Stiffness!$E$215,Element_Stiffness!Z242,0)),0)),0)</f>
        <v/>
      </c>
      <c r="AR35" s="21">
        <f>IF(Element_Stiffness!$C$6,IF(Element_Stiffness!$C$5=5,IF(6=Element_Stiffness!$C$5,Element_Stiffness!U26,IF(6=Element_Stiffness!$E$5,Element_Stiffness!AA26,0)),IF(Element_Stiffness!$E$5=5,IF(6=Element_Stiffness!$C$5,Element_Stiffness!U32,IF(6=Element_Stiffness!$E$5,Element_Stiffness!AA32,0)),0)),0)+IF(Element_Stiffness!$C$41,IF(Element_Stiffness!$C$40=5,IF(6=Element_Stiffness!$C$40,Element_Stiffness!U61,IF(6=Element_Stiffness!$E$40,Element_Stiffness!AA61,0)),IF(Element_Stiffness!$E$40=5,IF(6=Element_Stiffness!$C$40,Element_Stiffness!U67,IF(6=Element_Stiffness!$E$40,Element_Stiffness!AA67,0)),0)),0)+IF(Element_Stiffness!$C$76,IF(Element_Stiffness!$C$75=5,IF(6=Element_Stiffness!$C$75,Element_Stiffness!U96,IF(6=Element_Stiffness!$E$75,Element_Stiffness!AA96,0)),IF(Element_Stiffness!$E$75=5,IF(6=Element_Stiffness!$C$75,Element_Stiffness!U102,IF(6=Element_Stiffness!$E$75,Element_Stiffness!AA102,0)),0)),0)+IF(Element_Stiffness!$C$111,IF(Element_Stiffness!$C$110=5,IF(6=Element_Stiffness!$C$110,Element_Stiffness!U131,IF(6=Element_Stiffness!$E$110,Element_Stiffness!AA131,0)),IF(Element_Stiffness!$E$110=5,IF(6=Element_Stiffness!$C$110,Element_Stiffness!U137,IF(6=Element_Stiffness!$E$110,Element_Stiffness!AA137,0)),0)),0)+IF(Element_Stiffness!$C$146,IF(Element_Stiffness!$C$145=5,IF(6=Element_Stiffness!$C$145,Element_Stiffness!U166,IF(6=Element_Stiffness!$E$145,Element_Stiffness!AA166,0)),IF(Element_Stiffness!$E$145=5,IF(6=Element_Stiffness!$C$145,Element_Stiffness!U172,IF(6=Element_Stiffness!$E$145,Element_Stiffness!AA172,0)),0)),0)+IF(Element_Stiffness!$C$181,IF(Element_Stiffness!$C$180=5,IF(6=Element_Stiffness!$C$180,Element_Stiffness!U201,IF(6=Element_Stiffness!$E$180,Element_Stiffness!AA201,0)),IF(Element_Stiffness!$E$180=5,IF(6=Element_Stiffness!$C$180,Element_Stiffness!U207,IF(6=Element_Stiffness!$E$180,Element_Stiffness!AA207,0)),0)),0)+IF(Element_Stiffness!$C$216,IF(Element_Stiffness!$C$215=5,IF(6=Element_Stiffness!$C$215,Element_Stiffness!U236,IF(6=Element_Stiffness!$E$215,Element_Stiffness!AA236,0)),IF(Element_Stiffness!$E$215=5,IF(6=Element_Stiffness!$C$215,Element_Stiffness!U242,IF(6=Element_Stiffness!$E$215,Element_Stiffness!AA242,0)),0)),0)</f>
        <v/>
      </c>
      <c r="AS35" s="21">
        <f>IF(Element_Stiffness!$C$6,IF(Element_Stiffness!$C$5=5,IF(7=Element_Stiffness!$C$5,Element_Stiffness!P26,IF(7=Element_Stiffness!$E$5,Element_Stiffness!V26,0)),IF(Element_Stiffness!$E$5=5,IF(7=Element_Stiffness!$C$5,Element_Stiffness!P32,IF(7=Element_Stiffness!$E$5,Element_Stiffness!V32,0)),0)),0)+IF(Element_Stiffness!$C$41,IF(Element_Stiffness!$C$40=5,IF(7=Element_Stiffness!$C$40,Element_Stiffness!P61,IF(7=Element_Stiffness!$E$40,Element_Stiffness!V61,0)),IF(Element_Stiffness!$E$40=5,IF(7=Element_Stiffness!$C$40,Element_Stiffness!P67,IF(7=Element_Stiffness!$E$40,Element_Stiffness!V67,0)),0)),0)+IF(Element_Stiffness!$C$76,IF(Element_Stiffness!$C$75=5,IF(7=Element_Stiffness!$C$75,Element_Stiffness!P96,IF(7=Element_Stiffness!$E$75,Element_Stiffness!V96,0)),IF(Element_Stiffness!$E$75=5,IF(7=Element_Stiffness!$C$75,Element_Stiffness!P102,IF(7=Element_Stiffness!$E$75,Element_Stiffness!V102,0)),0)),0)+IF(Element_Stiffness!$C$111,IF(Element_Stiffness!$C$110=5,IF(7=Element_Stiffness!$C$110,Element_Stiffness!P131,IF(7=Element_Stiffness!$E$110,Element_Stiffness!V131,0)),IF(Element_Stiffness!$E$110=5,IF(7=Element_Stiffness!$C$110,Element_Stiffness!P137,IF(7=Element_Stiffness!$E$110,Element_Stiffness!V137,0)),0)),0)+IF(Element_Stiffness!$C$146,IF(Element_Stiffness!$C$145=5,IF(7=Element_Stiffness!$C$145,Element_Stiffness!P166,IF(7=Element_Stiffness!$E$145,Element_Stiffness!V166,0)),IF(Element_Stiffness!$E$145=5,IF(7=Element_Stiffness!$C$145,Element_Stiffness!P172,IF(7=Element_Stiffness!$E$145,Element_Stiffness!V172,0)),0)),0)+IF(Element_Stiffness!$C$181,IF(Element_Stiffness!$C$180=5,IF(7=Element_Stiffness!$C$180,Element_Stiffness!P201,IF(7=Element_Stiffness!$E$180,Element_Stiffness!V201,0)),IF(Element_Stiffness!$E$180=5,IF(7=Element_Stiffness!$C$180,Element_Stiffness!P207,IF(7=Element_Stiffness!$E$180,Element_Stiffness!V207,0)),0)),0)+IF(Element_Stiffness!$C$216,IF(Element_Stiffness!$C$215=5,IF(7=Element_Stiffness!$C$215,Element_Stiffness!P236,IF(7=Element_Stiffness!$E$215,Element_Stiffness!V236,0)),IF(Element_Stiffness!$E$215=5,IF(7=Element_Stiffness!$C$215,Element_Stiffness!P242,IF(7=Element_Stiffness!$E$215,Element_Stiffness!V242,0)),0)),0)</f>
        <v/>
      </c>
      <c r="AT35" s="21">
        <f>IF(Element_Stiffness!$C$6,IF(Element_Stiffness!$C$5=5,IF(7=Element_Stiffness!$C$5,Element_Stiffness!Q26,IF(7=Element_Stiffness!$E$5,Element_Stiffness!W26,0)),IF(Element_Stiffness!$E$5=5,IF(7=Element_Stiffness!$C$5,Element_Stiffness!Q32,IF(7=Element_Stiffness!$E$5,Element_Stiffness!W32,0)),0)),0)+IF(Element_Stiffness!$C$41,IF(Element_Stiffness!$C$40=5,IF(7=Element_Stiffness!$C$40,Element_Stiffness!Q61,IF(7=Element_Stiffness!$E$40,Element_Stiffness!W61,0)),IF(Element_Stiffness!$E$40=5,IF(7=Element_Stiffness!$C$40,Element_Stiffness!Q67,IF(7=Element_Stiffness!$E$40,Element_Stiffness!W67,0)),0)),0)+IF(Element_Stiffness!$C$76,IF(Element_Stiffness!$C$75=5,IF(7=Element_Stiffness!$C$75,Element_Stiffness!Q96,IF(7=Element_Stiffness!$E$75,Element_Stiffness!W96,0)),IF(Element_Stiffness!$E$75=5,IF(7=Element_Stiffness!$C$75,Element_Stiffness!Q102,IF(7=Element_Stiffness!$E$75,Element_Stiffness!W102,0)),0)),0)+IF(Element_Stiffness!$C$111,IF(Element_Stiffness!$C$110=5,IF(7=Element_Stiffness!$C$110,Element_Stiffness!Q131,IF(7=Element_Stiffness!$E$110,Element_Stiffness!W131,0)),IF(Element_Stiffness!$E$110=5,IF(7=Element_Stiffness!$C$110,Element_Stiffness!Q137,IF(7=Element_Stiffness!$E$110,Element_Stiffness!W137,0)),0)),0)+IF(Element_Stiffness!$C$146,IF(Element_Stiffness!$C$145=5,IF(7=Element_Stiffness!$C$145,Element_Stiffness!Q166,IF(7=Element_Stiffness!$E$145,Element_Stiffness!W166,0)),IF(Element_Stiffness!$E$145=5,IF(7=Element_Stiffness!$C$145,Element_Stiffness!Q172,IF(7=Element_Stiffness!$E$145,Element_Stiffness!W172,0)),0)),0)+IF(Element_Stiffness!$C$181,IF(Element_Stiffness!$C$180=5,IF(7=Element_Stiffness!$C$180,Element_Stiffness!Q201,IF(7=Element_Stiffness!$E$180,Element_Stiffness!W201,0)),IF(Element_Stiffness!$E$180=5,IF(7=Element_Stiffness!$C$180,Element_Stiffness!Q207,IF(7=Element_Stiffness!$E$180,Element_Stiffness!W207,0)),0)),0)+IF(Element_Stiffness!$C$216,IF(Element_Stiffness!$C$215=5,IF(7=Element_Stiffness!$C$215,Element_Stiffness!Q236,IF(7=Element_Stiffness!$E$215,Element_Stiffness!W236,0)),IF(Element_Stiffness!$E$215=5,IF(7=Element_Stiffness!$C$215,Element_Stiffness!Q242,IF(7=Element_Stiffness!$E$215,Element_Stiffness!W242,0)),0)),0)</f>
        <v/>
      </c>
      <c r="AU35" s="21">
        <f>IF(Element_Stiffness!$C$6,IF(Element_Stiffness!$C$5=5,IF(7=Element_Stiffness!$C$5,Element_Stiffness!R26,IF(7=Element_Stiffness!$E$5,Element_Stiffness!X26,0)),IF(Element_Stiffness!$E$5=5,IF(7=Element_Stiffness!$C$5,Element_Stiffness!R32,IF(7=Element_Stiffness!$E$5,Element_Stiffness!X32,0)),0)),0)+IF(Element_Stiffness!$C$41,IF(Element_Stiffness!$C$40=5,IF(7=Element_Stiffness!$C$40,Element_Stiffness!R61,IF(7=Element_Stiffness!$E$40,Element_Stiffness!X61,0)),IF(Element_Stiffness!$E$40=5,IF(7=Element_Stiffness!$C$40,Element_Stiffness!R67,IF(7=Element_Stiffness!$E$40,Element_Stiffness!X67,0)),0)),0)+IF(Element_Stiffness!$C$76,IF(Element_Stiffness!$C$75=5,IF(7=Element_Stiffness!$C$75,Element_Stiffness!R96,IF(7=Element_Stiffness!$E$75,Element_Stiffness!X96,0)),IF(Element_Stiffness!$E$75=5,IF(7=Element_Stiffness!$C$75,Element_Stiffness!R102,IF(7=Element_Stiffness!$E$75,Element_Stiffness!X102,0)),0)),0)+IF(Element_Stiffness!$C$111,IF(Element_Stiffness!$C$110=5,IF(7=Element_Stiffness!$C$110,Element_Stiffness!R131,IF(7=Element_Stiffness!$E$110,Element_Stiffness!X131,0)),IF(Element_Stiffness!$E$110=5,IF(7=Element_Stiffness!$C$110,Element_Stiffness!R137,IF(7=Element_Stiffness!$E$110,Element_Stiffness!X137,0)),0)),0)+IF(Element_Stiffness!$C$146,IF(Element_Stiffness!$C$145=5,IF(7=Element_Stiffness!$C$145,Element_Stiffness!R166,IF(7=Element_Stiffness!$E$145,Element_Stiffness!X166,0)),IF(Element_Stiffness!$E$145=5,IF(7=Element_Stiffness!$C$145,Element_Stiffness!R172,IF(7=Element_Stiffness!$E$145,Element_Stiffness!X172,0)),0)),0)+IF(Element_Stiffness!$C$181,IF(Element_Stiffness!$C$180=5,IF(7=Element_Stiffness!$C$180,Element_Stiffness!R201,IF(7=Element_Stiffness!$E$180,Element_Stiffness!X201,0)),IF(Element_Stiffness!$E$180=5,IF(7=Element_Stiffness!$C$180,Element_Stiffness!R207,IF(7=Element_Stiffness!$E$180,Element_Stiffness!X207,0)),0)),0)+IF(Element_Stiffness!$C$216,IF(Element_Stiffness!$C$215=5,IF(7=Element_Stiffness!$C$215,Element_Stiffness!R236,IF(7=Element_Stiffness!$E$215,Element_Stiffness!X236,0)),IF(Element_Stiffness!$E$215=5,IF(7=Element_Stiffness!$C$215,Element_Stiffness!R242,IF(7=Element_Stiffness!$E$215,Element_Stiffness!X242,0)),0)),0)</f>
        <v/>
      </c>
      <c r="AV35" s="21">
        <f>IF(Element_Stiffness!$C$6,IF(Element_Stiffness!$C$5=5,IF(7=Element_Stiffness!$C$5,Element_Stiffness!S26,IF(7=Element_Stiffness!$E$5,Element_Stiffness!Y26,0)),IF(Element_Stiffness!$E$5=5,IF(7=Element_Stiffness!$C$5,Element_Stiffness!S32,IF(7=Element_Stiffness!$E$5,Element_Stiffness!Y32,0)),0)),0)+IF(Element_Stiffness!$C$41,IF(Element_Stiffness!$C$40=5,IF(7=Element_Stiffness!$C$40,Element_Stiffness!S61,IF(7=Element_Stiffness!$E$40,Element_Stiffness!Y61,0)),IF(Element_Stiffness!$E$40=5,IF(7=Element_Stiffness!$C$40,Element_Stiffness!S67,IF(7=Element_Stiffness!$E$40,Element_Stiffness!Y67,0)),0)),0)+IF(Element_Stiffness!$C$76,IF(Element_Stiffness!$C$75=5,IF(7=Element_Stiffness!$C$75,Element_Stiffness!S96,IF(7=Element_Stiffness!$E$75,Element_Stiffness!Y96,0)),IF(Element_Stiffness!$E$75=5,IF(7=Element_Stiffness!$C$75,Element_Stiffness!S102,IF(7=Element_Stiffness!$E$75,Element_Stiffness!Y102,0)),0)),0)+IF(Element_Stiffness!$C$111,IF(Element_Stiffness!$C$110=5,IF(7=Element_Stiffness!$C$110,Element_Stiffness!S131,IF(7=Element_Stiffness!$E$110,Element_Stiffness!Y131,0)),IF(Element_Stiffness!$E$110=5,IF(7=Element_Stiffness!$C$110,Element_Stiffness!S137,IF(7=Element_Stiffness!$E$110,Element_Stiffness!Y137,0)),0)),0)+IF(Element_Stiffness!$C$146,IF(Element_Stiffness!$C$145=5,IF(7=Element_Stiffness!$C$145,Element_Stiffness!S166,IF(7=Element_Stiffness!$E$145,Element_Stiffness!Y166,0)),IF(Element_Stiffness!$E$145=5,IF(7=Element_Stiffness!$C$145,Element_Stiffness!S172,IF(7=Element_Stiffness!$E$145,Element_Stiffness!Y172,0)),0)),0)+IF(Element_Stiffness!$C$181,IF(Element_Stiffness!$C$180=5,IF(7=Element_Stiffness!$C$180,Element_Stiffness!S201,IF(7=Element_Stiffness!$E$180,Element_Stiffness!Y201,0)),IF(Element_Stiffness!$E$180=5,IF(7=Element_Stiffness!$C$180,Element_Stiffness!S207,IF(7=Element_Stiffness!$E$180,Element_Stiffness!Y207,0)),0)),0)+IF(Element_Stiffness!$C$216,IF(Element_Stiffness!$C$215=5,IF(7=Element_Stiffness!$C$215,Element_Stiffness!S236,IF(7=Element_Stiffness!$E$215,Element_Stiffness!Y236,0)),IF(Element_Stiffness!$E$215=5,IF(7=Element_Stiffness!$C$215,Element_Stiffness!S242,IF(7=Element_Stiffness!$E$215,Element_Stiffness!Y242,0)),0)),0)</f>
        <v/>
      </c>
      <c r="AW35" s="21">
        <f>IF(Element_Stiffness!$C$6,IF(Element_Stiffness!$C$5=5,IF(7=Element_Stiffness!$C$5,Element_Stiffness!T26,IF(7=Element_Stiffness!$E$5,Element_Stiffness!Z26,0)),IF(Element_Stiffness!$E$5=5,IF(7=Element_Stiffness!$C$5,Element_Stiffness!T32,IF(7=Element_Stiffness!$E$5,Element_Stiffness!Z32,0)),0)),0)+IF(Element_Stiffness!$C$41,IF(Element_Stiffness!$C$40=5,IF(7=Element_Stiffness!$C$40,Element_Stiffness!T61,IF(7=Element_Stiffness!$E$40,Element_Stiffness!Z61,0)),IF(Element_Stiffness!$E$40=5,IF(7=Element_Stiffness!$C$40,Element_Stiffness!T67,IF(7=Element_Stiffness!$E$40,Element_Stiffness!Z67,0)),0)),0)+IF(Element_Stiffness!$C$76,IF(Element_Stiffness!$C$75=5,IF(7=Element_Stiffness!$C$75,Element_Stiffness!T96,IF(7=Element_Stiffness!$E$75,Element_Stiffness!Z96,0)),IF(Element_Stiffness!$E$75=5,IF(7=Element_Stiffness!$C$75,Element_Stiffness!T102,IF(7=Element_Stiffness!$E$75,Element_Stiffness!Z102,0)),0)),0)+IF(Element_Stiffness!$C$111,IF(Element_Stiffness!$C$110=5,IF(7=Element_Stiffness!$C$110,Element_Stiffness!T131,IF(7=Element_Stiffness!$E$110,Element_Stiffness!Z131,0)),IF(Element_Stiffness!$E$110=5,IF(7=Element_Stiffness!$C$110,Element_Stiffness!T137,IF(7=Element_Stiffness!$E$110,Element_Stiffness!Z137,0)),0)),0)+IF(Element_Stiffness!$C$146,IF(Element_Stiffness!$C$145=5,IF(7=Element_Stiffness!$C$145,Element_Stiffness!T166,IF(7=Element_Stiffness!$E$145,Element_Stiffness!Z166,0)),IF(Element_Stiffness!$E$145=5,IF(7=Element_Stiffness!$C$145,Element_Stiffness!T172,IF(7=Element_Stiffness!$E$145,Element_Stiffness!Z172,0)),0)),0)+IF(Element_Stiffness!$C$181,IF(Element_Stiffness!$C$180=5,IF(7=Element_Stiffness!$C$180,Element_Stiffness!T201,IF(7=Element_Stiffness!$E$180,Element_Stiffness!Z201,0)),IF(Element_Stiffness!$E$180=5,IF(7=Element_Stiffness!$C$180,Element_Stiffness!T207,IF(7=Element_Stiffness!$E$180,Element_Stiffness!Z207,0)),0)),0)+IF(Element_Stiffness!$C$216,IF(Element_Stiffness!$C$215=5,IF(7=Element_Stiffness!$C$215,Element_Stiffness!T236,IF(7=Element_Stiffness!$E$215,Element_Stiffness!Z236,0)),IF(Element_Stiffness!$E$215=5,IF(7=Element_Stiffness!$C$215,Element_Stiffness!T242,IF(7=Element_Stiffness!$E$215,Element_Stiffness!Z242,0)),0)),0)</f>
        <v/>
      </c>
      <c r="AX35" s="21">
        <f>IF(Element_Stiffness!$C$6,IF(Element_Stiffness!$C$5=5,IF(7=Element_Stiffness!$C$5,Element_Stiffness!U26,IF(7=Element_Stiffness!$E$5,Element_Stiffness!AA26,0)),IF(Element_Stiffness!$E$5=5,IF(7=Element_Stiffness!$C$5,Element_Stiffness!U32,IF(7=Element_Stiffness!$E$5,Element_Stiffness!AA32,0)),0)),0)+IF(Element_Stiffness!$C$41,IF(Element_Stiffness!$C$40=5,IF(7=Element_Stiffness!$C$40,Element_Stiffness!U61,IF(7=Element_Stiffness!$E$40,Element_Stiffness!AA61,0)),IF(Element_Stiffness!$E$40=5,IF(7=Element_Stiffness!$C$40,Element_Stiffness!U67,IF(7=Element_Stiffness!$E$40,Element_Stiffness!AA67,0)),0)),0)+IF(Element_Stiffness!$C$76,IF(Element_Stiffness!$C$75=5,IF(7=Element_Stiffness!$C$75,Element_Stiffness!U96,IF(7=Element_Stiffness!$E$75,Element_Stiffness!AA96,0)),IF(Element_Stiffness!$E$75=5,IF(7=Element_Stiffness!$C$75,Element_Stiffness!U102,IF(7=Element_Stiffness!$E$75,Element_Stiffness!AA102,0)),0)),0)+IF(Element_Stiffness!$C$111,IF(Element_Stiffness!$C$110=5,IF(7=Element_Stiffness!$C$110,Element_Stiffness!U131,IF(7=Element_Stiffness!$E$110,Element_Stiffness!AA131,0)),IF(Element_Stiffness!$E$110=5,IF(7=Element_Stiffness!$C$110,Element_Stiffness!U137,IF(7=Element_Stiffness!$E$110,Element_Stiffness!AA137,0)),0)),0)+IF(Element_Stiffness!$C$146,IF(Element_Stiffness!$C$145=5,IF(7=Element_Stiffness!$C$145,Element_Stiffness!U166,IF(7=Element_Stiffness!$E$145,Element_Stiffness!AA166,0)),IF(Element_Stiffness!$E$145=5,IF(7=Element_Stiffness!$C$145,Element_Stiffness!U172,IF(7=Element_Stiffness!$E$145,Element_Stiffness!AA172,0)),0)),0)+IF(Element_Stiffness!$C$181,IF(Element_Stiffness!$C$180=5,IF(7=Element_Stiffness!$C$180,Element_Stiffness!U201,IF(7=Element_Stiffness!$E$180,Element_Stiffness!AA201,0)),IF(Element_Stiffness!$E$180=5,IF(7=Element_Stiffness!$C$180,Element_Stiffness!U207,IF(7=Element_Stiffness!$E$180,Element_Stiffness!AA207,0)),0)),0)+IF(Element_Stiffness!$C$216,IF(Element_Stiffness!$C$215=5,IF(7=Element_Stiffness!$C$215,Element_Stiffness!U236,IF(7=Element_Stiffness!$E$215,Element_Stiffness!AA236,0)),IF(Element_Stiffness!$E$215=5,IF(7=Element_Stiffness!$C$215,Element_Stiffness!U242,IF(7=Element_Stiffness!$E$215,Element_Stiffness!AA242,0)),0)),0)</f>
        <v/>
      </c>
      <c r="AY35" s="21" t="n">
        <v>0</v>
      </c>
      <c r="AZ35" s="21">
        <f>IF(Element_Stiffness!$C$6,IF(Element_Stiffness!$C$5=5,Element_Stiffness!C26,IF(Element_Stiffness!$E$5=5,Element_Stiffness!C32,0)),0)+IF(Element_Stiffness!$C$41,IF(Element_Stiffness!$C$40=5,Element_Stiffness!C61,IF(Element_Stiffness!$E$40=5,Element_Stiffness!C67,0)),0)+IF(Element_Stiffness!$C$76,IF(Element_Stiffness!$C$75=5,Element_Stiffness!C96,IF(Element_Stiffness!$E$75=5,Element_Stiffness!C102,0)),0)+IF(Element_Stiffness!$C$111,IF(Element_Stiffness!$C$110=5,Element_Stiffness!C131,IF(Element_Stiffness!$E$110=5,Element_Stiffness!C137,0)),0)+IF(Element_Stiffness!$C$146,IF(Element_Stiffness!$C$145=5,Element_Stiffness!C166,IF(Element_Stiffness!$E$145=5,Element_Stiffness!C172,0)),0)+IF(Element_Stiffness!$C$181,IF(Element_Stiffness!$C$180=5,Element_Stiffness!C201,IF(Element_Stiffness!$E$180=5,Element_Stiffness!C207,0)),0)+IF(Element_Stiffness!$C$216,IF(Element_Stiffness!$C$215=5,Element_Stiffness!C236,IF(Element_Stiffness!$E$215=5,Element_Stiffness!C242,0)),0)</f>
        <v/>
      </c>
      <c r="BB35" s="28">
        <f>INDEX(MMULT(MINVERSE(C5:AX52), AY5:AY52), 31, 1)</f>
        <v/>
      </c>
      <c r="BC35" s="28">
        <f>INDEX(MMULT(MINVERSE(C5:AX52), AZ5:AZ52), 31, 1)</f>
        <v/>
      </c>
    </row>
    <row r="36">
      <c r="B36" s="27" t="inlineStr">
        <is>
          <t>N5_ty</t>
        </is>
      </c>
      <c r="C36" s="21">
        <f>IF(Element_Stiffness!$C$6,IF(Element_Stiffness!$C$5=5,IF(0=Element_Stiffness!$C$5,Element_Stiffness!P27,IF(0=Element_Stiffness!$E$5,Element_Stiffness!V27,0)),IF(Element_Stiffness!$E$5=5,IF(0=Element_Stiffness!$C$5,Element_Stiffness!P33,IF(0=Element_Stiffness!$E$5,Element_Stiffness!V33,0)),0)),0)+IF(Element_Stiffness!$C$41,IF(Element_Stiffness!$C$40=5,IF(0=Element_Stiffness!$C$40,Element_Stiffness!P62,IF(0=Element_Stiffness!$E$40,Element_Stiffness!V62,0)),IF(Element_Stiffness!$E$40=5,IF(0=Element_Stiffness!$C$40,Element_Stiffness!P68,IF(0=Element_Stiffness!$E$40,Element_Stiffness!V68,0)),0)),0)+IF(Element_Stiffness!$C$76,IF(Element_Stiffness!$C$75=5,IF(0=Element_Stiffness!$C$75,Element_Stiffness!P97,IF(0=Element_Stiffness!$E$75,Element_Stiffness!V97,0)),IF(Element_Stiffness!$E$75=5,IF(0=Element_Stiffness!$C$75,Element_Stiffness!P103,IF(0=Element_Stiffness!$E$75,Element_Stiffness!V103,0)),0)),0)+IF(Element_Stiffness!$C$111,IF(Element_Stiffness!$C$110=5,IF(0=Element_Stiffness!$C$110,Element_Stiffness!P132,IF(0=Element_Stiffness!$E$110,Element_Stiffness!V132,0)),IF(Element_Stiffness!$E$110=5,IF(0=Element_Stiffness!$C$110,Element_Stiffness!P138,IF(0=Element_Stiffness!$E$110,Element_Stiffness!V138,0)),0)),0)+IF(Element_Stiffness!$C$146,IF(Element_Stiffness!$C$145=5,IF(0=Element_Stiffness!$C$145,Element_Stiffness!P167,IF(0=Element_Stiffness!$E$145,Element_Stiffness!V167,0)),IF(Element_Stiffness!$E$145=5,IF(0=Element_Stiffness!$C$145,Element_Stiffness!P173,IF(0=Element_Stiffness!$E$145,Element_Stiffness!V173,0)),0)),0)+IF(Element_Stiffness!$C$181,IF(Element_Stiffness!$C$180=5,IF(0=Element_Stiffness!$C$180,Element_Stiffness!P202,IF(0=Element_Stiffness!$E$180,Element_Stiffness!V202,0)),IF(Element_Stiffness!$E$180=5,IF(0=Element_Stiffness!$C$180,Element_Stiffness!P208,IF(0=Element_Stiffness!$E$180,Element_Stiffness!V208,0)),0)),0)+IF(Element_Stiffness!$C$216,IF(Element_Stiffness!$C$215=5,IF(0=Element_Stiffness!$C$215,Element_Stiffness!P237,IF(0=Element_Stiffness!$E$215,Element_Stiffness!V237,0)),IF(Element_Stiffness!$E$215=5,IF(0=Element_Stiffness!$C$215,Element_Stiffness!P243,IF(0=Element_Stiffness!$E$215,Element_Stiffness!V243,0)),0)),0)</f>
        <v/>
      </c>
      <c r="D36" s="21">
        <f>IF(Element_Stiffness!$C$6,IF(Element_Stiffness!$C$5=5,IF(0=Element_Stiffness!$C$5,Element_Stiffness!Q27,IF(0=Element_Stiffness!$E$5,Element_Stiffness!W27,0)),IF(Element_Stiffness!$E$5=5,IF(0=Element_Stiffness!$C$5,Element_Stiffness!Q33,IF(0=Element_Stiffness!$E$5,Element_Stiffness!W33,0)),0)),0)+IF(Element_Stiffness!$C$41,IF(Element_Stiffness!$C$40=5,IF(0=Element_Stiffness!$C$40,Element_Stiffness!Q62,IF(0=Element_Stiffness!$E$40,Element_Stiffness!W62,0)),IF(Element_Stiffness!$E$40=5,IF(0=Element_Stiffness!$C$40,Element_Stiffness!Q68,IF(0=Element_Stiffness!$E$40,Element_Stiffness!W68,0)),0)),0)+IF(Element_Stiffness!$C$76,IF(Element_Stiffness!$C$75=5,IF(0=Element_Stiffness!$C$75,Element_Stiffness!Q97,IF(0=Element_Stiffness!$E$75,Element_Stiffness!W97,0)),IF(Element_Stiffness!$E$75=5,IF(0=Element_Stiffness!$C$75,Element_Stiffness!Q103,IF(0=Element_Stiffness!$E$75,Element_Stiffness!W103,0)),0)),0)+IF(Element_Stiffness!$C$111,IF(Element_Stiffness!$C$110=5,IF(0=Element_Stiffness!$C$110,Element_Stiffness!Q132,IF(0=Element_Stiffness!$E$110,Element_Stiffness!W132,0)),IF(Element_Stiffness!$E$110=5,IF(0=Element_Stiffness!$C$110,Element_Stiffness!Q138,IF(0=Element_Stiffness!$E$110,Element_Stiffness!W138,0)),0)),0)+IF(Element_Stiffness!$C$146,IF(Element_Stiffness!$C$145=5,IF(0=Element_Stiffness!$C$145,Element_Stiffness!Q167,IF(0=Element_Stiffness!$E$145,Element_Stiffness!W167,0)),IF(Element_Stiffness!$E$145=5,IF(0=Element_Stiffness!$C$145,Element_Stiffness!Q173,IF(0=Element_Stiffness!$E$145,Element_Stiffness!W173,0)),0)),0)+IF(Element_Stiffness!$C$181,IF(Element_Stiffness!$C$180=5,IF(0=Element_Stiffness!$C$180,Element_Stiffness!Q202,IF(0=Element_Stiffness!$E$180,Element_Stiffness!W202,0)),IF(Element_Stiffness!$E$180=5,IF(0=Element_Stiffness!$C$180,Element_Stiffness!Q208,IF(0=Element_Stiffness!$E$180,Element_Stiffness!W208,0)),0)),0)+IF(Element_Stiffness!$C$216,IF(Element_Stiffness!$C$215=5,IF(0=Element_Stiffness!$C$215,Element_Stiffness!Q237,IF(0=Element_Stiffness!$E$215,Element_Stiffness!W237,0)),IF(Element_Stiffness!$E$215=5,IF(0=Element_Stiffness!$C$215,Element_Stiffness!Q243,IF(0=Element_Stiffness!$E$215,Element_Stiffness!W243,0)),0)),0)</f>
        <v/>
      </c>
      <c r="E36" s="21">
        <f>IF(Element_Stiffness!$C$6,IF(Element_Stiffness!$C$5=5,IF(0=Element_Stiffness!$C$5,Element_Stiffness!R27,IF(0=Element_Stiffness!$E$5,Element_Stiffness!X27,0)),IF(Element_Stiffness!$E$5=5,IF(0=Element_Stiffness!$C$5,Element_Stiffness!R33,IF(0=Element_Stiffness!$E$5,Element_Stiffness!X33,0)),0)),0)+IF(Element_Stiffness!$C$41,IF(Element_Stiffness!$C$40=5,IF(0=Element_Stiffness!$C$40,Element_Stiffness!R62,IF(0=Element_Stiffness!$E$40,Element_Stiffness!X62,0)),IF(Element_Stiffness!$E$40=5,IF(0=Element_Stiffness!$C$40,Element_Stiffness!R68,IF(0=Element_Stiffness!$E$40,Element_Stiffness!X68,0)),0)),0)+IF(Element_Stiffness!$C$76,IF(Element_Stiffness!$C$75=5,IF(0=Element_Stiffness!$C$75,Element_Stiffness!R97,IF(0=Element_Stiffness!$E$75,Element_Stiffness!X97,0)),IF(Element_Stiffness!$E$75=5,IF(0=Element_Stiffness!$C$75,Element_Stiffness!R103,IF(0=Element_Stiffness!$E$75,Element_Stiffness!X103,0)),0)),0)+IF(Element_Stiffness!$C$111,IF(Element_Stiffness!$C$110=5,IF(0=Element_Stiffness!$C$110,Element_Stiffness!R132,IF(0=Element_Stiffness!$E$110,Element_Stiffness!X132,0)),IF(Element_Stiffness!$E$110=5,IF(0=Element_Stiffness!$C$110,Element_Stiffness!R138,IF(0=Element_Stiffness!$E$110,Element_Stiffness!X138,0)),0)),0)+IF(Element_Stiffness!$C$146,IF(Element_Stiffness!$C$145=5,IF(0=Element_Stiffness!$C$145,Element_Stiffness!R167,IF(0=Element_Stiffness!$E$145,Element_Stiffness!X167,0)),IF(Element_Stiffness!$E$145=5,IF(0=Element_Stiffness!$C$145,Element_Stiffness!R173,IF(0=Element_Stiffness!$E$145,Element_Stiffness!X173,0)),0)),0)+IF(Element_Stiffness!$C$181,IF(Element_Stiffness!$C$180=5,IF(0=Element_Stiffness!$C$180,Element_Stiffness!R202,IF(0=Element_Stiffness!$E$180,Element_Stiffness!X202,0)),IF(Element_Stiffness!$E$180=5,IF(0=Element_Stiffness!$C$180,Element_Stiffness!R208,IF(0=Element_Stiffness!$E$180,Element_Stiffness!X208,0)),0)),0)+IF(Element_Stiffness!$C$216,IF(Element_Stiffness!$C$215=5,IF(0=Element_Stiffness!$C$215,Element_Stiffness!R237,IF(0=Element_Stiffness!$E$215,Element_Stiffness!X237,0)),IF(Element_Stiffness!$E$215=5,IF(0=Element_Stiffness!$C$215,Element_Stiffness!R243,IF(0=Element_Stiffness!$E$215,Element_Stiffness!X243,0)),0)),0)</f>
        <v/>
      </c>
      <c r="F36" s="21">
        <f>IF(Element_Stiffness!$C$6,IF(Element_Stiffness!$C$5=5,IF(0=Element_Stiffness!$C$5,Element_Stiffness!S27,IF(0=Element_Stiffness!$E$5,Element_Stiffness!Y27,0)),IF(Element_Stiffness!$E$5=5,IF(0=Element_Stiffness!$C$5,Element_Stiffness!S33,IF(0=Element_Stiffness!$E$5,Element_Stiffness!Y33,0)),0)),0)+IF(Element_Stiffness!$C$41,IF(Element_Stiffness!$C$40=5,IF(0=Element_Stiffness!$C$40,Element_Stiffness!S62,IF(0=Element_Stiffness!$E$40,Element_Stiffness!Y62,0)),IF(Element_Stiffness!$E$40=5,IF(0=Element_Stiffness!$C$40,Element_Stiffness!S68,IF(0=Element_Stiffness!$E$40,Element_Stiffness!Y68,0)),0)),0)+IF(Element_Stiffness!$C$76,IF(Element_Stiffness!$C$75=5,IF(0=Element_Stiffness!$C$75,Element_Stiffness!S97,IF(0=Element_Stiffness!$E$75,Element_Stiffness!Y97,0)),IF(Element_Stiffness!$E$75=5,IF(0=Element_Stiffness!$C$75,Element_Stiffness!S103,IF(0=Element_Stiffness!$E$75,Element_Stiffness!Y103,0)),0)),0)+IF(Element_Stiffness!$C$111,IF(Element_Stiffness!$C$110=5,IF(0=Element_Stiffness!$C$110,Element_Stiffness!S132,IF(0=Element_Stiffness!$E$110,Element_Stiffness!Y132,0)),IF(Element_Stiffness!$E$110=5,IF(0=Element_Stiffness!$C$110,Element_Stiffness!S138,IF(0=Element_Stiffness!$E$110,Element_Stiffness!Y138,0)),0)),0)+IF(Element_Stiffness!$C$146,IF(Element_Stiffness!$C$145=5,IF(0=Element_Stiffness!$C$145,Element_Stiffness!S167,IF(0=Element_Stiffness!$E$145,Element_Stiffness!Y167,0)),IF(Element_Stiffness!$E$145=5,IF(0=Element_Stiffness!$C$145,Element_Stiffness!S173,IF(0=Element_Stiffness!$E$145,Element_Stiffness!Y173,0)),0)),0)+IF(Element_Stiffness!$C$181,IF(Element_Stiffness!$C$180=5,IF(0=Element_Stiffness!$C$180,Element_Stiffness!S202,IF(0=Element_Stiffness!$E$180,Element_Stiffness!Y202,0)),IF(Element_Stiffness!$E$180=5,IF(0=Element_Stiffness!$C$180,Element_Stiffness!S208,IF(0=Element_Stiffness!$E$180,Element_Stiffness!Y208,0)),0)),0)+IF(Element_Stiffness!$C$216,IF(Element_Stiffness!$C$215=5,IF(0=Element_Stiffness!$C$215,Element_Stiffness!S237,IF(0=Element_Stiffness!$E$215,Element_Stiffness!Y237,0)),IF(Element_Stiffness!$E$215=5,IF(0=Element_Stiffness!$C$215,Element_Stiffness!S243,IF(0=Element_Stiffness!$E$215,Element_Stiffness!Y243,0)),0)),0)</f>
        <v/>
      </c>
      <c r="G36" s="21">
        <f>IF(Element_Stiffness!$C$6,IF(Element_Stiffness!$C$5=5,IF(0=Element_Stiffness!$C$5,Element_Stiffness!T27,IF(0=Element_Stiffness!$E$5,Element_Stiffness!Z27,0)),IF(Element_Stiffness!$E$5=5,IF(0=Element_Stiffness!$C$5,Element_Stiffness!T33,IF(0=Element_Stiffness!$E$5,Element_Stiffness!Z33,0)),0)),0)+IF(Element_Stiffness!$C$41,IF(Element_Stiffness!$C$40=5,IF(0=Element_Stiffness!$C$40,Element_Stiffness!T62,IF(0=Element_Stiffness!$E$40,Element_Stiffness!Z62,0)),IF(Element_Stiffness!$E$40=5,IF(0=Element_Stiffness!$C$40,Element_Stiffness!T68,IF(0=Element_Stiffness!$E$40,Element_Stiffness!Z68,0)),0)),0)+IF(Element_Stiffness!$C$76,IF(Element_Stiffness!$C$75=5,IF(0=Element_Stiffness!$C$75,Element_Stiffness!T97,IF(0=Element_Stiffness!$E$75,Element_Stiffness!Z97,0)),IF(Element_Stiffness!$E$75=5,IF(0=Element_Stiffness!$C$75,Element_Stiffness!T103,IF(0=Element_Stiffness!$E$75,Element_Stiffness!Z103,0)),0)),0)+IF(Element_Stiffness!$C$111,IF(Element_Stiffness!$C$110=5,IF(0=Element_Stiffness!$C$110,Element_Stiffness!T132,IF(0=Element_Stiffness!$E$110,Element_Stiffness!Z132,0)),IF(Element_Stiffness!$E$110=5,IF(0=Element_Stiffness!$C$110,Element_Stiffness!T138,IF(0=Element_Stiffness!$E$110,Element_Stiffness!Z138,0)),0)),0)+IF(Element_Stiffness!$C$146,IF(Element_Stiffness!$C$145=5,IF(0=Element_Stiffness!$C$145,Element_Stiffness!T167,IF(0=Element_Stiffness!$E$145,Element_Stiffness!Z167,0)),IF(Element_Stiffness!$E$145=5,IF(0=Element_Stiffness!$C$145,Element_Stiffness!T173,IF(0=Element_Stiffness!$E$145,Element_Stiffness!Z173,0)),0)),0)+IF(Element_Stiffness!$C$181,IF(Element_Stiffness!$C$180=5,IF(0=Element_Stiffness!$C$180,Element_Stiffness!T202,IF(0=Element_Stiffness!$E$180,Element_Stiffness!Z202,0)),IF(Element_Stiffness!$E$180=5,IF(0=Element_Stiffness!$C$180,Element_Stiffness!T208,IF(0=Element_Stiffness!$E$180,Element_Stiffness!Z208,0)),0)),0)+IF(Element_Stiffness!$C$216,IF(Element_Stiffness!$C$215=5,IF(0=Element_Stiffness!$C$215,Element_Stiffness!T237,IF(0=Element_Stiffness!$E$215,Element_Stiffness!Z237,0)),IF(Element_Stiffness!$E$215=5,IF(0=Element_Stiffness!$C$215,Element_Stiffness!T243,IF(0=Element_Stiffness!$E$215,Element_Stiffness!Z243,0)),0)),0)</f>
        <v/>
      </c>
      <c r="H36" s="21">
        <f>IF(Element_Stiffness!$C$6,IF(Element_Stiffness!$C$5=5,IF(0=Element_Stiffness!$C$5,Element_Stiffness!U27,IF(0=Element_Stiffness!$E$5,Element_Stiffness!AA27,0)),IF(Element_Stiffness!$E$5=5,IF(0=Element_Stiffness!$C$5,Element_Stiffness!U33,IF(0=Element_Stiffness!$E$5,Element_Stiffness!AA33,0)),0)),0)+IF(Element_Stiffness!$C$41,IF(Element_Stiffness!$C$40=5,IF(0=Element_Stiffness!$C$40,Element_Stiffness!U62,IF(0=Element_Stiffness!$E$40,Element_Stiffness!AA62,0)),IF(Element_Stiffness!$E$40=5,IF(0=Element_Stiffness!$C$40,Element_Stiffness!U68,IF(0=Element_Stiffness!$E$40,Element_Stiffness!AA68,0)),0)),0)+IF(Element_Stiffness!$C$76,IF(Element_Stiffness!$C$75=5,IF(0=Element_Stiffness!$C$75,Element_Stiffness!U97,IF(0=Element_Stiffness!$E$75,Element_Stiffness!AA97,0)),IF(Element_Stiffness!$E$75=5,IF(0=Element_Stiffness!$C$75,Element_Stiffness!U103,IF(0=Element_Stiffness!$E$75,Element_Stiffness!AA103,0)),0)),0)+IF(Element_Stiffness!$C$111,IF(Element_Stiffness!$C$110=5,IF(0=Element_Stiffness!$C$110,Element_Stiffness!U132,IF(0=Element_Stiffness!$E$110,Element_Stiffness!AA132,0)),IF(Element_Stiffness!$E$110=5,IF(0=Element_Stiffness!$C$110,Element_Stiffness!U138,IF(0=Element_Stiffness!$E$110,Element_Stiffness!AA138,0)),0)),0)+IF(Element_Stiffness!$C$146,IF(Element_Stiffness!$C$145=5,IF(0=Element_Stiffness!$C$145,Element_Stiffness!U167,IF(0=Element_Stiffness!$E$145,Element_Stiffness!AA167,0)),IF(Element_Stiffness!$E$145=5,IF(0=Element_Stiffness!$C$145,Element_Stiffness!U173,IF(0=Element_Stiffness!$E$145,Element_Stiffness!AA173,0)),0)),0)+IF(Element_Stiffness!$C$181,IF(Element_Stiffness!$C$180=5,IF(0=Element_Stiffness!$C$180,Element_Stiffness!U202,IF(0=Element_Stiffness!$E$180,Element_Stiffness!AA202,0)),IF(Element_Stiffness!$E$180=5,IF(0=Element_Stiffness!$C$180,Element_Stiffness!U208,IF(0=Element_Stiffness!$E$180,Element_Stiffness!AA208,0)),0)),0)+IF(Element_Stiffness!$C$216,IF(Element_Stiffness!$C$215=5,IF(0=Element_Stiffness!$C$215,Element_Stiffness!U237,IF(0=Element_Stiffness!$E$215,Element_Stiffness!AA237,0)),IF(Element_Stiffness!$E$215=5,IF(0=Element_Stiffness!$C$215,Element_Stiffness!U243,IF(0=Element_Stiffness!$E$215,Element_Stiffness!AA243,0)),0)),0)</f>
        <v/>
      </c>
      <c r="I36" s="21">
        <f>IF(Element_Stiffness!$C$6,IF(Element_Stiffness!$C$5=5,IF(1=Element_Stiffness!$C$5,Element_Stiffness!P27,IF(1=Element_Stiffness!$E$5,Element_Stiffness!V27,0)),IF(Element_Stiffness!$E$5=5,IF(1=Element_Stiffness!$C$5,Element_Stiffness!P33,IF(1=Element_Stiffness!$E$5,Element_Stiffness!V33,0)),0)),0)+IF(Element_Stiffness!$C$41,IF(Element_Stiffness!$C$40=5,IF(1=Element_Stiffness!$C$40,Element_Stiffness!P62,IF(1=Element_Stiffness!$E$40,Element_Stiffness!V62,0)),IF(Element_Stiffness!$E$40=5,IF(1=Element_Stiffness!$C$40,Element_Stiffness!P68,IF(1=Element_Stiffness!$E$40,Element_Stiffness!V68,0)),0)),0)+IF(Element_Stiffness!$C$76,IF(Element_Stiffness!$C$75=5,IF(1=Element_Stiffness!$C$75,Element_Stiffness!P97,IF(1=Element_Stiffness!$E$75,Element_Stiffness!V97,0)),IF(Element_Stiffness!$E$75=5,IF(1=Element_Stiffness!$C$75,Element_Stiffness!P103,IF(1=Element_Stiffness!$E$75,Element_Stiffness!V103,0)),0)),0)+IF(Element_Stiffness!$C$111,IF(Element_Stiffness!$C$110=5,IF(1=Element_Stiffness!$C$110,Element_Stiffness!P132,IF(1=Element_Stiffness!$E$110,Element_Stiffness!V132,0)),IF(Element_Stiffness!$E$110=5,IF(1=Element_Stiffness!$C$110,Element_Stiffness!P138,IF(1=Element_Stiffness!$E$110,Element_Stiffness!V138,0)),0)),0)+IF(Element_Stiffness!$C$146,IF(Element_Stiffness!$C$145=5,IF(1=Element_Stiffness!$C$145,Element_Stiffness!P167,IF(1=Element_Stiffness!$E$145,Element_Stiffness!V167,0)),IF(Element_Stiffness!$E$145=5,IF(1=Element_Stiffness!$C$145,Element_Stiffness!P173,IF(1=Element_Stiffness!$E$145,Element_Stiffness!V173,0)),0)),0)+IF(Element_Stiffness!$C$181,IF(Element_Stiffness!$C$180=5,IF(1=Element_Stiffness!$C$180,Element_Stiffness!P202,IF(1=Element_Stiffness!$E$180,Element_Stiffness!V202,0)),IF(Element_Stiffness!$E$180=5,IF(1=Element_Stiffness!$C$180,Element_Stiffness!P208,IF(1=Element_Stiffness!$E$180,Element_Stiffness!V208,0)),0)),0)+IF(Element_Stiffness!$C$216,IF(Element_Stiffness!$C$215=5,IF(1=Element_Stiffness!$C$215,Element_Stiffness!P237,IF(1=Element_Stiffness!$E$215,Element_Stiffness!V237,0)),IF(Element_Stiffness!$E$215=5,IF(1=Element_Stiffness!$C$215,Element_Stiffness!P243,IF(1=Element_Stiffness!$E$215,Element_Stiffness!V243,0)),0)),0)</f>
        <v/>
      </c>
      <c r="J36" s="21">
        <f>IF(Element_Stiffness!$C$6,IF(Element_Stiffness!$C$5=5,IF(1=Element_Stiffness!$C$5,Element_Stiffness!Q27,IF(1=Element_Stiffness!$E$5,Element_Stiffness!W27,0)),IF(Element_Stiffness!$E$5=5,IF(1=Element_Stiffness!$C$5,Element_Stiffness!Q33,IF(1=Element_Stiffness!$E$5,Element_Stiffness!W33,0)),0)),0)+IF(Element_Stiffness!$C$41,IF(Element_Stiffness!$C$40=5,IF(1=Element_Stiffness!$C$40,Element_Stiffness!Q62,IF(1=Element_Stiffness!$E$40,Element_Stiffness!W62,0)),IF(Element_Stiffness!$E$40=5,IF(1=Element_Stiffness!$C$40,Element_Stiffness!Q68,IF(1=Element_Stiffness!$E$40,Element_Stiffness!W68,0)),0)),0)+IF(Element_Stiffness!$C$76,IF(Element_Stiffness!$C$75=5,IF(1=Element_Stiffness!$C$75,Element_Stiffness!Q97,IF(1=Element_Stiffness!$E$75,Element_Stiffness!W97,0)),IF(Element_Stiffness!$E$75=5,IF(1=Element_Stiffness!$C$75,Element_Stiffness!Q103,IF(1=Element_Stiffness!$E$75,Element_Stiffness!W103,0)),0)),0)+IF(Element_Stiffness!$C$111,IF(Element_Stiffness!$C$110=5,IF(1=Element_Stiffness!$C$110,Element_Stiffness!Q132,IF(1=Element_Stiffness!$E$110,Element_Stiffness!W132,0)),IF(Element_Stiffness!$E$110=5,IF(1=Element_Stiffness!$C$110,Element_Stiffness!Q138,IF(1=Element_Stiffness!$E$110,Element_Stiffness!W138,0)),0)),0)+IF(Element_Stiffness!$C$146,IF(Element_Stiffness!$C$145=5,IF(1=Element_Stiffness!$C$145,Element_Stiffness!Q167,IF(1=Element_Stiffness!$E$145,Element_Stiffness!W167,0)),IF(Element_Stiffness!$E$145=5,IF(1=Element_Stiffness!$C$145,Element_Stiffness!Q173,IF(1=Element_Stiffness!$E$145,Element_Stiffness!W173,0)),0)),0)+IF(Element_Stiffness!$C$181,IF(Element_Stiffness!$C$180=5,IF(1=Element_Stiffness!$C$180,Element_Stiffness!Q202,IF(1=Element_Stiffness!$E$180,Element_Stiffness!W202,0)),IF(Element_Stiffness!$E$180=5,IF(1=Element_Stiffness!$C$180,Element_Stiffness!Q208,IF(1=Element_Stiffness!$E$180,Element_Stiffness!W208,0)),0)),0)+IF(Element_Stiffness!$C$216,IF(Element_Stiffness!$C$215=5,IF(1=Element_Stiffness!$C$215,Element_Stiffness!Q237,IF(1=Element_Stiffness!$E$215,Element_Stiffness!W237,0)),IF(Element_Stiffness!$E$215=5,IF(1=Element_Stiffness!$C$215,Element_Stiffness!Q243,IF(1=Element_Stiffness!$E$215,Element_Stiffness!W243,0)),0)),0)</f>
        <v/>
      </c>
      <c r="K36" s="21">
        <f>IF(Element_Stiffness!$C$6,IF(Element_Stiffness!$C$5=5,IF(1=Element_Stiffness!$C$5,Element_Stiffness!R27,IF(1=Element_Stiffness!$E$5,Element_Stiffness!X27,0)),IF(Element_Stiffness!$E$5=5,IF(1=Element_Stiffness!$C$5,Element_Stiffness!R33,IF(1=Element_Stiffness!$E$5,Element_Stiffness!X33,0)),0)),0)+IF(Element_Stiffness!$C$41,IF(Element_Stiffness!$C$40=5,IF(1=Element_Stiffness!$C$40,Element_Stiffness!R62,IF(1=Element_Stiffness!$E$40,Element_Stiffness!X62,0)),IF(Element_Stiffness!$E$40=5,IF(1=Element_Stiffness!$C$40,Element_Stiffness!R68,IF(1=Element_Stiffness!$E$40,Element_Stiffness!X68,0)),0)),0)+IF(Element_Stiffness!$C$76,IF(Element_Stiffness!$C$75=5,IF(1=Element_Stiffness!$C$75,Element_Stiffness!R97,IF(1=Element_Stiffness!$E$75,Element_Stiffness!X97,0)),IF(Element_Stiffness!$E$75=5,IF(1=Element_Stiffness!$C$75,Element_Stiffness!R103,IF(1=Element_Stiffness!$E$75,Element_Stiffness!X103,0)),0)),0)+IF(Element_Stiffness!$C$111,IF(Element_Stiffness!$C$110=5,IF(1=Element_Stiffness!$C$110,Element_Stiffness!R132,IF(1=Element_Stiffness!$E$110,Element_Stiffness!X132,0)),IF(Element_Stiffness!$E$110=5,IF(1=Element_Stiffness!$C$110,Element_Stiffness!R138,IF(1=Element_Stiffness!$E$110,Element_Stiffness!X138,0)),0)),0)+IF(Element_Stiffness!$C$146,IF(Element_Stiffness!$C$145=5,IF(1=Element_Stiffness!$C$145,Element_Stiffness!R167,IF(1=Element_Stiffness!$E$145,Element_Stiffness!X167,0)),IF(Element_Stiffness!$E$145=5,IF(1=Element_Stiffness!$C$145,Element_Stiffness!R173,IF(1=Element_Stiffness!$E$145,Element_Stiffness!X173,0)),0)),0)+IF(Element_Stiffness!$C$181,IF(Element_Stiffness!$C$180=5,IF(1=Element_Stiffness!$C$180,Element_Stiffness!R202,IF(1=Element_Stiffness!$E$180,Element_Stiffness!X202,0)),IF(Element_Stiffness!$E$180=5,IF(1=Element_Stiffness!$C$180,Element_Stiffness!R208,IF(1=Element_Stiffness!$E$180,Element_Stiffness!X208,0)),0)),0)+IF(Element_Stiffness!$C$216,IF(Element_Stiffness!$C$215=5,IF(1=Element_Stiffness!$C$215,Element_Stiffness!R237,IF(1=Element_Stiffness!$E$215,Element_Stiffness!X237,0)),IF(Element_Stiffness!$E$215=5,IF(1=Element_Stiffness!$C$215,Element_Stiffness!R243,IF(1=Element_Stiffness!$E$215,Element_Stiffness!X243,0)),0)),0)</f>
        <v/>
      </c>
      <c r="L36" s="21">
        <f>IF(Element_Stiffness!$C$6,IF(Element_Stiffness!$C$5=5,IF(1=Element_Stiffness!$C$5,Element_Stiffness!S27,IF(1=Element_Stiffness!$E$5,Element_Stiffness!Y27,0)),IF(Element_Stiffness!$E$5=5,IF(1=Element_Stiffness!$C$5,Element_Stiffness!S33,IF(1=Element_Stiffness!$E$5,Element_Stiffness!Y33,0)),0)),0)+IF(Element_Stiffness!$C$41,IF(Element_Stiffness!$C$40=5,IF(1=Element_Stiffness!$C$40,Element_Stiffness!S62,IF(1=Element_Stiffness!$E$40,Element_Stiffness!Y62,0)),IF(Element_Stiffness!$E$40=5,IF(1=Element_Stiffness!$C$40,Element_Stiffness!S68,IF(1=Element_Stiffness!$E$40,Element_Stiffness!Y68,0)),0)),0)+IF(Element_Stiffness!$C$76,IF(Element_Stiffness!$C$75=5,IF(1=Element_Stiffness!$C$75,Element_Stiffness!S97,IF(1=Element_Stiffness!$E$75,Element_Stiffness!Y97,0)),IF(Element_Stiffness!$E$75=5,IF(1=Element_Stiffness!$C$75,Element_Stiffness!S103,IF(1=Element_Stiffness!$E$75,Element_Stiffness!Y103,0)),0)),0)+IF(Element_Stiffness!$C$111,IF(Element_Stiffness!$C$110=5,IF(1=Element_Stiffness!$C$110,Element_Stiffness!S132,IF(1=Element_Stiffness!$E$110,Element_Stiffness!Y132,0)),IF(Element_Stiffness!$E$110=5,IF(1=Element_Stiffness!$C$110,Element_Stiffness!S138,IF(1=Element_Stiffness!$E$110,Element_Stiffness!Y138,0)),0)),0)+IF(Element_Stiffness!$C$146,IF(Element_Stiffness!$C$145=5,IF(1=Element_Stiffness!$C$145,Element_Stiffness!S167,IF(1=Element_Stiffness!$E$145,Element_Stiffness!Y167,0)),IF(Element_Stiffness!$E$145=5,IF(1=Element_Stiffness!$C$145,Element_Stiffness!S173,IF(1=Element_Stiffness!$E$145,Element_Stiffness!Y173,0)),0)),0)+IF(Element_Stiffness!$C$181,IF(Element_Stiffness!$C$180=5,IF(1=Element_Stiffness!$C$180,Element_Stiffness!S202,IF(1=Element_Stiffness!$E$180,Element_Stiffness!Y202,0)),IF(Element_Stiffness!$E$180=5,IF(1=Element_Stiffness!$C$180,Element_Stiffness!S208,IF(1=Element_Stiffness!$E$180,Element_Stiffness!Y208,0)),0)),0)+IF(Element_Stiffness!$C$216,IF(Element_Stiffness!$C$215=5,IF(1=Element_Stiffness!$C$215,Element_Stiffness!S237,IF(1=Element_Stiffness!$E$215,Element_Stiffness!Y237,0)),IF(Element_Stiffness!$E$215=5,IF(1=Element_Stiffness!$C$215,Element_Stiffness!S243,IF(1=Element_Stiffness!$E$215,Element_Stiffness!Y243,0)),0)),0)</f>
        <v/>
      </c>
      <c r="M36" s="21">
        <f>IF(Element_Stiffness!$C$6,IF(Element_Stiffness!$C$5=5,IF(1=Element_Stiffness!$C$5,Element_Stiffness!T27,IF(1=Element_Stiffness!$E$5,Element_Stiffness!Z27,0)),IF(Element_Stiffness!$E$5=5,IF(1=Element_Stiffness!$C$5,Element_Stiffness!T33,IF(1=Element_Stiffness!$E$5,Element_Stiffness!Z33,0)),0)),0)+IF(Element_Stiffness!$C$41,IF(Element_Stiffness!$C$40=5,IF(1=Element_Stiffness!$C$40,Element_Stiffness!T62,IF(1=Element_Stiffness!$E$40,Element_Stiffness!Z62,0)),IF(Element_Stiffness!$E$40=5,IF(1=Element_Stiffness!$C$40,Element_Stiffness!T68,IF(1=Element_Stiffness!$E$40,Element_Stiffness!Z68,0)),0)),0)+IF(Element_Stiffness!$C$76,IF(Element_Stiffness!$C$75=5,IF(1=Element_Stiffness!$C$75,Element_Stiffness!T97,IF(1=Element_Stiffness!$E$75,Element_Stiffness!Z97,0)),IF(Element_Stiffness!$E$75=5,IF(1=Element_Stiffness!$C$75,Element_Stiffness!T103,IF(1=Element_Stiffness!$E$75,Element_Stiffness!Z103,0)),0)),0)+IF(Element_Stiffness!$C$111,IF(Element_Stiffness!$C$110=5,IF(1=Element_Stiffness!$C$110,Element_Stiffness!T132,IF(1=Element_Stiffness!$E$110,Element_Stiffness!Z132,0)),IF(Element_Stiffness!$E$110=5,IF(1=Element_Stiffness!$C$110,Element_Stiffness!T138,IF(1=Element_Stiffness!$E$110,Element_Stiffness!Z138,0)),0)),0)+IF(Element_Stiffness!$C$146,IF(Element_Stiffness!$C$145=5,IF(1=Element_Stiffness!$C$145,Element_Stiffness!T167,IF(1=Element_Stiffness!$E$145,Element_Stiffness!Z167,0)),IF(Element_Stiffness!$E$145=5,IF(1=Element_Stiffness!$C$145,Element_Stiffness!T173,IF(1=Element_Stiffness!$E$145,Element_Stiffness!Z173,0)),0)),0)+IF(Element_Stiffness!$C$181,IF(Element_Stiffness!$C$180=5,IF(1=Element_Stiffness!$C$180,Element_Stiffness!T202,IF(1=Element_Stiffness!$E$180,Element_Stiffness!Z202,0)),IF(Element_Stiffness!$E$180=5,IF(1=Element_Stiffness!$C$180,Element_Stiffness!T208,IF(1=Element_Stiffness!$E$180,Element_Stiffness!Z208,0)),0)),0)+IF(Element_Stiffness!$C$216,IF(Element_Stiffness!$C$215=5,IF(1=Element_Stiffness!$C$215,Element_Stiffness!T237,IF(1=Element_Stiffness!$E$215,Element_Stiffness!Z237,0)),IF(Element_Stiffness!$E$215=5,IF(1=Element_Stiffness!$C$215,Element_Stiffness!T243,IF(1=Element_Stiffness!$E$215,Element_Stiffness!Z243,0)),0)),0)</f>
        <v/>
      </c>
      <c r="N36" s="21">
        <f>IF(Element_Stiffness!$C$6,IF(Element_Stiffness!$C$5=5,IF(1=Element_Stiffness!$C$5,Element_Stiffness!U27,IF(1=Element_Stiffness!$E$5,Element_Stiffness!AA27,0)),IF(Element_Stiffness!$E$5=5,IF(1=Element_Stiffness!$C$5,Element_Stiffness!U33,IF(1=Element_Stiffness!$E$5,Element_Stiffness!AA33,0)),0)),0)+IF(Element_Stiffness!$C$41,IF(Element_Stiffness!$C$40=5,IF(1=Element_Stiffness!$C$40,Element_Stiffness!U62,IF(1=Element_Stiffness!$E$40,Element_Stiffness!AA62,0)),IF(Element_Stiffness!$E$40=5,IF(1=Element_Stiffness!$C$40,Element_Stiffness!U68,IF(1=Element_Stiffness!$E$40,Element_Stiffness!AA68,0)),0)),0)+IF(Element_Stiffness!$C$76,IF(Element_Stiffness!$C$75=5,IF(1=Element_Stiffness!$C$75,Element_Stiffness!U97,IF(1=Element_Stiffness!$E$75,Element_Stiffness!AA97,0)),IF(Element_Stiffness!$E$75=5,IF(1=Element_Stiffness!$C$75,Element_Stiffness!U103,IF(1=Element_Stiffness!$E$75,Element_Stiffness!AA103,0)),0)),0)+IF(Element_Stiffness!$C$111,IF(Element_Stiffness!$C$110=5,IF(1=Element_Stiffness!$C$110,Element_Stiffness!U132,IF(1=Element_Stiffness!$E$110,Element_Stiffness!AA132,0)),IF(Element_Stiffness!$E$110=5,IF(1=Element_Stiffness!$C$110,Element_Stiffness!U138,IF(1=Element_Stiffness!$E$110,Element_Stiffness!AA138,0)),0)),0)+IF(Element_Stiffness!$C$146,IF(Element_Stiffness!$C$145=5,IF(1=Element_Stiffness!$C$145,Element_Stiffness!U167,IF(1=Element_Stiffness!$E$145,Element_Stiffness!AA167,0)),IF(Element_Stiffness!$E$145=5,IF(1=Element_Stiffness!$C$145,Element_Stiffness!U173,IF(1=Element_Stiffness!$E$145,Element_Stiffness!AA173,0)),0)),0)+IF(Element_Stiffness!$C$181,IF(Element_Stiffness!$C$180=5,IF(1=Element_Stiffness!$C$180,Element_Stiffness!U202,IF(1=Element_Stiffness!$E$180,Element_Stiffness!AA202,0)),IF(Element_Stiffness!$E$180=5,IF(1=Element_Stiffness!$C$180,Element_Stiffness!U208,IF(1=Element_Stiffness!$E$180,Element_Stiffness!AA208,0)),0)),0)+IF(Element_Stiffness!$C$216,IF(Element_Stiffness!$C$215=5,IF(1=Element_Stiffness!$C$215,Element_Stiffness!U237,IF(1=Element_Stiffness!$E$215,Element_Stiffness!AA237,0)),IF(Element_Stiffness!$E$215=5,IF(1=Element_Stiffness!$C$215,Element_Stiffness!U243,IF(1=Element_Stiffness!$E$215,Element_Stiffness!AA243,0)),0)),0)</f>
        <v/>
      </c>
      <c r="O36" s="21">
        <f>IF(Element_Stiffness!$C$6,IF(Element_Stiffness!$C$5=5,IF(2=Element_Stiffness!$C$5,Element_Stiffness!P27,IF(2=Element_Stiffness!$E$5,Element_Stiffness!V27,0)),IF(Element_Stiffness!$E$5=5,IF(2=Element_Stiffness!$C$5,Element_Stiffness!P33,IF(2=Element_Stiffness!$E$5,Element_Stiffness!V33,0)),0)),0)+IF(Element_Stiffness!$C$41,IF(Element_Stiffness!$C$40=5,IF(2=Element_Stiffness!$C$40,Element_Stiffness!P62,IF(2=Element_Stiffness!$E$40,Element_Stiffness!V62,0)),IF(Element_Stiffness!$E$40=5,IF(2=Element_Stiffness!$C$40,Element_Stiffness!P68,IF(2=Element_Stiffness!$E$40,Element_Stiffness!V68,0)),0)),0)+IF(Element_Stiffness!$C$76,IF(Element_Stiffness!$C$75=5,IF(2=Element_Stiffness!$C$75,Element_Stiffness!P97,IF(2=Element_Stiffness!$E$75,Element_Stiffness!V97,0)),IF(Element_Stiffness!$E$75=5,IF(2=Element_Stiffness!$C$75,Element_Stiffness!P103,IF(2=Element_Stiffness!$E$75,Element_Stiffness!V103,0)),0)),0)+IF(Element_Stiffness!$C$111,IF(Element_Stiffness!$C$110=5,IF(2=Element_Stiffness!$C$110,Element_Stiffness!P132,IF(2=Element_Stiffness!$E$110,Element_Stiffness!V132,0)),IF(Element_Stiffness!$E$110=5,IF(2=Element_Stiffness!$C$110,Element_Stiffness!P138,IF(2=Element_Stiffness!$E$110,Element_Stiffness!V138,0)),0)),0)+IF(Element_Stiffness!$C$146,IF(Element_Stiffness!$C$145=5,IF(2=Element_Stiffness!$C$145,Element_Stiffness!P167,IF(2=Element_Stiffness!$E$145,Element_Stiffness!V167,0)),IF(Element_Stiffness!$E$145=5,IF(2=Element_Stiffness!$C$145,Element_Stiffness!P173,IF(2=Element_Stiffness!$E$145,Element_Stiffness!V173,0)),0)),0)+IF(Element_Stiffness!$C$181,IF(Element_Stiffness!$C$180=5,IF(2=Element_Stiffness!$C$180,Element_Stiffness!P202,IF(2=Element_Stiffness!$E$180,Element_Stiffness!V202,0)),IF(Element_Stiffness!$E$180=5,IF(2=Element_Stiffness!$C$180,Element_Stiffness!P208,IF(2=Element_Stiffness!$E$180,Element_Stiffness!V208,0)),0)),0)+IF(Element_Stiffness!$C$216,IF(Element_Stiffness!$C$215=5,IF(2=Element_Stiffness!$C$215,Element_Stiffness!P237,IF(2=Element_Stiffness!$E$215,Element_Stiffness!V237,0)),IF(Element_Stiffness!$E$215=5,IF(2=Element_Stiffness!$C$215,Element_Stiffness!P243,IF(2=Element_Stiffness!$E$215,Element_Stiffness!V243,0)),0)),0)</f>
        <v/>
      </c>
      <c r="P36" s="21">
        <f>IF(Element_Stiffness!$C$6,IF(Element_Stiffness!$C$5=5,IF(2=Element_Stiffness!$C$5,Element_Stiffness!Q27,IF(2=Element_Stiffness!$E$5,Element_Stiffness!W27,0)),IF(Element_Stiffness!$E$5=5,IF(2=Element_Stiffness!$C$5,Element_Stiffness!Q33,IF(2=Element_Stiffness!$E$5,Element_Stiffness!W33,0)),0)),0)+IF(Element_Stiffness!$C$41,IF(Element_Stiffness!$C$40=5,IF(2=Element_Stiffness!$C$40,Element_Stiffness!Q62,IF(2=Element_Stiffness!$E$40,Element_Stiffness!W62,0)),IF(Element_Stiffness!$E$40=5,IF(2=Element_Stiffness!$C$40,Element_Stiffness!Q68,IF(2=Element_Stiffness!$E$40,Element_Stiffness!W68,0)),0)),0)+IF(Element_Stiffness!$C$76,IF(Element_Stiffness!$C$75=5,IF(2=Element_Stiffness!$C$75,Element_Stiffness!Q97,IF(2=Element_Stiffness!$E$75,Element_Stiffness!W97,0)),IF(Element_Stiffness!$E$75=5,IF(2=Element_Stiffness!$C$75,Element_Stiffness!Q103,IF(2=Element_Stiffness!$E$75,Element_Stiffness!W103,0)),0)),0)+IF(Element_Stiffness!$C$111,IF(Element_Stiffness!$C$110=5,IF(2=Element_Stiffness!$C$110,Element_Stiffness!Q132,IF(2=Element_Stiffness!$E$110,Element_Stiffness!W132,0)),IF(Element_Stiffness!$E$110=5,IF(2=Element_Stiffness!$C$110,Element_Stiffness!Q138,IF(2=Element_Stiffness!$E$110,Element_Stiffness!W138,0)),0)),0)+IF(Element_Stiffness!$C$146,IF(Element_Stiffness!$C$145=5,IF(2=Element_Stiffness!$C$145,Element_Stiffness!Q167,IF(2=Element_Stiffness!$E$145,Element_Stiffness!W167,0)),IF(Element_Stiffness!$E$145=5,IF(2=Element_Stiffness!$C$145,Element_Stiffness!Q173,IF(2=Element_Stiffness!$E$145,Element_Stiffness!W173,0)),0)),0)+IF(Element_Stiffness!$C$181,IF(Element_Stiffness!$C$180=5,IF(2=Element_Stiffness!$C$180,Element_Stiffness!Q202,IF(2=Element_Stiffness!$E$180,Element_Stiffness!W202,0)),IF(Element_Stiffness!$E$180=5,IF(2=Element_Stiffness!$C$180,Element_Stiffness!Q208,IF(2=Element_Stiffness!$E$180,Element_Stiffness!W208,0)),0)),0)+IF(Element_Stiffness!$C$216,IF(Element_Stiffness!$C$215=5,IF(2=Element_Stiffness!$C$215,Element_Stiffness!Q237,IF(2=Element_Stiffness!$E$215,Element_Stiffness!W237,0)),IF(Element_Stiffness!$E$215=5,IF(2=Element_Stiffness!$C$215,Element_Stiffness!Q243,IF(2=Element_Stiffness!$E$215,Element_Stiffness!W243,0)),0)),0)</f>
        <v/>
      </c>
      <c r="Q36" s="21">
        <f>IF(Element_Stiffness!$C$6,IF(Element_Stiffness!$C$5=5,IF(2=Element_Stiffness!$C$5,Element_Stiffness!R27,IF(2=Element_Stiffness!$E$5,Element_Stiffness!X27,0)),IF(Element_Stiffness!$E$5=5,IF(2=Element_Stiffness!$C$5,Element_Stiffness!R33,IF(2=Element_Stiffness!$E$5,Element_Stiffness!X33,0)),0)),0)+IF(Element_Stiffness!$C$41,IF(Element_Stiffness!$C$40=5,IF(2=Element_Stiffness!$C$40,Element_Stiffness!R62,IF(2=Element_Stiffness!$E$40,Element_Stiffness!X62,0)),IF(Element_Stiffness!$E$40=5,IF(2=Element_Stiffness!$C$40,Element_Stiffness!R68,IF(2=Element_Stiffness!$E$40,Element_Stiffness!X68,0)),0)),0)+IF(Element_Stiffness!$C$76,IF(Element_Stiffness!$C$75=5,IF(2=Element_Stiffness!$C$75,Element_Stiffness!R97,IF(2=Element_Stiffness!$E$75,Element_Stiffness!X97,0)),IF(Element_Stiffness!$E$75=5,IF(2=Element_Stiffness!$C$75,Element_Stiffness!R103,IF(2=Element_Stiffness!$E$75,Element_Stiffness!X103,0)),0)),0)+IF(Element_Stiffness!$C$111,IF(Element_Stiffness!$C$110=5,IF(2=Element_Stiffness!$C$110,Element_Stiffness!R132,IF(2=Element_Stiffness!$E$110,Element_Stiffness!X132,0)),IF(Element_Stiffness!$E$110=5,IF(2=Element_Stiffness!$C$110,Element_Stiffness!R138,IF(2=Element_Stiffness!$E$110,Element_Stiffness!X138,0)),0)),0)+IF(Element_Stiffness!$C$146,IF(Element_Stiffness!$C$145=5,IF(2=Element_Stiffness!$C$145,Element_Stiffness!R167,IF(2=Element_Stiffness!$E$145,Element_Stiffness!X167,0)),IF(Element_Stiffness!$E$145=5,IF(2=Element_Stiffness!$C$145,Element_Stiffness!R173,IF(2=Element_Stiffness!$E$145,Element_Stiffness!X173,0)),0)),0)+IF(Element_Stiffness!$C$181,IF(Element_Stiffness!$C$180=5,IF(2=Element_Stiffness!$C$180,Element_Stiffness!R202,IF(2=Element_Stiffness!$E$180,Element_Stiffness!X202,0)),IF(Element_Stiffness!$E$180=5,IF(2=Element_Stiffness!$C$180,Element_Stiffness!R208,IF(2=Element_Stiffness!$E$180,Element_Stiffness!X208,0)),0)),0)+IF(Element_Stiffness!$C$216,IF(Element_Stiffness!$C$215=5,IF(2=Element_Stiffness!$C$215,Element_Stiffness!R237,IF(2=Element_Stiffness!$E$215,Element_Stiffness!X237,0)),IF(Element_Stiffness!$E$215=5,IF(2=Element_Stiffness!$C$215,Element_Stiffness!R243,IF(2=Element_Stiffness!$E$215,Element_Stiffness!X243,0)),0)),0)</f>
        <v/>
      </c>
      <c r="R36" s="21">
        <f>IF(Element_Stiffness!$C$6,IF(Element_Stiffness!$C$5=5,IF(2=Element_Stiffness!$C$5,Element_Stiffness!S27,IF(2=Element_Stiffness!$E$5,Element_Stiffness!Y27,0)),IF(Element_Stiffness!$E$5=5,IF(2=Element_Stiffness!$C$5,Element_Stiffness!S33,IF(2=Element_Stiffness!$E$5,Element_Stiffness!Y33,0)),0)),0)+IF(Element_Stiffness!$C$41,IF(Element_Stiffness!$C$40=5,IF(2=Element_Stiffness!$C$40,Element_Stiffness!S62,IF(2=Element_Stiffness!$E$40,Element_Stiffness!Y62,0)),IF(Element_Stiffness!$E$40=5,IF(2=Element_Stiffness!$C$40,Element_Stiffness!S68,IF(2=Element_Stiffness!$E$40,Element_Stiffness!Y68,0)),0)),0)+IF(Element_Stiffness!$C$76,IF(Element_Stiffness!$C$75=5,IF(2=Element_Stiffness!$C$75,Element_Stiffness!S97,IF(2=Element_Stiffness!$E$75,Element_Stiffness!Y97,0)),IF(Element_Stiffness!$E$75=5,IF(2=Element_Stiffness!$C$75,Element_Stiffness!S103,IF(2=Element_Stiffness!$E$75,Element_Stiffness!Y103,0)),0)),0)+IF(Element_Stiffness!$C$111,IF(Element_Stiffness!$C$110=5,IF(2=Element_Stiffness!$C$110,Element_Stiffness!S132,IF(2=Element_Stiffness!$E$110,Element_Stiffness!Y132,0)),IF(Element_Stiffness!$E$110=5,IF(2=Element_Stiffness!$C$110,Element_Stiffness!S138,IF(2=Element_Stiffness!$E$110,Element_Stiffness!Y138,0)),0)),0)+IF(Element_Stiffness!$C$146,IF(Element_Stiffness!$C$145=5,IF(2=Element_Stiffness!$C$145,Element_Stiffness!S167,IF(2=Element_Stiffness!$E$145,Element_Stiffness!Y167,0)),IF(Element_Stiffness!$E$145=5,IF(2=Element_Stiffness!$C$145,Element_Stiffness!S173,IF(2=Element_Stiffness!$E$145,Element_Stiffness!Y173,0)),0)),0)+IF(Element_Stiffness!$C$181,IF(Element_Stiffness!$C$180=5,IF(2=Element_Stiffness!$C$180,Element_Stiffness!S202,IF(2=Element_Stiffness!$E$180,Element_Stiffness!Y202,0)),IF(Element_Stiffness!$E$180=5,IF(2=Element_Stiffness!$C$180,Element_Stiffness!S208,IF(2=Element_Stiffness!$E$180,Element_Stiffness!Y208,0)),0)),0)+IF(Element_Stiffness!$C$216,IF(Element_Stiffness!$C$215=5,IF(2=Element_Stiffness!$C$215,Element_Stiffness!S237,IF(2=Element_Stiffness!$E$215,Element_Stiffness!Y237,0)),IF(Element_Stiffness!$E$215=5,IF(2=Element_Stiffness!$C$215,Element_Stiffness!S243,IF(2=Element_Stiffness!$E$215,Element_Stiffness!Y243,0)),0)),0)</f>
        <v/>
      </c>
      <c r="S36" s="21">
        <f>IF(Element_Stiffness!$C$6,IF(Element_Stiffness!$C$5=5,IF(2=Element_Stiffness!$C$5,Element_Stiffness!T27,IF(2=Element_Stiffness!$E$5,Element_Stiffness!Z27,0)),IF(Element_Stiffness!$E$5=5,IF(2=Element_Stiffness!$C$5,Element_Stiffness!T33,IF(2=Element_Stiffness!$E$5,Element_Stiffness!Z33,0)),0)),0)+IF(Element_Stiffness!$C$41,IF(Element_Stiffness!$C$40=5,IF(2=Element_Stiffness!$C$40,Element_Stiffness!T62,IF(2=Element_Stiffness!$E$40,Element_Stiffness!Z62,0)),IF(Element_Stiffness!$E$40=5,IF(2=Element_Stiffness!$C$40,Element_Stiffness!T68,IF(2=Element_Stiffness!$E$40,Element_Stiffness!Z68,0)),0)),0)+IF(Element_Stiffness!$C$76,IF(Element_Stiffness!$C$75=5,IF(2=Element_Stiffness!$C$75,Element_Stiffness!T97,IF(2=Element_Stiffness!$E$75,Element_Stiffness!Z97,0)),IF(Element_Stiffness!$E$75=5,IF(2=Element_Stiffness!$C$75,Element_Stiffness!T103,IF(2=Element_Stiffness!$E$75,Element_Stiffness!Z103,0)),0)),0)+IF(Element_Stiffness!$C$111,IF(Element_Stiffness!$C$110=5,IF(2=Element_Stiffness!$C$110,Element_Stiffness!T132,IF(2=Element_Stiffness!$E$110,Element_Stiffness!Z132,0)),IF(Element_Stiffness!$E$110=5,IF(2=Element_Stiffness!$C$110,Element_Stiffness!T138,IF(2=Element_Stiffness!$E$110,Element_Stiffness!Z138,0)),0)),0)+IF(Element_Stiffness!$C$146,IF(Element_Stiffness!$C$145=5,IF(2=Element_Stiffness!$C$145,Element_Stiffness!T167,IF(2=Element_Stiffness!$E$145,Element_Stiffness!Z167,0)),IF(Element_Stiffness!$E$145=5,IF(2=Element_Stiffness!$C$145,Element_Stiffness!T173,IF(2=Element_Stiffness!$E$145,Element_Stiffness!Z173,0)),0)),0)+IF(Element_Stiffness!$C$181,IF(Element_Stiffness!$C$180=5,IF(2=Element_Stiffness!$C$180,Element_Stiffness!T202,IF(2=Element_Stiffness!$E$180,Element_Stiffness!Z202,0)),IF(Element_Stiffness!$E$180=5,IF(2=Element_Stiffness!$C$180,Element_Stiffness!T208,IF(2=Element_Stiffness!$E$180,Element_Stiffness!Z208,0)),0)),0)+IF(Element_Stiffness!$C$216,IF(Element_Stiffness!$C$215=5,IF(2=Element_Stiffness!$C$215,Element_Stiffness!T237,IF(2=Element_Stiffness!$E$215,Element_Stiffness!Z237,0)),IF(Element_Stiffness!$E$215=5,IF(2=Element_Stiffness!$C$215,Element_Stiffness!T243,IF(2=Element_Stiffness!$E$215,Element_Stiffness!Z243,0)),0)),0)</f>
        <v/>
      </c>
      <c r="T36" s="21">
        <f>IF(Element_Stiffness!$C$6,IF(Element_Stiffness!$C$5=5,IF(2=Element_Stiffness!$C$5,Element_Stiffness!U27,IF(2=Element_Stiffness!$E$5,Element_Stiffness!AA27,0)),IF(Element_Stiffness!$E$5=5,IF(2=Element_Stiffness!$C$5,Element_Stiffness!U33,IF(2=Element_Stiffness!$E$5,Element_Stiffness!AA33,0)),0)),0)+IF(Element_Stiffness!$C$41,IF(Element_Stiffness!$C$40=5,IF(2=Element_Stiffness!$C$40,Element_Stiffness!U62,IF(2=Element_Stiffness!$E$40,Element_Stiffness!AA62,0)),IF(Element_Stiffness!$E$40=5,IF(2=Element_Stiffness!$C$40,Element_Stiffness!U68,IF(2=Element_Stiffness!$E$40,Element_Stiffness!AA68,0)),0)),0)+IF(Element_Stiffness!$C$76,IF(Element_Stiffness!$C$75=5,IF(2=Element_Stiffness!$C$75,Element_Stiffness!U97,IF(2=Element_Stiffness!$E$75,Element_Stiffness!AA97,0)),IF(Element_Stiffness!$E$75=5,IF(2=Element_Stiffness!$C$75,Element_Stiffness!U103,IF(2=Element_Stiffness!$E$75,Element_Stiffness!AA103,0)),0)),0)+IF(Element_Stiffness!$C$111,IF(Element_Stiffness!$C$110=5,IF(2=Element_Stiffness!$C$110,Element_Stiffness!U132,IF(2=Element_Stiffness!$E$110,Element_Stiffness!AA132,0)),IF(Element_Stiffness!$E$110=5,IF(2=Element_Stiffness!$C$110,Element_Stiffness!U138,IF(2=Element_Stiffness!$E$110,Element_Stiffness!AA138,0)),0)),0)+IF(Element_Stiffness!$C$146,IF(Element_Stiffness!$C$145=5,IF(2=Element_Stiffness!$C$145,Element_Stiffness!U167,IF(2=Element_Stiffness!$E$145,Element_Stiffness!AA167,0)),IF(Element_Stiffness!$E$145=5,IF(2=Element_Stiffness!$C$145,Element_Stiffness!U173,IF(2=Element_Stiffness!$E$145,Element_Stiffness!AA173,0)),0)),0)+IF(Element_Stiffness!$C$181,IF(Element_Stiffness!$C$180=5,IF(2=Element_Stiffness!$C$180,Element_Stiffness!U202,IF(2=Element_Stiffness!$E$180,Element_Stiffness!AA202,0)),IF(Element_Stiffness!$E$180=5,IF(2=Element_Stiffness!$C$180,Element_Stiffness!U208,IF(2=Element_Stiffness!$E$180,Element_Stiffness!AA208,0)),0)),0)+IF(Element_Stiffness!$C$216,IF(Element_Stiffness!$C$215=5,IF(2=Element_Stiffness!$C$215,Element_Stiffness!U237,IF(2=Element_Stiffness!$E$215,Element_Stiffness!AA237,0)),IF(Element_Stiffness!$E$215=5,IF(2=Element_Stiffness!$C$215,Element_Stiffness!U243,IF(2=Element_Stiffness!$E$215,Element_Stiffness!AA243,0)),0)),0)</f>
        <v/>
      </c>
      <c r="U36" s="21">
        <f>IF(Element_Stiffness!$C$6,IF(Element_Stiffness!$C$5=5,IF(3=Element_Stiffness!$C$5,Element_Stiffness!P27,IF(3=Element_Stiffness!$E$5,Element_Stiffness!V27,0)),IF(Element_Stiffness!$E$5=5,IF(3=Element_Stiffness!$C$5,Element_Stiffness!P33,IF(3=Element_Stiffness!$E$5,Element_Stiffness!V33,0)),0)),0)+IF(Element_Stiffness!$C$41,IF(Element_Stiffness!$C$40=5,IF(3=Element_Stiffness!$C$40,Element_Stiffness!P62,IF(3=Element_Stiffness!$E$40,Element_Stiffness!V62,0)),IF(Element_Stiffness!$E$40=5,IF(3=Element_Stiffness!$C$40,Element_Stiffness!P68,IF(3=Element_Stiffness!$E$40,Element_Stiffness!V68,0)),0)),0)+IF(Element_Stiffness!$C$76,IF(Element_Stiffness!$C$75=5,IF(3=Element_Stiffness!$C$75,Element_Stiffness!P97,IF(3=Element_Stiffness!$E$75,Element_Stiffness!V97,0)),IF(Element_Stiffness!$E$75=5,IF(3=Element_Stiffness!$C$75,Element_Stiffness!P103,IF(3=Element_Stiffness!$E$75,Element_Stiffness!V103,0)),0)),0)+IF(Element_Stiffness!$C$111,IF(Element_Stiffness!$C$110=5,IF(3=Element_Stiffness!$C$110,Element_Stiffness!P132,IF(3=Element_Stiffness!$E$110,Element_Stiffness!V132,0)),IF(Element_Stiffness!$E$110=5,IF(3=Element_Stiffness!$C$110,Element_Stiffness!P138,IF(3=Element_Stiffness!$E$110,Element_Stiffness!V138,0)),0)),0)+IF(Element_Stiffness!$C$146,IF(Element_Stiffness!$C$145=5,IF(3=Element_Stiffness!$C$145,Element_Stiffness!P167,IF(3=Element_Stiffness!$E$145,Element_Stiffness!V167,0)),IF(Element_Stiffness!$E$145=5,IF(3=Element_Stiffness!$C$145,Element_Stiffness!P173,IF(3=Element_Stiffness!$E$145,Element_Stiffness!V173,0)),0)),0)+IF(Element_Stiffness!$C$181,IF(Element_Stiffness!$C$180=5,IF(3=Element_Stiffness!$C$180,Element_Stiffness!P202,IF(3=Element_Stiffness!$E$180,Element_Stiffness!V202,0)),IF(Element_Stiffness!$E$180=5,IF(3=Element_Stiffness!$C$180,Element_Stiffness!P208,IF(3=Element_Stiffness!$E$180,Element_Stiffness!V208,0)),0)),0)+IF(Element_Stiffness!$C$216,IF(Element_Stiffness!$C$215=5,IF(3=Element_Stiffness!$C$215,Element_Stiffness!P237,IF(3=Element_Stiffness!$E$215,Element_Stiffness!V237,0)),IF(Element_Stiffness!$E$215=5,IF(3=Element_Stiffness!$C$215,Element_Stiffness!P243,IF(3=Element_Stiffness!$E$215,Element_Stiffness!V243,0)),0)),0)</f>
        <v/>
      </c>
      <c r="V36" s="21">
        <f>IF(Element_Stiffness!$C$6,IF(Element_Stiffness!$C$5=5,IF(3=Element_Stiffness!$C$5,Element_Stiffness!Q27,IF(3=Element_Stiffness!$E$5,Element_Stiffness!W27,0)),IF(Element_Stiffness!$E$5=5,IF(3=Element_Stiffness!$C$5,Element_Stiffness!Q33,IF(3=Element_Stiffness!$E$5,Element_Stiffness!W33,0)),0)),0)+IF(Element_Stiffness!$C$41,IF(Element_Stiffness!$C$40=5,IF(3=Element_Stiffness!$C$40,Element_Stiffness!Q62,IF(3=Element_Stiffness!$E$40,Element_Stiffness!W62,0)),IF(Element_Stiffness!$E$40=5,IF(3=Element_Stiffness!$C$40,Element_Stiffness!Q68,IF(3=Element_Stiffness!$E$40,Element_Stiffness!W68,0)),0)),0)+IF(Element_Stiffness!$C$76,IF(Element_Stiffness!$C$75=5,IF(3=Element_Stiffness!$C$75,Element_Stiffness!Q97,IF(3=Element_Stiffness!$E$75,Element_Stiffness!W97,0)),IF(Element_Stiffness!$E$75=5,IF(3=Element_Stiffness!$C$75,Element_Stiffness!Q103,IF(3=Element_Stiffness!$E$75,Element_Stiffness!W103,0)),0)),0)+IF(Element_Stiffness!$C$111,IF(Element_Stiffness!$C$110=5,IF(3=Element_Stiffness!$C$110,Element_Stiffness!Q132,IF(3=Element_Stiffness!$E$110,Element_Stiffness!W132,0)),IF(Element_Stiffness!$E$110=5,IF(3=Element_Stiffness!$C$110,Element_Stiffness!Q138,IF(3=Element_Stiffness!$E$110,Element_Stiffness!W138,0)),0)),0)+IF(Element_Stiffness!$C$146,IF(Element_Stiffness!$C$145=5,IF(3=Element_Stiffness!$C$145,Element_Stiffness!Q167,IF(3=Element_Stiffness!$E$145,Element_Stiffness!W167,0)),IF(Element_Stiffness!$E$145=5,IF(3=Element_Stiffness!$C$145,Element_Stiffness!Q173,IF(3=Element_Stiffness!$E$145,Element_Stiffness!W173,0)),0)),0)+IF(Element_Stiffness!$C$181,IF(Element_Stiffness!$C$180=5,IF(3=Element_Stiffness!$C$180,Element_Stiffness!Q202,IF(3=Element_Stiffness!$E$180,Element_Stiffness!W202,0)),IF(Element_Stiffness!$E$180=5,IF(3=Element_Stiffness!$C$180,Element_Stiffness!Q208,IF(3=Element_Stiffness!$E$180,Element_Stiffness!W208,0)),0)),0)+IF(Element_Stiffness!$C$216,IF(Element_Stiffness!$C$215=5,IF(3=Element_Stiffness!$C$215,Element_Stiffness!Q237,IF(3=Element_Stiffness!$E$215,Element_Stiffness!W237,0)),IF(Element_Stiffness!$E$215=5,IF(3=Element_Stiffness!$C$215,Element_Stiffness!Q243,IF(3=Element_Stiffness!$E$215,Element_Stiffness!W243,0)),0)),0)</f>
        <v/>
      </c>
      <c r="W36" s="21">
        <f>IF(Element_Stiffness!$C$6,IF(Element_Stiffness!$C$5=5,IF(3=Element_Stiffness!$C$5,Element_Stiffness!R27,IF(3=Element_Stiffness!$E$5,Element_Stiffness!X27,0)),IF(Element_Stiffness!$E$5=5,IF(3=Element_Stiffness!$C$5,Element_Stiffness!R33,IF(3=Element_Stiffness!$E$5,Element_Stiffness!X33,0)),0)),0)+IF(Element_Stiffness!$C$41,IF(Element_Stiffness!$C$40=5,IF(3=Element_Stiffness!$C$40,Element_Stiffness!R62,IF(3=Element_Stiffness!$E$40,Element_Stiffness!X62,0)),IF(Element_Stiffness!$E$40=5,IF(3=Element_Stiffness!$C$40,Element_Stiffness!R68,IF(3=Element_Stiffness!$E$40,Element_Stiffness!X68,0)),0)),0)+IF(Element_Stiffness!$C$76,IF(Element_Stiffness!$C$75=5,IF(3=Element_Stiffness!$C$75,Element_Stiffness!R97,IF(3=Element_Stiffness!$E$75,Element_Stiffness!X97,0)),IF(Element_Stiffness!$E$75=5,IF(3=Element_Stiffness!$C$75,Element_Stiffness!R103,IF(3=Element_Stiffness!$E$75,Element_Stiffness!X103,0)),0)),0)+IF(Element_Stiffness!$C$111,IF(Element_Stiffness!$C$110=5,IF(3=Element_Stiffness!$C$110,Element_Stiffness!R132,IF(3=Element_Stiffness!$E$110,Element_Stiffness!X132,0)),IF(Element_Stiffness!$E$110=5,IF(3=Element_Stiffness!$C$110,Element_Stiffness!R138,IF(3=Element_Stiffness!$E$110,Element_Stiffness!X138,0)),0)),0)+IF(Element_Stiffness!$C$146,IF(Element_Stiffness!$C$145=5,IF(3=Element_Stiffness!$C$145,Element_Stiffness!R167,IF(3=Element_Stiffness!$E$145,Element_Stiffness!X167,0)),IF(Element_Stiffness!$E$145=5,IF(3=Element_Stiffness!$C$145,Element_Stiffness!R173,IF(3=Element_Stiffness!$E$145,Element_Stiffness!X173,0)),0)),0)+IF(Element_Stiffness!$C$181,IF(Element_Stiffness!$C$180=5,IF(3=Element_Stiffness!$C$180,Element_Stiffness!R202,IF(3=Element_Stiffness!$E$180,Element_Stiffness!X202,0)),IF(Element_Stiffness!$E$180=5,IF(3=Element_Stiffness!$C$180,Element_Stiffness!R208,IF(3=Element_Stiffness!$E$180,Element_Stiffness!X208,0)),0)),0)+IF(Element_Stiffness!$C$216,IF(Element_Stiffness!$C$215=5,IF(3=Element_Stiffness!$C$215,Element_Stiffness!R237,IF(3=Element_Stiffness!$E$215,Element_Stiffness!X237,0)),IF(Element_Stiffness!$E$215=5,IF(3=Element_Stiffness!$C$215,Element_Stiffness!R243,IF(3=Element_Stiffness!$E$215,Element_Stiffness!X243,0)),0)),0)</f>
        <v/>
      </c>
      <c r="X36" s="21">
        <f>IF(Element_Stiffness!$C$6,IF(Element_Stiffness!$C$5=5,IF(3=Element_Stiffness!$C$5,Element_Stiffness!S27,IF(3=Element_Stiffness!$E$5,Element_Stiffness!Y27,0)),IF(Element_Stiffness!$E$5=5,IF(3=Element_Stiffness!$C$5,Element_Stiffness!S33,IF(3=Element_Stiffness!$E$5,Element_Stiffness!Y33,0)),0)),0)+IF(Element_Stiffness!$C$41,IF(Element_Stiffness!$C$40=5,IF(3=Element_Stiffness!$C$40,Element_Stiffness!S62,IF(3=Element_Stiffness!$E$40,Element_Stiffness!Y62,0)),IF(Element_Stiffness!$E$40=5,IF(3=Element_Stiffness!$C$40,Element_Stiffness!S68,IF(3=Element_Stiffness!$E$40,Element_Stiffness!Y68,0)),0)),0)+IF(Element_Stiffness!$C$76,IF(Element_Stiffness!$C$75=5,IF(3=Element_Stiffness!$C$75,Element_Stiffness!S97,IF(3=Element_Stiffness!$E$75,Element_Stiffness!Y97,0)),IF(Element_Stiffness!$E$75=5,IF(3=Element_Stiffness!$C$75,Element_Stiffness!S103,IF(3=Element_Stiffness!$E$75,Element_Stiffness!Y103,0)),0)),0)+IF(Element_Stiffness!$C$111,IF(Element_Stiffness!$C$110=5,IF(3=Element_Stiffness!$C$110,Element_Stiffness!S132,IF(3=Element_Stiffness!$E$110,Element_Stiffness!Y132,0)),IF(Element_Stiffness!$E$110=5,IF(3=Element_Stiffness!$C$110,Element_Stiffness!S138,IF(3=Element_Stiffness!$E$110,Element_Stiffness!Y138,0)),0)),0)+IF(Element_Stiffness!$C$146,IF(Element_Stiffness!$C$145=5,IF(3=Element_Stiffness!$C$145,Element_Stiffness!S167,IF(3=Element_Stiffness!$E$145,Element_Stiffness!Y167,0)),IF(Element_Stiffness!$E$145=5,IF(3=Element_Stiffness!$C$145,Element_Stiffness!S173,IF(3=Element_Stiffness!$E$145,Element_Stiffness!Y173,0)),0)),0)+IF(Element_Stiffness!$C$181,IF(Element_Stiffness!$C$180=5,IF(3=Element_Stiffness!$C$180,Element_Stiffness!S202,IF(3=Element_Stiffness!$E$180,Element_Stiffness!Y202,0)),IF(Element_Stiffness!$E$180=5,IF(3=Element_Stiffness!$C$180,Element_Stiffness!S208,IF(3=Element_Stiffness!$E$180,Element_Stiffness!Y208,0)),0)),0)+IF(Element_Stiffness!$C$216,IF(Element_Stiffness!$C$215=5,IF(3=Element_Stiffness!$C$215,Element_Stiffness!S237,IF(3=Element_Stiffness!$E$215,Element_Stiffness!Y237,0)),IF(Element_Stiffness!$E$215=5,IF(3=Element_Stiffness!$C$215,Element_Stiffness!S243,IF(3=Element_Stiffness!$E$215,Element_Stiffness!Y243,0)),0)),0)</f>
        <v/>
      </c>
      <c r="Y36" s="21">
        <f>IF(Element_Stiffness!$C$6,IF(Element_Stiffness!$C$5=5,IF(3=Element_Stiffness!$C$5,Element_Stiffness!T27,IF(3=Element_Stiffness!$E$5,Element_Stiffness!Z27,0)),IF(Element_Stiffness!$E$5=5,IF(3=Element_Stiffness!$C$5,Element_Stiffness!T33,IF(3=Element_Stiffness!$E$5,Element_Stiffness!Z33,0)),0)),0)+IF(Element_Stiffness!$C$41,IF(Element_Stiffness!$C$40=5,IF(3=Element_Stiffness!$C$40,Element_Stiffness!T62,IF(3=Element_Stiffness!$E$40,Element_Stiffness!Z62,0)),IF(Element_Stiffness!$E$40=5,IF(3=Element_Stiffness!$C$40,Element_Stiffness!T68,IF(3=Element_Stiffness!$E$40,Element_Stiffness!Z68,0)),0)),0)+IF(Element_Stiffness!$C$76,IF(Element_Stiffness!$C$75=5,IF(3=Element_Stiffness!$C$75,Element_Stiffness!T97,IF(3=Element_Stiffness!$E$75,Element_Stiffness!Z97,0)),IF(Element_Stiffness!$E$75=5,IF(3=Element_Stiffness!$C$75,Element_Stiffness!T103,IF(3=Element_Stiffness!$E$75,Element_Stiffness!Z103,0)),0)),0)+IF(Element_Stiffness!$C$111,IF(Element_Stiffness!$C$110=5,IF(3=Element_Stiffness!$C$110,Element_Stiffness!T132,IF(3=Element_Stiffness!$E$110,Element_Stiffness!Z132,0)),IF(Element_Stiffness!$E$110=5,IF(3=Element_Stiffness!$C$110,Element_Stiffness!T138,IF(3=Element_Stiffness!$E$110,Element_Stiffness!Z138,0)),0)),0)+IF(Element_Stiffness!$C$146,IF(Element_Stiffness!$C$145=5,IF(3=Element_Stiffness!$C$145,Element_Stiffness!T167,IF(3=Element_Stiffness!$E$145,Element_Stiffness!Z167,0)),IF(Element_Stiffness!$E$145=5,IF(3=Element_Stiffness!$C$145,Element_Stiffness!T173,IF(3=Element_Stiffness!$E$145,Element_Stiffness!Z173,0)),0)),0)+IF(Element_Stiffness!$C$181,IF(Element_Stiffness!$C$180=5,IF(3=Element_Stiffness!$C$180,Element_Stiffness!T202,IF(3=Element_Stiffness!$E$180,Element_Stiffness!Z202,0)),IF(Element_Stiffness!$E$180=5,IF(3=Element_Stiffness!$C$180,Element_Stiffness!T208,IF(3=Element_Stiffness!$E$180,Element_Stiffness!Z208,0)),0)),0)+IF(Element_Stiffness!$C$216,IF(Element_Stiffness!$C$215=5,IF(3=Element_Stiffness!$C$215,Element_Stiffness!T237,IF(3=Element_Stiffness!$E$215,Element_Stiffness!Z237,0)),IF(Element_Stiffness!$E$215=5,IF(3=Element_Stiffness!$C$215,Element_Stiffness!T243,IF(3=Element_Stiffness!$E$215,Element_Stiffness!Z243,0)),0)),0)</f>
        <v/>
      </c>
      <c r="Z36" s="21">
        <f>IF(Element_Stiffness!$C$6,IF(Element_Stiffness!$C$5=5,IF(3=Element_Stiffness!$C$5,Element_Stiffness!U27,IF(3=Element_Stiffness!$E$5,Element_Stiffness!AA27,0)),IF(Element_Stiffness!$E$5=5,IF(3=Element_Stiffness!$C$5,Element_Stiffness!U33,IF(3=Element_Stiffness!$E$5,Element_Stiffness!AA33,0)),0)),0)+IF(Element_Stiffness!$C$41,IF(Element_Stiffness!$C$40=5,IF(3=Element_Stiffness!$C$40,Element_Stiffness!U62,IF(3=Element_Stiffness!$E$40,Element_Stiffness!AA62,0)),IF(Element_Stiffness!$E$40=5,IF(3=Element_Stiffness!$C$40,Element_Stiffness!U68,IF(3=Element_Stiffness!$E$40,Element_Stiffness!AA68,0)),0)),0)+IF(Element_Stiffness!$C$76,IF(Element_Stiffness!$C$75=5,IF(3=Element_Stiffness!$C$75,Element_Stiffness!U97,IF(3=Element_Stiffness!$E$75,Element_Stiffness!AA97,0)),IF(Element_Stiffness!$E$75=5,IF(3=Element_Stiffness!$C$75,Element_Stiffness!U103,IF(3=Element_Stiffness!$E$75,Element_Stiffness!AA103,0)),0)),0)+IF(Element_Stiffness!$C$111,IF(Element_Stiffness!$C$110=5,IF(3=Element_Stiffness!$C$110,Element_Stiffness!U132,IF(3=Element_Stiffness!$E$110,Element_Stiffness!AA132,0)),IF(Element_Stiffness!$E$110=5,IF(3=Element_Stiffness!$C$110,Element_Stiffness!U138,IF(3=Element_Stiffness!$E$110,Element_Stiffness!AA138,0)),0)),0)+IF(Element_Stiffness!$C$146,IF(Element_Stiffness!$C$145=5,IF(3=Element_Stiffness!$C$145,Element_Stiffness!U167,IF(3=Element_Stiffness!$E$145,Element_Stiffness!AA167,0)),IF(Element_Stiffness!$E$145=5,IF(3=Element_Stiffness!$C$145,Element_Stiffness!U173,IF(3=Element_Stiffness!$E$145,Element_Stiffness!AA173,0)),0)),0)+IF(Element_Stiffness!$C$181,IF(Element_Stiffness!$C$180=5,IF(3=Element_Stiffness!$C$180,Element_Stiffness!U202,IF(3=Element_Stiffness!$E$180,Element_Stiffness!AA202,0)),IF(Element_Stiffness!$E$180=5,IF(3=Element_Stiffness!$C$180,Element_Stiffness!U208,IF(3=Element_Stiffness!$E$180,Element_Stiffness!AA208,0)),0)),0)+IF(Element_Stiffness!$C$216,IF(Element_Stiffness!$C$215=5,IF(3=Element_Stiffness!$C$215,Element_Stiffness!U237,IF(3=Element_Stiffness!$E$215,Element_Stiffness!AA237,0)),IF(Element_Stiffness!$E$215=5,IF(3=Element_Stiffness!$C$215,Element_Stiffness!U243,IF(3=Element_Stiffness!$E$215,Element_Stiffness!AA243,0)),0)),0)</f>
        <v/>
      </c>
      <c r="AA36" s="21">
        <f>IF(Element_Stiffness!$C$6,IF(Element_Stiffness!$C$5=5,IF(4=Element_Stiffness!$C$5,Element_Stiffness!P27,IF(4=Element_Stiffness!$E$5,Element_Stiffness!V27,0)),IF(Element_Stiffness!$E$5=5,IF(4=Element_Stiffness!$C$5,Element_Stiffness!P33,IF(4=Element_Stiffness!$E$5,Element_Stiffness!V33,0)),0)),0)+IF(Element_Stiffness!$C$41,IF(Element_Stiffness!$C$40=5,IF(4=Element_Stiffness!$C$40,Element_Stiffness!P62,IF(4=Element_Stiffness!$E$40,Element_Stiffness!V62,0)),IF(Element_Stiffness!$E$40=5,IF(4=Element_Stiffness!$C$40,Element_Stiffness!P68,IF(4=Element_Stiffness!$E$40,Element_Stiffness!V68,0)),0)),0)+IF(Element_Stiffness!$C$76,IF(Element_Stiffness!$C$75=5,IF(4=Element_Stiffness!$C$75,Element_Stiffness!P97,IF(4=Element_Stiffness!$E$75,Element_Stiffness!V97,0)),IF(Element_Stiffness!$E$75=5,IF(4=Element_Stiffness!$C$75,Element_Stiffness!P103,IF(4=Element_Stiffness!$E$75,Element_Stiffness!V103,0)),0)),0)+IF(Element_Stiffness!$C$111,IF(Element_Stiffness!$C$110=5,IF(4=Element_Stiffness!$C$110,Element_Stiffness!P132,IF(4=Element_Stiffness!$E$110,Element_Stiffness!V132,0)),IF(Element_Stiffness!$E$110=5,IF(4=Element_Stiffness!$C$110,Element_Stiffness!P138,IF(4=Element_Stiffness!$E$110,Element_Stiffness!V138,0)),0)),0)+IF(Element_Stiffness!$C$146,IF(Element_Stiffness!$C$145=5,IF(4=Element_Stiffness!$C$145,Element_Stiffness!P167,IF(4=Element_Stiffness!$E$145,Element_Stiffness!V167,0)),IF(Element_Stiffness!$E$145=5,IF(4=Element_Stiffness!$C$145,Element_Stiffness!P173,IF(4=Element_Stiffness!$E$145,Element_Stiffness!V173,0)),0)),0)+IF(Element_Stiffness!$C$181,IF(Element_Stiffness!$C$180=5,IF(4=Element_Stiffness!$C$180,Element_Stiffness!P202,IF(4=Element_Stiffness!$E$180,Element_Stiffness!V202,0)),IF(Element_Stiffness!$E$180=5,IF(4=Element_Stiffness!$C$180,Element_Stiffness!P208,IF(4=Element_Stiffness!$E$180,Element_Stiffness!V208,0)),0)),0)+IF(Element_Stiffness!$C$216,IF(Element_Stiffness!$C$215=5,IF(4=Element_Stiffness!$C$215,Element_Stiffness!P237,IF(4=Element_Stiffness!$E$215,Element_Stiffness!V237,0)),IF(Element_Stiffness!$E$215=5,IF(4=Element_Stiffness!$C$215,Element_Stiffness!P243,IF(4=Element_Stiffness!$E$215,Element_Stiffness!V243,0)),0)),0)</f>
        <v/>
      </c>
      <c r="AB36" s="21">
        <f>IF(Element_Stiffness!$C$6,IF(Element_Stiffness!$C$5=5,IF(4=Element_Stiffness!$C$5,Element_Stiffness!Q27,IF(4=Element_Stiffness!$E$5,Element_Stiffness!W27,0)),IF(Element_Stiffness!$E$5=5,IF(4=Element_Stiffness!$C$5,Element_Stiffness!Q33,IF(4=Element_Stiffness!$E$5,Element_Stiffness!W33,0)),0)),0)+IF(Element_Stiffness!$C$41,IF(Element_Stiffness!$C$40=5,IF(4=Element_Stiffness!$C$40,Element_Stiffness!Q62,IF(4=Element_Stiffness!$E$40,Element_Stiffness!W62,0)),IF(Element_Stiffness!$E$40=5,IF(4=Element_Stiffness!$C$40,Element_Stiffness!Q68,IF(4=Element_Stiffness!$E$40,Element_Stiffness!W68,0)),0)),0)+IF(Element_Stiffness!$C$76,IF(Element_Stiffness!$C$75=5,IF(4=Element_Stiffness!$C$75,Element_Stiffness!Q97,IF(4=Element_Stiffness!$E$75,Element_Stiffness!W97,0)),IF(Element_Stiffness!$E$75=5,IF(4=Element_Stiffness!$C$75,Element_Stiffness!Q103,IF(4=Element_Stiffness!$E$75,Element_Stiffness!W103,0)),0)),0)+IF(Element_Stiffness!$C$111,IF(Element_Stiffness!$C$110=5,IF(4=Element_Stiffness!$C$110,Element_Stiffness!Q132,IF(4=Element_Stiffness!$E$110,Element_Stiffness!W132,0)),IF(Element_Stiffness!$E$110=5,IF(4=Element_Stiffness!$C$110,Element_Stiffness!Q138,IF(4=Element_Stiffness!$E$110,Element_Stiffness!W138,0)),0)),0)+IF(Element_Stiffness!$C$146,IF(Element_Stiffness!$C$145=5,IF(4=Element_Stiffness!$C$145,Element_Stiffness!Q167,IF(4=Element_Stiffness!$E$145,Element_Stiffness!W167,0)),IF(Element_Stiffness!$E$145=5,IF(4=Element_Stiffness!$C$145,Element_Stiffness!Q173,IF(4=Element_Stiffness!$E$145,Element_Stiffness!W173,0)),0)),0)+IF(Element_Stiffness!$C$181,IF(Element_Stiffness!$C$180=5,IF(4=Element_Stiffness!$C$180,Element_Stiffness!Q202,IF(4=Element_Stiffness!$E$180,Element_Stiffness!W202,0)),IF(Element_Stiffness!$E$180=5,IF(4=Element_Stiffness!$C$180,Element_Stiffness!Q208,IF(4=Element_Stiffness!$E$180,Element_Stiffness!W208,0)),0)),0)+IF(Element_Stiffness!$C$216,IF(Element_Stiffness!$C$215=5,IF(4=Element_Stiffness!$C$215,Element_Stiffness!Q237,IF(4=Element_Stiffness!$E$215,Element_Stiffness!W237,0)),IF(Element_Stiffness!$E$215=5,IF(4=Element_Stiffness!$C$215,Element_Stiffness!Q243,IF(4=Element_Stiffness!$E$215,Element_Stiffness!W243,0)),0)),0)</f>
        <v/>
      </c>
      <c r="AC36" s="21">
        <f>IF(Element_Stiffness!$C$6,IF(Element_Stiffness!$C$5=5,IF(4=Element_Stiffness!$C$5,Element_Stiffness!R27,IF(4=Element_Stiffness!$E$5,Element_Stiffness!X27,0)),IF(Element_Stiffness!$E$5=5,IF(4=Element_Stiffness!$C$5,Element_Stiffness!R33,IF(4=Element_Stiffness!$E$5,Element_Stiffness!X33,0)),0)),0)+IF(Element_Stiffness!$C$41,IF(Element_Stiffness!$C$40=5,IF(4=Element_Stiffness!$C$40,Element_Stiffness!R62,IF(4=Element_Stiffness!$E$40,Element_Stiffness!X62,0)),IF(Element_Stiffness!$E$40=5,IF(4=Element_Stiffness!$C$40,Element_Stiffness!R68,IF(4=Element_Stiffness!$E$40,Element_Stiffness!X68,0)),0)),0)+IF(Element_Stiffness!$C$76,IF(Element_Stiffness!$C$75=5,IF(4=Element_Stiffness!$C$75,Element_Stiffness!R97,IF(4=Element_Stiffness!$E$75,Element_Stiffness!X97,0)),IF(Element_Stiffness!$E$75=5,IF(4=Element_Stiffness!$C$75,Element_Stiffness!R103,IF(4=Element_Stiffness!$E$75,Element_Stiffness!X103,0)),0)),0)+IF(Element_Stiffness!$C$111,IF(Element_Stiffness!$C$110=5,IF(4=Element_Stiffness!$C$110,Element_Stiffness!R132,IF(4=Element_Stiffness!$E$110,Element_Stiffness!X132,0)),IF(Element_Stiffness!$E$110=5,IF(4=Element_Stiffness!$C$110,Element_Stiffness!R138,IF(4=Element_Stiffness!$E$110,Element_Stiffness!X138,0)),0)),0)+IF(Element_Stiffness!$C$146,IF(Element_Stiffness!$C$145=5,IF(4=Element_Stiffness!$C$145,Element_Stiffness!R167,IF(4=Element_Stiffness!$E$145,Element_Stiffness!X167,0)),IF(Element_Stiffness!$E$145=5,IF(4=Element_Stiffness!$C$145,Element_Stiffness!R173,IF(4=Element_Stiffness!$E$145,Element_Stiffness!X173,0)),0)),0)+IF(Element_Stiffness!$C$181,IF(Element_Stiffness!$C$180=5,IF(4=Element_Stiffness!$C$180,Element_Stiffness!R202,IF(4=Element_Stiffness!$E$180,Element_Stiffness!X202,0)),IF(Element_Stiffness!$E$180=5,IF(4=Element_Stiffness!$C$180,Element_Stiffness!R208,IF(4=Element_Stiffness!$E$180,Element_Stiffness!X208,0)),0)),0)+IF(Element_Stiffness!$C$216,IF(Element_Stiffness!$C$215=5,IF(4=Element_Stiffness!$C$215,Element_Stiffness!R237,IF(4=Element_Stiffness!$E$215,Element_Stiffness!X237,0)),IF(Element_Stiffness!$E$215=5,IF(4=Element_Stiffness!$C$215,Element_Stiffness!R243,IF(4=Element_Stiffness!$E$215,Element_Stiffness!X243,0)),0)),0)</f>
        <v/>
      </c>
      <c r="AD36" s="21">
        <f>IF(Element_Stiffness!$C$6,IF(Element_Stiffness!$C$5=5,IF(4=Element_Stiffness!$C$5,Element_Stiffness!S27,IF(4=Element_Stiffness!$E$5,Element_Stiffness!Y27,0)),IF(Element_Stiffness!$E$5=5,IF(4=Element_Stiffness!$C$5,Element_Stiffness!S33,IF(4=Element_Stiffness!$E$5,Element_Stiffness!Y33,0)),0)),0)+IF(Element_Stiffness!$C$41,IF(Element_Stiffness!$C$40=5,IF(4=Element_Stiffness!$C$40,Element_Stiffness!S62,IF(4=Element_Stiffness!$E$40,Element_Stiffness!Y62,0)),IF(Element_Stiffness!$E$40=5,IF(4=Element_Stiffness!$C$40,Element_Stiffness!S68,IF(4=Element_Stiffness!$E$40,Element_Stiffness!Y68,0)),0)),0)+IF(Element_Stiffness!$C$76,IF(Element_Stiffness!$C$75=5,IF(4=Element_Stiffness!$C$75,Element_Stiffness!S97,IF(4=Element_Stiffness!$E$75,Element_Stiffness!Y97,0)),IF(Element_Stiffness!$E$75=5,IF(4=Element_Stiffness!$C$75,Element_Stiffness!S103,IF(4=Element_Stiffness!$E$75,Element_Stiffness!Y103,0)),0)),0)+IF(Element_Stiffness!$C$111,IF(Element_Stiffness!$C$110=5,IF(4=Element_Stiffness!$C$110,Element_Stiffness!S132,IF(4=Element_Stiffness!$E$110,Element_Stiffness!Y132,0)),IF(Element_Stiffness!$E$110=5,IF(4=Element_Stiffness!$C$110,Element_Stiffness!S138,IF(4=Element_Stiffness!$E$110,Element_Stiffness!Y138,0)),0)),0)+IF(Element_Stiffness!$C$146,IF(Element_Stiffness!$C$145=5,IF(4=Element_Stiffness!$C$145,Element_Stiffness!S167,IF(4=Element_Stiffness!$E$145,Element_Stiffness!Y167,0)),IF(Element_Stiffness!$E$145=5,IF(4=Element_Stiffness!$C$145,Element_Stiffness!S173,IF(4=Element_Stiffness!$E$145,Element_Stiffness!Y173,0)),0)),0)+IF(Element_Stiffness!$C$181,IF(Element_Stiffness!$C$180=5,IF(4=Element_Stiffness!$C$180,Element_Stiffness!S202,IF(4=Element_Stiffness!$E$180,Element_Stiffness!Y202,0)),IF(Element_Stiffness!$E$180=5,IF(4=Element_Stiffness!$C$180,Element_Stiffness!S208,IF(4=Element_Stiffness!$E$180,Element_Stiffness!Y208,0)),0)),0)+IF(Element_Stiffness!$C$216,IF(Element_Stiffness!$C$215=5,IF(4=Element_Stiffness!$C$215,Element_Stiffness!S237,IF(4=Element_Stiffness!$E$215,Element_Stiffness!Y237,0)),IF(Element_Stiffness!$E$215=5,IF(4=Element_Stiffness!$C$215,Element_Stiffness!S243,IF(4=Element_Stiffness!$E$215,Element_Stiffness!Y243,0)),0)),0)</f>
        <v/>
      </c>
      <c r="AE36" s="21">
        <f>IF(Element_Stiffness!$C$6,IF(Element_Stiffness!$C$5=5,IF(4=Element_Stiffness!$C$5,Element_Stiffness!T27,IF(4=Element_Stiffness!$E$5,Element_Stiffness!Z27,0)),IF(Element_Stiffness!$E$5=5,IF(4=Element_Stiffness!$C$5,Element_Stiffness!T33,IF(4=Element_Stiffness!$E$5,Element_Stiffness!Z33,0)),0)),0)+IF(Element_Stiffness!$C$41,IF(Element_Stiffness!$C$40=5,IF(4=Element_Stiffness!$C$40,Element_Stiffness!T62,IF(4=Element_Stiffness!$E$40,Element_Stiffness!Z62,0)),IF(Element_Stiffness!$E$40=5,IF(4=Element_Stiffness!$C$40,Element_Stiffness!T68,IF(4=Element_Stiffness!$E$40,Element_Stiffness!Z68,0)),0)),0)+IF(Element_Stiffness!$C$76,IF(Element_Stiffness!$C$75=5,IF(4=Element_Stiffness!$C$75,Element_Stiffness!T97,IF(4=Element_Stiffness!$E$75,Element_Stiffness!Z97,0)),IF(Element_Stiffness!$E$75=5,IF(4=Element_Stiffness!$C$75,Element_Stiffness!T103,IF(4=Element_Stiffness!$E$75,Element_Stiffness!Z103,0)),0)),0)+IF(Element_Stiffness!$C$111,IF(Element_Stiffness!$C$110=5,IF(4=Element_Stiffness!$C$110,Element_Stiffness!T132,IF(4=Element_Stiffness!$E$110,Element_Stiffness!Z132,0)),IF(Element_Stiffness!$E$110=5,IF(4=Element_Stiffness!$C$110,Element_Stiffness!T138,IF(4=Element_Stiffness!$E$110,Element_Stiffness!Z138,0)),0)),0)+IF(Element_Stiffness!$C$146,IF(Element_Stiffness!$C$145=5,IF(4=Element_Stiffness!$C$145,Element_Stiffness!T167,IF(4=Element_Stiffness!$E$145,Element_Stiffness!Z167,0)),IF(Element_Stiffness!$E$145=5,IF(4=Element_Stiffness!$C$145,Element_Stiffness!T173,IF(4=Element_Stiffness!$E$145,Element_Stiffness!Z173,0)),0)),0)+IF(Element_Stiffness!$C$181,IF(Element_Stiffness!$C$180=5,IF(4=Element_Stiffness!$C$180,Element_Stiffness!T202,IF(4=Element_Stiffness!$E$180,Element_Stiffness!Z202,0)),IF(Element_Stiffness!$E$180=5,IF(4=Element_Stiffness!$C$180,Element_Stiffness!T208,IF(4=Element_Stiffness!$E$180,Element_Stiffness!Z208,0)),0)),0)+IF(Element_Stiffness!$C$216,IF(Element_Stiffness!$C$215=5,IF(4=Element_Stiffness!$C$215,Element_Stiffness!T237,IF(4=Element_Stiffness!$E$215,Element_Stiffness!Z237,0)),IF(Element_Stiffness!$E$215=5,IF(4=Element_Stiffness!$C$215,Element_Stiffness!T243,IF(4=Element_Stiffness!$E$215,Element_Stiffness!Z243,0)),0)),0)</f>
        <v/>
      </c>
      <c r="AF36" s="21">
        <f>IF(Element_Stiffness!$C$6,IF(Element_Stiffness!$C$5=5,IF(4=Element_Stiffness!$C$5,Element_Stiffness!U27,IF(4=Element_Stiffness!$E$5,Element_Stiffness!AA27,0)),IF(Element_Stiffness!$E$5=5,IF(4=Element_Stiffness!$C$5,Element_Stiffness!U33,IF(4=Element_Stiffness!$E$5,Element_Stiffness!AA33,0)),0)),0)+IF(Element_Stiffness!$C$41,IF(Element_Stiffness!$C$40=5,IF(4=Element_Stiffness!$C$40,Element_Stiffness!U62,IF(4=Element_Stiffness!$E$40,Element_Stiffness!AA62,0)),IF(Element_Stiffness!$E$40=5,IF(4=Element_Stiffness!$C$40,Element_Stiffness!U68,IF(4=Element_Stiffness!$E$40,Element_Stiffness!AA68,0)),0)),0)+IF(Element_Stiffness!$C$76,IF(Element_Stiffness!$C$75=5,IF(4=Element_Stiffness!$C$75,Element_Stiffness!U97,IF(4=Element_Stiffness!$E$75,Element_Stiffness!AA97,0)),IF(Element_Stiffness!$E$75=5,IF(4=Element_Stiffness!$C$75,Element_Stiffness!U103,IF(4=Element_Stiffness!$E$75,Element_Stiffness!AA103,0)),0)),0)+IF(Element_Stiffness!$C$111,IF(Element_Stiffness!$C$110=5,IF(4=Element_Stiffness!$C$110,Element_Stiffness!U132,IF(4=Element_Stiffness!$E$110,Element_Stiffness!AA132,0)),IF(Element_Stiffness!$E$110=5,IF(4=Element_Stiffness!$C$110,Element_Stiffness!U138,IF(4=Element_Stiffness!$E$110,Element_Stiffness!AA138,0)),0)),0)+IF(Element_Stiffness!$C$146,IF(Element_Stiffness!$C$145=5,IF(4=Element_Stiffness!$C$145,Element_Stiffness!U167,IF(4=Element_Stiffness!$E$145,Element_Stiffness!AA167,0)),IF(Element_Stiffness!$E$145=5,IF(4=Element_Stiffness!$C$145,Element_Stiffness!U173,IF(4=Element_Stiffness!$E$145,Element_Stiffness!AA173,0)),0)),0)+IF(Element_Stiffness!$C$181,IF(Element_Stiffness!$C$180=5,IF(4=Element_Stiffness!$C$180,Element_Stiffness!U202,IF(4=Element_Stiffness!$E$180,Element_Stiffness!AA202,0)),IF(Element_Stiffness!$E$180=5,IF(4=Element_Stiffness!$C$180,Element_Stiffness!U208,IF(4=Element_Stiffness!$E$180,Element_Stiffness!AA208,0)),0)),0)+IF(Element_Stiffness!$C$216,IF(Element_Stiffness!$C$215=5,IF(4=Element_Stiffness!$C$215,Element_Stiffness!U237,IF(4=Element_Stiffness!$E$215,Element_Stiffness!AA237,0)),IF(Element_Stiffness!$E$215=5,IF(4=Element_Stiffness!$C$215,Element_Stiffness!U243,IF(4=Element_Stiffness!$E$215,Element_Stiffness!AA243,0)),0)),0)</f>
        <v/>
      </c>
      <c r="AG36" s="21">
        <f>IF(Element_Stiffness!$C$6,IF(Element_Stiffness!$C$5=5,IF(5=Element_Stiffness!$C$5,Element_Stiffness!P27,IF(5=Element_Stiffness!$E$5,Element_Stiffness!V27,0)),IF(Element_Stiffness!$E$5=5,IF(5=Element_Stiffness!$C$5,Element_Stiffness!P33,IF(5=Element_Stiffness!$E$5,Element_Stiffness!V33,0)),0)),0)+IF(Element_Stiffness!$C$41,IF(Element_Stiffness!$C$40=5,IF(5=Element_Stiffness!$C$40,Element_Stiffness!P62,IF(5=Element_Stiffness!$E$40,Element_Stiffness!V62,0)),IF(Element_Stiffness!$E$40=5,IF(5=Element_Stiffness!$C$40,Element_Stiffness!P68,IF(5=Element_Stiffness!$E$40,Element_Stiffness!V68,0)),0)),0)+IF(Element_Stiffness!$C$76,IF(Element_Stiffness!$C$75=5,IF(5=Element_Stiffness!$C$75,Element_Stiffness!P97,IF(5=Element_Stiffness!$E$75,Element_Stiffness!V97,0)),IF(Element_Stiffness!$E$75=5,IF(5=Element_Stiffness!$C$75,Element_Stiffness!P103,IF(5=Element_Stiffness!$E$75,Element_Stiffness!V103,0)),0)),0)+IF(Element_Stiffness!$C$111,IF(Element_Stiffness!$C$110=5,IF(5=Element_Stiffness!$C$110,Element_Stiffness!P132,IF(5=Element_Stiffness!$E$110,Element_Stiffness!V132,0)),IF(Element_Stiffness!$E$110=5,IF(5=Element_Stiffness!$C$110,Element_Stiffness!P138,IF(5=Element_Stiffness!$E$110,Element_Stiffness!V138,0)),0)),0)+IF(Element_Stiffness!$C$146,IF(Element_Stiffness!$C$145=5,IF(5=Element_Stiffness!$C$145,Element_Stiffness!P167,IF(5=Element_Stiffness!$E$145,Element_Stiffness!V167,0)),IF(Element_Stiffness!$E$145=5,IF(5=Element_Stiffness!$C$145,Element_Stiffness!P173,IF(5=Element_Stiffness!$E$145,Element_Stiffness!V173,0)),0)),0)+IF(Element_Stiffness!$C$181,IF(Element_Stiffness!$C$180=5,IF(5=Element_Stiffness!$C$180,Element_Stiffness!P202,IF(5=Element_Stiffness!$E$180,Element_Stiffness!V202,0)),IF(Element_Stiffness!$E$180=5,IF(5=Element_Stiffness!$C$180,Element_Stiffness!P208,IF(5=Element_Stiffness!$E$180,Element_Stiffness!V208,0)),0)),0)+IF(Element_Stiffness!$C$216,IF(Element_Stiffness!$C$215=5,IF(5=Element_Stiffness!$C$215,Element_Stiffness!P237,IF(5=Element_Stiffness!$E$215,Element_Stiffness!V237,0)),IF(Element_Stiffness!$E$215=5,IF(5=Element_Stiffness!$C$215,Element_Stiffness!P243,IF(5=Element_Stiffness!$E$215,Element_Stiffness!V243,0)),0)),0)</f>
        <v/>
      </c>
      <c r="AH36" s="21">
        <f>IF(Element_Stiffness!$C$6,IF(Element_Stiffness!$C$5=5,IF(5=Element_Stiffness!$C$5,Element_Stiffness!Q27,IF(5=Element_Stiffness!$E$5,Element_Stiffness!W27,0)),IF(Element_Stiffness!$E$5=5,IF(5=Element_Stiffness!$C$5,Element_Stiffness!Q33,IF(5=Element_Stiffness!$E$5,Element_Stiffness!W33,0)),0)),0)+IF(Element_Stiffness!$C$41,IF(Element_Stiffness!$C$40=5,IF(5=Element_Stiffness!$C$40,Element_Stiffness!Q62,IF(5=Element_Stiffness!$E$40,Element_Stiffness!W62,0)),IF(Element_Stiffness!$E$40=5,IF(5=Element_Stiffness!$C$40,Element_Stiffness!Q68,IF(5=Element_Stiffness!$E$40,Element_Stiffness!W68,0)),0)),0)+IF(Element_Stiffness!$C$76,IF(Element_Stiffness!$C$75=5,IF(5=Element_Stiffness!$C$75,Element_Stiffness!Q97,IF(5=Element_Stiffness!$E$75,Element_Stiffness!W97,0)),IF(Element_Stiffness!$E$75=5,IF(5=Element_Stiffness!$C$75,Element_Stiffness!Q103,IF(5=Element_Stiffness!$E$75,Element_Stiffness!W103,0)),0)),0)+IF(Element_Stiffness!$C$111,IF(Element_Stiffness!$C$110=5,IF(5=Element_Stiffness!$C$110,Element_Stiffness!Q132,IF(5=Element_Stiffness!$E$110,Element_Stiffness!W132,0)),IF(Element_Stiffness!$E$110=5,IF(5=Element_Stiffness!$C$110,Element_Stiffness!Q138,IF(5=Element_Stiffness!$E$110,Element_Stiffness!W138,0)),0)),0)+IF(Element_Stiffness!$C$146,IF(Element_Stiffness!$C$145=5,IF(5=Element_Stiffness!$C$145,Element_Stiffness!Q167,IF(5=Element_Stiffness!$E$145,Element_Stiffness!W167,0)),IF(Element_Stiffness!$E$145=5,IF(5=Element_Stiffness!$C$145,Element_Stiffness!Q173,IF(5=Element_Stiffness!$E$145,Element_Stiffness!W173,0)),0)),0)+IF(Element_Stiffness!$C$181,IF(Element_Stiffness!$C$180=5,IF(5=Element_Stiffness!$C$180,Element_Stiffness!Q202,IF(5=Element_Stiffness!$E$180,Element_Stiffness!W202,0)),IF(Element_Stiffness!$E$180=5,IF(5=Element_Stiffness!$C$180,Element_Stiffness!Q208,IF(5=Element_Stiffness!$E$180,Element_Stiffness!W208,0)),0)),0)+IF(Element_Stiffness!$C$216,IF(Element_Stiffness!$C$215=5,IF(5=Element_Stiffness!$C$215,Element_Stiffness!Q237,IF(5=Element_Stiffness!$E$215,Element_Stiffness!W237,0)),IF(Element_Stiffness!$E$215=5,IF(5=Element_Stiffness!$C$215,Element_Stiffness!Q243,IF(5=Element_Stiffness!$E$215,Element_Stiffness!W243,0)),0)),0)+IF(Inputs!D45=TRUE,1E15,IF(ISNUMBER(Inputs!D45),Inputs!D45,0))</f>
        <v/>
      </c>
      <c r="AI36" s="21">
        <f>IF(Element_Stiffness!$C$6,IF(Element_Stiffness!$C$5=5,IF(5=Element_Stiffness!$C$5,Element_Stiffness!R27,IF(5=Element_Stiffness!$E$5,Element_Stiffness!X27,0)),IF(Element_Stiffness!$E$5=5,IF(5=Element_Stiffness!$C$5,Element_Stiffness!R33,IF(5=Element_Stiffness!$E$5,Element_Stiffness!X33,0)),0)),0)+IF(Element_Stiffness!$C$41,IF(Element_Stiffness!$C$40=5,IF(5=Element_Stiffness!$C$40,Element_Stiffness!R62,IF(5=Element_Stiffness!$E$40,Element_Stiffness!X62,0)),IF(Element_Stiffness!$E$40=5,IF(5=Element_Stiffness!$C$40,Element_Stiffness!R68,IF(5=Element_Stiffness!$E$40,Element_Stiffness!X68,0)),0)),0)+IF(Element_Stiffness!$C$76,IF(Element_Stiffness!$C$75=5,IF(5=Element_Stiffness!$C$75,Element_Stiffness!R97,IF(5=Element_Stiffness!$E$75,Element_Stiffness!X97,0)),IF(Element_Stiffness!$E$75=5,IF(5=Element_Stiffness!$C$75,Element_Stiffness!R103,IF(5=Element_Stiffness!$E$75,Element_Stiffness!X103,0)),0)),0)+IF(Element_Stiffness!$C$111,IF(Element_Stiffness!$C$110=5,IF(5=Element_Stiffness!$C$110,Element_Stiffness!R132,IF(5=Element_Stiffness!$E$110,Element_Stiffness!X132,0)),IF(Element_Stiffness!$E$110=5,IF(5=Element_Stiffness!$C$110,Element_Stiffness!R138,IF(5=Element_Stiffness!$E$110,Element_Stiffness!X138,0)),0)),0)+IF(Element_Stiffness!$C$146,IF(Element_Stiffness!$C$145=5,IF(5=Element_Stiffness!$C$145,Element_Stiffness!R167,IF(5=Element_Stiffness!$E$145,Element_Stiffness!X167,0)),IF(Element_Stiffness!$E$145=5,IF(5=Element_Stiffness!$C$145,Element_Stiffness!R173,IF(5=Element_Stiffness!$E$145,Element_Stiffness!X173,0)),0)),0)+IF(Element_Stiffness!$C$181,IF(Element_Stiffness!$C$180=5,IF(5=Element_Stiffness!$C$180,Element_Stiffness!R202,IF(5=Element_Stiffness!$E$180,Element_Stiffness!X202,0)),IF(Element_Stiffness!$E$180=5,IF(5=Element_Stiffness!$C$180,Element_Stiffness!R208,IF(5=Element_Stiffness!$E$180,Element_Stiffness!X208,0)),0)),0)+IF(Element_Stiffness!$C$216,IF(Element_Stiffness!$C$215=5,IF(5=Element_Stiffness!$C$215,Element_Stiffness!R237,IF(5=Element_Stiffness!$E$215,Element_Stiffness!X237,0)),IF(Element_Stiffness!$E$215=5,IF(5=Element_Stiffness!$C$215,Element_Stiffness!R243,IF(5=Element_Stiffness!$E$215,Element_Stiffness!X243,0)),0)),0)</f>
        <v/>
      </c>
      <c r="AJ36" s="21">
        <f>IF(Element_Stiffness!$C$6,IF(Element_Stiffness!$C$5=5,IF(5=Element_Stiffness!$C$5,Element_Stiffness!S27,IF(5=Element_Stiffness!$E$5,Element_Stiffness!Y27,0)),IF(Element_Stiffness!$E$5=5,IF(5=Element_Stiffness!$C$5,Element_Stiffness!S33,IF(5=Element_Stiffness!$E$5,Element_Stiffness!Y33,0)),0)),0)+IF(Element_Stiffness!$C$41,IF(Element_Stiffness!$C$40=5,IF(5=Element_Stiffness!$C$40,Element_Stiffness!S62,IF(5=Element_Stiffness!$E$40,Element_Stiffness!Y62,0)),IF(Element_Stiffness!$E$40=5,IF(5=Element_Stiffness!$C$40,Element_Stiffness!S68,IF(5=Element_Stiffness!$E$40,Element_Stiffness!Y68,0)),0)),0)+IF(Element_Stiffness!$C$76,IF(Element_Stiffness!$C$75=5,IF(5=Element_Stiffness!$C$75,Element_Stiffness!S97,IF(5=Element_Stiffness!$E$75,Element_Stiffness!Y97,0)),IF(Element_Stiffness!$E$75=5,IF(5=Element_Stiffness!$C$75,Element_Stiffness!S103,IF(5=Element_Stiffness!$E$75,Element_Stiffness!Y103,0)),0)),0)+IF(Element_Stiffness!$C$111,IF(Element_Stiffness!$C$110=5,IF(5=Element_Stiffness!$C$110,Element_Stiffness!S132,IF(5=Element_Stiffness!$E$110,Element_Stiffness!Y132,0)),IF(Element_Stiffness!$E$110=5,IF(5=Element_Stiffness!$C$110,Element_Stiffness!S138,IF(5=Element_Stiffness!$E$110,Element_Stiffness!Y138,0)),0)),0)+IF(Element_Stiffness!$C$146,IF(Element_Stiffness!$C$145=5,IF(5=Element_Stiffness!$C$145,Element_Stiffness!S167,IF(5=Element_Stiffness!$E$145,Element_Stiffness!Y167,0)),IF(Element_Stiffness!$E$145=5,IF(5=Element_Stiffness!$C$145,Element_Stiffness!S173,IF(5=Element_Stiffness!$E$145,Element_Stiffness!Y173,0)),0)),0)+IF(Element_Stiffness!$C$181,IF(Element_Stiffness!$C$180=5,IF(5=Element_Stiffness!$C$180,Element_Stiffness!S202,IF(5=Element_Stiffness!$E$180,Element_Stiffness!Y202,0)),IF(Element_Stiffness!$E$180=5,IF(5=Element_Stiffness!$C$180,Element_Stiffness!S208,IF(5=Element_Stiffness!$E$180,Element_Stiffness!Y208,0)),0)),0)+IF(Element_Stiffness!$C$216,IF(Element_Stiffness!$C$215=5,IF(5=Element_Stiffness!$C$215,Element_Stiffness!S237,IF(5=Element_Stiffness!$E$215,Element_Stiffness!Y237,0)),IF(Element_Stiffness!$E$215=5,IF(5=Element_Stiffness!$C$215,Element_Stiffness!S243,IF(5=Element_Stiffness!$E$215,Element_Stiffness!Y243,0)),0)),0)</f>
        <v/>
      </c>
      <c r="AK36" s="21">
        <f>IF(Element_Stiffness!$C$6,IF(Element_Stiffness!$C$5=5,IF(5=Element_Stiffness!$C$5,Element_Stiffness!T27,IF(5=Element_Stiffness!$E$5,Element_Stiffness!Z27,0)),IF(Element_Stiffness!$E$5=5,IF(5=Element_Stiffness!$C$5,Element_Stiffness!T33,IF(5=Element_Stiffness!$E$5,Element_Stiffness!Z33,0)),0)),0)+IF(Element_Stiffness!$C$41,IF(Element_Stiffness!$C$40=5,IF(5=Element_Stiffness!$C$40,Element_Stiffness!T62,IF(5=Element_Stiffness!$E$40,Element_Stiffness!Z62,0)),IF(Element_Stiffness!$E$40=5,IF(5=Element_Stiffness!$C$40,Element_Stiffness!T68,IF(5=Element_Stiffness!$E$40,Element_Stiffness!Z68,0)),0)),0)+IF(Element_Stiffness!$C$76,IF(Element_Stiffness!$C$75=5,IF(5=Element_Stiffness!$C$75,Element_Stiffness!T97,IF(5=Element_Stiffness!$E$75,Element_Stiffness!Z97,0)),IF(Element_Stiffness!$E$75=5,IF(5=Element_Stiffness!$C$75,Element_Stiffness!T103,IF(5=Element_Stiffness!$E$75,Element_Stiffness!Z103,0)),0)),0)+IF(Element_Stiffness!$C$111,IF(Element_Stiffness!$C$110=5,IF(5=Element_Stiffness!$C$110,Element_Stiffness!T132,IF(5=Element_Stiffness!$E$110,Element_Stiffness!Z132,0)),IF(Element_Stiffness!$E$110=5,IF(5=Element_Stiffness!$C$110,Element_Stiffness!T138,IF(5=Element_Stiffness!$E$110,Element_Stiffness!Z138,0)),0)),0)+IF(Element_Stiffness!$C$146,IF(Element_Stiffness!$C$145=5,IF(5=Element_Stiffness!$C$145,Element_Stiffness!T167,IF(5=Element_Stiffness!$E$145,Element_Stiffness!Z167,0)),IF(Element_Stiffness!$E$145=5,IF(5=Element_Stiffness!$C$145,Element_Stiffness!T173,IF(5=Element_Stiffness!$E$145,Element_Stiffness!Z173,0)),0)),0)+IF(Element_Stiffness!$C$181,IF(Element_Stiffness!$C$180=5,IF(5=Element_Stiffness!$C$180,Element_Stiffness!T202,IF(5=Element_Stiffness!$E$180,Element_Stiffness!Z202,0)),IF(Element_Stiffness!$E$180=5,IF(5=Element_Stiffness!$C$180,Element_Stiffness!T208,IF(5=Element_Stiffness!$E$180,Element_Stiffness!Z208,0)),0)),0)+IF(Element_Stiffness!$C$216,IF(Element_Stiffness!$C$215=5,IF(5=Element_Stiffness!$C$215,Element_Stiffness!T237,IF(5=Element_Stiffness!$E$215,Element_Stiffness!Z237,0)),IF(Element_Stiffness!$E$215=5,IF(5=Element_Stiffness!$C$215,Element_Stiffness!T243,IF(5=Element_Stiffness!$E$215,Element_Stiffness!Z243,0)),0)),0)</f>
        <v/>
      </c>
      <c r="AL36" s="21">
        <f>IF(Element_Stiffness!$C$6,IF(Element_Stiffness!$C$5=5,IF(5=Element_Stiffness!$C$5,Element_Stiffness!U27,IF(5=Element_Stiffness!$E$5,Element_Stiffness!AA27,0)),IF(Element_Stiffness!$E$5=5,IF(5=Element_Stiffness!$C$5,Element_Stiffness!U33,IF(5=Element_Stiffness!$E$5,Element_Stiffness!AA33,0)),0)),0)+IF(Element_Stiffness!$C$41,IF(Element_Stiffness!$C$40=5,IF(5=Element_Stiffness!$C$40,Element_Stiffness!U62,IF(5=Element_Stiffness!$E$40,Element_Stiffness!AA62,0)),IF(Element_Stiffness!$E$40=5,IF(5=Element_Stiffness!$C$40,Element_Stiffness!U68,IF(5=Element_Stiffness!$E$40,Element_Stiffness!AA68,0)),0)),0)+IF(Element_Stiffness!$C$76,IF(Element_Stiffness!$C$75=5,IF(5=Element_Stiffness!$C$75,Element_Stiffness!U97,IF(5=Element_Stiffness!$E$75,Element_Stiffness!AA97,0)),IF(Element_Stiffness!$E$75=5,IF(5=Element_Stiffness!$C$75,Element_Stiffness!U103,IF(5=Element_Stiffness!$E$75,Element_Stiffness!AA103,0)),0)),0)+IF(Element_Stiffness!$C$111,IF(Element_Stiffness!$C$110=5,IF(5=Element_Stiffness!$C$110,Element_Stiffness!U132,IF(5=Element_Stiffness!$E$110,Element_Stiffness!AA132,0)),IF(Element_Stiffness!$E$110=5,IF(5=Element_Stiffness!$C$110,Element_Stiffness!U138,IF(5=Element_Stiffness!$E$110,Element_Stiffness!AA138,0)),0)),0)+IF(Element_Stiffness!$C$146,IF(Element_Stiffness!$C$145=5,IF(5=Element_Stiffness!$C$145,Element_Stiffness!U167,IF(5=Element_Stiffness!$E$145,Element_Stiffness!AA167,0)),IF(Element_Stiffness!$E$145=5,IF(5=Element_Stiffness!$C$145,Element_Stiffness!U173,IF(5=Element_Stiffness!$E$145,Element_Stiffness!AA173,0)),0)),0)+IF(Element_Stiffness!$C$181,IF(Element_Stiffness!$C$180=5,IF(5=Element_Stiffness!$C$180,Element_Stiffness!U202,IF(5=Element_Stiffness!$E$180,Element_Stiffness!AA202,0)),IF(Element_Stiffness!$E$180=5,IF(5=Element_Stiffness!$C$180,Element_Stiffness!U208,IF(5=Element_Stiffness!$E$180,Element_Stiffness!AA208,0)),0)),0)+IF(Element_Stiffness!$C$216,IF(Element_Stiffness!$C$215=5,IF(5=Element_Stiffness!$C$215,Element_Stiffness!U237,IF(5=Element_Stiffness!$E$215,Element_Stiffness!AA237,0)),IF(Element_Stiffness!$E$215=5,IF(5=Element_Stiffness!$C$215,Element_Stiffness!U243,IF(5=Element_Stiffness!$E$215,Element_Stiffness!AA243,0)),0)),0)</f>
        <v/>
      </c>
      <c r="AM36" s="21">
        <f>IF(Element_Stiffness!$C$6,IF(Element_Stiffness!$C$5=5,IF(6=Element_Stiffness!$C$5,Element_Stiffness!P27,IF(6=Element_Stiffness!$E$5,Element_Stiffness!V27,0)),IF(Element_Stiffness!$E$5=5,IF(6=Element_Stiffness!$C$5,Element_Stiffness!P33,IF(6=Element_Stiffness!$E$5,Element_Stiffness!V33,0)),0)),0)+IF(Element_Stiffness!$C$41,IF(Element_Stiffness!$C$40=5,IF(6=Element_Stiffness!$C$40,Element_Stiffness!P62,IF(6=Element_Stiffness!$E$40,Element_Stiffness!V62,0)),IF(Element_Stiffness!$E$40=5,IF(6=Element_Stiffness!$C$40,Element_Stiffness!P68,IF(6=Element_Stiffness!$E$40,Element_Stiffness!V68,0)),0)),0)+IF(Element_Stiffness!$C$76,IF(Element_Stiffness!$C$75=5,IF(6=Element_Stiffness!$C$75,Element_Stiffness!P97,IF(6=Element_Stiffness!$E$75,Element_Stiffness!V97,0)),IF(Element_Stiffness!$E$75=5,IF(6=Element_Stiffness!$C$75,Element_Stiffness!P103,IF(6=Element_Stiffness!$E$75,Element_Stiffness!V103,0)),0)),0)+IF(Element_Stiffness!$C$111,IF(Element_Stiffness!$C$110=5,IF(6=Element_Stiffness!$C$110,Element_Stiffness!P132,IF(6=Element_Stiffness!$E$110,Element_Stiffness!V132,0)),IF(Element_Stiffness!$E$110=5,IF(6=Element_Stiffness!$C$110,Element_Stiffness!P138,IF(6=Element_Stiffness!$E$110,Element_Stiffness!V138,0)),0)),0)+IF(Element_Stiffness!$C$146,IF(Element_Stiffness!$C$145=5,IF(6=Element_Stiffness!$C$145,Element_Stiffness!P167,IF(6=Element_Stiffness!$E$145,Element_Stiffness!V167,0)),IF(Element_Stiffness!$E$145=5,IF(6=Element_Stiffness!$C$145,Element_Stiffness!P173,IF(6=Element_Stiffness!$E$145,Element_Stiffness!V173,0)),0)),0)+IF(Element_Stiffness!$C$181,IF(Element_Stiffness!$C$180=5,IF(6=Element_Stiffness!$C$180,Element_Stiffness!P202,IF(6=Element_Stiffness!$E$180,Element_Stiffness!V202,0)),IF(Element_Stiffness!$E$180=5,IF(6=Element_Stiffness!$C$180,Element_Stiffness!P208,IF(6=Element_Stiffness!$E$180,Element_Stiffness!V208,0)),0)),0)+IF(Element_Stiffness!$C$216,IF(Element_Stiffness!$C$215=5,IF(6=Element_Stiffness!$C$215,Element_Stiffness!P237,IF(6=Element_Stiffness!$E$215,Element_Stiffness!V237,0)),IF(Element_Stiffness!$E$215=5,IF(6=Element_Stiffness!$C$215,Element_Stiffness!P243,IF(6=Element_Stiffness!$E$215,Element_Stiffness!V243,0)),0)),0)</f>
        <v/>
      </c>
      <c r="AN36" s="21">
        <f>IF(Element_Stiffness!$C$6,IF(Element_Stiffness!$C$5=5,IF(6=Element_Stiffness!$C$5,Element_Stiffness!Q27,IF(6=Element_Stiffness!$E$5,Element_Stiffness!W27,0)),IF(Element_Stiffness!$E$5=5,IF(6=Element_Stiffness!$C$5,Element_Stiffness!Q33,IF(6=Element_Stiffness!$E$5,Element_Stiffness!W33,0)),0)),0)+IF(Element_Stiffness!$C$41,IF(Element_Stiffness!$C$40=5,IF(6=Element_Stiffness!$C$40,Element_Stiffness!Q62,IF(6=Element_Stiffness!$E$40,Element_Stiffness!W62,0)),IF(Element_Stiffness!$E$40=5,IF(6=Element_Stiffness!$C$40,Element_Stiffness!Q68,IF(6=Element_Stiffness!$E$40,Element_Stiffness!W68,0)),0)),0)+IF(Element_Stiffness!$C$76,IF(Element_Stiffness!$C$75=5,IF(6=Element_Stiffness!$C$75,Element_Stiffness!Q97,IF(6=Element_Stiffness!$E$75,Element_Stiffness!W97,0)),IF(Element_Stiffness!$E$75=5,IF(6=Element_Stiffness!$C$75,Element_Stiffness!Q103,IF(6=Element_Stiffness!$E$75,Element_Stiffness!W103,0)),0)),0)+IF(Element_Stiffness!$C$111,IF(Element_Stiffness!$C$110=5,IF(6=Element_Stiffness!$C$110,Element_Stiffness!Q132,IF(6=Element_Stiffness!$E$110,Element_Stiffness!W132,0)),IF(Element_Stiffness!$E$110=5,IF(6=Element_Stiffness!$C$110,Element_Stiffness!Q138,IF(6=Element_Stiffness!$E$110,Element_Stiffness!W138,0)),0)),0)+IF(Element_Stiffness!$C$146,IF(Element_Stiffness!$C$145=5,IF(6=Element_Stiffness!$C$145,Element_Stiffness!Q167,IF(6=Element_Stiffness!$E$145,Element_Stiffness!W167,0)),IF(Element_Stiffness!$E$145=5,IF(6=Element_Stiffness!$C$145,Element_Stiffness!Q173,IF(6=Element_Stiffness!$E$145,Element_Stiffness!W173,0)),0)),0)+IF(Element_Stiffness!$C$181,IF(Element_Stiffness!$C$180=5,IF(6=Element_Stiffness!$C$180,Element_Stiffness!Q202,IF(6=Element_Stiffness!$E$180,Element_Stiffness!W202,0)),IF(Element_Stiffness!$E$180=5,IF(6=Element_Stiffness!$C$180,Element_Stiffness!Q208,IF(6=Element_Stiffness!$E$180,Element_Stiffness!W208,0)),0)),0)+IF(Element_Stiffness!$C$216,IF(Element_Stiffness!$C$215=5,IF(6=Element_Stiffness!$C$215,Element_Stiffness!Q237,IF(6=Element_Stiffness!$E$215,Element_Stiffness!W237,0)),IF(Element_Stiffness!$E$215=5,IF(6=Element_Stiffness!$C$215,Element_Stiffness!Q243,IF(6=Element_Stiffness!$E$215,Element_Stiffness!W243,0)),0)),0)</f>
        <v/>
      </c>
      <c r="AO36" s="21">
        <f>IF(Element_Stiffness!$C$6,IF(Element_Stiffness!$C$5=5,IF(6=Element_Stiffness!$C$5,Element_Stiffness!R27,IF(6=Element_Stiffness!$E$5,Element_Stiffness!X27,0)),IF(Element_Stiffness!$E$5=5,IF(6=Element_Stiffness!$C$5,Element_Stiffness!R33,IF(6=Element_Stiffness!$E$5,Element_Stiffness!X33,0)),0)),0)+IF(Element_Stiffness!$C$41,IF(Element_Stiffness!$C$40=5,IF(6=Element_Stiffness!$C$40,Element_Stiffness!R62,IF(6=Element_Stiffness!$E$40,Element_Stiffness!X62,0)),IF(Element_Stiffness!$E$40=5,IF(6=Element_Stiffness!$C$40,Element_Stiffness!R68,IF(6=Element_Stiffness!$E$40,Element_Stiffness!X68,0)),0)),0)+IF(Element_Stiffness!$C$76,IF(Element_Stiffness!$C$75=5,IF(6=Element_Stiffness!$C$75,Element_Stiffness!R97,IF(6=Element_Stiffness!$E$75,Element_Stiffness!X97,0)),IF(Element_Stiffness!$E$75=5,IF(6=Element_Stiffness!$C$75,Element_Stiffness!R103,IF(6=Element_Stiffness!$E$75,Element_Stiffness!X103,0)),0)),0)+IF(Element_Stiffness!$C$111,IF(Element_Stiffness!$C$110=5,IF(6=Element_Stiffness!$C$110,Element_Stiffness!R132,IF(6=Element_Stiffness!$E$110,Element_Stiffness!X132,0)),IF(Element_Stiffness!$E$110=5,IF(6=Element_Stiffness!$C$110,Element_Stiffness!R138,IF(6=Element_Stiffness!$E$110,Element_Stiffness!X138,0)),0)),0)+IF(Element_Stiffness!$C$146,IF(Element_Stiffness!$C$145=5,IF(6=Element_Stiffness!$C$145,Element_Stiffness!R167,IF(6=Element_Stiffness!$E$145,Element_Stiffness!X167,0)),IF(Element_Stiffness!$E$145=5,IF(6=Element_Stiffness!$C$145,Element_Stiffness!R173,IF(6=Element_Stiffness!$E$145,Element_Stiffness!X173,0)),0)),0)+IF(Element_Stiffness!$C$181,IF(Element_Stiffness!$C$180=5,IF(6=Element_Stiffness!$C$180,Element_Stiffness!R202,IF(6=Element_Stiffness!$E$180,Element_Stiffness!X202,0)),IF(Element_Stiffness!$E$180=5,IF(6=Element_Stiffness!$C$180,Element_Stiffness!R208,IF(6=Element_Stiffness!$E$180,Element_Stiffness!X208,0)),0)),0)+IF(Element_Stiffness!$C$216,IF(Element_Stiffness!$C$215=5,IF(6=Element_Stiffness!$C$215,Element_Stiffness!R237,IF(6=Element_Stiffness!$E$215,Element_Stiffness!X237,0)),IF(Element_Stiffness!$E$215=5,IF(6=Element_Stiffness!$C$215,Element_Stiffness!R243,IF(6=Element_Stiffness!$E$215,Element_Stiffness!X243,0)),0)),0)</f>
        <v/>
      </c>
      <c r="AP36" s="21">
        <f>IF(Element_Stiffness!$C$6,IF(Element_Stiffness!$C$5=5,IF(6=Element_Stiffness!$C$5,Element_Stiffness!S27,IF(6=Element_Stiffness!$E$5,Element_Stiffness!Y27,0)),IF(Element_Stiffness!$E$5=5,IF(6=Element_Stiffness!$C$5,Element_Stiffness!S33,IF(6=Element_Stiffness!$E$5,Element_Stiffness!Y33,0)),0)),0)+IF(Element_Stiffness!$C$41,IF(Element_Stiffness!$C$40=5,IF(6=Element_Stiffness!$C$40,Element_Stiffness!S62,IF(6=Element_Stiffness!$E$40,Element_Stiffness!Y62,0)),IF(Element_Stiffness!$E$40=5,IF(6=Element_Stiffness!$C$40,Element_Stiffness!S68,IF(6=Element_Stiffness!$E$40,Element_Stiffness!Y68,0)),0)),0)+IF(Element_Stiffness!$C$76,IF(Element_Stiffness!$C$75=5,IF(6=Element_Stiffness!$C$75,Element_Stiffness!S97,IF(6=Element_Stiffness!$E$75,Element_Stiffness!Y97,0)),IF(Element_Stiffness!$E$75=5,IF(6=Element_Stiffness!$C$75,Element_Stiffness!S103,IF(6=Element_Stiffness!$E$75,Element_Stiffness!Y103,0)),0)),0)+IF(Element_Stiffness!$C$111,IF(Element_Stiffness!$C$110=5,IF(6=Element_Stiffness!$C$110,Element_Stiffness!S132,IF(6=Element_Stiffness!$E$110,Element_Stiffness!Y132,0)),IF(Element_Stiffness!$E$110=5,IF(6=Element_Stiffness!$C$110,Element_Stiffness!S138,IF(6=Element_Stiffness!$E$110,Element_Stiffness!Y138,0)),0)),0)+IF(Element_Stiffness!$C$146,IF(Element_Stiffness!$C$145=5,IF(6=Element_Stiffness!$C$145,Element_Stiffness!S167,IF(6=Element_Stiffness!$E$145,Element_Stiffness!Y167,0)),IF(Element_Stiffness!$E$145=5,IF(6=Element_Stiffness!$C$145,Element_Stiffness!S173,IF(6=Element_Stiffness!$E$145,Element_Stiffness!Y173,0)),0)),0)+IF(Element_Stiffness!$C$181,IF(Element_Stiffness!$C$180=5,IF(6=Element_Stiffness!$C$180,Element_Stiffness!S202,IF(6=Element_Stiffness!$E$180,Element_Stiffness!Y202,0)),IF(Element_Stiffness!$E$180=5,IF(6=Element_Stiffness!$C$180,Element_Stiffness!S208,IF(6=Element_Stiffness!$E$180,Element_Stiffness!Y208,0)),0)),0)+IF(Element_Stiffness!$C$216,IF(Element_Stiffness!$C$215=5,IF(6=Element_Stiffness!$C$215,Element_Stiffness!S237,IF(6=Element_Stiffness!$E$215,Element_Stiffness!Y237,0)),IF(Element_Stiffness!$E$215=5,IF(6=Element_Stiffness!$C$215,Element_Stiffness!S243,IF(6=Element_Stiffness!$E$215,Element_Stiffness!Y243,0)),0)),0)</f>
        <v/>
      </c>
      <c r="AQ36" s="21">
        <f>IF(Element_Stiffness!$C$6,IF(Element_Stiffness!$C$5=5,IF(6=Element_Stiffness!$C$5,Element_Stiffness!T27,IF(6=Element_Stiffness!$E$5,Element_Stiffness!Z27,0)),IF(Element_Stiffness!$E$5=5,IF(6=Element_Stiffness!$C$5,Element_Stiffness!T33,IF(6=Element_Stiffness!$E$5,Element_Stiffness!Z33,0)),0)),0)+IF(Element_Stiffness!$C$41,IF(Element_Stiffness!$C$40=5,IF(6=Element_Stiffness!$C$40,Element_Stiffness!T62,IF(6=Element_Stiffness!$E$40,Element_Stiffness!Z62,0)),IF(Element_Stiffness!$E$40=5,IF(6=Element_Stiffness!$C$40,Element_Stiffness!T68,IF(6=Element_Stiffness!$E$40,Element_Stiffness!Z68,0)),0)),0)+IF(Element_Stiffness!$C$76,IF(Element_Stiffness!$C$75=5,IF(6=Element_Stiffness!$C$75,Element_Stiffness!T97,IF(6=Element_Stiffness!$E$75,Element_Stiffness!Z97,0)),IF(Element_Stiffness!$E$75=5,IF(6=Element_Stiffness!$C$75,Element_Stiffness!T103,IF(6=Element_Stiffness!$E$75,Element_Stiffness!Z103,0)),0)),0)+IF(Element_Stiffness!$C$111,IF(Element_Stiffness!$C$110=5,IF(6=Element_Stiffness!$C$110,Element_Stiffness!T132,IF(6=Element_Stiffness!$E$110,Element_Stiffness!Z132,0)),IF(Element_Stiffness!$E$110=5,IF(6=Element_Stiffness!$C$110,Element_Stiffness!T138,IF(6=Element_Stiffness!$E$110,Element_Stiffness!Z138,0)),0)),0)+IF(Element_Stiffness!$C$146,IF(Element_Stiffness!$C$145=5,IF(6=Element_Stiffness!$C$145,Element_Stiffness!T167,IF(6=Element_Stiffness!$E$145,Element_Stiffness!Z167,0)),IF(Element_Stiffness!$E$145=5,IF(6=Element_Stiffness!$C$145,Element_Stiffness!T173,IF(6=Element_Stiffness!$E$145,Element_Stiffness!Z173,0)),0)),0)+IF(Element_Stiffness!$C$181,IF(Element_Stiffness!$C$180=5,IF(6=Element_Stiffness!$C$180,Element_Stiffness!T202,IF(6=Element_Stiffness!$E$180,Element_Stiffness!Z202,0)),IF(Element_Stiffness!$E$180=5,IF(6=Element_Stiffness!$C$180,Element_Stiffness!T208,IF(6=Element_Stiffness!$E$180,Element_Stiffness!Z208,0)),0)),0)+IF(Element_Stiffness!$C$216,IF(Element_Stiffness!$C$215=5,IF(6=Element_Stiffness!$C$215,Element_Stiffness!T237,IF(6=Element_Stiffness!$E$215,Element_Stiffness!Z237,0)),IF(Element_Stiffness!$E$215=5,IF(6=Element_Stiffness!$C$215,Element_Stiffness!T243,IF(6=Element_Stiffness!$E$215,Element_Stiffness!Z243,0)),0)),0)</f>
        <v/>
      </c>
      <c r="AR36" s="21">
        <f>IF(Element_Stiffness!$C$6,IF(Element_Stiffness!$C$5=5,IF(6=Element_Stiffness!$C$5,Element_Stiffness!U27,IF(6=Element_Stiffness!$E$5,Element_Stiffness!AA27,0)),IF(Element_Stiffness!$E$5=5,IF(6=Element_Stiffness!$C$5,Element_Stiffness!U33,IF(6=Element_Stiffness!$E$5,Element_Stiffness!AA33,0)),0)),0)+IF(Element_Stiffness!$C$41,IF(Element_Stiffness!$C$40=5,IF(6=Element_Stiffness!$C$40,Element_Stiffness!U62,IF(6=Element_Stiffness!$E$40,Element_Stiffness!AA62,0)),IF(Element_Stiffness!$E$40=5,IF(6=Element_Stiffness!$C$40,Element_Stiffness!U68,IF(6=Element_Stiffness!$E$40,Element_Stiffness!AA68,0)),0)),0)+IF(Element_Stiffness!$C$76,IF(Element_Stiffness!$C$75=5,IF(6=Element_Stiffness!$C$75,Element_Stiffness!U97,IF(6=Element_Stiffness!$E$75,Element_Stiffness!AA97,0)),IF(Element_Stiffness!$E$75=5,IF(6=Element_Stiffness!$C$75,Element_Stiffness!U103,IF(6=Element_Stiffness!$E$75,Element_Stiffness!AA103,0)),0)),0)+IF(Element_Stiffness!$C$111,IF(Element_Stiffness!$C$110=5,IF(6=Element_Stiffness!$C$110,Element_Stiffness!U132,IF(6=Element_Stiffness!$E$110,Element_Stiffness!AA132,0)),IF(Element_Stiffness!$E$110=5,IF(6=Element_Stiffness!$C$110,Element_Stiffness!U138,IF(6=Element_Stiffness!$E$110,Element_Stiffness!AA138,0)),0)),0)+IF(Element_Stiffness!$C$146,IF(Element_Stiffness!$C$145=5,IF(6=Element_Stiffness!$C$145,Element_Stiffness!U167,IF(6=Element_Stiffness!$E$145,Element_Stiffness!AA167,0)),IF(Element_Stiffness!$E$145=5,IF(6=Element_Stiffness!$C$145,Element_Stiffness!U173,IF(6=Element_Stiffness!$E$145,Element_Stiffness!AA173,0)),0)),0)+IF(Element_Stiffness!$C$181,IF(Element_Stiffness!$C$180=5,IF(6=Element_Stiffness!$C$180,Element_Stiffness!U202,IF(6=Element_Stiffness!$E$180,Element_Stiffness!AA202,0)),IF(Element_Stiffness!$E$180=5,IF(6=Element_Stiffness!$C$180,Element_Stiffness!U208,IF(6=Element_Stiffness!$E$180,Element_Stiffness!AA208,0)),0)),0)+IF(Element_Stiffness!$C$216,IF(Element_Stiffness!$C$215=5,IF(6=Element_Stiffness!$C$215,Element_Stiffness!U237,IF(6=Element_Stiffness!$E$215,Element_Stiffness!AA237,0)),IF(Element_Stiffness!$E$215=5,IF(6=Element_Stiffness!$C$215,Element_Stiffness!U243,IF(6=Element_Stiffness!$E$215,Element_Stiffness!AA243,0)),0)),0)</f>
        <v/>
      </c>
      <c r="AS36" s="21">
        <f>IF(Element_Stiffness!$C$6,IF(Element_Stiffness!$C$5=5,IF(7=Element_Stiffness!$C$5,Element_Stiffness!P27,IF(7=Element_Stiffness!$E$5,Element_Stiffness!V27,0)),IF(Element_Stiffness!$E$5=5,IF(7=Element_Stiffness!$C$5,Element_Stiffness!P33,IF(7=Element_Stiffness!$E$5,Element_Stiffness!V33,0)),0)),0)+IF(Element_Stiffness!$C$41,IF(Element_Stiffness!$C$40=5,IF(7=Element_Stiffness!$C$40,Element_Stiffness!P62,IF(7=Element_Stiffness!$E$40,Element_Stiffness!V62,0)),IF(Element_Stiffness!$E$40=5,IF(7=Element_Stiffness!$C$40,Element_Stiffness!P68,IF(7=Element_Stiffness!$E$40,Element_Stiffness!V68,0)),0)),0)+IF(Element_Stiffness!$C$76,IF(Element_Stiffness!$C$75=5,IF(7=Element_Stiffness!$C$75,Element_Stiffness!P97,IF(7=Element_Stiffness!$E$75,Element_Stiffness!V97,0)),IF(Element_Stiffness!$E$75=5,IF(7=Element_Stiffness!$C$75,Element_Stiffness!P103,IF(7=Element_Stiffness!$E$75,Element_Stiffness!V103,0)),0)),0)+IF(Element_Stiffness!$C$111,IF(Element_Stiffness!$C$110=5,IF(7=Element_Stiffness!$C$110,Element_Stiffness!P132,IF(7=Element_Stiffness!$E$110,Element_Stiffness!V132,0)),IF(Element_Stiffness!$E$110=5,IF(7=Element_Stiffness!$C$110,Element_Stiffness!P138,IF(7=Element_Stiffness!$E$110,Element_Stiffness!V138,0)),0)),0)+IF(Element_Stiffness!$C$146,IF(Element_Stiffness!$C$145=5,IF(7=Element_Stiffness!$C$145,Element_Stiffness!P167,IF(7=Element_Stiffness!$E$145,Element_Stiffness!V167,0)),IF(Element_Stiffness!$E$145=5,IF(7=Element_Stiffness!$C$145,Element_Stiffness!P173,IF(7=Element_Stiffness!$E$145,Element_Stiffness!V173,0)),0)),0)+IF(Element_Stiffness!$C$181,IF(Element_Stiffness!$C$180=5,IF(7=Element_Stiffness!$C$180,Element_Stiffness!P202,IF(7=Element_Stiffness!$E$180,Element_Stiffness!V202,0)),IF(Element_Stiffness!$E$180=5,IF(7=Element_Stiffness!$C$180,Element_Stiffness!P208,IF(7=Element_Stiffness!$E$180,Element_Stiffness!V208,0)),0)),0)+IF(Element_Stiffness!$C$216,IF(Element_Stiffness!$C$215=5,IF(7=Element_Stiffness!$C$215,Element_Stiffness!P237,IF(7=Element_Stiffness!$E$215,Element_Stiffness!V237,0)),IF(Element_Stiffness!$E$215=5,IF(7=Element_Stiffness!$C$215,Element_Stiffness!P243,IF(7=Element_Stiffness!$E$215,Element_Stiffness!V243,0)),0)),0)</f>
        <v/>
      </c>
      <c r="AT36" s="21">
        <f>IF(Element_Stiffness!$C$6,IF(Element_Stiffness!$C$5=5,IF(7=Element_Stiffness!$C$5,Element_Stiffness!Q27,IF(7=Element_Stiffness!$E$5,Element_Stiffness!W27,0)),IF(Element_Stiffness!$E$5=5,IF(7=Element_Stiffness!$C$5,Element_Stiffness!Q33,IF(7=Element_Stiffness!$E$5,Element_Stiffness!W33,0)),0)),0)+IF(Element_Stiffness!$C$41,IF(Element_Stiffness!$C$40=5,IF(7=Element_Stiffness!$C$40,Element_Stiffness!Q62,IF(7=Element_Stiffness!$E$40,Element_Stiffness!W62,0)),IF(Element_Stiffness!$E$40=5,IF(7=Element_Stiffness!$C$40,Element_Stiffness!Q68,IF(7=Element_Stiffness!$E$40,Element_Stiffness!W68,0)),0)),0)+IF(Element_Stiffness!$C$76,IF(Element_Stiffness!$C$75=5,IF(7=Element_Stiffness!$C$75,Element_Stiffness!Q97,IF(7=Element_Stiffness!$E$75,Element_Stiffness!W97,0)),IF(Element_Stiffness!$E$75=5,IF(7=Element_Stiffness!$C$75,Element_Stiffness!Q103,IF(7=Element_Stiffness!$E$75,Element_Stiffness!W103,0)),0)),0)+IF(Element_Stiffness!$C$111,IF(Element_Stiffness!$C$110=5,IF(7=Element_Stiffness!$C$110,Element_Stiffness!Q132,IF(7=Element_Stiffness!$E$110,Element_Stiffness!W132,0)),IF(Element_Stiffness!$E$110=5,IF(7=Element_Stiffness!$C$110,Element_Stiffness!Q138,IF(7=Element_Stiffness!$E$110,Element_Stiffness!W138,0)),0)),0)+IF(Element_Stiffness!$C$146,IF(Element_Stiffness!$C$145=5,IF(7=Element_Stiffness!$C$145,Element_Stiffness!Q167,IF(7=Element_Stiffness!$E$145,Element_Stiffness!W167,0)),IF(Element_Stiffness!$E$145=5,IF(7=Element_Stiffness!$C$145,Element_Stiffness!Q173,IF(7=Element_Stiffness!$E$145,Element_Stiffness!W173,0)),0)),0)+IF(Element_Stiffness!$C$181,IF(Element_Stiffness!$C$180=5,IF(7=Element_Stiffness!$C$180,Element_Stiffness!Q202,IF(7=Element_Stiffness!$E$180,Element_Stiffness!W202,0)),IF(Element_Stiffness!$E$180=5,IF(7=Element_Stiffness!$C$180,Element_Stiffness!Q208,IF(7=Element_Stiffness!$E$180,Element_Stiffness!W208,0)),0)),0)+IF(Element_Stiffness!$C$216,IF(Element_Stiffness!$C$215=5,IF(7=Element_Stiffness!$C$215,Element_Stiffness!Q237,IF(7=Element_Stiffness!$E$215,Element_Stiffness!W237,0)),IF(Element_Stiffness!$E$215=5,IF(7=Element_Stiffness!$C$215,Element_Stiffness!Q243,IF(7=Element_Stiffness!$E$215,Element_Stiffness!W243,0)),0)),0)</f>
        <v/>
      </c>
      <c r="AU36" s="21">
        <f>IF(Element_Stiffness!$C$6,IF(Element_Stiffness!$C$5=5,IF(7=Element_Stiffness!$C$5,Element_Stiffness!R27,IF(7=Element_Stiffness!$E$5,Element_Stiffness!X27,0)),IF(Element_Stiffness!$E$5=5,IF(7=Element_Stiffness!$C$5,Element_Stiffness!R33,IF(7=Element_Stiffness!$E$5,Element_Stiffness!X33,0)),0)),0)+IF(Element_Stiffness!$C$41,IF(Element_Stiffness!$C$40=5,IF(7=Element_Stiffness!$C$40,Element_Stiffness!R62,IF(7=Element_Stiffness!$E$40,Element_Stiffness!X62,0)),IF(Element_Stiffness!$E$40=5,IF(7=Element_Stiffness!$C$40,Element_Stiffness!R68,IF(7=Element_Stiffness!$E$40,Element_Stiffness!X68,0)),0)),0)+IF(Element_Stiffness!$C$76,IF(Element_Stiffness!$C$75=5,IF(7=Element_Stiffness!$C$75,Element_Stiffness!R97,IF(7=Element_Stiffness!$E$75,Element_Stiffness!X97,0)),IF(Element_Stiffness!$E$75=5,IF(7=Element_Stiffness!$C$75,Element_Stiffness!R103,IF(7=Element_Stiffness!$E$75,Element_Stiffness!X103,0)),0)),0)+IF(Element_Stiffness!$C$111,IF(Element_Stiffness!$C$110=5,IF(7=Element_Stiffness!$C$110,Element_Stiffness!R132,IF(7=Element_Stiffness!$E$110,Element_Stiffness!X132,0)),IF(Element_Stiffness!$E$110=5,IF(7=Element_Stiffness!$C$110,Element_Stiffness!R138,IF(7=Element_Stiffness!$E$110,Element_Stiffness!X138,0)),0)),0)+IF(Element_Stiffness!$C$146,IF(Element_Stiffness!$C$145=5,IF(7=Element_Stiffness!$C$145,Element_Stiffness!R167,IF(7=Element_Stiffness!$E$145,Element_Stiffness!X167,0)),IF(Element_Stiffness!$E$145=5,IF(7=Element_Stiffness!$C$145,Element_Stiffness!R173,IF(7=Element_Stiffness!$E$145,Element_Stiffness!X173,0)),0)),0)+IF(Element_Stiffness!$C$181,IF(Element_Stiffness!$C$180=5,IF(7=Element_Stiffness!$C$180,Element_Stiffness!R202,IF(7=Element_Stiffness!$E$180,Element_Stiffness!X202,0)),IF(Element_Stiffness!$E$180=5,IF(7=Element_Stiffness!$C$180,Element_Stiffness!R208,IF(7=Element_Stiffness!$E$180,Element_Stiffness!X208,0)),0)),0)+IF(Element_Stiffness!$C$216,IF(Element_Stiffness!$C$215=5,IF(7=Element_Stiffness!$C$215,Element_Stiffness!R237,IF(7=Element_Stiffness!$E$215,Element_Stiffness!X237,0)),IF(Element_Stiffness!$E$215=5,IF(7=Element_Stiffness!$C$215,Element_Stiffness!R243,IF(7=Element_Stiffness!$E$215,Element_Stiffness!X243,0)),0)),0)</f>
        <v/>
      </c>
      <c r="AV36" s="21">
        <f>IF(Element_Stiffness!$C$6,IF(Element_Stiffness!$C$5=5,IF(7=Element_Stiffness!$C$5,Element_Stiffness!S27,IF(7=Element_Stiffness!$E$5,Element_Stiffness!Y27,0)),IF(Element_Stiffness!$E$5=5,IF(7=Element_Stiffness!$C$5,Element_Stiffness!S33,IF(7=Element_Stiffness!$E$5,Element_Stiffness!Y33,0)),0)),0)+IF(Element_Stiffness!$C$41,IF(Element_Stiffness!$C$40=5,IF(7=Element_Stiffness!$C$40,Element_Stiffness!S62,IF(7=Element_Stiffness!$E$40,Element_Stiffness!Y62,0)),IF(Element_Stiffness!$E$40=5,IF(7=Element_Stiffness!$C$40,Element_Stiffness!S68,IF(7=Element_Stiffness!$E$40,Element_Stiffness!Y68,0)),0)),0)+IF(Element_Stiffness!$C$76,IF(Element_Stiffness!$C$75=5,IF(7=Element_Stiffness!$C$75,Element_Stiffness!S97,IF(7=Element_Stiffness!$E$75,Element_Stiffness!Y97,0)),IF(Element_Stiffness!$E$75=5,IF(7=Element_Stiffness!$C$75,Element_Stiffness!S103,IF(7=Element_Stiffness!$E$75,Element_Stiffness!Y103,0)),0)),0)+IF(Element_Stiffness!$C$111,IF(Element_Stiffness!$C$110=5,IF(7=Element_Stiffness!$C$110,Element_Stiffness!S132,IF(7=Element_Stiffness!$E$110,Element_Stiffness!Y132,0)),IF(Element_Stiffness!$E$110=5,IF(7=Element_Stiffness!$C$110,Element_Stiffness!S138,IF(7=Element_Stiffness!$E$110,Element_Stiffness!Y138,0)),0)),0)+IF(Element_Stiffness!$C$146,IF(Element_Stiffness!$C$145=5,IF(7=Element_Stiffness!$C$145,Element_Stiffness!S167,IF(7=Element_Stiffness!$E$145,Element_Stiffness!Y167,0)),IF(Element_Stiffness!$E$145=5,IF(7=Element_Stiffness!$C$145,Element_Stiffness!S173,IF(7=Element_Stiffness!$E$145,Element_Stiffness!Y173,0)),0)),0)+IF(Element_Stiffness!$C$181,IF(Element_Stiffness!$C$180=5,IF(7=Element_Stiffness!$C$180,Element_Stiffness!S202,IF(7=Element_Stiffness!$E$180,Element_Stiffness!Y202,0)),IF(Element_Stiffness!$E$180=5,IF(7=Element_Stiffness!$C$180,Element_Stiffness!S208,IF(7=Element_Stiffness!$E$180,Element_Stiffness!Y208,0)),0)),0)+IF(Element_Stiffness!$C$216,IF(Element_Stiffness!$C$215=5,IF(7=Element_Stiffness!$C$215,Element_Stiffness!S237,IF(7=Element_Stiffness!$E$215,Element_Stiffness!Y237,0)),IF(Element_Stiffness!$E$215=5,IF(7=Element_Stiffness!$C$215,Element_Stiffness!S243,IF(7=Element_Stiffness!$E$215,Element_Stiffness!Y243,0)),0)),0)</f>
        <v/>
      </c>
      <c r="AW36" s="21">
        <f>IF(Element_Stiffness!$C$6,IF(Element_Stiffness!$C$5=5,IF(7=Element_Stiffness!$C$5,Element_Stiffness!T27,IF(7=Element_Stiffness!$E$5,Element_Stiffness!Z27,0)),IF(Element_Stiffness!$E$5=5,IF(7=Element_Stiffness!$C$5,Element_Stiffness!T33,IF(7=Element_Stiffness!$E$5,Element_Stiffness!Z33,0)),0)),0)+IF(Element_Stiffness!$C$41,IF(Element_Stiffness!$C$40=5,IF(7=Element_Stiffness!$C$40,Element_Stiffness!T62,IF(7=Element_Stiffness!$E$40,Element_Stiffness!Z62,0)),IF(Element_Stiffness!$E$40=5,IF(7=Element_Stiffness!$C$40,Element_Stiffness!T68,IF(7=Element_Stiffness!$E$40,Element_Stiffness!Z68,0)),0)),0)+IF(Element_Stiffness!$C$76,IF(Element_Stiffness!$C$75=5,IF(7=Element_Stiffness!$C$75,Element_Stiffness!T97,IF(7=Element_Stiffness!$E$75,Element_Stiffness!Z97,0)),IF(Element_Stiffness!$E$75=5,IF(7=Element_Stiffness!$C$75,Element_Stiffness!T103,IF(7=Element_Stiffness!$E$75,Element_Stiffness!Z103,0)),0)),0)+IF(Element_Stiffness!$C$111,IF(Element_Stiffness!$C$110=5,IF(7=Element_Stiffness!$C$110,Element_Stiffness!T132,IF(7=Element_Stiffness!$E$110,Element_Stiffness!Z132,0)),IF(Element_Stiffness!$E$110=5,IF(7=Element_Stiffness!$C$110,Element_Stiffness!T138,IF(7=Element_Stiffness!$E$110,Element_Stiffness!Z138,0)),0)),0)+IF(Element_Stiffness!$C$146,IF(Element_Stiffness!$C$145=5,IF(7=Element_Stiffness!$C$145,Element_Stiffness!T167,IF(7=Element_Stiffness!$E$145,Element_Stiffness!Z167,0)),IF(Element_Stiffness!$E$145=5,IF(7=Element_Stiffness!$C$145,Element_Stiffness!T173,IF(7=Element_Stiffness!$E$145,Element_Stiffness!Z173,0)),0)),0)+IF(Element_Stiffness!$C$181,IF(Element_Stiffness!$C$180=5,IF(7=Element_Stiffness!$C$180,Element_Stiffness!T202,IF(7=Element_Stiffness!$E$180,Element_Stiffness!Z202,0)),IF(Element_Stiffness!$E$180=5,IF(7=Element_Stiffness!$C$180,Element_Stiffness!T208,IF(7=Element_Stiffness!$E$180,Element_Stiffness!Z208,0)),0)),0)+IF(Element_Stiffness!$C$216,IF(Element_Stiffness!$C$215=5,IF(7=Element_Stiffness!$C$215,Element_Stiffness!T237,IF(7=Element_Stiffness!$E$215,Element_Stiffness!Z237,0)),IF(Element_Stiffness!$E$215=5,IF(7=Element_Stiffness!$C$215,Element_Stiffness!T243,IF(7=Element_Stiffness!$E$215,Element_Stiffness!Z243,0)),0)),0)</f>
        <v/>
      </c>
      <c r="AX36" s="21">
        <f>IF(Element_Stiffness!$C$6,IF(Element_Stiffness!$C$5=5,IF(7=Element_Stiffness!$C$5,Element_Stiffness!U27,IF(7=Element_Stiffness!$E$5,Element_Stiffness!AA27,0)),IF(Element_Stiffness!$E$5=5,IF(7=Element_Stiffness!$C$5,Element_Stiffness!U33,IF(7=Element_Stiffness!$E$5,Element_Stiffness!AA33,0)),0)),0)+IF(Element_Stiffness!$C$41,IF(Element_Stiffness!$C$40=5,IF(7=Element_Stiffness!$C$40,Element_Stiffness!U62,IF(7=Element_Stiffness!$E$40,Element_Stiffness!AA62,0)),IF(Element_Stiffness!$E$40=5,IF(7=Element_Stiffness!$C$40,Element_Stiffness!U68,IF(7=Element_Stiffness!$E$40,Element_Stiffness!AA68,0)),0)),0)+IF(Element_Stiffness!$C$76,IF(Element_Stiffness!$C$75=5,IF(7=Element_Stiffness!$C$75,Element_Stiffness!U97,IF(7=Element_Stiffness!$E$75,Element_Stiffness!AA97,0)),IF(Element_Stiffness!$E$75=5,IF(7=Element_Stiffness!$C$75,Element_Stiffness!U103,IF(7=Element_Stiffness!$E$75,Element_Stiffness!AA103,0)),0)),0)+IF(Element_Stiffness!$C$111,IF(Element_Stiffness!$C$110=5,IF(7=Element_Stiffness!$C$110,Element_Stiffness!U132,IF(7=Element_Stiffness!$E$110,Element_Stiffness!AA132,0)),IF(Element_Stiffness!$E$110=5,IF(7=Element_Stiffness!$C$110,Element_Stiffness!U138,IF(7=Element_Stiffness!$E$110,Element_Stiffness!AA138,0)),0)),0)+IF(Element_Stiffness!$C$146,IF(Element_Stiffness!$C$145=5,IF(7=Element_Stiffness!$C$145,Element_Stiffness!U167,IF(7=Element_Stiffness!$E$145,Element_Stiffness!AA167,0)),IF(Element_Stiffness!$E$145=5,IF(7=Element_Stiffness!$C$145,Element_Stiffness!U173,IF(7=Element_Stiffness!$E$145,Element_Stiffness!AA173,0)),0)),0)+IF(Element_Stiffness!$C$181,IF(Element_Stiffness!$C$180=5,IF(7=Element_Stiffness!$C$180,Element_Stiffness!U202,IF(7=Element_Stiffness!$E$180,Element_Stiffness!AA202,0)),IF(Element_Stiffness!$E$180=5,IF(7=Element_Stiffness!$C$180,Element_Stiffness!U208,IF(7=Element_Stiffness!$E$180,Element_Stiffness!AA208,0)),0)),0)+IF(Element_Stiffness!$C$216,IF(Element_Stiffness!$C$215=5,IF(7=Element_Stiffness!$C$215,Element_Stiffness!U237,IF(7=Element_Stiffness!$E$215,Element_Stiffness!AA237,0)),IF(Element_Stiffness!$E$215=5,IF(7=Element_Stiffness!$C$215,Element_Stiffness!U243,IF(7=Element_Stiffness!$E$215,Element_Stiffness!AA243,0)),0)),0)</f>
        <v/>
      </c>
      <c r="AY36" s="21" t="n">
        <v>0</v>
      </c>
      <c r="AZ36" s="21">
        <f>IF(Element_Stiffness!$C$6,IF(Element_Stiffness!$C$5=5,Element_Stiffness!C27,IF(Element_Stiffness!$E$5=5,Element_Stiffness!C33,0)),0)+IF(Element_Stiffness!$C$41,IF(Element_Stiffness!$C$40=5,Element_Stiffness!C62,IF(Element_Stiffness!$E$40=5,Element_Stiffness!C68,0)),0)+IF(Element_Stiffness!$C$76,IF(Element_Stiffness!$C$75=5,Element_Stiffness!C97,IF(Element_Stiffness!$E$75=5,Element_Stiffness!C103,0)),0)+IF(Element_Stiffness!$C$111,IF(Element_Stiffness!$C$110=5,Element_Stiffness!C132,IF(Element_Stiffness!$E$110=5,Element_Stiffness!C138,0)),0)+IF(Element_Stiffness!$C$146,IF(Element_Stiffness!$C$145=5,Element_Stiffness!C167,IF(Element_Stiffness!$E$145=5,Element_Stiffness!C173,0)),0)+IF(Element_Stiffness!$C$181,IF(Element_Stiffness!$C$180=5,Element_Stiffness!C202,IF(Element_Stiffness!$E$180=5,Element_Stiffness!C208,0)),0)+IF(Element_Stiffness!$C$216,IF(Element_Stiffness!$C$215=5,Element_Stiffness!C237,IF(Element_Stiffness!$E$215=5,Element_Stiffness!C243,0)),0)</f>
        <v/>
      </c>
      <c r="BB36" s="28">
        <f>INDEX(MMULT(MINVERSE(C5:AX52), AY5:AY52), 32, 1)</f>
        <v/>
      </c>
      <c r="BC36" s="28">
        <f>INDEX(MMULT(MINVERSE(C5:AX52), AZ5:AZ52), 32, 1)</f>
        <v/>
      </c>
    </row>
    <row r="37">
      <c r="B37" s="27" t="inlineStr">
        <is>
          <t>N5_tz</t>
        </is>
      </c>
      <c r="C37" s="21">
        <f>IF(Element_Stiffness!$C$6,IF(Element_Stiffness!$C$5=5,IF(0=Element_Stiffness!$C$5,Element_Stiffness!P28,IF(0=Element_Stiffness!$E$5,Element_Stiffness!V28,0)),IF(Element_Stiffness!$E$5=5,IF(0=Element_Stiffness!$C$5,Element_Stiffness!P34,IF(0=Element_Stiffness!$E$5,Element_Stiffness!V34,0)),0)),0)+IF(Element_Stiffness!$C$41,IF(Element_Stiffness!$C$40=5,IF(0=Element_Stiffness!$C$40,Element_Stiffness!P63,IF(0=Element_Stiffness!$E$40,Element_Stiffness!V63,0)),IF(Element_Stiffness!$E$40=5,IF(0=Element_Stiffness!$C$40,Element_Stiffness!P69,IF(0=Element_Stiffness!$E$40,Element_Stiffness!V69,0)),0)),0)+IF(Element_Stiffness!$C$76,IF(Element_Stiffness!$C$75=5,IF(0=Element_Stiffness!$C$75,Element_Stiffness!P98,IF(0=Element_Stiffness!$E$75,Element_Stiffness!V98,0)),IF(Element_Stiffness!$E$75=5,IF(0=Element_Stiffness!$C$75,Element_Stiffness!P104,IF(0=Element_Stiffness!$E$75,Element_Stiffness!V104,0)),0)),0)+IF(Element_Stiffness!$C$111,IF(Element_Stiffness!$C$110=5,IF(0=Element_Stiffness!$C$110,Element_Stiffness!P133,IF(0=Element_Stiffness!$E$110,Element_Stiffness!V133,0)),IF(Element_Stiffness!$E$110=5,IF(0=Element_Stiffness!$C$110,Element_Stiffness!P139,IF(0=Element_Stiffness!$E$110,Element_Stiffness!V139,0)),0)),0)+IF(Element_Stiffness!$C$146,IF(Element_Stiffness!$C$145=5,IF(0=Element_Stiffness!$C$145,Element_Stiffness!P168,IF(0=Element_Stiffness!$E$145,Element_Stiffness!V168,0)),IF(Element_Stiffness!$E$145=5,IF(0=Element_Stiffness!$C$145,Element_Stiffness!P174,IF(0=Element_Stiffness!$E$145,Element_Stiffness!V174,0)),0)),0)+IF(Element_Stiffness!$C$181,IF(Element_Stiffness!$C$180=5,IF(0=Element_Stiffness!$C$180,Element_Stiffness!P203,IF(0=Element_Stiffness!$E$180,Element_Stiffness!V203,0)),IF(Element_Stiffness!$E$180=5,IF(0=Element_Stiffness!$C$180,Element_Stiffness!P209,IF(0=Element_Stiffness!$E$180,Element_Stiffness!V209,0)),0)),0)+IF(Element_Stiffness!$C$216,IF(Element_Stiffness!$C$215=5,IF(0=Element_Stiffness!$C$215,Element_Stiffness!P238,IF(0=Element_Stiffness!$E$215,Element_Stiffness!V238,0)),IF(Element_Stiffness!$E$215=5,IF(0=Element_Stiffness!$C$215,Element_Stiffness!P244,IF(0=Element_Stiffness!$E$215,Element_Stiffness!V244,0)),0)),0)</f>
        <v/>
      </c>
      <c r="D37" s="21">
        <f>IF(Element_Stiffness!$C$6,IF(Element_Stiffness!$C$5=5,IF(0=Element_Stiffness!$C$5,Element_Stiffness!Q28,IF(0=Element_Stiffness!$E$5,Element_Stiffness!W28,0)),IF(Element_Stiffness!$E$5=5,IF(0=Element_Stiffness!$C$5,Element_Stiffness!Q34,IF(0=Element_Stiffness!$E$5,Element_Stiffness!W34,0)),0)),0)+IF(Element_Stiffness!$C$41,IF(Element_Stiffness!$C$40=5,IF(0=Element_Stiffness!$C$40,Element_Stiffness!Q63,IF(0=Element_Stiffness!$E$40,Element_Stiffness!W63,0)),IF(Element_Stiffness!$E$40=5,IF(0=Element_Stiffness!$C$40,Element_Stiffness!Q69,IF(0=Element_Stiffness!$E$40,Element_Stiffness!W69,0)),0)),0)+IF(Element_Stiffness!$C$76,IF(Element_Stiffness!$C$75=5,IF(0=Element_Stiffness!$C$75,Element_Stiffness!Q98,IF(0=Element_Stiffness!$E$75,Element_Stiffness!W98,0)),IF(Element_Stiffness!$E$75=5,IF(0=Element_Stiffness!$C$75,Element_Stiffness!Q104,IF(0=Element_Stiffness!$E$75,Element_Stiffness!W104,0)),0)),0)+IF(Element_Stiffness!$C$111,IF(Element_Stiffness!$C$110=5,IF(0=Element_Stiffness!$C$110,Element_Stiffness!Q133,IF(0=Element_Stiffness!$E$110,Element_Stiffness!W133,0)),IF(Element_Stiffness!$E$110=5,IF(0=Element_Stiffness!$C$110,Element_Stiffness!Q139,IF(0=Element_Stiffness!$E$110,Element_Stiffness!W139,0)),0)),0)+IF(Element_Stiffness!$C$146,IF(Element_Stiffness!$C$145=5,IF(0=Element_Stiffness!$C$145,Element_Stiffness!Q168,IF(0=Element_Stiffness!$E$145,Element_Stiffness!W168,0)),IF(Element_Stiffness!$E$145=5,IF(0=Element_Stiffness!$C$145,Element_Stiffness!Q174,IF(0=Element_Stiffness!$E$145,Element_Stiffness!W174,0)),0)),0)+IF(Element_Stiffness!$C$181,IF(Element_Stiffness!$C$180=5,IF(0=Element_Stiffness!$C$180,Element_Stiffness!Q203,IF(0=Element_Stiffness!$E$180,Element_Stiffness!W203,0)),IF(Element_Stiffness!$E$180=5,IF(0=Element_Stiffness!$C$180,Element_Stiffness!Q209,IF(0=Element_Stiffness!$E$180,Element_Stiffness!W209,0)),0)),0)+IF(Element_Stiffness!$C$216,IF(Element_Stiffness!$C$215=5,IF(0=Element_Stiffness!$C$215,Element_Stiffness!Q238,IF(0=Element_Stiffness!$E$215,Element_Stiffness!W238,0)),IF(Element_Stiffness!$E$215=5,IF(0=Element_Stiffness!$C$215,Element_Stiffness!Q244,IF(0=Element_Stiffness!$E$215,Element_Stiffness!W244,0)),0)),0)</f>
        <v/>
      </c>
      <c r="E37" s="21">
        <f>IF(Element_Stiffness!$C$6,IF(Element_Stiffness!$C$5=5,IF(0=Element_Stiffness!$C$5,Element_Stiffness!R28,IF(0=Element_Stiffness!$E$5,Element_Stiffness!X28,0)),IF(Element_Stiffness!$E$5=5,IF(0=Element_Stiffness!$C$5,Element_Stiffness!R34,IF(0=Element_Stiffness!$E$5,Element_Stiffness!X34,0)),0)),0)+IF(Element_Stiffness!$C$41,IF(Element_Stiffness!$C$40=5,IF(0=Element_Stiffness!$C$40,Element_Stiffness!R63,IF(0=Element_Stiffness!$E$40,Element_Stiffness!X63,0)),IF(Element_Stiffness!$E$40=5,IF(0=Element_Stiffness!$C$40,Element_Stiffness!R69,IF(0=Element_Stiffness!$E$40,Element_Stiffness!X69,0)),0)),0)+IF(Element_Stiffness!$C$76,IF(Element_Stiffness!$C$75=5,IF(0=Element_Stiffness!$C$75,Element_Stiffness!R98,IF(0=Element_Stiffness!$E$75,Element_Stiffness!X98,0)),IF(Element_Stiffness!$E$75=5,IF(0=Element_Stiffness!$C$75,Element_Stiffness!R104,IF(0=Element_Stiffness!$E$75,Element_Stiffness!X104,0)),0)),0)+IF(Element_Stiffness!$C$111,IF(Element_Stiffness!$C$110=5,IF(0=Element_Stiffness!$C$110,Element_Stiffness!R133,IF(0=Element_Stiffness!$E$110,Element_Stiffness!X133,0)),IF(Element_Stiffness!$E$110=5,IF(0=Element_Stiffness!$C$110,Element_Stiffness!R139,IF(0=Element_Stiffness!$E$110,Element_Stiffness!X139,0)),0)),0)+IF(Element_Stiffness!$C$146,IF(Element_Stiffness!$C$145=5,IF(0=Element_Stiffness!$C$145,Element_Stiffness!R168,IF(0=Element_Stiffness!$E$145,Element_Stiffness!X168,0)),IF(Element_Stiffness!$E$145=5,IF(0=Element_Stiffness!$C$145,Element_Stiffness!R174,IF(0=Element_Stiffness!$E$145,Element_Stiffness!X174,0)),0)),0)+IF(Element_Stiffness!$C$181,IF(Element_Stiffness!$C$180=5,IF(0=Element_Stiffness!$C$180,Element_Stiffness!R203,IF(0=Element_Stiffness!$E$180,Element_Stiffness!X203,0)),IF(Element_Stiffness!$E$180=5,IF(0=Element_Stiffness!$C$180,Element_Stiffness!R209,IF(0=Element_Stiffness!$E$180,Element_Stiffness!X209,0)),0)),0)+IF(Element_Stiffness!$C$216,IF(Element_Stiffness!$C$215=5,IF(0=Element_Stiffness!$C$215,Element_Stiffness!R238,IF(0=Element_Stiffness!$E$215,Element_Stiffness!X238,0)),IF(Element_Stiffness!$E$215=5,IF(0=Element_Stiffness!$C$215,Element_Stiffness!R244,IF(0=Element_Stiffness!$E$215,Element_Stiffness!X244,0)),0)),0)</f>
        <v/>
      </c>
      <c r="F37" s="21">
        <f>IF(Element_Stiffness!$C$6,IF(Element_Stiffness!$C$5=5,IF(0=Element_Stiffness!$C$5,Element_Stiffness!S28,IF(0=Element_Stiffness!$E$5,Element_Stiffness!Y28,0)),IF(Element_Stiffness!$E$5=5,IF(0=Element_Stiffness!$C$5,Element_Stiffness!S34,IF(0=Element_Stiffness!$E$5,Element_Stiffness!Y34,0)),0)),0)+IF(Element_Stiffness!$C$41,IF(Element_Stiffness!$C$40=5,IF(0=Element_Stiffness!$C$40,Element_Stiffness!S63,IF(0=Element_Stiffness!$E$40,Element_Stiffness!Y63,0)),IF(Element_Stiffness!$E$40=5,IF(0=Element_Stiffness!$C$40,Element_Stiffness!S69,IF(0=Element_Stiffness!$E$40,Element_Stiffness!Y69,0)),0)),0)+IF(Element_Stiffness!$C$76,IF(Element_Stiffness!$C$75=5,IF(0=Element_Stiffness!$C$75,Element_Stiffness!S98,IF(0=Element_Stiffness!$E$75,Element_Stiffness!Y98,0)),IF(Element_Stiffness!$E$75=5,IF(0=Element_Stiffness!$C$75,Element_Stiffness!S104,IF(0=Element_Stiffness!$E$75,Element_Stiffness!Y104,0)),0)),0)+IF(Element_Stiffness!$C$111,IF(Element_Stiffness!$C$110=5,IF(0=Element_Stiffness!$C$110,Element_Stiffness!S133,IF(0=Element_Stiffness!$E$110,Element_Stiffness!Y133,0)),IF(Element_Stiffness!$E$110=5,IF(0=Element_Stiffness!$C$110,Element_Stiffness!S139,IF(0=Element_Stiffness!$E$110,Element_Stiffness!Y139,0)),0)),0)+IF(Element_Stiffness!$C$146,IF(Element_Stiffness!$C$145=5,IF(0=Element_Stiffness!$C$145,Element_Stiffness!S168,IF(0=Element_Stiffness!$E$145,Element_Stiffness!Y168,0)),IF(Element_Stiffness!$E$145=5,IF(0=Element_Stiffness!$C$145,Element_Stiffness!S174,IF(0=Element_Stiffness!$E$145,Element_Stiffness!Y174,0)),0)),0)+IF(Element_Stiffness!$C$181,IF(Element_Stiffness!$C$180=5,IF(0=Element_Stiffness!$C$180,Element_Stiffness!S203,IF(0=Element_Stiffness!$E$180,Element_Stiffness!Y203,0)),IF(Element_Stiffness!$E$180=5,IF(0=Element_Stiffness!$C$180,Element_Stiffness!S209,IF(0=Element_Stiffness!$E$180,Element_Stiffness!Y209,0)),0)),0)+IF(Element_Stiffness!$C$216,IF(Element_Stiffness!$C$215=5,IF(0=Element_Stiffness!$C$215,Element_Stiffness!S238,IF(0=Element_Stiffness!$E$215,Element_Stiffness!Y238,0)),IF(Element_Stiffness!$E$215=5,IF(0=Element_Stiffness!$C$215,Element_Stiffness!S244,IF(0=Element_Stiffness!$E$215,Element_Stiffness!Y244,0)),0)),0)</f>
        <v/>
      </c>
      <c r="G37" s="21">
        <f>IF(Element_Stiffness!$C$6,IF(Element_Stiffness!$C$5=5,IF(0=Element_Stiffness!$C$5,Element_Stiffness!T28,IF(0=Element_Stiffness!$E$5,Element_Stiffness!Z28,0)),IF(Element_Stiffness!$E$5=5,IF(0=Element_Stiffness!$C$5,Element_Stiffness!T34,IF(0=Element_Stiffness!$E$5,Element_Stiffness!Z34,0)),0)),0)+IF(Element_Stiffness!$C$41,IF(Element_Stiffness!$C$40=5,IF(0=Element_Stiffness!$C$40,Element_Stiffness!T63,IF(0=Element_Stiffness!$E$40,Element_Stiffness!Z63,0)),IF(Element_Stiffness!$E$40=5,IF(0=Element_Stiffness!$C$40,Element_Stiffness!T69,IF(0=Element_Stiffness!$E$40,Element_Stiffness!Z69,0)),0)),0)+IF(Element_Stiffness!$C$76,IF(Element_Stiffness!$C$75=5,IF(0=Element_Stiffness!$C$75,Element_Stiffness!T98,IF(0=Element_Stiffness!$E$75,Element_Stiffness!Z98,0)),IF(Element_Stiffness!$E$75=5,IF(0=Element_Stiffness!$C$75,Element_Stiffness!T104,IF(0=Element_Stiffness!$E$75,Element_Stiffness!Z104,0)),0)),0)+IF(Element_Stiffness!$C$111,IF(Element_Stiffness!$C$110=5,IF(0=Element_Stiffness!$C$110,Element_Stiffness!T133,IF(0=Element_Stiffness!$E$110,Element_Stiffness!Z133,0)),IF(Element_Stiffness!$E$110=5,IF(0=Element_Stiffness!$C$110,Element_Stiffness!T139,IF(0=Element_Stiffness!$E$110,Element_Stiffness!Z139,0)),0)),0)+IF(Element_Stiffness!$C$146,IF(Element_Stiffness!$C$145=5,IF(0=Element_Stiffness!$C$145,Element_Stiffness!T168,IF(0=Element_Stiffness!$E$145,Element_Stiffness!Z168,0)),IF(Element_Stiffness!$E$145=5,IF(0=Element_Stiffness!$C$145,Element_Stiffness!T174,IF(0=Element_Stiffness!$E$145,Element_Stiffness!Z174,0)),0)),0)+IF(Element_Stiffness!$C$181,IF(Element_Stiffness!$C$180=5,IF(0=Element_Stiffness!$C$180,Element_Stiffness!T203,IF(0=Element_Stiffness!$E$180,Element_Stiffness!Z203,0)),IF(Element_Stiffness!$E$180=5,IF(0=Element_Stiffness!$C$180,Element_Stiffness!T209,IF(0=Element_Stiffness!$E$180,Element_Stiffness!Z209,0)),0)),0)+IF(Element_Stiffness!$C$216,IF(Element_Stiffness!$C$215=5,IF(0=Element_Stiffness!$C$215,Element_Stiffness!T238,IF(0=Element_Stiffness!$E$215,Element_Stiffness!Z238,0)),IF(Element_Stiffness!$E$215=5,IF(0=Element_Stiffness!$C$215,Element_Stiffness!T244,IF(0=Element_Stiffness!$E$215,Element_Stiffness!Z244,0)),0)),0)</f>
        <v/>
      </c>
      <c r="H37" s="21">
        <f>IF(Element_Stiffness!$C$6,IF(Element_Stiffness!$C$5=5,IF(0=Element_Stiffness!$C$5,Element_Stiffness!U28,IF(0=Element_Stiffness!$E$5,Element_Stiffness!AA28,0)),IF(Element_Stiffness!$E$5=5,IF(0=Element_Stiffness!$C$5,Element_Stiffness!U34,IF(0=Element_Stiffness!$E$5,Element_Stiffness!AA34,0)),0)),0)+IF(Element_Stiffness!$C$41,IF(Element_Stiffness!$C$40=5,IF(0=Element_Stiffness!$C$40,Element_Stiffness!U63,IF(0=Element_Stiffness!$E$40,Element_Stiffness!AA63,0)),IF(Element_Stiffness!$E$40=5,IF(0=Element_Stiffness!$C$40,Element_Stiffness!U69,IF(0=Element_Stiffness!$E$40,Element_Stiffness!AA69,0)),0)),0)+IF(Element_Stiffness!$C$76,IF(Element_Stiffness!$C$75=5,IF(0=Element_Stiffness!$C$75,Element_Stiffness!U98,IF(0=Element_Stiffness!$E$75,Element_Stiffness!AA98,0)),IF(Element_Stiffness!$E$75=5,IF(0=Element_Stiffness!$C$75,Element_Stiffness!U104,IF(0=Element_Stiffness!$E$75,Element_Stiffness!AA104,0)),0)),0)+IF(Element_Stiffness!$C$111,IF(Element_Stiffness!$C$110=5,IF(0=Element_Stiffness!$C$110,Element_Stiffness!U133,IF(0=Element_Stiffness!$E$110,Element_Stiffness!AA133,0)),IF(Element_Stiffness!$E$110=5,IF(0=Element_Stiffness!$C$110,Element_Stiffness!U139,IF(0=Element_Stiffness!$E$110,Element_Stiffness!AA139,0)),0)),0)+IF(Element_Stiffness!$C$146,IF(Element_Stiffness!$C$145=5,IF(0=Element_Stiffness!$C$145,Element_Stiffness!U168,IF(0=Element_Stiffness!$E$145,Element_Stiffness!AA168,0)),IF(Element_Stiffness!$E$145=5,IF(0=Element_Stiffness!$C$145,Element_Stiffness!U174,IF(0=Element_Stiffness!$E$145,Element_Stiffness!AA174,0)),0)),0)+IF(Element_Stiffness!$C$181,IF(Element_Stiffness!$C$180=5,IF(0=Element_Stiffness!$C$180,Element_Stiffness!U203,IF(0=Element_Stiffness!$E$180,Element_Stiffness!AA203,0)),IF(Element_Stiffness!$E$180=5,IF(0=Element_Stiffness!$C$180,Element_Stiffness!U209,IF(0=Element_Stiffness!$E$180,Element_Stiffness!AA209,0)),0)),0)+IF(Element_Stiffness!$C$216,IF(Element_Stiffness!$C$215=5,IF(0=Element_Stiffness!$C$215,Element_Stiffness!U238,IF(0=Element_Stiffness!$E$215,Element_Stiffness!AA238,0)),IF(Element_Stiffness!$E$215=5,IF(0=Element_Stiffness!$C$215,Element_Stiffness!U244,IF(0=Element_Stiffness!$E$215,Element_Stiffness!AA244,0)),0)),0)</f>
        <v/>
      </c>
      <c r="I37" s="21">
        <f>IF(Element_Stiffness!$C$6,IF(Element_Stiffness!$C$5=5,IF(1=Element_Stiffness!$C$5,Element_Stiffness!P28,IF(1=Element_Stiffness!$E$5,Element_Stiffness!V28,0)),IF(Element_Stiffness!$E$5=5,IF(1=Element_Stiffness!$C$5,Element_Stiffness!P34,IF(1=Element_Stiffness!$E$5,Element_Stiffness!V34,0)),0)),0)+IF(Element_Stiffness!$C$41,IF(Element_Stiffness!$C$40=5,IF(1=Element_Stiffness!$C$40,Element_Stiffness!P63,IF(1=Element_Stiffness!$E$40,Element_Stiffness!V63,0)),IF(Element_Stiffness!$E$40=5,IF(1=Element_Stiffness!$C$40,Element_Stiffness!P69,IF(1=Element_Stiffness!$E$40,Element_Stiffness!V69,0)),0)),0)+IF(Element_Stiffness!$C$76,IF(Element_Stiffness!$C$75=5,IF(1=Element_Stiffness!$C$75,Element_Stiffness!P98,IF(1=Element_Stiffness!$E$75,Element_Stiffness!V98,0)),IF(Element_Stiffness!$E$75=5,IF(1=Element_Stiffness!$C$75,Element_Stiffness!P104,IF(1=Element_Stiffness!$E$75,Element_Stiffness!V104,0)),0)),0)+IF(Element_Stiffness!$C$111,IF(Element_Stiffness!$C$110=5,IF(1=Element_Stiffness!$C$110,Element_Stiffness!P133,IF(1=Element_Stiffness!$E$110,Element_Stiffness!V133,0)),IF(Element_Stiffness!$E$110=5,IF(1=Element_Stiffness!$C$110,Element_Stiffness!P139,IF(1=Element_Stiffness!$E$110,Element_Stiffness!V139,0)),0)),0)+IF(Element_Stiffness!$C$146,IF(Element_Stiffness!$C$145=5,IF(1=Element_Stiffness!$C$145,Element_Stiffness!P168,IF(1=Element_Stiffness!$E$145,Element_Stiffness!V168,0)),IF(Element_Stiffness!$E$145=5,IF(1=Element_Stiffness!$C$145,Element_Stiffness!P174,IF(1=Element_Stiffness!$E$145,Element_Stiffness!V174,0)),0)),0)+IF(Element_Stiffness!$C$181,IF(Element_Stiffness!$C$180=5,IF(1=Element_Stiffness!$C$180,Element_Stiffness!P203,IF(1=Element_Stiffness!$E$180,Element_Stiffness!V203,0)),IF(Element_Stiffness!$E$180=5,IF(1=Element_Stiffness!$C$180,Element_Stiffness!P209,IF(1=Element_Stiffness!$E$180,Element_Stiffness!V209,0)),0)),0)+IF(Element_Stiffness!$C$216,IF(Element_Stiffness!$C$215=5,IF(1=Element_Stiffness!$C$215,Element_Stiffness!P238,IF(1=Element_Stiffness!$E$215,Element_Stiffness!V238,0)),IF(Element_Stiffness!$E$215=5,IF(1=Element_Stiffness!$C$215,Element_Stiffness!P244,IF(1=Element_Stiffness!$E$215,Element_Stiffness!V244,0)),0)),0)</f>
        <v/>
      </c>
      <c r="J37" s="21">
        <f>IF(Element_Stiffness!$C$6,IF(Element_Stiffness!$C$5=5,IF(1=Element_Stiffness!$C$5,Element_Stiffness!Q28,IF(1=Element_Stiffness!$E$5,Element_Stiffness!W28,0)),IF(Element_Stiffness!$E$5=5,IF(1=Element_Stiffness!$C$5,Element_Stiffness!Q34,IF(1=Element_Stiffness!$E$5,Element_Stiffness!W34,0)),0)),0)+IF(Element_Stiffness!$C$41,IF(Element_Stiffness!$C$40=5,IF(1=Element_Stiffness!$C$40,Element_Stiffness!Q63,IF(1=Element_Stiffness!$E$40,Element_Stiffness!W63,0)),IF(Element_Stiffness!$E$40=5,IF(1=Element_Stiffness!$C$40,Element_Stiffness!Q69,IF(1=Element_Stiffness!$E$40,Element_Stiffness!W69,0)),0)),0)+IF(Element_Stiffness!$C$76,IF(Element_Stiffness!$C$75=5,IF(1=Element_Stiffness!$C$75,Element_Stiffness!Q98,IF(1=Element_Stiffness!$E$75,Element_Stiffness!W98,0)),IF(Element_Stiffness!$E$75=5,IF(1=Element_Stiffness!$C$75,Element_Stiffness!Q104,IF(1=Element_Stiffness!$E$75,Element_Stiffness!W104,0)),0)),0)+IF(Element_Stiffness!$C$111,IF(Element_Stiffness!$C$110=5,IF(1=Element_Stiffness!$C$110,Element_Stiffness!Q133,IF(1=Element_Stiffness!$E$110,Element_Stiffness!W133,0)),IF(Element_Stiffness!$E$110=5,IF(1=Element_Stiffness!$C$110,Element_Stiffness!Q139,IF(1=Element_Stiffness!$E$110,Element_Stiffness!W139,0)),0)),0)+IF(Element_Stiffness!$C$146,IF(Element_Stiffness!$C$145=5,IF(1=Element_Stiffness!$C$145,Element_Stiffness!Q168,IF(1=Element_Stiffness!$E$145,Element_Stiffness!W168,0)),IF(Element_Stiffness!$E$145=5,IF(1=Element_Stiffness!$C$145,Element_Stiffness!Q174,IF(1=Element_Stiffness!$E$145,Element_Stiffness!W174,0)),0)),0)+IF(Element_Stiffness!$C$181,IF(Element_Stiffness!$C$180=5,IF(1=Element_Stiffness!$C$180,Element_Stiffness!Q203,IF(1=Element_Stiffness!$E$180,Element_Stiffness!W203,0)),IF(Element_Stiffness!$E$180=5,IF(1=Element_Stiffness!$C$180,Element_Stiffness!Q209,IF(1=Element_Stiffness!$E$180,Element_Stiffness!W209,0)),0)),0)+IF(Element_Stiffness!$C$216,IF(Element_Stiffness!$C$215=5,IF(1=Element_Stiffness!$C$215,Element_Stiffness!Q238,IF(1=Element_Stiffness!$E$215,Element_Stiffness!W238,0)),IF(Element_Stiffness!$E$215=5,IF(1=Element_Stiffness!$C$215,Element_Stiffness!Q244,IF(1=Element_Stiffness!$E$215,Element_Stiffness!W244,0)),0)),0)</f>
        <v/>
      </c>
      <c r="K37" s="21">
        <f>IF(Element_Stiffness!$C$6,IF(Element_Stiffness!$C$5=5,IF(1=Element_Stiffness!$C$5,Element_Stiffness!R28,IF(1=Element_Stiffness!$E$5,Element_Stiffness!X28,0)),IF(Element_Stiffness!$E$5=5,IF(1=Element_Stiffness!$C$5,Element_Stiffness!R34,IF(1=Element_Stiffness!$E$5,Element_Stiffness!X34,0)),0)),0)+IF(Element_Stiffness!$C$41,IF(Element_Stiffness!$C$40=5,IF(1=Element_Stiffness!$C$40,Element_Stiffness!R63,IF(1=Element_Stiffness!$E$40,Element_Stiffness!X63,0)),IF(Element_Stiffness!$E$40=5,IF(1=Element_Stiffness!$C$40,Element_Stiffness!R69,IF(1=Element_Stiffness!$E$40,Element_Stiffness!X69,0)),0)),0)+IF(Element_Stiffness!$C$76,IF(Element_Stiffness!$C$75=5,IF(1=Element_Stiffness!$C$75,Element_Stiffness!R98,IF(1=Element_Stiffness!$E$75,Element_Stiffness!X98,0)),IF(Element_Stiffness!$E$75=5,IF(1=Element_Stiffness!$C$75,Element_Stiffness!R104,IF(1=Element_Stiffness!$E$75,Element_Stiffness!X104,0)),0)),0)+IF(Element_Stiffness!$C$111,IF(Element_Stiffness!$C$110=5,IF(1=Element_Stiffness!$C$110,Element_Stiffness!R133,IF(1=Element_Stiffness!$E$110,Element_Stiffness!X133,0)),IF(Element_Stiffness!$E$110=5,IF(1=Element_Stiffness!$C$110,Element_Stiffness!R139,IF(1=Element_Stiffness!$E$110,Element_Stiffness!X139,0)),0)),0)+IF(Element_Stiffness!$C$146,IF(Element_Stiffness!$C$145=5,IF(1=Element_Stiffness!$C$145,Element_Stiffness!R168,IF(1=Element_Stiffness!$E$145,Element_Stiffness!X168,0)),IF(Element_Stiffness!$E$145=5,IF(1=Element_Stiffness!$C$145,Element_Stiffness!R174,IF(1=Element_Stiffness!$E$145,Element_Stiffness!X174,0)),0)),0)+IF(Element_Stiffness!$C$181,IF(Element_Stiffness!$C$180=5,IF(1=Element_Stiffness!$C$180,Element_Stiffness!R203,IF(1=Element_Stiffness!$E$180,Element_Stiffness!X203,0)),IF(Element_Stiffness!$E$180=5,IF(1=Element_Stiffness!$C$180,Element_Stiffness!R209,IF(1=Element_Stiffness!$E$180,Element_Stiffness!X209,0)),0)),0)+IF(Element_Stiffness!$C$216,IF(Element_Stiffness!$C$215=5,IF(1=Element_Stiffness!$C$215,Element_Stiffness!R238,IF(1=Element_Stiffness!$E$215,Element_Stiffness!X238,0)),IF(Element_Stiffness!$E$215=5,IF(1=Element_Stiffness!$C$215,Element_Stiffness!R244,IF(1=Element_Stiffness!$E$215,Element_Stiffness!X244,0)),0)),0)</f>
        <v/>
      </c>
      <c r="L37" s="21">
        <f>IF(Element_Stiffness!$C$6,IF(Element_Stiffness!$C$5=5,IF(1=Element_Stiffness!$C$5,Element_Stiffness!S28,IF(1=Element_Stiffness!$E$5,Element_Stiffness!Y28,0)),IF(Element_Stiffness!$E$5=5,IF(1=Element_Stiffness!$C$5,Element_Stiffness!S34,IF(1=Element_Stiffness!$E$5,Element_Stiffness!Y34,0)),0)),0)+IF(Element_Stiffness!$C$41,IF(Element_Stiffness!$C$40=5,IF(1=Element_Stiffness!$C$40,Element_Stiffness!S63,IF(1=Element_Stiffness!$E$40,Element_Stiffness!Y63,0)),IF(Element_Stiffness!$E$40=5,IF(1=Element_Stiffness!$C$40,Element_Stiffness!S69,IF(1=Element_Stiffness!$E$40,Element_Stiffness!Y69,0)),0)),0)+IF(Element_Stiffness!$C$76,IF(Element_Stiffness!$C$75=5,IF(1=Element_Stiffness!$C$75,Element_Stiffness!S98,IF(1=Element_Stiffness!$E$75,Element_Stiffness!Y98,0)),IF(Element_Stiffness!$E$75=5,IF(1=Element_Stiffness!$C$75,Element_Stiffness!S104,IF(1=Element_Stiffness!$E$75,Element_Stiffness!Y104,0)),0)),0)+IF(Element_Stiffness!$C$111,IF(Element_Stiffness!$C$110=5,IF(1=Element_Stiffness!$C$110,Element_Stiffness!S133,IF(1=Element_Stiffness!$E$110,Element_Stiffness!Y133,0)),IF(Element_Stiffness!$E$110=5,IF(1=Element_Stiffness!$C$110,Element_Stiffness!S139,IF(1=Element_Stiffness!$E$110,Element_Stiffness!Y139,0)),0)),0)+IF(Element_Stiffness!$C$146,IF(Element_Stiffness!$C$145=5,IF(1=Element_Stiffness!$C$145,Element_Stiffness!S168,IF(1=Element_Stiffness!$E$145,Element_Stiffness!Y168,0)),IF(Element_Stiffness!$E$145=5,IF(1=Element_Stiffness!$C$145,Element_Stiffness!S174,IF(1=Element_Stiffness!$E$145,Element_Stiffness!Y174,0)),0)),0)+IF(Element_Stiffness!$C$181,IF(Element_Stiffness!$C$180=5,IF(1=Element_Stiffness!$C$180,Element_Stiffness!S203,IF(1=Element_Stiffness!$E$180,Element_Stiffness!Y203,0)),IF(Element_Stiffness!$E$180=5,IF(1=Element_Stiffness!$C$180,Element_Stiffness!S209,IF(1=Element_Stiffness!$E$180,Element_Stiffness!Y209,0)),0)),0)+IF(Element_Stiffness!$C$216,IF(Element_Stiffness!$C$215=5,IF(1=Element_Stiffness!$C$215,Element_Stiffness!S238,IF(1=Element_Stiffness!$E$215,Element_Stiffness!Y238,0)),IF(Element_Stiffness!$E$215=5,IF(1=Element_Stiffness!$C$215,Element_Stiffness!S244,IF(1=Element_Stiffness!$E$215,Element_Stiffness!Y244,0)),0)),0)</f>
        <v/>
      </c>
      <c r="M37" s="21">
        <f>IF(Element_Stiffness!$C$6,IF(Element_Stiffness!$C$5=5,IF(1=Element_Stiffness!$C$5,Element_Stiffness!T28,IF(1=Element_Stiffness!$E$5,Element_Stiffness!Z28,0)),IF(Element_Stiffness!$E$5=5,IF(1=Element_Stiffness!$C$5,Element_Stiffness!T34,IF(1=Element_Stiffness!$E$5,Element_Stiffness!Z34,0)),0)),0)+IF(Element_Stiffness!$C$41,IF(Element_Stiffness!$C$40=5,IF(1=Element_Stiffness!$C$40,Element_Stiffness!T63,IF(1=Element_Stiffness!$E$40,Element_Stiffness!Z63,0)),IF(Element_Stiffness!$E$40=5,IF(1=Element_Stiffness!$C$40,Element_Stiffness!T69,IF(1=Element_Stiffness!$E$40,Element_Stiffness!Z69,0)),0)),0)+IF(Element_Stiffness!$C$76,IF(Element_Stiffness!$C$75=5,IF(1=Element_Stiffness!$C$75,Element_Stiffness!T98,IF(1=Element_Stiffness!$E$75,Element_Stiffness!Z98,0)),IF(Element_Stiffness!$E$75=5,IF(1=Element_Stiffness!$C$75,Element_Stiffness!T104,IF(1=Element_Stiffness!$E$75,Element_Stiffness!Z104,0)),0)),0)+IF(Element_Stiffness!$C$111,IF(Element_Stiffness!$C$110=5,IF(1=Element_Stiffness!$C$110,Element_Stiffness!T133,IF(1=Element_Stiffness!$E$110,Element_Stiffness!Z133,0)),IF(Element_Stiffness!$E$110=5,IF(1=Element_Stiffness!$C$110,Element_Stiffness!T139,IF(1=Element_Stiffness!$E$110,Element_Stiffness!Z139,0)),0)),0)+IF(Element_Stiffness!$C$146,IF(Element_Stiffness!$C$145=5,IF(1=Element_Stiffness!$C$145,Element_Stiffness!T168,IF(1=Element_Stiffness!$E$145,Element_Stiffness!Z168,0)),IF(Element_Stiffness!$E$145=5,IF(1=Element_Stiffness!$C$145,Element_Stiffness!T174,IF(1=Element_Stiffness!$E$145,Element_Stiffness!Z174,0)),0)),0)+IF(Element_Stiffness!$C$181,IF(Element_Stiffness!$C$180=5,IF(1=Element_Stiffness!$C$180,Element_Stiffness!T203,IF(1=Element_Stiffness!$E$180,Element_Stiffness!Z203,0)),IF(Element_Stiffness!$E$180=5,IF(1=Element_Stiffness!$C$180,Element_Stiffness!T209,IF(1=Element_Stiffness!$E$180,Element_Stiffness!Z209,0)),0)),0)+IF(Element_Stiffness!$C$216,IF(Element_Stiffness!$C$215=5,IF(1=Element_Stiffness!$C$215,Element_Stiffness!T238,IF(1=Element_Stiffness!$E$215,Element_Stiffness!Z238,0)),IF(Element_Stiffness!$E$215=5,IF(1=Element_Stiffness!$C$215,Element_Stiffness!T244,IF(1=Element_Stiffness!$E$215,Element_Stiffness!Z244,0)),0)),0)</f>
        <v/>
      </c>
      <c r="N37" s="21">
        <f>IF(Element_Stiffness!$C$6,IF(Element_Stiffness!$C$5=5,IF(1=Element_Stiffness!$C$5,Element_Stiffness!U28,IF(1=Element_Stiffness!$E$5,Element_Stiffness!AA28,0)),IF(Element_Stiffness!$E$5=5,IF(1=Element_Stiffness!$C$5,Element_Stiffness!U34,IF(1=Element_Stiffness!$E$5,Element_Stiffness!AA34,0)),0)),0)+IF(Element_Stiffness!$C$41,IF(Element_Stiffness!$C$40=5,IF(1=Element_Stiffness!$C$40,Element_Stiffness!U63,IF(1=Element_Stiffness!$E$40,Element_Stiffness!AA63,0)),IF(Element_Stiffness!$E$40=5,IF(1=Element_Stiffness!$C$40,Element_Stiffness!U69,IF(1=Element_Stiffness!$E$40,Element_Stiffness!AA69,0)),0)),0)+IF(Element_Stiffness!$C$76,IF(Element_Stiffness!$C$75=5,IF(1=Element_Stiffness!$C$75,Element_Stiffness!U98,IF(1=Element_Stiffness!$E$75,Element_Stiffness!AA98,0)),IF(Element_Stiffness!$E$75=5,IF(1=Element_Stiffness!$C$75,Element_Stiffness!U104,IF(1=Element_Stiffness!$E$75,Element_Stiffness!AA104,0)),0)),0)+IF(Element_Stiffness!$C$111,IF(Element_Stiffness!$C$110=5,IF(1=Element_Stiffness!$C$110,Element_Stiffness!U133,IF(1=Element_Stiffness!$E$110,Element_Stiffness!AA133,0)),IF(Element_Stiffness!$E$110=5,IF(1=Element_Stiffness!$C$110,Element_Stiffness!U139,IF(1=Element_Stiffness!$E$110,Element_Stiffness!AA139,0)),0)),0)+IF(Element_Stiffness!$C$146,IF(Element_Stiffness!$C$145=5,IF(1=Element_Stiffness!$C$145,Element_Stiffness!U168,IF(1=Element_Stiffness!$E$145,Element_Stiffness!AA168,0)),IF(Element_Stiffness!$E$145=5,IF(1=Element_Stiffness!$C$145,Element_Stiffness!U174,IF(1=Element_Stiffness!$E$145,Element_Stiffness!AA174,0)),0)),0)+IF(Element_Stiffness!$C$181,IF(Element_Stiffness!$C$180=5,IF(1=Element_Stiffness!$C$180,Element_Stiffness!U203,IF(1=Element_Stiffness!$E$180,Element_Stiffness!AA203,0)),IF(Element_Stiffness!$E$180=5,IF(1=Element_Stiffness!$C$180,Element_Stiffness!U209,IF(1=Element_Stiffness!$E$180,Element_Stiffness!AA209,0)),0)),0)+IF(Element_Stiffness!$C$216,IF(Element_Stiffness!$C$215=5,IF(1=Element_Stiffness!$C$215,Element_Stiffness!U238,IF(1=Element_Stiffness!$E$215,Element_Stiffness!AA238,0)),IF(Element_Stiffness!$E$215=5,IF(1=Element_Stiffness!$C$215,Element_Stiffness!U244,IF(1=Element_Stiffness!$E$215,Element_Stiffness!AA244,0)),0)),0)</f>
        <v/>
      </c>
      <c r="O37" s="21">
        <f>IF(Element_Stiffness!$C$6,IF(Element_Stiffness!$C$5=5,IF(2=Element_Stiffness!$C$5,Element_Stiffness!P28,IF(2=Element_Stiffness!$E$5,Element_Stiffness!V28,0)),IF(Element_Stiffness!$E$5=5,IF(2=Element_Stiffness!$C$5,Element_Stiffness!P34,IF(2=Element_Stiffness!$E$5,Element_Stiffness!V34,0)),0)),0)+IF(Element_Stiffness!$C$41,IF(Element_Stiffness!$C$40=5,IF(2=Element_Stiffness!$C$40,Element_Stiffness!P63,IF(2=Element_Stiffness!$E$40,Element_Stiffness!V63,0)),IF(Element_Stiffness!$E$40=5,IF(2=Element_Stiffness!$C$40,Element_Stiffness!P69,IF(2=Element_Stiffness!$E$40,Element_Stiffness!V69,0)),0)),0)+IF(Element_Stiffness!$C$76,IF(Element_Stiffness!$C$75=5,IF(2=Element_Stiffness!$C$75,Element_Stiffness!P98,IF(2=Element_Stiffness!$E$75,Element_Stiffness!V98,0)),IF(Element_Stiffness!$E$75=5,IF(2=Element_Stiffness!$C$75,Element_Stiffness!P104,IF(2=Element_Stiffness!$E$75,Element_Stiffness!V104,0)),0)),0)+IF(Element_Stiffness!$C$111,IF(Element_Stiffness!$C$110=5,IF(2=Element_Stiffness!$C$110,Element_Stiffness!P133,IF(2=Element_Stiffness!$E$110,Element_Stiffness!V133,0)),IF(Element_Stiffness!$E$110=5,IF(2=Element_Stiffness!$C$110,Element_Stiffness!P139,IF(2=Element_Stiffness!$E$110,Element_Stiffness!V139,0)),0)),0)+IF(Element_Stiffness!$C$146,IF(Element_Stiffness!$C$145=5,IF(2=Element_Stiffness!$C$145,Element_Stiffness!P168,IF(2=Element_Stiffness!$E$145,Element_Stiffness!V168,0)),IF(Element_Stiffness!$E$145=5,IF(2=Element_Stiffness!$C$145,Element_Stiffness!P174,IF(2=Element_Stiffness!$E$145,Element_Stiffness!V174,0)),0)),0)+IF(Element_Stiffness!$C$181,IF(Element_Stiffness!$C$180=5,IF(2=Element_Stiffness!$C$180,Element_Stiffness!P203,IF(2=Element_Stiffness!$E$180,Element_Stiffness!V203,0)),IF(Element_Stiffness!$E$180=5,IF(2=Element_Stiffness!$C$180,Element_Stiffness!P209,IF(2=Element_Stiffness!$E$180,Element_Stiffness!V209,0)),0)),0)+IF(Element_Stiffness!$C$216,IF(Element_Stiffness!$C$215=5,IF(2=Element_Stiffness!$C$215,Element_Stiffness!P238,IF(2=Element_Stiffness!$E$215,Element_Stiffness!V238,0)),IF(Element_Stiffness!$E$215=5,IF(2=Element_Stiffness!$C$215,Element_Stiffness!P244,IF(2=Element_Stiffness!$E$215,Element_Stiffness!V244,0)),0)),0)</f>
        <v/>
      </c>
      <c r="P37" s="21">
        <f>IF(Element_Stiffness!$C$6,IF(Element_Stiffness!$C$5=5,IF(2=Element_Stiffness!$C$5,Element_Stiffness!Q28,IF(2=Element_Stiffness!$E$5,Element_Stiffness!W28,0)),IF(Element_Stiffness!$E$5=5,IF(2=Element_Stiffness!$C$5,Element_Stiffness!Q34,IF(2=Element_Stiffness!$E$5,Element_Stiffness!W34,0)),0)),0)+IF(Element_Stiffness!$C$41,IF(Element_Stiffness!$C$40=5,IF(2=Element_Stiffness!$C$40,Element_Stiffness!Q63,IF(2=Element_Stiffness!$E$40,Element_Stiffness!W63,0)),IF(Element_Stiffness!$E$40=5,IF(2=Element_Stiffness!$C$40,Element_Stiffness!Q69,IF(2=Element_Stiffness!$E$40,Element_Stiffness!W69,0)),0)),0)+IF(Element_Stiffness!$C$76,IF(Element_Stiffness!$C$75=5,IF(2=Element_Stiffness!$C$75,Element_Stiffness!Q98,IF(2=Element_Stiffness!$E$75,Element_Stiffness!W98,0)),IF(Element_Stiffness!$E$75=5,IF(2=Element_Stiffness!$C$75,Element_Stiffness!Q104,IF(2=Element_Stiffness!$E$75,Element_Stiffness!W104,0)),0)),0)+IF(Element_Stiffness!$C$111,IF(Element_Stiffness!$C$110=5,IF(2=Element_Stiffness!$C$110,Element_Stiffness!Q133,IF(2=Element_Stiffness!$E$110,Element_Stiffness!W133,0)),IF(Element_Stiffness!$E$110=5,IF(2=Element_Stiffness!$C$110,Element_Stiffness!Q139,IF(2=Element_Stiffness!$E$110,Element_Stiffness!W139,0)),0)),0)+IF(Element_Stiffness!$C$146,IF(Element_Stiffness!$C$145=5,IF(2=Element_Stiffness!$C$145,Element_Stiffness!Q168,IF(2=Element_Stiffness!$E$145,Element_Stiffness!W168,0)),IF(Element_Stiffness!$E$145=5,IF(2=Element_Stiffness!$C$145,Element_Stiffness!Q174,IF(2=Element_Stiffness!$E$145,Element_Stiffness!W174,0)),0)),0)+IF(Element_Stiffness!$C$181,IF(Element_Stiffness!$C$180=5,IF(2=Element_Stiffness!$C$180,Element_Stiffness!Q203,IF(2=Element_Stiffness!$E$180,Element_Stiffness!W203,0)),IF(Element_Stiffness!$E$180=5,IF(2=Element_Stiffness!$C$180,Element_Stiffness!Q209,IF(2=Element_Stiffness!$E$180,Element_Stiffness!W209,0)),0)),0)+IF(Element_Stiffness!$C$216,IF(Element_Stiffness!$C$215=5,IF(2=Element_Stiffness!$C$215,Element_Stiffness!Q238,IF(2=Element_Stiffness!$E$215,Element_Stiffness!W238,0)),IF(Element_Stiffness!$E$215=5,IF(2=Element_Stiffness!$C$215,Element_Stiffness!Q244,IF(2=Element_Stiffness!$E$215,Element_Stiffness!W244,0)),0)),0)</f>
        <v/>
      </c>
      <c r="Q37" s="21">
        <f>IF(Element_Stiffness!$C$6,IF(Element_Stiffness!$C$5=5,IF(2=Element_Stiffness!$C$5,Element_Stiffness!R28,IF(2=Element_Stiffness!$E$5,Element_Stiffness!X28,0)),IF(Element_Stiffness!$E$5=5,IF(2=Element_Stiffness!$C$5,Element_Stiffness!R34,IF(2=Element_Stiffness!$E$5,Element_Stiffness!X34,0)),0)),0)+IF(Element_Stiffness!$C$41,IF(Element_Stiffness!$C$40=5,IF(2=Element_Stiffness!$C$40,Element_Stiffness!R63,IF(2=Element_Stiffness!$E$40,Element_Stiffness!X63,0)),IF(Element_Stiffness!$E$40=5,IF(2=Element_Stiffness!$C$40,Element_Stiffness!R69,IF(2=Element_Stiffness!$E$40,Element_Stiffness!X69,0)),0)),0)+IF(Element_Stiffness!$C$76,IF(Element_Stiffness!$C$75=5,IF(2=Element_Stiffness!$C$75,Element_Stiffness!R98,IF(2=Element_Stiffness!$E$75,Element_Stiffness!X98,0)),IF(Element_Stiffness!$E$75=5,IF(2=Element_Stiffness!$C$75,Element_Stiffness!R104,IF(2=Element_Stiffness!$E$75,Element_Stiffness!X104,0)),0)),0)+IF(Element_Stiffness!$C$111,IF(Element_Stiffness!$C$110=5,IF(2=Element_Stiffness!$C$110,Element_Stiffness!R133,IF(2=Element_Stiffness!$E$110,Element_Stiffness!X133,0)),IF(Element_Stiffness!$E$110=5,IF(2=Element_Stiffness!$C$110,Element_Stiffness!R139,IF(2=Element_Stiffness!$E$110,Element_Stiffness!X139,0)),0)),0)+IF(Element_Stiffness!$C$146,IF(Element_Stiffness!$C$145=5,IF(2=Element_Stiffness!$C$145,Element_Stiffness!R168,IF(2=Element_Stiffness!$E$145,Element_Stiffness!X168,0)),IF(Element_Stiffness!$E$145=5,IF(2=Element_Stiffness!$C$145,Element_Stiffness!R174,IF(2=Element_Stiffness!$E$145,Element_Stiffness!X174,0)),0)),0)+IF(Element_Stiffness!$C$181,IF(Element_Stiffness!$C$180=5,IF(2=Element_Stiffness!$C$180,Element_Stiffness!R203,IF(2=Element_Stiffness!$E$180,Element_Stiffness!X203,0)),IF(Element_Stiffness!$E$180=5,IF(2=Element_Stiffness!$C$180,Element_Stiffness!R209,IF(2=Element_Stiffness!$E$180,Element_Stiffness!X209,0)),0)),0)+IF(Element_Stiffness!$C$216,IF(Element_Stiffness!$C$215=5,IF(2=Element_Stiffness!$C$215,Element_Stiffness!R238,IF(2=Element_Stiffness!$E$215,Element_Stiffness!X238,0)),IF(Element_Stiffness!$E$215=5,IF(2=Element_Stiffness!$C$215,Element_Stiffness!R244,IF(2=Element_Stiffness!$E$215,Element_Stiffness!X244,0)),0)),0)</f>
        <v/>
      </c>
      <c r="R37" s="21">
        <f>IF(Element_Stiffness!$C$6,IF(Element_Stiffness!$C$5=5,IF(2=Element_Stiffness!$C$5,Element_Stiffness!S28,IF(2=Element_Stiffness!$E$5,Element_Stiffness!Y28,0)),IF(Element_Stiffness!$E$5=5,IF(2=Element_Stiffness!$C$5,Element_Stiffness!S34,IF(2=Element_Stiffness!$E$5,Element_Stiffness!Y34,0)),0)),0)+IF(Element_Stiffness!$C$41,IF(Element_Stiffness!$C$40=5,IF(2=Element_Stiffness!$C$40,Element_Stiffness!S63,IF(2=Element_Stiffness!$E$40,Element_Stiffness!Y63,0)),IF(Element_Stiffness!$E$40=5,IF(2=Element_Stiffness!$C$40,Element_Stiffness!S69,IF(2=Element_Stiffness!$E$40,Element_Stiffness!Y69,0)),0)),0)+IF(Element_Stiffness!$C$76,IF(Element_Stiffness!$C$75=5,IF(2=Element_Stiffness!$C$75,Element_Stiffness!S98,IF(2=Element_Stiffness!$E$75,Element_Stiffness!Y98,0)),IF(Element_Stiffness!$E$75=5,IF(2=Element_Stiffness!$C$75,Element_Stiffness!S104,IF(2=Element_Stiffness!$E$75,Element_Stiffness!Y104,0)),0)),0)+IF(Element_Stiffness!$C$111,IF(Element_Stiffness!$C$110=5,IF(2=Element_Stiffness!$C$110,Element_Stiffness!S133,IF(2=Element_Stiffness!$E$110,Element_Stiffness!Y133,0)),IF(Element_Stiffness!$E$110=5,IF(2=Element_Stiffness!$C$110,Element_Stiffness!S139,IF(2=Element_Stiffness!$E$110,Element_Stiffness!Y139,0)),0)),0)+IF(Element_Stiffness!$C$146,IF(Element_Stiffness!$C$145=5,IF(2=Element_Stiffness!$C$145,Element_Stiffness!S168,IF(2=Element_Stiffness!$E$145,Element_Stiffness!Y168,0)),IF(Element_Stiffness!$E$145=5,IF(2=Element_Stiffness!$C$145,Element_Stiffness!S174,IF(2=Element_Stiffness!$E$145,Element_Stiffness!Y174,0)),0)),0)+IF(Element_Stiffness!$C$181,IF(Element_Stiffness!$C$180=5,IF(2=Element_Stiffness!$C$180,Element_Stiffness!S203,IF(2=Element_Stiffness!$E$180,Element_Stiffness!Y203,0)),IF(Element_Stiffness!$E$180=5,IF(2=Element_Stiffness!$C$180,Element_Stiffness!S209,IF(2=Element_Stiffness!$E$180,Element_Stiffness!Y209,0)),0)),0)+IF(Element_Stiffness!$C$216,IF(Element_Stiffness!$C$215=5,IF(2=Element_Stiffness!$C$215,Element_Stiffness!S238,IF(2=Element_Stiffness!$E$215,Element_Stiffness!Y238,0)),IF(Element_Stiffness!$E$215=5,IF(2=Element_Stiffness!$C$215,Element_Stiffness!S244,IF(2=Element_Stiffness!$E$215,Element_Stiffness!Y244,0)),0)),0)</f>
        <v/>
      </c>
      <c r="S37" s="21">
        <f>IF(Element_Stiffness!$C$6,IF(Element_Stiffness!$C$5=5,IF(2=Element_Stiffness!$C$5,Element_Stiffness!T28,IF(2=Element_Stiffness!$E$5,Element_Stiffness!Z28,0)),IF(Element_Stiffness!$E$5=5,IF(2=Element_Stiffness!$C$5,Element_Stiffness!T34,IF(2=Element_Stiffness!$E$5,Element_Stiffness!Z34,0)),0)),0)+IF(Element_Stiffness!$C$41,IF(Element_Stiffness!$C$40=5,IF(2=Element_Stiffness!$C$40,Element_Stiffness!T63,IF(2=Element_Stiffness!$E$40,Element_Stiffness!Z63,0)),IF(Element_Stiffness!$E$40=5,IF(2=Element_Stiffness!$C$40,Element_Stiffness!T69,IF(2=Element_Stiffness!$E$40,Element_Stiffness!Z69,0)),0)),0)+IF(Element_Stiffness!$C$76,IF(Element_Stiffness!$C$75=5,IF(2=Element_Stiffness!$C$75,Element_Stiffness!T98,IF(2=Element_Stiffness!$E$75,Element_Stiffness!Z98,0)),IF(Element_Stiffness!$E$75=5,IF(2=Element_Stiffness!$C$75,Element_Stiffness!T104,IF(2=Element_Stiffness!$E$75,Element_Stiffness!Z104,0)),0)),0)+IF(Element_Stiffness!$C$111,IF(Element_Stiffness!$C$110=5,IF(2=Element_Stiffness!$C$110,Element_Stiffness!T133,IF(2=Element_Stiffness!$E$110,Element_Stiffness!Z133,0)),IF(Element_Stiffness!$E$110=5,IF(2=Element_Stiffness!$C$110,Element_Stiffness!T139,IF(2=Element_Stiffness!$E$110,Element_Stiffness!Z139,0)),0)),0)+IF(Element_Stiffness!$C$146,IF(Element_Stiffness!$C$145=5,IF(2=Element_Stiffness!$C$145,Element_Stiffness!T168,IF(2=Element_Stiffness!$E$145,Element_Stiffness!Z168,0)),IF(Element_Stiffness!$E$145=5,IF(2=Element_Stiffness!$C$145,Element_Stiffness!T174,IF(2=Element_Stiffness!$E$145,Element_Stiffness!Z174,0)),0)),0)+IF(Element_Stiffness!$C$181,IF(Element_Stiffness!$C$180=5,IF(2=Element_Stiffness!$C$180,Element_Stiffness!T203,IF(2=Element_Stiffness!$E$180,Element_Stiffness!Z203,0)),IF(Element_Stiffness!$E$180=5,IF(2=Element_Stiffness!$C$180,Element_Stiffness!T209,IF(2=Element_Stiffness!$E$180,Element_Stiffness!Z209,0)),0)),0)+IF(Element_Stiffness!$C$216,IF(Element_Stiffness!$C$215=5,IF(2=Element_Stiffness!$C$215,Element_Stiffness!T238,IF(2=Element_Stiffness!$E$215,Element_Stiffness!Z238,0)),IF(Element_Stiffness!$E$215=5,IF(2=Element_Stiffness!$C$215,Element_Stiffness!T244,IF(2=Element_Stiffness!$E$215,Element_Stiffness!Z244,0)),0)),0)</f>
        <v/>
      </c>
      <c r="T37" s="21">
        <f>IF(Element_Stiffness!$C$6,IF(Element_Stiffness!$C$5=5,IF(2=Element_Stiffness!$C$5,Element_Stiffness!U28,IF(2=Element_Stiffness!$E$5,Element_Stiffness!AA28,0)),IF(Element_Stiffness!$E$5=5,IF(2=Element_Stiffness!$C$5,Element_Stiffness!U34,IF(2=Element_Stiffness!$E$5,Element_Stiffness!AA34,0)),0)),0)+IF(Element_Stiffness!$C$41,IF(Element_Stiffness!$C$40=5,IF(2=Element_Stiffness!$C$40,Element_Stiffness!U63,IF(2=Element_Stiffness!$E$40,Element_Stiffness!AA63,0)),IF(Element_Stiffness!$E$40=5,IF(2=Element_Stiffness!$C$40,Element_Stiffness!U69,IF(2=Element_Stiffness!$E$40,Element_Stiffness!AA69,0)),0)),0)+IF(Element_Stiffness!$C$76,IF(Element_Stiffness!$C$75=5,IF(2=Element_Stiffness!$C$75,Element_Stiffness!U98,IF(2=Element_Stiffness!$E$75,Element_Stiffness!AA98,0)),IF(Element_Stiffness!$E$75=5,IF(2=Element_Stiffness!$C$75,Element_Stiffness!U104,IF(2=Element_Stiffness!$E$75,Element_Stiffness!AA104,0)),0)),0)+IF(Element_Stiffness!$C$111,IF(Element_Stiffness!$C$110=5,IF(2=Element_Stiffness!$C$110,Element_Stiffness!U133,IF(2=Element_Stiffness!$E$110,Element_Stiffness!AA133,0)),IF(Element_Stiffness!$E$110=5,IF(2=Element_Stiffness!$C$110,Element_Stiffness!U139,IF(2=Element_Stiffness!$E$110,Element_Stiffness!AA139,0)),0)),0)+IF(Element_Stiffness!$C$146,IF(Element_Stiffness!$C$145=5,IF(2=Element_Stiffness!$C$145,Element_Stiffness!U168,IF(2=Element_Stiffness!$E$145,Element_Stiffness!AA168,0)),IF(Element_Stiffness!$E$145=5,IF(2=Element_Stiffness!$C$145,Element_Stiffness!U174,IF(2=Element_Stiffness!$E$145,Element_Stiffness!AA174,0)),0)),0)+IF(Element_Stiffness!$C$181,IF(Element_Stiffness!$C$180=5,IF(2=Element_Stiffness!$C$180,Element_Stiffness!U203,IF(2=Element_Stiffness!$E$180,Element_Stiffness!AA203,0)),IF(Element_Stiffness!$E$180=5,IF(2=Element_Stiffness!$C$180,Element_Stiffness!U209,IF(2=Element_Stiffness!$E$180,Element_Stiffness!AA209,0)),0)),0)+IF(Element_Stiffness!$C$216,IF(Element_Stiffness!$C$215=5,IF(2=Element_Stiffness!$C$215,Element_Stiffness!U238,IF(2=Element_Stiffness!$E$215,Element_Stiffness!AA238,0)),IF(Element_Stiffness!$E$215=5,IF(2=Element_Stiffness!$C$215,Element_Stiffness!U244,IF(2=Element_Stiffness!$E$215,Element_Stiffness!AA244,0)),0)),0)</f>
        <v/>
      </c>
      <c r="U37" s="21">
        <f>IF(Element_Stiffness!$C$6,IF(Element_Stiffness!$C$5=5,IF(3=Element_Stiffness!$C$5,Element_Stiffness!P28,IF(3=Element_Stiffness!$E$5,Element_Stiffness!V28,0)),IF(Element_Stiffness!$E$5=5,IF(3=Element_Stiffness!$C$5,Element_Stiffness!P34,IF(3=Element_Stiffness!$E$5,Element_Stiffness!V34,0)),0)),0)+IF(Element_Stiffness!$C$41,IF(Element_Stiffness!$C$40=5,IF(3=Element_Stiffness!$C$40,Element_Stiffness!P63,IF(3=Element_Stiffness!$E$40,Element_Stiffness!V63,0)),IF(Element_Stiffness!$E$40=5,IF(3=Element_Stiffness!$C$40,Element_Stiffness!P69,IF(3=Element_Stiffness!$E$40,Element_Stiffness!V69,0)),0)),0)+IF(Element_Stiffness!$C$76,IF(Element_Stiffness!$C$75=5,IF(3=Element_Stiffness!$C$75,Element_Stiffness!P98,IF(3=Element_Stiffness!$E$75,Element_Stiffness!V98,0)),IF(Element_Stiffness!$E$75=5,IF(3=Element_Stiffness!$C$75,Element_Stiffness!P104,IF(3=Element_Stiffness!$E$75,Element_Stiffness!V104,0)),0)),0)+IF(Element_Stiffness!$C$111,IF(Element_Stiffness!$C$110=5,IF(3=Element_Stiffness!$C$110,Element_Stiffness!P133,IF(3=Element_Stiffness!$E$110,Element_Stiffness!V133,0)),IF(Element_Stiffness!$E$110=5,IF(3=Element_Stiffness!$C$110,Element_Stiffness!P139,IF(3=Element_Stiffness!$E$110,Element_Stiffness!V139,0)),0)),0)+IF(Element_Stiffness!$C$146,IF(Element_Stiffness!$C$145=5,IF(3=Element_Stiffness!$C$145,Element_Stiffness!P168,IF(3=Element_Stiffness!$E$145,Element_Stiffness!V168,0)),IF(Element_Stiffness!$E$145=5,IF(3=Element_Stiffness!$C$145,Element_Stiffness!P174,IF(3=Element_Stiffness!$E$145,Element_Stiffness!V174,0)),0)),0)+IF(Element_Stiffness!$C$181,IF(Element_Stiffness!$C$180=5,IF(3=Element_Stiffness!$C$180,Element_Stiffness!P203,IF(3=Element_Stiffness!$E$180,Element_Stiffness!V203,0)),IF(Element_Stiffness!$E$180=5,IF(3=Element_Stiffness!$C$180,Element_Stiffness!P209,IF(3=Element_Stiffness!$E$180,Element_Stiffness!V209,0)),0)),0)+IF(Element_Stiffness!$C$216,IF(Element_Stiffness!$C$215=5,IF(3=Element_Stiffness!$C$215,Element_Stiffness!P238,IF(3=Element_Stiffness!$E$215,Element_Stiffness!V238,0)),IF(Element_Stiffness!$E$215=5,IF(3=Element_Stiffness!$C$215,Element_Stiffness!P244,IF(3=Element_Stiffness!$E$215,Element_Stiffness!V244,0)),0)),0)</f>
        <v/>
      </c>
      <c r="V37" s="21">
        <f>IF(Element_Stiffness!$C$6,IF(Element_Stiffness!$C$5=5,IF(3=Element_Stiffness!$C$5,Element_Stiffness!Q28,IF(3=Element_Stiffness!$E$5,Element_Stiffness!W28,0)),IF(Element_Stiffness!$E$5=5,IF(3=Element_Stiffness!$C$5,Element_Stiffness!Q34,IF(3=Element_Stiffness!$E$5,Element_Stiffness!W34,0)),0)),0)+IF(Element_Stiffness!$C$41,IF(Element_Stiffness!$C$40=5,IF(3=Element_Stiffness!$C$40,Element_Stiffness!Q63,IF(3=Element_Stiffness!$E$40,Element_Stiffness!W63,0)),IF(Element_Stiffness!$E$40=5,IF(3=Element_Stiffness!$C$40,Element_Stiffness!Q69,IF(3=Element_Stiffness!$E$40,Element_Stiffness!W69,0)),0)),0)+IF(Element_Stiffness!$C$76,IF(Element_Stiffness!$C$75=5,IF(3=Element_Stiffness!$C$75,Element_Stiffness!Q98,IF(3=Element_Stiffness!$E$75,Element_Stiffness!W98,0)),IF(Element_Stiffness!$E$75=5,IF(3=Element_Stiffness!$C$75,Element_Stiffness!Q104,IF(3=Element_Stiffness!$E$75,Element_Stiffness!W104,0)),0)),0)+IF(Element_Stiffness!$C$111,IF(Element_Stiffness!$C$110=5,IF(3=Element_Stiffness!$C$110,Element_Stiffness!Q133,IF(3=Element_Stiffness!$E$110,Element_Stiffness!W133,0)),IF(Element_Stiffness!$E$110=5,IF(3=Element_Stiffness!$C$110,Element_Stiffness!Q139,IF(3=Element_Stiffness!$E$110,Element_Stiffness!W139,0)),0)),0)+IF(Element_Stiffness!$C$146,IF(Element_Stiffness!$C$145=5,IF(3=Element_Stiffness!$C$145,Element_Stiffness!Q168,IF(3=Element_Stiffness!$E$145,Element_Stiffness!W168,0)),IF(Element_Stiffness!$E$145=5,IF(3=Element_Stiffness!$C$145,Element_Stiffness!Q174,IF(3=Element_Stiffness!$E$145,Element_Stiffness!W174,0)),0)),0)+IF(Element_Stiffness!$C$181,IF(Element_Stiffness!$C$180=5,IF(3=Element_Stiffness!$C$180,Element_Stiffness!Q203,IF(3=Element_Stiffness!$E$180,Element_Stiffness!W203,0)),IF(Element_Stiffness!$E$180=5,IF(3=Element_Stiffness!$C$180,Element_Stiffness!Q209,IF(3=Element_Stiffness!$E$180,Element_Stiffness!W209,0)),0)),0)+IF(Element_Stiffness!$C$216,IF(Element_Stiffness!$C$215=5,IF(3=Element_Stiffness!$C$215,Element_Stiffness!Q238,IF(3=Element_Stiffness!$E$215,Element_Stiffness!W238,0)),IF(Element_Stiffness!$E$215=5,IF(3=Element_Stiffness!$C$215,Element_Stiffness!Q244,IF(3=Element_Stiffness!$E$215,Element_Stiffness!W244,0)),0)),0)</f>
        <v/>
      </c>
      <c r="W37" s="21">
        <f>IF(Element_Stiffness!$C$6,IF(Element_Stiffness!$C$5=5,IF(3=Element_Stiffness!$C$5,Element_Stiffness!R28,IF(3=Element_Stiffness!$E$5,Element_Stiffness!X28,0)),IF(Element_Stiffness!$E$5=5,IF(3=Element_Stiffness!$C$5,Element_Stiffness!R34,IF(3=Element_Stiffness!$E$5,Element_Stiffness!X34,0)),0)),0)+IF(Element_Stiffness!$C$41,IF(Element_Stiffness!$C$40=5,IF(3=Element_Stiffness!$C$40,Element_Stiffness!R63,IF(3=Element_Stiffness!$E$40,Element_Stiffness!X63,0)),IF(Element_Stiffness!$E$40=5,IF(3=Element_Stiffness!$C$40,Element_Stiffness!R69,IF(3=Element_Stiffness!$E$40,Element_Stiffness!X69,0)),0)),0)+IF(Element_Stiffness!$C$76,IF(Element_Stiffness!$C$75=5,IF(3=Element_Stiffness!$C$75,Element_Stiffness!R98,IF(3=Element_Stiffness!$E$75,Element_Stiffness!X98,0)),IF(Element_Stiffness!$E$75=5,IF(3=Element_Stiffness!$C$75,Element_Stiffness!R104,IF(3=Element_Stiffness!$E$75,Element_Stiffness!X104,0)),0)),0)+IF(Element_Stiffness!$C$111,IF(Element_Stiffness!$C$110=5,IF(3=Element_Stiffness!$C$110,Element_Stiffness!R133,IF(3=Element_Stiffness!$E$110,Element_Stiffness!X133,0)),IF(Element_Stiffness!$E$110=5,IF(3=Element_Stiffness!$C$110,Element_Stiffness!R139,IF(3=Element_Stiffness!$E$110,Element_Stiffness!X139,0)),0)),0)+IF(Element_Stiffness!$C$146,IF(Element_Stiffness!$C$145=5,IF(3=Element_Stiffness!$C$145,Element_Stiffness!R168,IF(3=Element_Stiffness!$E$145,Element_Stiffness!X168,0)),IF(Element_Stiffness!$E$145=5,IF(3=Element_Stiffness!$C$145,Element_Stiffness!R174,IF(3=Element_Stiffness!$E$145,Element_Stiffness!X174,0)),0)),0)+IF(Element_Stiffness!$C$181,IF(Element_Stiffness!$C$180=5,IF(3=Element_Stiffness!$C$180,Element_Stiffness!R203,IF(3=Element_Stiffness!$E$180,Element_Stiffness!X203,0)),IF(Element_Stiffness!$E$180=5,IF(3=Element_Stiffness!$C$180,Element_Stiffness!R209,IF(3=Element_Stiffness!$E$180,Element_Stiffness!X209,0)),0)),0)+IF(Element_Stiffness!$C$216,IF(Element_Stiffness!$C$215=5,IF(3=Element_Stiffness!$C$215,Element_Stiffness!R238,IF(3=Element_Stiffness!$E$215,Element_Stiffness!X238,0)),IF(Element_Stiffness!$E$215=5,IF(3=Element_Stiffness!$C$215,Element_Stiffness!R244,IF(3=Element_Stiffness!$E$215,Element_Stiffness!X244,0)),0)),0)</f>
        <v/>
      </c>
      <c r="X37" s="21">
        <f>IF(Element_Stiffness!$C$6,IF(Element_Stiffness!$C$5=5,IF(3=Element_Stiffness!$C$5,Element_Stiffness!S28,IF(3=Element_Stiffness!$E$5,Element_Stiffness!Y28,0)),IF(Element_Stiffness!$E$5=5,IF(3=Element_Stiffness!$C$5,Element_Stiffness!S34,IF(3=Element_Stiffness!$E$5,Element_Stiffness!Y34,0)),0)),0)+IF(Element_Stiffness!$C$41,IF(Element_Stiffness!$C$40=5,IF(3=Element_Stiffness!$C$40,Element_Stiffness!S63,IF(3=Element_Stiffness!$E$40,Element_Stiffness!Y63,0)),IF(Element_Stiffness!$E$40=5,IF(3=Element_Stiffness!$C$40,Element_Stiffness!S69,IF(3=Element_Stiffness!$E$40,Element_Stiffness!Y69,0)),0)),0)+IF(Element_Stiffness!$C$76,IF(Element_Stiffness!$C$75=5,IF(3=Element_Stiffness!$C$75,Element_Stiffness!S98,IF(3=Element_Stiffness!$E$75,Element_Stiffness!Y98,0)),IF(Element_Stiffness!$E$75=5,IF(3=Element_Stiffness!$C$75,Element_Stiffness!S104,IF(3=Element_Stiffness!$E$75,Element_Stiffness!Y104,0)),0)),0)+IF(Element_Stiffness!$C$111,IF(Element_Stiffness!$C$110=5,IF(3=Element_Stiffness!$C$110,Element_Stiffness!S133,IF(3=Element_Stiffness!$E$110,Element_Stiffness!Y133,0)),IF(Element_Stiffness!$E$110=5,IF(3=Element_Stiffness!$C$110,Element_Stiffness!S139,IF(3=Element_Stiffness!$E$110,Element_Stiffness!Y139,0)),0)),0)+IF(Element_Stiffness!$C$146,IF(Element_Stiffness!$C$145=5,IF(3=Element_Stiffness!$C$145,Element_Stiffness!S168,IF(3=Element_Stiffness!$E$145,Element_Stiffness!Y168,0)),IF(Element_Stiffness!$E$145=5,IF(3=Element_Stiffness!$C$145,Element_Stiffness!S174,IF(3=Element_Stiffness!$E$145,Element_Stiffness!Y174,0)),0)),0)+IF(Element_Stiffness!$C$181,IF(Element_Stiffness!$C$180=5,IF(3=Element_Stiffness!$C$180,Element_Stiffness!S203,IF(3=Element_Stiffness!$E$180,Element_Stiffness!Y203,0)),IF(Element_Stiffness!$E$180=5,IF(3=Element_Stiffness!$C$180,Element_Stiffness!S209,IF(3=Element_Stiffness!$E$180,Element_Stiffness!Y209,0)),0)),0)+IF(Element_Stiffness!$C$216,IF(Element_Stiffness!$C$215=5,IF(3=Element_Stiffness!$C$215,Element_Stiffness!S238,IF(3=Element_Stiffness!$E$215,Element_Stiffness!Y238,0)),IF(Element_Stiffness!$E$215=5,IF(3=Element_Stiffness!$C$215,Element_Stiffness!S244,IF(3=Element_Stiffness!$E$215,Element_Stiffness!Y244,0)),0)),0)</f>
        <v/>
      </c>
      <c r="Y37" s="21">
        <f>IF(Element_Stiffness!$C$6,IF(Element_Stiffness!$C$5=5,IF(3=Element_Stiffness!$C$5,Element_Stiffness!T28,IF(3=Element_Stiffness!$E$5,Element_Stiffness!Z28,0)),IF(Element_Stiffness!$E$5=5,IF(3=Element_Stiffness!$C$5,Element_Stiffness!T34,IF(3=Element_Stiffness!$E$5,Element_Stiffness!Z34,0)),0)),0)+IF(Element_Stiffness!$C$41,IF(Element_Stiffness!$C$40=5,IF(3=Element_Stiffness!$C$40,Element_Stiffness!T63,IF(3=Element_Stiffness!$E$40,Element_Stiffness!Z63,0)),IF(Element_Stiffness!$E$40=5,IF(3=Element_Stiffness!$C$40,Element_Stiffness!T69,IF(3=Element_Stiffness!$E$40,Element_Stiffness!Z69,0)),0)),0)+IF(Element_Stiffness!$C$76,IF(Element_Stiffness!$C$75=5,IF(3=Element_Stiffness!$C$75,Element_Stiffness!T98,IF(3=Element_Stiffness!$E$75,Element_Stiffness!Z98,0)),IF(Element_Stiffness!$E$75=5,IF(3=Element_Stiffness!$C$75,Element_Stiffness!T104,IF(3=Element_Stiffness!$E$75,Element_Stiffness!Z104,0)),0)),0)+IF(Element_Stiffness!$C$111,IF(Element_Stiffness!$C$110=5,IF(3=Element_Stiffness!$C$110,Element_Stiffness!T133,IF(3=Element_Stiffness!$E$110,Element_Stiffness!Z133,0)),IF(Element_Stiffness!$E$110=5,IF(3=Element_Stiffness!$C$110,Element_Stiffness!T139,IF(3=Element_Stiffness!$E$110,Element_Stiffness!Z139,0)),0)),0)+IF(Element_Stiffness!$C$146,IF(Element_Stiffness!$C$145=5,IF(3=Element_Stiffness!$C$145,Element_Stiffness!T168,IF(3=Element_Stiffness!$E$145,Element_Stiffness!Z168,0)),IF(Element_Stiffness!$E$145=5,IF(3=Element_Stiffness!$C$145,Element_Stiffness!T174,IF(3=Element_Stiffness!$E$145,Element_Stiffness!Z174,0)),0)),0)+IF(Element_Stiffness!$C$181,IF(Element_Stiffness!$C$180=5,IF(3=Element_Stiffness!$C$180,Element_Stiffness!T203,IF(3=Element_Stiffness!$E$180,Element_Stiffness!Z203,0)),IF(Element_Stiffness!$E$180=5,IF(3=Element_Stiffness!$C$180,Element_Stiffness!T209,IF(3=Element_Stiffness!$E$180,Element_Stiffness!Z209,0)),0)),0)+IF(Element_Stiffness!$C$216,IF(Element_Stiffness!$C$215=5,IF(3=Element_Stiffness!$C$215,Element_Stiffness!T238,IF(3=Element_Stiffness!$E$215,Element_Stiffness!Z238,0)),IF(Element_Stiffness!$E$215=5,IF(3=Element_Stiffness!$C$215,Element_Stiffness!T244,IF(3=Element_Stiffness!$E$215,Element_Stiffness!Z244,0)),0)),0)</f>
        <v/>
      </c>
      <c r="Z37" s="21">
        <f>IF(Element_Stiffness!$C$6,IF(Element_Stiffness!$C$5=5,IF(3=Element_Stiffness!$C$5,Element_Stiffness!U28,IF(3=Element_Stiffness!$E$5,Element_Stiffness!AA28,0)),IF(Element_Stiffness!$E$5=5,IF(3=Element_Stiffness!$C$5,Element_Stiffness!U34,IF(3=Element_Stiffness!$E$5,Element_Stiffness!AA34,0)),0)),0)+IF(Element_Stiffness!$C$41,IF(Element_Stiffness!$C$40=5,IF(3=Element_Stiffness!$C$40,Element_Stiffness!U63,IF(3=Element_Stiffness!$E$40,Element_Stiffness!AA63,0)),IF(Element_Stiffness!$E$40=5,IF(3=Element_Stiffness!$C$40,Element_Stiffness!U69,IF(3=Element_Stiffness!$E$40,Element_Stiffness!AA69,0)),0)),0)+IF(Element_Stiffness!$C$76,IF(Element_Stiffness!$C$75=5,IF(3=Element_Stiffness!$C$75,Element_Stiffness!U98,IF(3=Element_Stiffness!$E$75,Element_Stiffness!AA98,0)),IF(Element_Stiffness!$E$75=5,IF(3=Element_Stiffness!$C$75,Element_Stiffness!U104,IF(3=Element_Stiffness!$E$75,Element_Stiffness!AA104,0)),0)),0)+IF(Element_Stiffness!$C$111,IF(Element_Stiffness!$C$110=5,IF(3=Element_Stiffness!$C$110,Element_Stiffness!U133,IF(3=Element_Stiffness!$E$110,Element_Stiffness!AA133,0)),IF(Element_Stiffness!$E$110=5,IF(3=Element_Stiffness!$C$110,Element_Stiffness!U139,IF(3=Element_Stiffness!$E$110,Element_Stiffness!AA139,0)),0)),0)+IF(Element_Stiffness!$C$146,IF(Element_Stiffness!$C$145=5,IF(3=Element_Stiffness!$C$145,Element_Stiffness!U168,IF(3=Element_Stiffness!$E$145,Element_Stiffness!AA168,0)),IF(Element_Stiffness!$E$145=5,IF(3=Element_Stiffness!$C$145,Element_Stiffness!U174,IF(3=Element_Stiffness!$E$145,Element_Stiffness!AA174,0)),0)),0)+IF(Element_Stiffness!$C$181,IF(Element_Stiffness!$C$180=5,IF(3=Element_Stiffness!$C$180,Element_Stiffness!U203,IF(3=Element_Stiffness!$E$180,Element_Stiffness!AA203,0)),IF(Element_Stiffness!$E$180=5,IF(3=Element_Stiffness!$C$180,Element_Stiffness!U209,IF(3=Element_Stiffness!$E$180,Element_Stiffness!AA209,0)),0)),0)+IF(Element_Stiffness!$C$216,IF(Element_Stiffness!$C$215=5,IF(3=Element_Stiffness!$C$215,Element_Stiffness!U238,IF(3=Element_Stiffness!$E$215,Element_Stiffness!AA238,0)),IF(Element_Stiffness!$E$215=5,IF(3=Element_Stiffness!$C$215,Element_Stiffness!U244,IF(3=Element_Stiffness!$E$215,Element_Stiffness!AA244,0)),0)),0)</f>
        <v/>
      </c>
      <c r="AA37" s="21">
        <f>IF(Element_Stiffness!$C$6,IF(Element_Stiffness!$C$5=5,IF(4=Element_Stiffness!$C$5,Element_Stiffness!P28,IF(4=Element_Stiffness!$E$5,Element_Stiffness!V28,0)),IF(Element_Stiffness!$E$5=5,IF(4=Element_Stiffness!$C$5,Element_Stiffness!P34,IF(4=Element_Stiffness!$E$5,Element_Stiffness!V34,0)),0)),0)+IF(Element_Stiffness!$C$41,IF(Element_Stiffness!$C$40=5,IF(4=Element_Stiffness!$C$40,Element_Stiffness!P63,IF(4=Element_Stiffness!$E$40,Element_Stiffness!V63,0)),IF(Element_Stiffness!$E$40=5,IF(4=Element_Stiffness!$C$40,Element_Stiffness!P69,IF(4=Element_Stiffness!$E$40,Element_Stiffness!V69,0)),0)),0)+IF(Element_Stiffness!$C$76,IF(Element_Stiffness!$C$75=5,IF(4=Element_Stiffness!$C$75,Element_Stiffness!P98,IF(4=Element_Stiffness!$E$75,Element_Stiffness!V98,0)),IF(Element_Stiffness!$E$75=5,IF(4=Element_Stiffness!$C$75,Element_Stiffness!P104,IF(4=Element_Stiffness!$E$75,Element_Stiffness!V104,0)),0)),0)+IF(Element_Stiffness!$C$111,IF(Element_Stiffness!$C$110=5,IF(4=Element_Stiffness!$C$110,Element_Stiffness!P133,IF(4=Element_Stiffness!$E$110,Element_Stiffness!V133,0)),IF(Element_Stiffness!$E$110=5,IF(4=Element_Stiffness!$C$110,Element_Stiffness!P139,IF(4=Element_Stiffness!$E$110,Element_Stiffness!V139,0)),0)),0)+IF(Element_Stiffness!$C$146,IF(Element_Stiffness!$C$145=5,IF(4=Element_Stiffness!$C$145,Element_Stiffness!P168,IF(4=Element_Stiffness!$E$145,Element_Stiffness!V168,0)),IF(Element_Stiffness!$E$145=5,IF(4=Element_Stiffness!$C$145,Element_Stiffness!P174,IF(4=Element_Stiffness!$E$145,Element_Stiffness!V174,0)),0)),0)+IF(Element_Stiffness!$C$181,IF(Element_Stiffness!$C$180=5,IF(4=Element_Stiffness!$C$180,Element_Stiffness!P203,IF(4=Element_Stiffness!$E$180,Element_Stiffness!V203,0)),IF(Element_Stiffness!$E$180=5,IF(4=Element_Stiffness!$C$180,Element_Stiffness!P209,IF(4=Element_Stiffness!$E$180,Element_Stiffness!V209,0)),0)),0)+IF(Element_Stiffness!$C$216,IF(Element_Stiffness!$C$215=5,IF(4=Element_Stiffness!$C$215,Element_Stiffness!P238,IF(4=Element_Stiffness!$E$215,Element_Stiffness!V238,0)),IF(Element_Stiffness!$E$215=5,IF(4=Element_Stiffness!$C$215,Element_Stiffness!P244,IF(4=Element_Stiffness!$E$215,Element_Stiffness!V244,0)),0)),0)</f>
        <v/>
      </c>
      <c r="AB37" s="21">
        <f>IF(Element_Stiffness!$C$6,IF(Element_Stiffness!$C$5=5,IF(4=Element_Stiffness!$C$5,Element_Stiffness!Q28,IF(4=Element_Stiffness!$E$5,Element_Stiffness!W28,0)),IF(Element_Stiffness!$E$5=5,IF(4=Element_Stiffness!$C$5,Element_Stiffness!Q34,IF(4=Element_Stiffness!$E$5,Element_Stiffness!W34,0)),0)),0)+IF(Element_Stiffness!$C$41,IF(Element_Stiffness!$C$40=5,IF(4=Element_Stiffness!$C$40,Element_Stiffness!Q63,IF(4=Element_Stiffness!$E$40,Element_Stiffness!W63,0)),IF(Element_Stiffness!$E$40=5,IF(4=Element_Stiffness!$C$40,Element_Stiffness!Q69,IF(4=Element_Stiffness!$E$40,Element_Stiffness!W69,0)),0)),0)+IF(Element_Stiffness!$C$76,IF(Element_Stiffness!$C$75=5,IF(4=Element_Stiffness!$C$75,Element_Stiffness!Q98,IF(4=Element_Stiffness!$E$75,Element_Stiffness!W98,0)),IF(Element_Stiffness!$E$75=5,IF(4=Element_Stiffness!$C$75,Element_Stiffness!Q104,IF(4=Element_Stiffness!$E$75,Element_Stiffness!W104,0)),0)),0)+IF(Element_Stiffness!$C$111,IF(Element_Stiffness!$C$110=5,IF(4=Element_Stiffness!$C$110,Element_Stiffness!Q133,IF(4=Element_Stiffness!$E$110,Element_Stiffness!W133,0)),IF(Element_Stiffness!$E$110=5,IF(4=Element_Stiffness!$C$110,Element_Stiffness!Q139,IF(4=Element_Stiffness!$E$110,Element_Stiffness!W139,0)),0)),0)+IF(Element_Stiffness!$C$146,IF(Element_Stiffness!$C$145=5,IF(4=Element_Stiffness!$C$145,Element_Stiffness!Q168,IF(4=Element_Stiffness!$E$145,Element_Stiffness!W168,0)),IF(Element_Stiffness!$E$145=5,IF(4=Element_Stiffness!$C$145,Element_Stiffness!Q174,IF(4=Element_Stiffness!$E$145,Element_Stiffness!W174,0)),0)),0)+IF(Element_Stiffness!$C$181,IF(Element_Stiffness!$C$180=5,IF(4=Element_Stiffness!$C$180,Element_Stiffness!Q203,IF(4=Element_Stiffness!$E$180,Element_Stiffness!W203,0)),IF(Element_Stiffness!$E$180=5,IF(4=Element_Stiffness!$C$180,Element_Stiffness!Q209,IF(4=Element_Stiffness!$E$180,Element_Stiffness!W209,0)),0)),0)+IF(Element_Stiffness!$C$216,IF(Element_Stiffness!$C$215=5,IF(4=Element_Stiffness!$C$215,Element_Stiffness!Q238,IF(4=Element_Stiffness!$E$215,Element_Stiffness!W238,0)),IF(Element_Stiffness!$E$215=5,IF(4=Element_Stiffness!$C$215,Element_Stiffness!Q244,IF(4=Element_Stiffness!$E$215,Element_Stiffness!W244,0)),0)),0)</f>
        <v/>
      </c>
      <c r="AC37" s="21">
        <f>IF(Element_Stiffness!$C$6,IF(Element_Stiffness!$C$5=5,IF(4=Element_Stiffness!$C$5,Element_Stiffness!R28,IF(4=Element_Stiffness!$E$5,Element_Stiffness!X28,0)),IF(Element_Stiffness!$E$5=5,IF(4=Element_Stiffness!$C$5,Element_Stiffness!R34,IF(4=Element_Stiffness!$E$5,Element_Stiffness!X34,0)),0)),0)+IF(Element_Stiffness!$C$41,IF(Element_Stiffness!$C$40=5,IF(4=Element_Stiffness!$C$40,Element_Stiffness!R63,IF(4=Element_Stiffness!$E$40,Element_Stiffness!X63,0)),IF(Element_Stiffness!$E$40=5,IF(4=Element_Stiffness!$C$40,Element_Stiffness!R69,IF(4=Element_Stiffness!$E$40,Element_Stiffness!X69,0)),0)),0)+IF(Element_Stiffness!$C$76,IF(Element_Stiffness!$C$75=5,IF(4=Element_Stiffness!$C$75,Element_Stiffness!R98,IF(4=Element_Stiffness!$E$75,Element_Stiffness!X98,0)),IF(Element_Stiffness!$E$75=5,IF(4=Element_Stiffness!$C$75,Element_Stiffness!R104,IF(4=Element_Stiffness!$E$75,Element_Stiffness!X104,0)),0)),0)+IF(Element_Stiffness!$C$111,IF(Element_Stiffness!$C$110=5,IF(4=Element_Stiffness!$C$110,Element_Stiffness!R133,IF(4=Element_Stiffness!$E$110,Element_Stiffness!X133,0)),IF(Element_Stiffness!$E$110=5,IF(4=Element_Stiffness!$C$110,Element_Stiffness!R139,IF(4=Element_Stiffness!$E$110,Element_Stiffness!X139,0)),0)),0)+IF(Element_Stiffness!$C$146,IF(Element_Stiffness!$C$145=5,IF(4=Element_Stiffness!$C$145,Element_Stiffness!R168,IF(4=Element_Stiffness!$E$145,Element_Stiffness!X168,0)),IF(Element_Stiffness!$E$145=5,IF(4=Element_Stiffness!$C$145,Element_Stiffness!R174,IF(4=Element_Stiffness!$E$145,Element_Stiffness!X174,0)),0)),0)+IF(Element_Stiffness!$C$181,IF(Element_Stiffness!$C$180=5,IF(4=Element_Stiffness!$C$180,Element_Stiffness!R203,IF(4=Element_Stiffness!$E$180,Element_Stiffness!X203,0)),IF(Element_Stiffness!$E$180=5,IF(4=Element_Stiffness!$C$180,Element_Stiffness!R209,IF(4=Element_Stiffness!$E$180,Element_Stiffness!X209,0)),0)),0)+IF(Element_Stiffness!$C$216,IF(Element_Stiffness!$C$215=5,IF(4=Element_Stiffness!$C$215,Element_Stiffness!R238,IF(4=Element_Stiffness!$E$215,Element_Stiffness!X238,0)),IF(Element_Stiffness!$E$215=5,IF(4=Element_Stiffness!$C$215,Element_Stiffness!R244,IF(4=Element_Stiffness!$E$215,Element_Stiffness!X244,0)),0)),0)</f>
        <v/>
      </c>
      <c r="AD37" s="21">
        <f>IF(Element_Stiffness!$C$6,IF(Element_Stiffness!$C$5=5,IF(4=Element_Stiffness!$C$5,Element_Stiffness!S28,IF(4=Element_Stiffness!$E$5,Element_Stiffness!Y28,0)),IF(Element_Stiffness!$E$5=5,IF(4=Element_Stiffness!$C$5,Element_Stiffness!S34,IF(4=Element_Stiffness!$E$5,Element_Stiffness!Y34,0)),0)),0)+IF(Element_Stiffness!$C$41,IF(Element_Stiffness!$C$40=5,IF(4=Element_Stiffness!$C$40,Element_Stiffness!S63,IF(4=Element_Stiffness!$E$40,Element_Stiffness!Y63,0)),IF(Element_Stiffness!$E$40=5,IF(4=Element_Stiffness!$C$40,Element_Stiffness!S69,IF(4=Element_Stiffness!$E$40,Element_Stiffness!Y69,0)),0)),0)+IF(Element_Stiffness!$C$76,IF(Element_Stiffness!$C$75=5,IF(4=Element_Stiffness!$C$75,Element_Stiffness!S98,IF(4=Element_Stiffness!$E$75,Element_Stiffness!Y98,0)),IF(Element_Stiffness!$E$75=5,IF(4=Element_Stiffness!$C$75,Element_Stiffness!S104,IF(4=Element_Stiffness!$E$75,Element_Stiffness!Y104,0)),0)),0)+IF(Element_Stiffness!$C$111,IF(Element_Stiffness!$C$110=5,IF(4=Element_Stiffness!$C$110,Element_Stiffness!S133,IF(4=Element_Stiffness!$E$110,Element_Stiffness!Y133,0)),IF(Element_Stiffness!$E$110=5,IF(4=Element_Stiffness!$C$110,Element_Stiffness!S139,IF(4=Element_Stiffness!$E$110,Element_Stiffness!Y139,0)),0)),0)+IF(Element_Stiffness!$C$146,IF(Element_Stiffness!$C$145=5,IF(4=Element_Stiffness!$C$145,Element_Stiffness!S168,IF(4=Element_Stiffness!$E$145,Element_Stiffness!Y168,0)),IF(Element_Stiffness!$E$145=5,IF(4=Element_Stiffness!$C$145,Element_Stiffness!S174,IF(4=Element_Stiffness!$E$145,Element_Stiffness!Y174,0)),0)),0)+IF(Element_Stiffness!$C$181,IF(Element_Stiffness!$C$180=5,IF(4=Element_Stiffness!$C$180,Element_Stiffness!S203,IF(4=Element_Stiffness!$E$180,Element_Stiffness!Y203,0)),IF(Element_Stiffness!$E$180=5,IF(4=Element_Stiffness!$C$180,Element_Stiffness!S209,IF(4=Element_Stiffness!$E$180,Element_Stiffness!Y209,0)),0)),0)+IF(Element_Stiffness!$C$216,IF(Element_Stiffness!$C$215=5,IF(4=Element_Stiffness!$C$215,Element_Stiffness!S238,IF(4=Element_Stiffness!$E$215,Element_Stiffness!Y238,0)),IF(Element_Stiffness!$E$215=5,IF(4=Element_Stiffness!$C$215,Element_Stiffness!S244,IF(4=Element_Stiffness!$E$215,Element_Stiffness!Y244,0)),0)),0)</f>
        <v/>
      </c>
      <c r="AE37" s="21">
        <f>IF(Element_Stiffness!$C$6,IF(Element_Stiffness!$C$5=5,IF(4=Element_Stiffness!$C$5,Element_Stiffness!T28,IF(4=Element_Stiffness!$E$5,Element_Stiffness!Z28,0)),IF(Element_Stiffness!$E$5=5,IF(4=Element_Stiffness!$C$5,Element_Stiffness!T34,IF(4=Element_Stiffness!$E$5,Element_Stiffness!Z34,0)),0)),0)+IF(Element_Stiffness!$C$41,IF(Element_Stiffness!$C$40=5,IF(4=Element_Stiffness!$C$40,Element_Stiffness!T63,IF(4=Element_Stiffness!$E$40,Element_Stiffness!Z63,0)),IF(Element_Stiffness!$E$40=5,IF(4=Element_Stiffness!$C$40,Element_Stiffness!T69,IF(4=Element_Stiffness!$E$40,Element_Stiffness!Z69,0)),0)),0)+IF(Element_Stiffness!$C$76,IF(Element_Stiffness!$C$75=5,IF(4=Element_Stiffness!$C$75,Element_Stiffness!T98,IF(4=Element_Stiffness!$E$75,Element_Stiffness!Z98,0)),IF(Element_Stiffness!$E$75=5,IF(4=Element_Stiffness!$C$75,Element_Stiffness!T104,IF(4=Element_Stiffness!$E$75,Element_Stiffness!Z104,0)),0)),0)+IF(Element_Stiffness!$C$111,IF(Element_Stiffness!$C$110=5,IF(4=Element_Stiffness!$C$110,Element_Stiffness!T133,IF(4=Element_Stiffness!$E$110,Element_Stiffness!Z133,0)),IF(Element_Stiffness!$E$110=5,IF(4=Element_Stiffness!$C$110,Element_Stiffness!T139,IF(4=Element_Stiffness!$E$110,Element_Stiffness!Z139,0)),0)),0)+IF(Element_Stiffness!$C$146,IF(Element_Stiffness!$C$145=5,IF(4=Element_Stiffness!$C$145,Element_Stiffness!T168,IF(4=Element_Stiffness!$E$145,Element_Stiffness!Z168,0)),IF(Element_Stiffness!$E$145=5,IF(4=Element_Stiffness!$C$145,Element_Stiffness!T174,IF(4=Element_Stiffness!$E$145,Element_Stiffness!Z174,0)),0)),0)+IF(Element_Stiffness!$C$181,IF(Element_Stiffness!$C$180=5,IF(4=Element_Stiffness!$C$180,Element_Stiffness!T203,IF(4=Element_Stiffness!$E$180,Element_Stiffness!Z203,0)),IF(Element_Stiffness!$E$180=5,IF(4=Element_Stiffness!$C$180,Element_Stiffness!T209,IF(4=Element_Stiffness!$E$180,Element_Stiffness!Z209,0)),0)),0)+IF(Element_Stiffness!$C$216,IF(Element_Stiffness!$C$215=5,IF(4=Element_Stiffness!$C$215,Element_Stiffness!T238,IF(4=Element_Stiffness!$E$215,Element_Stiffness!Z238,0)),IF(Element_Stiffness!$E$215=5,IF(4=Element_Stiffness!$C$215,Element_Stiffness!T244,IF(4=Element_Stiffness!$E$215,Element_Stiffness!Z244,0)),0)),0)</f>
        <v/>
      </c>
      <c r="AF37" s="21">
        <f>IF(Element_Stiffness!$C$6,IF(Element_Stiffness!$C$5=5,IF(4=Element_Stiffness!$C$5,Element_Stiffness!U28,IF(4=Element_Stiffness!$E$5,Element_Stiffness!AA28,0)),IF(Element_Stiffness!$E$5=5,IF(4=Element_Stiffness!$C$5,Element_Stiffness!U34,IF(4=Element_Stiffness!$E$5,Element_Stiffness!AA34,0)),0)),0)+IF(Element_Stiffness!$C$41,IF(Element_Stiffness!$C$40=5,IF(4=Element_Stiffness!$C$40,Element_Stiffness!U63,IF(4=Element_Stiffness!$E$40,Element_Stiffness!AA63,0)),IF(Element_Stiffness!$E$40=5,IF(4=Element_Stiffness!$C$40,Element_Stiffness!U69,IF(4=Element_Stiffness!$E$40,Element_Stiffness!AA69,0)),0)),0)+IF(Element_Stiffness!$C$76,IF(Element_Stiffness!$C$75=5,IF(4=Element_Stiffness!$C$75,Element_Stiffness!U98,IF(4=Element_Stiffness!$E$75,Element_Stiffness!AA98,0)),IF(Element_Stiffness!$E$75=5,IF(4=Element_Stiffness!$C$75,Element_Stiffness!U104,IF(4=Element_Stiffness!$E$75,Element_Stiffness!AA104,0)),0)),0)+IF(Element_Stiffness!$C$111,IF(Element_Stiffness!$C$110=5,IF(4=Element_Stiffness!$C$110,Element_Stiffness!U133,IF(4=Element_Stiffness!$E$110,Element_Stiffness!AA133,0)),IF(Element_Stiffness!$E$110=5,IF(4=Element_Stiffness!$C$110,Element_Stiffness!U139,IF(4=Element_Stiffness!$E$110,Element_Stiffness!AA139,0)),0)),0)+IF(Element_Stiffness!$C$146,IF(Element_Stiffness!$C$145=5,IF(4=Element_Stiffness!$C$145,Element_Stiffness!U168,IF(4=Element_Stiffness!$E$145,Element_Stiffness!AA168,0)),IF(Element_Stiffness!$E$145=5,IF(4=Element_Stiffness!$C$145,Element_Stiffness!U174,IF(4=Element_Stiffness!$E$145,Element_Stiffness!AA174,0)),0)),0)+IF(Element_Stiffness!$C$181,IF(Element_Stiffness!$C$180=5,IF(4=Element_Stiffness!$C$180,Element_Stiffness!U203,IF(4=Element_Stiffness!$E$180,Element_Stiffness!AA203,0)),IF(Element_Stiffness!$E$180=5,IF(4=Element_Stiffness!$C$180,Element_Stiffness!U209,IF(4=Element_Stiffness!$E$180,Element_Stiffness!AA209,0)),0)),0)+IF(Element_Stiffness!$C$216,IF(Element_Stiffness!$C$215=5,IF(4=Element_Stiffness!$C$215,Element_Stiffness!U238,IF(4=Element_Stiffness!$E$215,Element_Stiffness!AA238,0)),IF(Element_Stiffness!$E$215=5,IF(4=Element_Stiffness!$C$215,Element_Stiffness!U244,IF(4=Element_Stiffness!$E$215,Element_Stiffness!AA244,0)),0)),0)</f>
        <v/>
      </c>
      <c r="AG37" s="21">
        <f>IF(Element_Stiffness!$C$6,IF(Element_Stiffness!$C$5=5,IF(5=Element_Stiffness!$C$5,Element_Stiffness!P28,IF(5=Element_Stiffness!$E$5,Element_Stiffness!V28,0)),IF(Element_Stiffness!$E$5=5,IF(5=Element_Stiffness!$C$5,Element_Stiffness!P34,IF(5=Element_Stiffness!$E$5,Element_Stiffness!V34,0)),0)),0)+IF(Element_Stiffness!$C$41,IF(Element_Stiffness!$C$40=5,IF(5=Element_Stiffness!$C$40,Element_Stiffness!P63,IF(5=Element_Stiffness!$E$40,Element_Stiffness!V63,0)),IF(Element_Stiffness!$E$40=5,IF(5=Element_Stiffness!$C$40,Element_Stiffness!P69,IF(5=Element_Stiffness!$E$40,Element_Stiffness!V69,0)),0)),0)+IF(Element_Stiffness!$C$76,IF(Element_Stiffness!$C$75=5,IF(5=Element_Stiffness!$C$75,Element_Stiffness!P98,IF(5=Element_Stiffness!$E$75,Element_Stiffness!V98,0)),IF(Element_Stiffness!$E$75=5,IF(5=Element_Stiffness!$C$75,Element_Stiffness!P104,IF(5=Element_Stiffness!$E$75,Element_Stiffness!V104,0)),0)),0)+IF(Element_Stiffness!$C$111,IF(Element_Stiffness!$C$110=5,IF(5=Element_Stiffness!$C$110,Element_Stiffness!P133,IF(5=Element_Stiffness!$E$110,Element_Stiffness!V133,0)),IF(Element_Stiffness!$E$110=5,IF(5=Element_Stiffness!$C$110,Element_Stiffness!P139,IF(5=Element_Stiffness!$E$110,Element_Stiffness!V139,0)),0)),0)+IF(Element_Stiffness!$C$146,IF(Element_Stiffness!$C$145=5,IF(5=Element_Stiffness!$C$145,Element_Stiffness!P168,IF(5=Element_Stiffness!$E$145,Element_Stiffness!V168,0)),IF(Element_Stiffness!$E$145=5,IF(5=Element_Stiffness!$C$145,Element_Stiffness!P174,IF(5=Element_Stiffness!$E$145,Element_Stiffness!V174,0)),0)),0)+IF(Element_Stiffness!$C$181,IF(Element_Stiffness!$C$180=5,IF(5=Element_Stiffness!$C$180,Element_Stiffness!P203,IF(5=Element_Stiffness!$E$180,Element_Stiffness!V203,0)),IF(Element_Stiffness!$E$180=5,IF(5=Element_Stiffness!$C$180,Element_Stiffness!P209,IF(5=Element_Stiffness!$E$180,Element_Stiffness!V209,0)),0)),0)+IF(Element_Stiffness!$C$216,IF(Element_Stiffness!$C$215=5,IF(5=Element_Stiffness!$C$215,Element_Stiffness!P238,IF(5=Element_Stiffness!$E$215,Element_Stiffness!V238,0)),IF(Element_Stiffness!$E$215=5,IF(5=Element_Stiffness!$C$215,Element_Stiffness!P244,IF(5=Element_Stiffness!$E$215,Element_Stiffness!V244,0)),0)),0)</f>
        <v/>
      </c>
      <c r="AH37" s="21">
        <f>IF(Element_Stiffness!$C$6,IF(Element_Stiffness!$C$5=5,IF(5=Element_Stiffness!$C$5,Element_Stiffness!Q28,IF(5=Element_Stiffness!$E$5,Element_Stiffness!W28,0)),IF(Element_Stiffness!$E$5=5,IF(5=Element_Stiffness!$C$5,Element_Stiffness!Q34,IF(5=Element_Stiffness!$E$5,Element_Stiffness!W34,0)),0)),0)+IF(Element_Stiffness!$C$41,IF(Element_Stiffness!$C$40=5,IF(5=Element_Stiffness!$C$40,Element_Stiffness!Q63,IF(5=Element_Stiffness!$E$40,Element_Stiffness!W63,0)),IF(Element_Stiffness!$E$40=5,IF(5=Element_Stiffness!$C$40,Element_Stiffness!Q69,IF(5=Element_Stiffness!$E$40,Element_Stiffness!W69,0)),0)),0)+IF(Element_Stiffness!$C$76,IF(Element_Stiffness!$C$75=5,IF(5=Element_Stiffness!$C$75,Element_Stiffness!Q98,IF(5=Element_Stiffness!$E$75,Element_Stiffness!W98,0)),IF(Element_Stiffness!$E$75=5,IF(5=Element_Stiffness!$C$75,Element_Stiffness!Q104,IF(5=Element_Stiffness!$E$75,Element_Stiffness!W104,0)),0)),0)+IF(Element_Stiffness!$C$111,IF(Element_Stiffness!$C$110=5,IF(5=Element_Stiffness!$C$110,Element_Stiffness!Q133,IF(5=Element_Stiffness!$E$110,Element_Stiffness!W133,0)),IF(Element_Stiffness!$E$110=5,IF(5=Element_Stiffness!$C$110,Element_Stiffness!Q139,IF(5=Element_Stiffness!$E$110,Element_Stiffness!W139,0)),0)),0)+IF(Element_Stiffness!$C$146,IF(Element_Stiffness!$C$145=5,IF(5=Element_Stiffness!$C$145,Element_Stiffness!Q168,IF(5=Element_Stiffness!$E$145,Element_Stiffness!W168,0)),IF(Element_Stiffness!$E$145=5,IF(5=Element_Stiffness!$C$145,Element_Stiffness!Q174,IF(5=Element_Stiffness!$E$145,Element_Stiffness!W174,0)),0)),0)+IF(Element_Stiffness!$C$181,IF(Element_Stiffness!$C$180=5,IF(5=Element_Stiffness!$C$180,Element_Stiffness!Q203,IF(5=Element_Stiffness!$E$180,Element_Stiffness!W203,0)),IF(Element_Stiffness!$E$180=5,IF(5=Element_Stiffness!$C$180,Element_Stiffness!Q209,IF(5=Element_Stiffness!$E$180,Element_Stiffness!W209,0)),0)),0)+IF(Element_Stiffness!$C$216,IF(Element_Stiffness!$C$215=5,IF(5=Element_Stiffness!$C$215,Element_Stiffness!Q238,IF(5=Element_Stiffness!$E$215,Element_Stiffness!W238,0)),IF(Element_Stiffness!$E$215=5,IF(5=Element_Stiffness!$C$215,Element_Stiffness!Q244,IF(5=Element_Stiffness!$E$215,Element_Stiffness!W244,0)),0)),0)</f>
        <v/>
      </c>
      <c r="AI37" s="21">
        <f>IF(Element_Stiffness!$C$6,IF(Element_Stiffness!$C$5=5,IF(5=Element_Stiffness!$C$5,Element_Stiffness!R28,IF(5=Element_Stiffness!$E$5,Element_Stiffness!X28,0)),IF(Element_Stiffness!$E$5=5,IF(5=Element_Stiffness!$C$5,Element_Stiffness!R34,IF(5=Element_Stiffness!$E$5,Element_Stiffness!X34,0)),0)),0)+IF(Element_Stiffness!$C$41,IF(Element_Stiffness!$C$40=5,IF(5=Element_Stiffness!$C$40,Element_Stiffness!R63,IF(5=Element_Stiffness!$E$40,Element_Stiffness!X63,0)),IF(Element_Stiffness!$E$40=5,IF(5=Element_Stiffness!$C$40,Element_Stiffness!R69,IF(5=Element_Stiffness!$E$40,Element_Stiffness!X69,0)),0)),0)+IF(Element_Stiffness!$C$76,IF(Element_Stiffness!$C$75=5,IF(5=Element_Stiffness!$C$75,Element_Stiffness!R98,IF(5=Element_Stiffness!$E$75,Element_Stiffness!X98,0)),IF(Element_Stiffness!$E$75=5,IF(5=Element_Stiffness!$C$75,Element_Stiffness!R104,IF(5=Element_Stiffness!$E$75,Element_Stiffness!X104,0)),0)),0)+IF(Element_Stiffness!$C$111,IF(Element_Stiffness!$C$110=5,IF(5=Element_Stiffness!$C$110,Element_Stiffness!R133,IF(5=Element_Stiffness!$E$110,Element_Stiffness!X133,0)),IF(Element_Stiffness!$E$110=5,IF(5=Element_Stiffness!$C$110,Element_Stiffness!R139,IF(5=Element_Stiffness!$E$110,Element_Stiffness!X139,0)),0)),0)+IF(Element_Stiffness!$C$146,IF(Element_Stiffness!$C$145=5,IF(5=Element_Stiffness!$C$145,Element_Stiffness!R168,IF(5=Element_Stiffness!$E$145,Element_Stiffness!X168,0)),IF(Element_Stiffness!$E$145=5,IF(5=Element_Stiffness!$C$145,Element_Stiffness!R174,IF(5=Element_Stiffness!$E$145,Element_Stiffness!X174,0)),0)),0)+IF(Element_Stiffness!$C$181,IF(Element_Stiffness!$C$180=5,IF(5=Element_Stiffness!$C$180,Element_Stiffness!R203,IF(5=Element_Stiffness!$E$180,Element_Stiffness!X203,0)),IF(Element_Stiffness!$E$180=5,IF(5=Element_Stiffness!$C$180,Element_Stiffness!R209,IF(5=Element_Stiffness!$E$180,Element_Stiffness!X209,0)),0)),0)+IF(Element_Stiffness!$C$216,IF(Element_Stiffness!$C$215=5,IF(5=Element_Stiffness!$C$215,Element_Stiffness!R238,IF(5=Element_Stiffness!$E$215,Element_Stiffness!X238,0)),IF(Element_Stiffness!$E$215=5,IF(5=Element_Stiffness!$C$215,Element_Stiffness!R244,IF(5=Element_Stiffness!$E$215,Element_Stiffness!X244,0)),0)),0)+IF(Inputs!E45=TRUE,1E15,IF(ISNUMBER(Inputs!E45),Inputs!E45,0))</f>
        <v/>
      </c>
      <c r="AJ37" s="21">
        <f>IF(Element_Stiffness!$C$6,IF(Element_Stiffness!$C$5=5,IF(5=Element_Stiffness!$C$5,Element_Stiffness!S28,IF(5=Element_Stiffness!$E$5,Element_Stiffness!Y28,0)),IF(Element_Stiffness!$E$5=5,IF(5=Element_Stiffness!$C$5,Element_Stiffness!S34,IF(5=Element_Stiffness!$E$5,Element_Stiffness!Y34,0)),0)),0)+IF(Element_Stiffness!$C$41,IF(Element_Stiffness!$C$40=5,IF(5=Element_Stiffness!$C$40,Element_Stiffness!S63,IF(5=Element_Stiffness!$E$40,Element_Stiffness!Y63,0)),IF(Element_Stiffness!$E$40=5,IF(5=Element_Stiffness!$C$40,Element_Stiffness!S69,IF(5=Element_Stiffness!$E$40,Element_Stiffness!Y69,0)),0)),0)+IF(Element_Stiffness!$C$76,IF(Element_Stiffness!$C$75=5,IF(5=Element_Stiffness!$C$75,Element_Stiffness!S98,IF(5=Element_Stiffness!$E$75,Element_Stiffness!Y98,0)),IF(Element_Stiffness!$E$75=5,IF(5=Element_Stiffness!$C$75,Element_Stiffness!S104,IF(5=Element_Stiffness!$E$75,Element_Stiffness!Y104,0)),0)),0)+IF(Element_Stiffness!$C$111,IF(Element_Stiffness!$C$110=5,IF(5=Element_Stiffness!$C$110,Element_Stiffness!S133,IF(5=Element_Stiffness!$E$110,Element_Stiffness!Y133,0)),IF(Element_Stiffness!$E$110=5,IF(5=Element_Stiffness!$C$110,Element_Stiffness!S139,IF(5=Element_Stiffness!$E$110,Element_Stiffness!Y139,0)),0)),0)+IF(Element_Stiffness!$C$146,IF(Element_Stiffness!$C$145=5,IF(5=Element_Stiffness!$C$145,Element_Stiffness!S168,IF(5=Element_Stiffness!$E$145,Element_Stiffness!Y168,0)),IF(Element_Stiffness!$E$145=5,IF(5=Element_Stiffness!$C$145,Element_Stiffness!S174,IF(5=Element_Stiffness!$E$145,Element_Stiffness!Y174,0)),0)),0)+IF(Element_Stiffness!$C$181,IF(Element_Stiffness!$C$180=5,IF(5=Element_Stiffness!$C$180,Element_Stiffness!S203,IF(5=Element_Stiffness!$E$180,Element_Stiffness!Y203,0)),IF(Element_Stiffness!$E$180=5,IF(5=Element_Stiffness!$C$180,Element_Stiffness!S209,IF(5=Element_Stiffness!$E$180,Element_Stiffness!Y209,0)),0)),0)+IF(Element_Stiffness!$C$216,IF(Element_Stiffness!$C$215=5,IF(5=Element_Stiffness!$C$215,Element_Stiffness!S238,IF(5=Element_Stiffness!$E$215,Element_Stiffness!Y238,0)),IF(Element_Stiffness!$E$215=5,IF(5=Element_Stiffness!$C$215,Element_Stiffness!S244,IF(5=Element_Stiffness!$E$215,Element_Stiffness!Y244,0)),0)),0)</f>
        <v/>
      </c>
      <c r="AK37" s="21">
        <f>IF(Element_Stiffness!$C$6,IF(Element_Stiffness!$C$5=5,IF(5=Element_Stiffness!$C$5,Element_Stiffness!T28,IF(5=Element_Stiffness!$E$5,Element_Stiffness!Z28,0)),IF(Element_Stiffness!$E$5=5,IF(5=Element_Stiffness!$C$5,Element_Stiffness!T34,IF(5=Element_Stiffness!$E$5,Element_Stiffness!Z34,0)),0)),0)+IF(Element_Stiffness!$C$41,IF(Element_Stiffness!$C$40=5,IF(5=Element_Stiffness!$C$40,Element_Stiffness!T63,IF(5=Element_Stiffness!$E$40,Element_Stiffness!Z63,0)),IF(Element_Stiffness!$E$40=5,IF(5=Element_Stiffness!$C$40,Element_Stiffness!T69,IF(5=Element_Stiffness!$E$40,Element_Stiffness!Z69,0)),0)),0)+IF(Element_Stiffness!$C$76,IF(Element_Stiffness!$C$75=5,IF(5=Element_Stiffness!$C$75,Element_Stiffness!T98,IF(5=Element_Stiffness!$E$75,Element_Stiffness!Z98,0)),IF(Element_Stiffness!$E$75=5,IF(5=Element_Stiffness!$C$75,Element_Stiffness!T104,IF(5=Element_Stiffness!$E$75,Element_Stiffness!Z104,0)),0)),0)+IF(Element_Stiffness!$C$111,IF(Element_Stiffness!$C$110=5,IF(5=Element_Stiffness!$C$110,Element_Stiffness!T133,IF(5=Element_Stiffness!$E$110,Element_Stiffness!Z133,0)),IF(Element_Stiffness!$E$110=5,IF(5=Element_Stiffness!$C$110,Element_Stiffness!T139,IF(5=Element_Stiffness!$E$110,Element_Stiffness!Z139,0)),0)),0)+IF(Element_Stiffness!$C$146,IF(Element_Stiffness!$C$145=5,IF(5=Element_Stiffness!$C$145,Element_Stiffness!T168,IF(5=Element_Stiffness!$E$145,Element_Stiffness!Z168,0)),IF(Element_Stiffness!$E$145=5,IF(5=Element_Stiffness!$C$145,Element_Stiffness!T174,IF(5=Element_Stiffness!$E$145,Element_Stiffness!Z174,0)),0)),0)+IF(Element_Stiffness!$C$181,IF(Element_Stiffness!$C$180=5,IF(5=Element_Stiffness!$C$180,Element_Stiffness!T203,IF(5=Element_Stiffness!$E$180,Element_Stiffness!Z203,0)),IF(Element_Stiffness!$E$180=5,IF(5=Element_Stiffness!$C$180,Element_Stiffness!T209,IF(5=Element_Stiffness!$E$180,Element_Stiffness!Z209,0)),0)),0)+IF(Element_Stiffness!$C$216,IF(Element_Stiffness!$C$215=5,IF(5=Element_Stiffness!$C$215,Element_Stiffness!T238,IF(5=Element_Stiffness!$E$215,Element_Stiffness!Z238,0)),IF(Element_Stiffness!$E$215=5,IF(5=Element_Stiffness!$C$215,Element_Stiffness!T244,IF(5=Element_Stiffness!$E$215,Element_Stiffness!Z244,0)),0)),0)</f>
        <v/>
      </c>
      <c r="AL37" s="21">
        <f>IF(Element_Stiffness!$C$6,IF(Element_Stiffness!$C$5=5,IF(5=Element_Stiffness!$C$5,Element_Stiffness!U28,IF(5=Element_Stiffness!$E$5,Element_Stiffness!AA28,0)),IF(Element_Stiffness!$E$5=5,IF(5=Element_Stiffness!$C$5,Element_Stiffness!U34,IF(5=Element_Stiffness!$E$5,Element_Stiffness!AA34,0)),0)),0)+IF(Element_Stiffness!$C$41,IF(Element_Stiffness!$C$40=5,IF(5=Element_Stiffness!$C$40,Element_Stiffness!U63,IF(5=Element_Stiffness!$E$40,Element_Stiffness!AA63,0)),IF(Element_Stiffness!$E$40=5,IF(5=Element_Stiffness!$C$40,Element_Stiffness!U69,IF(5=Element_Stiffness!$E$40,Element_Stiffness!AA69,0)),0)),0)+IF(Element_Stiffness!$C$76,IF(Element_Stiffness!$C$75=5,IF(5=Element_Stiffness!$C$75,Element_Stiffness!U98,IF(5=Element_Stiffness!$E$75,Element_Stiffness!AA98,0)),IF(Element_Stiffness!$E$75=5,IF(5=Element_Stiffness!$C$75,Element_Stiffness!U104,IF(5=Element_Stiffness!$E$75,Element_Stiffness!AA104,0)),0)),0)+IF(Element_Stiffness!$C$111,IF(Element_Stiffness!$C$110=5,IF(5=Element_Stiffness!$C$110,Element_Stiffness!U133,IF(5=Element_Stiffness!$E$110,Element_Stiffness!AA133,0)),IF(Element_Stiffness!$E$110=5,IF(5=Element_Stiffness!$C$110,Element_Stiffness!U139,IF(5=Element_Stiffness!$E$110,Element_Stiffness!AA139,0)),0)),0)+IF(Element_Stiffness!$C$146,IF(Element_Stiffness!$C$145=5,IF(5=Element_Stiffness!$C$145,Element_Stiffness!U168,IF(5=Element_Stiffness!$E$145,Element_Stiffness!AA168,0)),IF(Element_Stiffness!$E$145=5,IF(5=Element_Stiffness!$C$145,Element_Stiffness!U174,IF(5=Element_Stiffness!$E$145,Element_Stiffness!AA174,0)),0)),0)+IF(Element_Stiffness!$C$181,IF(Element_Stiffness!$C$180=5,IF(5=Element_Stiffness!$C$180,Element_Stiffness!U203,IF(5=Element_Stiffness!$E$180,Element_Stiffness!AA203,0)),IF(Element_Stiffness!$E$180=5,IF(5=Element_Stiffness!$C$180,Element_Stiffness!U209,IF(5=Element_Stiffness!$E$180,Element_Stiffness!AA209,0)),0)),0)+IF(Element_Stiffness!$C$216,IF(Element_Stiffness!$C$215=5,IF(5=Element_Stiffness!$C$215,Element_Stiffness!U238,IF(5=Element_Stiffness!$E$215,Element_Stiffness!AA238,0)),IF(Element_Stiffness!$E$215=5,IF(5=Element_Stiffness!$C$215,Element_Stiffness!U244,IF(5=Element_Stiffness!$E$215,Element_Stiffness!AA244,0)),0)),0)</f>
        <v/>
      </c>
      <c r="AM37" s="21">
        <f>IF(Element_Stiffness!$C$6,IF(Element_Stiffness!$C$5=5,IF(6=Element_Stiffness!$C$5,Element_Stiffness!P28,IF(6=Element_Stiffness!$E$5,Element_Stiffness!V28,0)),IF(Element_Stiffness!$E$5=5,IF(6=Element_Stiffness!$C$5,Element_Stiffness!P34,IF(6=Element_Stiffness!$E$5,Element_Stiffness!V34,0)),0)),0)+IF(Element_Stiffness!$C$41,IF(Element_Stiffness!$C$40=5,IF(6=Element_Stiffness!$C$40,Element_Stiffness!P63,IF(6=Element_Stiffness!$E$40,Element_Stiffness!V63,0)),IF(Element_Stiffness!$E$40=5,IF(6=Element_Stiffness!$C$40,Element_Stiffness!P69,IF(6=Element_Stiffness!$E$40,Element_Stiffness!V69,0)),0)),0)+IF(Element_Stiffness!$C$76,IF(Element_Stiffness!$C$75=5,IF(6=Element_Stiffness!$C$75,Element_Stiffness!P98,IF(6=Element_Stiffness!$E$75,Element_Stiffness!V98,0)),IF(Element_Stiffness!$E$75=5,IF(6=Element_Stiffness!$C$75,Element_Stiffness!P104,IF(6=Element_Stiffness!$E$75,Element_Stiffness!V104,0)),0)),0)+IF(Element_Stiffness!$C$111,IF(Element_Stiffness!$C$110=5,IF(6=Element_Stiffness!$C$110,Element_Stiffness!P133,IF(6=Element_Stiffness!$E$110,Element_Stiffness!V133,0)),IF(Element_Stiffness!$E$110=5,IF(6=Element_Stiffness!$C$110,Element_Stiffness!P139,IF(6=Element_Stiffness!$E$110,Element_Stiffness!V139,0)),0)),0)+IF(Element_Stiffness!$C$146,IF(Element_Stiffness!$C$145=5,IF(6=Element_Stiffness!$C$145,Element_Stiffness!P168,IF(6=Element_Stiffness!$E$145,Element_Stiffness!V168,0)),IF(Element_Stiffness!$E$145=5,IF(6=Element_Stiffness!$C$145,Element_Stiffness!P174,IF(6=Element_Stiffness!$E$145,Element_Stiffness!V174,0)),0)),0)+IF(Element_Stiffness!$C$181,IF(Element_Stiffness!$C$180=5,IF(6=Element_Stiffness!$C$180,Element_Stiffness!P203,IF(6=Element_Stiffness!$E$180,Element_Stiffness!V203,0)),IF(Element_Stiffness!$E$180=5,IF(6=Element_Stiffness!$C$180,Element_Stiffness!P209,IF(6=Element_Stiffness!$E$180,Element_Stiffness!V209,0)),0)),0)+IF(Element_Stiffness!$C$216,IF(Element_Stiffness!$C$215=5,IF(6=Element_Stiffness!$C$215,Element_Stiffness!P238,IF(6=Element_Stiffness!$E$215,Element_Stiffness!V238,0)),IF(Element_Stiffness!$E$215=5,IF(6=Element_Stiffness!$C$215,Element_Stiffness!P244,IF(6=Element_Stiffness!$E$215,Element_Stiffness!V244,0)),0)),0)</f>
        <v/>
      </c>
      <c r="AN37" s="21">
        <f>IF(Element_Stiffness!$C$6,IF(Element_Stiffness!$C$5=5,IF(6=Element_Stiffness!$C$5,Element_Stiffness!Q28,IF(6=Element_Stiffness!$E$5,Element_Stiffness!W28,0)),IF(Element_Stiffness!$E$5=5,IF(6=Element_Stiffness!$C$5,Element_Stiffness!Q34,IF(6=Element_Stiffness!$E$5,Element_Stiffness!W34,0)),0)),0)+IF(Element_Stiffness!$C$41,IF(Element_Stiffness!$C$40=5,IF(6=Element_Stiffness!$C$40,Element_Stiffness!Q63,IF(6=Element_Stiffness!$E$40,Element_Stiffness!W63,0)),IF(Element_Stiffness!$E$40=5,IF(6=Element_Stiffness!$C$40,Element_Stiffness!Q69,IF(6=Element_Stiffness!$E$40,Element_Stiffness!W69,0)),0)),0)+IF(Element_Stiffness!$C$76,IF(Element_Stiffness!$C$75=5,IF(6=Element_Stiffness!$C$75,Element_Stiffness!Q98,IF(6=Element_Stiffness!$E$75,Element_Stiffness!W98,0)),IF(Element_Stiffness!$E$75=5,IF(6=Element_Stiffness!$C$75,Element_Stiffness!Q104,IF(6=Element_Stiffness!$E$75,Element_Stiffness!W104,0)),0)),0)+IF(Element_Stiffness!$C$111,IF(Element_Stiffness!$C$110=5,IF(6=Element_Stiffness!$C$110,Element_Stiffness!Q133,IF(6=Element_Stiffness!$E$110,Element_Stiffness!W133,0)),IF(Element_Stiffness!$E$110=5,IF(6=Element_Stiffness!$C$110,Element_Stiffness!Q139,IF(6=Element_Stiffness!$E$110,Element_Stiffness!W139,0)),0)),0)+IF(Element_Stiffness!$C$146,IF(Element_Stiffness!$C$145=5,IF(6=Element_Stiffness!$C$145,Element_Stiffness!Q168,IF(6=Element_Stiffness!$E$145,Element_Stiffness!W168,0)),IF(Element_Stiffness!$E$145=5,IF(6=Element_Stiffness!$C$145,Element_Stiffness!Q174,IF(6=Element_Stiffness!$E$145,Element_Stiffness!W174,0)),0)),0)+IF(Element_Stiffness!$C$181,IF(Element_Stiffness!$C$180=5,IF(6=Element_Stiffness!$C$180,Element_Stiffness!Q203,IF(6=Element_Stiffness!$E$180,Element_Stiffness!W203,0)),IF(Element_Stiffness!$E$180=5,IF(6=Element_Stiffness!$C$180,Element_Stiffness!Q209,IF(6=Element_Stiffness!$E$180,Element_Stiffness!W209,0)),0)),0)+IF(Element_Stiffness!$C$216,IF(Element_Stiffness!$C$215=5,IF(6=Element_Stiffness!$C$215,Element_Stiffness!Q238,IF(6=Element_Stiffness!$E$215,Element_Stiffness!W238,0)),IF(Element_Stiffness!$E$215=5,IF(6=Element_Stiffness!$C$215,Element_Stiffness!Q244,IF(6=Element_Stiffness!$E$215,Element_Stiffness!W244,0)),0)),0)</f>
        <v/>
      </c>
      <c r="AO37" s="21">
        <f>IF(Element_Stiffness!$C$6,IF(Element_Stiffness!$C$5=5,IF(6=Element_Stiffness!$C$5,Element_Stiffness!R28,IF(6=Element_Stiffness!$E$5,Element_Stiffness!X28,0)),IF(Element_Stiffness!$E$5=5,IF(6=Element_Stiffness!$C$5,Element_Stiffness!R34,IF(6=Element_Stiffness!$E$5,Element_Stiffness!X34,0)),0)),0)+IF(Element_Stiffness!$C$41,IF(Element_Stiffness!$C$40=5,IF(6=Element_Stiffness!$C$40,Element_Stiffness!R63,IF(6=Element_Stiffness!$E$40,Element_Stiffness!X63,0)),IF(Element_Stiffness!$E$40=5,IF(6=Element_Stiffness!$C$40,Element_Stiffness!R69,IF(6=Element_Stiffness!$E$40,Element_Stiffness!X69,0)),0)),0)+IF(Element_Stiffness!$C$76,IF(Element_Stiffness!$C$75=5,IF(6=Element_Stiffness!$C$75,Element_Stiffness!R98,IF(6=Element_Stiffness!$E$75,Element_Stiffness!X98,0)),IF(Element_Stiffness!$E$75=5,IF(6=Element_Stiffness!$C$75,Element_Stiffness!R104,IF(6=Element_Stiffness!$E$75,Element_Stiffness!X104,0)),0)),0)+IF(Element_Stiffness!$C$111,IF(Element_Stiffness!$C$110=5,IF(6=Element_Stiffness!$C$110,Element_Stiffness!R133,IF(6=Element_Stiffness!$E$110,Element_Stiffness!X133,0)),IF(Element_Stiffness!$E$110=5,IF(6=Element_Stiffness!$C$110,Element_Stiffness!R139,IF(6=Element_Stiffness!$E$110,Element_Stiffness!X139,0)),0)),0)+IF(Element_Stiffness!$C$146,IF(Element_Stiffness!$C$145=5,IF(6=Element_Stiffness!$C$145,Element_Stiffness!R168,IF(6=Element_Stiffness!$E$145,Element_Stiffness!X168,0)),IF(Element_Stiffness!$E$145=5,IF(6=Element_Stiffness!$C$145,Element_Stiffness!R174,IF(6=Element_Stiffness!$E$145,Element_Stiffness!X174,0)),0)),0)+IF(Element_Stiffness!$C$181,IF(Element_Stiffness!$C$180=5,IF(6=Element_Stiffness!$C$180,Element_Stiffness!R203,IF(6=Element_Stiffness!$E$180,Element_Stiffness!X203,0)),IF(Element_Stiffness!$E$180=5,IF(6=Element_Stiffness!$C$180,Element_Stiffness!R209,IF(6=Element_Stiffness!$E$180,Element_Stiffness!X209,0)),0)),0)+IF(Element_Stiffness!$C$216,IF(Element_Stiffness!$C$215=5,IF(6=Element_Stiffness!$C$215,Element_Stiffness!R238,IF(6=Element_Stiffness!$E$215,Element_Stiffness!X238,0)),IF(Element_Stiffness!$E$215=5,IF(6=Element_Stiffness!$C$215,Element_Stiffness!R244,IF(6=Element_Stiffness!$E$215,Element_Stiffness!X244,0)),0)),0)</f>
        <v/>
      </c>
      <c r="AP37" s="21">
        <f>IF(Element_Stiffness!$C$6,IF(Element_Stiffness!$C$5=5,IF(6=Element_Stiffness!$C$5,Element_Stiffness!S28,IF(6=Element_Stiffness!$E$5,Element_Stiffness!Y28,0)),IF(Element_Stiffness!$E$5=5,IF(6=Element_Stiffness!$C$5,Element_Stiffness!S34,IF(6=Element_Stiffness!$E$5,Element_Stiffness!Y34,0)),0)),0)+IF(Element_Stiffness!$C$41,IF(Element_Stiffness!$C$40=5,IF(6=Element_Stiffness!$C$40,Element_Stiffness!S63,IF(6=Element_Stiffness!$E$40,Element_Stiffness!Y63,0)),IF(Element_Stiffness!$E$40=5,IF(6=Element_Stiffness!$C$40,Element_Stiffness!S69,IF(6=Element_Stiffness!$E$40,Element_Stiffness!Y69,0)),0)),0)+IF(Element_Stiffness!$C$76,IF(Element_Stiffness!$C$75=5,IF(6=Element_Stiffness!$C$75,Element_Stiffness!S98,IF(6=Element_Stiffness!$E$75,Element_Stiffness!Y98,0)),IF(Element_Stiffness!$E$75=5,IF(6=Element_Stiffness!$C$75,Element_Stiffness!S104,IF(6=Element_Stiffness!$E$75,Element_Stiffness!Y104,0)),0)),0)+IF(Element_Stiffness!$C$111,IF(Element_Stiffness!$C$110=5,IF(6=Element_Stiffness!$C$110,Element_Stiffness!S133,IF(6=Element_Stiffness!$E$110,Element_Stiffness!Y133,0)),IF(Element_Stiffness!$E$110=5,IF(6=Element_Stiffness!$C$110,Element_Stiffness!S139,IF(6=Element_Stiffness!$E$110,Element_Stiffness!Y139,0)),0)),0)+IF(Element_Stiffness!$C$146,IF(Element_Stiffness!$C$145=5,IF(6=Element_Stiffness!$C$145,Element_Stiffness!S168,IF(6=Element_Stiffness!$E$145,Element_Stiffness!Y168,0)),IF(Element_Stiffness!$E$145=5,IF(6=Element_Stiffness!$C$145,Element_Stiffness!S174,IF(6=Element_Stiffness!$E$145,Element_Stiffness!Y174,0)),0)),0)+IF(Element_Stiffness!$C$181,IF(Element_Stiffness!$C$180=5,IF(6=Element_Stiffness!$C$180,Element_Stiffness!S203,IF(6=Element_Stiffness!$E$180,Element_Stiffness!Y203,0)),IF(Element_Stiffness!$E$180=5,IF(6=Element_Stiffness!$C$180,Element_Stiffness!S209,IF(6=Element_Stiffness!$E$180,Element_Stiffness!Y209,0)),0)),0)+IF(Element_Stiffness!$C$216,IF(Element_Stiffness!$C$215=5,IF(6=Element_Stiffness!$C$215,Element_Stiffness!S238,IF(6=Element_Stiffness!$E$215,Element_Stiffness!Y238,0)),IF(Element_Stiffness!$E$215=5,IF(6=Element_Stiffness!$C$215,Element_Stiffness!S244,IF(6=Element_Stiffness!$E$215,Element_Stiffness!Y244,0)),0)),0)</f>
        <v/>
      </c>
      <c r="AQ37" s="21">
        <f>IF(Element_Stiffness!$C$6,IF(Element_Stiffness!$C$5=5,IF(6=Element_Stiffness!$C$5,Element_Stiffness!T28,IF(6=Element_Stiffness!$E$5,Element_Stiffness!Z28,0)),IF(Element_Stiffness!$E$5=5,IF(6=Element_Stiffness!$C$5,Element_Stiffness!T34,IF(6=Element_Stiffness!$E$5,Element_Stiffness!Z34,0)),0)),0)+IF(Element_Stiffness!$C$41,IF(Element_Stiffness!$C$40=5,IF(6=Element_Stiffness!$C$40,Element_Stiffness!T63,IF(6=Element_Stiffness!$E$40,Element_Stiffness!Z63,0)),IF(Element_Stiffness!$E$40=5,IF(6=Element_Stiffness!$C$40,Element_Stiffness!T69,IF(6=Element_Stiffness!$E$40,Element_Stiffness!Z69,0)),0)),0)+IF(Element_Stiffness!$C$76,IF(Element_Stiffness!$C$75=5,IF(6=Element_Stiffness!$C$75,Element_Stiffness!T98,IF(6=Element_Stiffness!$E$75,Element_Stiffness!Z98,0)),IF(Element_Stiffness!$E$75=5,IF(6=Element_Stiffness!$C$75,Element_Stiffness!T104,IF(6=Element_Stiffness!$E$75,Element_Stiffness!Z104,0)),0)),0)+IF(Element_Stiffness!$C$111,IF(Element_Stiffness!$C$110=5,IF(6=Element_Stiffness!$C$110,Element_Stiffness!T133,IF(6=Element_Stiffness!$E$110,Element_Stiffness!Z133,0)),IF(Element_Stiffness!$E$110=5,IF(6=Element_Stiffness!$C$110,Element_Stiffness!T139,IF(6=Element_Stiffness!$E$110,Element_Stiffness!Z139,0)),0)),0)+IF(Element_Stiffness!$C$146,IF(Element_Stiffness!$C$145=5,IF(6=Element_Stiffness!$C$145,Element_Stiffness!T168,IF(6=Element_Stiffness!$E$145,Element_Stiffness!Z168,0)),IF(Element_Stiffness!$E$145=5,IF(6=Element_Stiffness!$C$145,Element_Stiffness!T174,IF(6=Element_Stiffness!$E$145,Element_Stiffness!Z174,0)),0)),0)+IF(Element_Stiffness!$C$181,IF(Element_Stiffness!$C$180=5,IF(6=Element_Stiffness!$C$180,Element_Stiffness!T203,IF(6=Element_Stiffness!$E$180,Element_Stiffness!Z203,0)),IF(Element_Stiffness!$E$180=5,IF(6=Element_Stiffness!$C$180,Element_Stiffness!T209,IF(6=Element_Stiffness!$E$180,Element_Stiffness!Z209,0)),0)),0)+IF(Element_Stiffness!$C$216,IF(Element_Stiffness!$C$215=5,IF(6=Element_Stiffness!$C$215,Element_Stiffness!T238,IF(6=Element_Stiffness!$E$215,Element_Stiffness!Z238,0)),IF(Element_Stiffness!$E$215=5,IF(6=Element_Stiffness!$C$215,Element_Stiffness!T244,IF(6=Element_Stiffness!$E$215,Element_Stiffness!Z244,0)),0)),0)</f>
        <v/>
      </c>
      <c r="AR37" s="21">
        <f>IF(Element_Stiffness!$C$6,IF(Element_Stiffness!$C$5=5,IF(6=Element_Stiffness!$C$5,Element_Stiffness!U28,IF(6=Element_Stiffness!$E$5,Element_Stiffness!AA28,0)),IF(Element_Stiffness!$E$5=5,IF(6=Element_Stiffness!$C$5,Element_Stiffness!U34,IF(6=Element_Stiffness!$E$5,Element_Stiffness!AA34,0)),0)),0)+IF(Element_Stiffness!$C$41,IF(Element_Stiffness!$C$40=5,IF(6=Element_Stiffness!$C$40,Element_Stiffness!U63,IF(6=Element_Stiffness!$E$40,Element_Stiffness!AA63,0)),IF(Element_Stiffness!$E$40=5,IF(6=Element_Stiffness!$C$40,Element_Stiffness!U69,IF(6=Element_Stiffness!$E$40,Element_Stiffness!AA69,0)),0)),0)+IF(Element_Stiffness!$C$76,IF(Element_Stiffness!$C$75=5,IF(6=Element_Stiffness!$C$75,Element_Stiffness!U98,IF(6=Element_Stiffness!$E$75,Element_Stiffness!AA98,0)),IF(Element_Stiffness!$E$75=5,IF(6=Element_Stiffness!$C$75,Element_Stiffness!U104,IF(6=Element_Stiffness!$E$75,Element_Stiffness!AA104,0)),0)),0)+IF(Element_Stiffness!$C$111,IF(Element_Stiffness!$C$110=5,IF(6=Element_Stiffness!$C$110,Element_Stiffness!U133,IF(6=Element_Stiffness!$E$110,Element_Stiffness!AA133,0)),IF(Element_Stiffness!$E$110=5,IF(6=Element_Stiffness!$C$110,Element_Stiffness!U139,IF(6=Element_Stiffness!$E$110,Element_Stiffness!AA139,0)),0)),0)+IF(Element_Stiffness!$C$146,IF(Element_Stiffness!$C$145=5,IF(6=Element_Stiffness!$C$145,Element_Stiffness!U168,IF(6=Element_Stiffness!$E$145,Element_Stiffness!AA168,0)),IF(Element_Stiffness!$E$145=5,IF(6=Element_Stiffness!$C$145,Element_Stiffness!U174,IF(6=Element_Stiffness!$E$145,Element_Stiffness!AA174,0)),0)),0)+IF(Element_Stiffness!$C$181,IF(Element_Stiffness!$C$180=5,IF(6=Element_Stiffness!$C$180,Element_Stiffness!U203,IF(6=Element_Stiffness!$E$180,Element_Stiffness!AA203,0)),IF(Element_Stiffness!$E$180=5,IF(6=Element_Stiffness!$C$180,Element_Stiffness!U209,IF(6=Element_Stiffness!$E$180,Element_Stiffness!AA209,0)),0)),0)+IF(Element_Stiffness!$C$216,IF(Element_Stiffness!$C$215=5,IF(6=Element_Stiffness!$C$215,Element_Stiffness!U238,IF(6=Element_Stiffness!$E$215,Element_Stiffness!AA238,0)),IF(Element_Stiffness!$E$215=5,IF(6=Element_Stiffness!$C$215,Element_Stiffness!U244,IF(6=Element_Stiffness!$E$215,Element_Stiffness!AA244,0)),0)),0)</f>
        <v/>
      </c>
      <c r="AS37" s="21">
        <f>IF(Element_Stiffness!$C$6,IF(Element_Stiffness!$C$5=5,IF(7=Element_Stiffness!$C$5,Element_Stiffness!P28,IF(7=Element_Stiffness!$E$5,Element_Stiffness!V28,0)),IF(Element_Stiffness!$E$5=5,IF(7=Element_Stiffness!$C$5,Element_Stiffness!P34,IF(7=Element_Stiffness!$E$5,Element_Stiffness!V34,0)),0)),0)+IF(Element_Stiffness!$C$41,IF(Element_Stiffness!$C$40=5,IF(7=Element_Stiffness!$C$40,Element_Stiffness!P63,IF(7=Element_Stiffness!$E$40,Element_Stiffness!V63,0)),IF(Element_Stiffness!$E$40=5,IF(7=Element_Stiffness!$C$40,Element_Stiffness!P69,IF(7=Element_Stiffness!$E$40,Element_Stiffness!V69,0)),0)),0)+IF(Element_Stiffness!$C$76,IF(Element_Stiffness!$C$75=5,IF(7=Element_Stiffness!$C$75,Element_Stiffness!P98,IF(7=Element_Stiffness!$E$75,Element_Stiffness!V98,0)),IF(Element_Stiffness!$E$75=5,IF(7=Element_Stiffness!$C$75,Element_Stiffness!P104,IF(7=Element_Stiffness!$E$75,Element_Stiffness!V104,0)),0)),0)+IF(Element_Stiffness!$C$111,IF(Element_Stiffness!$C$110=5,IF(7=Element_Stiffness!$C$110,Element_Stiffness!P133,IF(7=Element_Stiffness!$E$110,Element_Stiffness!V133,0)),IF(Element_Stiffness!$E$110=5,IF(7=Element_Stiffness!$C$110,Element_Stiffness!P139,IF(7=Element_Stiffness!$E$110,Element_Stiffness!V139,0)),0)),0)+IF(Element_Stiffness!$C$146,IF(Element_Stiffness!$C$145=5,IF(7=Element_Stiffness!$C$145,Element_Stiffness!P168,IF(7=Element_Stiffness!$E$145,Element_Stiffness!V168,0)),IF(Element_Stiffness!$E$145=5,IF(7=Element_Stiffness!$C$145,Element_Stiffness!P174,IF(7=Element_Stiffness!$E$145,Element_Stiffness!V174,0)),0)),0)+IF(Element_Stiffness!$C$181,IF(Element_Stiffness!$C$180=5,IF(7=Element_Stiffness!$C$180,Element_Stiffness!P203,IF(7=Element_Stiffness!$E$180,Element_Stiffness!V203,0)),IF(Element_Stiffness!$E$180=5,IF(7=Element_Stiffness!$C$180,Element_Stiffness!P209,IF(7=Element_Stiffness!$E$180,Element_Stiffness!V209,0)),0)),0)+IF(Element_Stiffness!$C$216,IF(Element_Stiffness!$C$215=5,IF(7=Element_Stiffness!$C$215,Element_Stiffness!P238,IF(7=Element_Stiffness!$E$215,Element_Stiffness!V238,0)),IF(Element_Stiffness!$E$215=5,IF(7=Element_Stiffness!$C$215,Element_Stiffness!P244,IF(7=Element_Stiffness!$E$215,Element_Stiffness!V244,0)),0)),0)</f>
        <v/>
      </c>
      <c r="AT37" s="21">
        <f>IF(Element_Stiffness!$C$6,IF(Element_Stiffness!$C$5=5,IF(7=Element_Stiffness!$C$5,Element_Stiffness!Q28,IF(7=Element_Stiffness!$E$5,Element_Stiffness!W28,0)),IF(Element_Stiffness!$E$5=5,IF(7=Element_Stiffness!$C$5,Element_Stiffness!Q34,IF(7=Element_Stiffness!$E$5,Element_Stiffness!W34,0)),0)),0)+IF(Element_Stiffness!$C$41,IF(Element_Stiffness!$C$40=5,IF(7=Element_Stiffness!$C$40,Element_Stiffness!Q63,IF(7=Element_Stiffness!$E$40,Element_Stiffness!W63,0)),IF(Element_Stiffness!$E$40=5,IF(7=Element_Stiffness!$C$40,Element_Stiffness!Q69,IF(7=Element_Stiffness!$E$40,Element_Stiffness!W69,0)),0)),0)+IF(Element_Stiffness!$C$76,IF(Element_Stiffness!$C$75=5,IF(7=Element_Stiffness!$C$75,Element_Stiffness!Q98,IF(7=Element_Stiffness!$E$75,Element_Stiffness!W98,0)),IF(Element_Stiffness!$E$75=5,IF(7=Element_Stiffness!$C$75,Element_Stiffness!Q104,IF(7=Element_Stiffness!$E$75,Element_Stiffness!W104,0)),0)),0)+IF(Element_Stiffness!$C$111,IF(Element_Stiffness!$C$110=5,IF(7=Element_Stiffness!$C$110,Element_Stiffness!Q133,IF(7=Element_Stiffness!$E$110,Element_Stiffness!W133,0)),IF(Element_Stiffness!$E$110=5,IF(7=Element_Stiffness!$C$110,Element_Stiffness!Q139,IF(7=Element_Stiffness!$E$110,Element_Stiffness!W139,0)),0)),0)+IF(Element_Stiffness!$C$146,IF(Element_Stiffness!$C$145=5,IF(7=Element_Stiffness!$C$145,Element_Stiffness!Q168,IF(7=Element_Stiffness!$E$145,Element_Stiffness!W168,0)),IF(Element_Stiffness!$E$145=5,IF(7=Element_Stiffness!$C$145,Element_Stiffness!Q174,IF(7=Element_Stiffness!$E$145,Element_Stiffness!W174,0)),0)),0)+IF(Element_Stiffness!$C$181,IF(Element_Stiffness!$C$180=5,IF(7=Element_Stiffness!$C$180,Element_Stiffness!Q203,IF(7=Element_Stiffness!$E$180,Element_Stiffness!W203,0)),IF(Element_Stiffness!$E$180=5,IF(7=Element_Stiffness!$C$180,Element_Stiffness!Q209,IF(7=Element_Stiffness!$E$180,Element_Stiffness!W209,0)),0)),0)+IF(Element_Stiffness!$C$216,IF(Element_Stiffness!$C$215=5,IF(7=Element_Stiffness!$C$215,Element_Stiffness!Q238,IF(7=Element_Stiffness!$E$215,Element_Stiffness!W238,0)),IF(Element_Stiffness!$E$215=5,IF(7=Element_Stiffness!$C$215,Element_Stiffness!Q244,IF(7=Element_Stiffness!$E$215,Element_Stiffness!W244,0)),0)),0)</f>
        <v/>
      </c>
      <c r="AU37" s="21">
        <f>IF(Element_Stiffness!$C$6,IF(Element_Stiffness!$C$5=5,IF(7=Element_Stiffness!$C$5,Element_Stiffness!R28,IF(7=Element_Stiffness!$E$5,Element_Stiffness!X28,0)),IF(Element_Stiffness!$E$5=5,IF(7=Element_Stiffness!$C$5,Element_Stiffness!R34,IF(7=Element_Stiffness!$E$5,Element_Stiffness!X34,0)),0)),0)+IF(Element_Stiffness!$C$41,IF(Element_Stiffness!$C$40=5,IF(7=Element_Stiffness!$C$40,Element_Stiffness!R63,IF(7=Element_Stiffness!$E$40,Element_Stiffness!X63,0)),IF(Element_Stiffness!$E$40=5,IF(7=Element_Stiffness!$C$40,Element_Stiffness!R69,IF(7=Element_Stiffness!$E$40,Element_Stiffness!X69,0)),0)),0)+IF(Element_Stiffness!$C$76,IF(Element_Stiffness!$C$75=5,IF(7=Element_Stiffness!$C$75,Element_Stiffness!R98,IF(7=Element_Stiffness!$E$75,Element_Stiffness!X98,0)),IF(Element_Stiffness!$E$75=5,IF(7=Element_Stiffness!$C$75,Element_Stiffness!R104,IF(7=Element_Stiffness!$E$75,Element_Stiffness!X104,0)),0)),0)+IF(Element_Stiffness!$C$111,IF(Element_Stiffness!$C$110=5,IF(7=Element_Stiffness!$C$110,Element_Stiffness!R133,IF(7=Element_Stiffness!$E$110,Element_Stiffness!X133,0)),IF(Element_Stiffness!$E$110=5,IF(7=Element_Stiffness!$C$110,Element_Stiffness!R139,IF(7=Element_Stiffness!$E$110,Element_Stiffness!X139,0)),0)),0)+IF(Element_Stiffness!$C$146,IF(Element_Stiffness!$C$145=5,IF(7=Element_Stiffness!$C$145,Element_Stiffness!R168,IF(7=Element_Stiffness!$E$145,Element_Stiffness!X168,0)),IF(Element_Stiffness!$E$145=5,IF(7=Element_Stiffness!$C$145,Element_Stiffness!R174,IF(7=Element_Stiffness!$E$145,Element_Stiffness!X174,0)),0)),0)+IF(Element_Stiffness!$C$181,IF(Element_Stiffness!$C$180=5,IF(7=Element_Stiffness!$C$180,Element_Stiffness!R203,IF(7=Element_Stiffness!$E$180,Element_Stiffness!X203,0)),IF(Element_Stiffness!$E$180=5,IF(7=Element_Stiffness!$C$180,Element_Stiffness!R209,IF(7=Element_Stiffness!$E$180,Element_Stiffness!X209,0)),0)),0)+IF(Element_Stiffness!$C$216,IF(Element_Stiffness!$C$215=5,IF(7=Element_Stiffness!$C$215,Element_Stiffness!R238,IF(7=Element_Stiffness!$E$215,Element_Stiffness!X238,0)),IF(Element_Stiffness!$E$215=5,IF(7=Element_Stiffness!$C$215,Element_Stiffness!R244,IF(7=Element_Stiffness!$E$215,Element_Stiffness!X244,0)),0)),0)</f>
        <v/>
      </c>
      <c r="AV37" s="21">
        <f>IF(Element_Stiffness!$C$6,IF(Element_Stiffness!$C$5=5,IF(7=Element_Stiffness!$C$5,Element_Stiffness!S28,IF(7=Element_Stiffness!$E$5,Element_Stiffness!Y28,0)),IF(Element_Stiffness!$E$5=5,IF(7=Element_Stiffness!$C$5,Element_Stiffness!S34,IF(7=Element_Stiffness!$E$5,Element_Stiffness!Y34,0)),0)),0)+IF(Element_Stiffness!$C$41,IF(Element_Stiffness!$C$40=5,IF(7=Element_Stiffness!$C$40,Element_Stiffness!S63,IF(7=Element_Stiffness!$E$40,Element_Stiffness!Y63,0)),IF(Element_Stiffness!$E$40=5,IF(7=Element_Stiffness!$C$40,Element_Stiffness!S69,IF(7=Element_Stiffness!$E$40,Element_Stiffness!Y69,0)),0)),0)+IF(Element_Stiffness!$C$76,IF(Element_Stiffness!$C$75=5,IF(7=Element_Stiffness!$C$75,Element_Stiffness!S98,IF(7=Element_Stiffness!$E$75,Element_Stiffness!Y98,0)),IF(Element_Stiffness!$E$75=5,IF(7=Element_Stiffness!$C$75,Element_Stiffness!S104,IF(7=Element_Stiffness!$E$75,Element_Stiffness!Y104,0)),0)),0)+IF(Element_Stiffness!$C$111,IF(Element_Stiffness!$C$110=5,IF(7=Element_Stiffness!$C$110,Element_Stiffness!S133,IF(7=Element_Stiffness!$E$110,Element_Stiffness!Y133,0)),IF(Element_Stiffness!$E$110=5,IF(7=Element_Stiffness!$C$110,Element_Stiffness!S139,IF(7=Element_Stiffness!$E$110,Element_Stiffness!Y139,0)),0)),0)+IF(Element_Stiffness!$C$146,IF(Element_Stiffness!$C$145=5,IF(7=Element_Stiffness!$C$145,Element_Stiffness!S168,IF(7=Element_Stiffness!$E$145,Element_Stiffness!Y168,0)),IF(Element_Stiffness!$E$145=5,IF(7=Element_Stiffness!$C$145,Element_Stiffness!S174,IF(7=Element_Stiffness!$E$145,Element_Stiffness!Y174,0)),0)),0)+IF(Element_Stiffness!$C$181,IF(Element_Stiffness!$C$180=5,IF(7=Element_Stiffness!$C$180,Element_Stiffness!S203,IF(7=Element_Stiffness!$E$180,Element_Stiffness!Y203,0)),IF(Element_Stiffness!$E$180=5,IF(7=Element_Stiffness!$C$180,Element_Stiffness!S209,IF(7=Element_Stiffness!$E$180,Element_Stiffness!Y209,0)),0)),0)+IF(Element_Stiffness!$C$216,IF(Element_Stiffness!$C$215=5,IF(7=Element_Stiffness!$C$215,Element_Stiffness!S238,IF(7=Element_Stiffness!$E$215,Element_Stiffness!Y238,0)),IF(Element_Stiffness!$E$215=5,IF(7=Element_Stiffness!$C$215,Element_Stiffness!S244,IF(7=Element_Stiffness!$E$215,Element_Stiffness!Y244,0)),0)),0)</f>
        <v/>
      </c>
      <c r="AW37" s="21">
        <f>IF(Element_Stiffness!$C$6,IF(Element_Stiffness!$C$5=5,IF(7=Element_Stiffness!$C$5,Element_Stiffness!T28,IF(7=Element_Stiffness!$E$5,Element_Stiffness!Z28,0)),IF(Element_Stiffness!$E$5=5,IF(7=Element_Stiffness!$C$5,Element_Stiffness!T34,IF(7=Element_Stiffness!$E$5,Element_Stiffness!Z34,0)),0)),0)+IF(Element_Stiffness!$C$41,IF(Element_Stiffness!$C$40=5,IF(7=Element_Stiffness!$C$40,Element_Stiffness!T63,IF(7=Element_Stiffness!$E$40,Element_Stiffness!Z63,0)),IF(Element_Stiffness!$E$40=5,IF(7=Element_Stiffness!$C$40,Element_Stiffness!T69,IF(7=Element_Stiffness!$E$40,Element_Stiffness!Z69,0)),0)),0)+IF(Element_Stiffness!$C$76,IF(Element_Stiffness!$C$75=5,IF(7=Element_Stiffness!$C$75,Element_Stiffness!T98,IF(7=Element_Stiffness!$E$75,Element_Stiffness!Z98,0)),IF(Element_Stiffness!$E$75=5,IF(7=Element_Stiffness!$C$75,Element_Stiffness!T104,IF(7=Element_Stiffness!$E$75,Element_Stiffness!Z104,0)),0)),0)+IF(Element_Stiffness!$C$111,IF(Element_Stiffness!$C$110=5,IF(7=Element_Stiffness!$C$110,Element_Stiffness!T133,IF(7=Element_Stiffness!$E$110,Element_Stiffness!Z133,0)),IF(Element_Stiffness!$E$110=5,IF(7=Element_Stiffness!$C$110,Element_Stiffness!T139,IF(7=Element_Stiffness!$E$110,Element_Stiffness!Z139,0)),0)),0)+IF(Element_Stiffness!$C$146,IF(Element_Stiffness!$C$145=5,IF(7=Element_Stiffness!$C$145,Element_Stiffness!T168,IF(7=Element_Stiffness!$E$145,Element_Stiffness!Z168,0)),IF(Element_Stiffness!$E$145=5,IF(7=Element_Stiffness!$C$145,Element_Stiffness!T174,IF(7=Element_Stiffness!$E$145,Element_Stiffness!Z174,0)),0)),0)+IF(Element_Stiffness!$C$181,IF(Element_Stiffness!$C$180=5,IF(7=Element_Stiffness!$C$180,Element_Stiffness!T203,IF(7=Element_Stiffness!$E$180,Element_Stiffness!Z203,0)),IF(Element_Stiffness!$E$180=5,IF(7=Element_Stiffness!$C$180,Element_Stiffness!T209,IF(7=Element_Stiffness!$E$180,Element_Stiffness!Z209,0)),0)),0)+IF(Element_Stiffness!$C$216,IF(Element_Stiffness!$C$215=5,IF(7=Element_Stiffness!$C$215,Element_Stiffness!T238,IF(7=Element_Stiffness!$E$215,Element_Stiffness!Z238,0)),IF(Element_Stiffness!$E$215=5,IF(7=Element_Stiffness!$C$215,Element_Stiffness!T244,IF(7=Element_Stiffness!$E$215,Element_Stiffness!Z244,0)),0)),0)</f>
        <v/>
      </c>
      <c r="AX37" s="21">
        <f>IF(Element_Stiffness!$C$6,IF(Element_Stiffness!$C$5=5,IF(7=Element_Stiffness!$C$5,Element_Stiffness!U28,IF(7=Element_Stiffness!$E$5,Element_Stiffness!AA28,0)),IF(Element_Stiffness!$E$5=5,IF(7=Element_Stiffness!$C$5,Element_Stiffness!U34,IF(7=Element_Stiffness!$E$5,Element_Stiffness!AA34,0)),0)),0)+IF(Element_Stiffness!$C$41,IF(Element_Stiffness!$C$40=5,IF(7=Element_Stiffness!$C$40,Element_Stiffness!U63,IF(7=Element_Stiffness!$E$40,Element_Stiffness!AA63,0)),IF(Element_Stiffness!$E$40=5,IF(7=Element_Stiffness!$C$40,Element_Stiffness!U69,IF(7=Element_Stiffness!$E$40,Element_Stiffness!AA69,0)),0)),0)+IF(Element_Stiffness!$C$76,IF(Element_Stiffness!$C$75=5,IF(7=Element_Stiffness!$C$75,Element_Stiffness!U98,IF(7=Element_Stiffness!$E$75,Element_Stiffness!AA98,0)),IF(Element_Stiffness!$E$75=5,IF(7=Element_Stiffness!$C$75,Element_Stiffness!U104,IF(7=Element_Stiffness!$E$75,Element_Stiffness!AA104,0)),0)),0)+IF(Element_Stiffness!$C$111,IF(Element_Stiffness!$C$110=5,IF(7=Element_Stiffness!$C$110,Element_Stiffness!U133,IF(7=Element_Stiffness!$E$110,Element_Stiffness!AA133,0)),IF(Element_Stiffness!$E$110=5,IF(7=Element_Stiffness!$C$110,Element_Stiffness!U139,IF(7=Element_Stiffness!$E$110,Element_Stiffness!AA139,0)),0)),0)+IF(Element_Stiffness!$C$146,IF(Element_Stiffness!$C$145=5,IF(7=Element_Stiffness!$C$145,Element_Stiffness!U168,IF(7=Element_Stiffness!$E$145,Element_Stiffness!AA168,0)),IF(Element_Stiffness!$E$145=5,IF(7=Element_Stiffness!$C$145,Element_Stiffness!U174,IF(7=Element_Stiffness!$E$145,Element_Stiffness!AA174,0)),0)),0)+IF(Element_Stiffness!$C$181,IF(Element_Stiffness!$C$180=5,IF(7=Element_Stiffness!$C$180,Element_Stiffness!U203,IF(7=Element_Stiffness!$E$180,Element_Stiffness!AA203,0)),IF(Element_Stiffness!$E$180=5,IF(7=Element_Stiffness!$C$180,Element_Stiffness!U209,IF(7=Element_Stiffness!$E$180,Element_Stiffness!AA209,0)),0)),0)+IF(Element_Stiffness!$C$216,IF(Element_Stiffness!$C$215=5,IF(7=Element_Stiffness!$C$215,Element_Stiffness!U238,IF(7=Element_Stiffness!$E$215,Element_Stiffness!AA238,0)),IF(Element_Stiffness!$E$215=5,IF(7=Element_Stiffness!$C$215,Element_Stiffness!U244,IF(7=Element_Stiffness!$E$215,Element_Stiffness!AA244,0)),0)),0)</f>
        <v/>
      </c>
      <c r="AY37" s="21" t="n">
        <v>0</v>
      </c>
      <c r="AZ37" s="21">
        <f>IF(Element_Stiffness!$C$6,IF(Element_Stiffness!$C$5=5,Element_Stiffness!C28,IF(Element_Stiffness!$E$5=5,Element_Stiffness!C34,0)),0)+IF(Element_Stiffness!$C$41,IF(Element_Stiffness!$C$40=5,Element_Stiffness!C63,IF(Element_Stiffness!$E$40=5,Element_Stiffness!C69,0)),0)+IF(Element_Stiffness!$C$76,IF(Element_Stiffness!$C$75=5,Element_Stiffness!C98,IF(Element_Stiffness!$E$75=5,Element_Stiffness!C104,0)),0)+IF(Element_Stiffness!$C$111,IF(Element_Stiffness!$C$110=5,Element_Stiffness!C133,IF(Element_Stiffness!$E$110=5,Element_Stiffness!C139,0)),0)+IF(Element_Stiffness!$C$146,IF(Element_Stiffness!$C$145=5,Element_Stiffness!C168,IF(Element_Stiffness!$E$145=5,Element_Stiffness!C174,0)),0)+IF(Element_Stiffness!$C$181,IF(Element_Stiffness!$C$180=5,Element_Stiffness!C203,IF(Element_Stiffness!$E$180=5,Element_Stiffness!C209,0)),0)+IF(Element_Stiffness!$C$216,IF(Element_Stiffness!$C$215=5,Element_Stiffness!C238,IF(Element_Stiffness!$E$215=5,Element_Stiffness!C244,0)),0)</f>
        <v/>
      </c>
      <c r="BB37" s="28">
        <f>INDEX(MMULT(MINVERSE(C5:AX52), AY5:AY52), 33, 1)</f>
        <v/>
      </c>
      <c r="BC37" s="28">
        <f>INDEX(MMULT(MINVERSE(C5:AX52), AZ5:AZ52), 33, 1)</f>
        <v/>
      </c>
    </row>
    <row r="38">
      <c r="B38" s="27" t="inlineStr">
        <is>
          <t>N5_rx</t>
        </is>
      </c>
      <c r="C38" s="21">
        <f>IF(Element_Stiffness!$C$6,IF(Element_Stiffness!$C$5=5,IF(0=Element_Stiffness!$C$5,Element_Stiffness!P29,IF(0=Element_Stiffness!$E$5,Element_Stiffness!V29,0)),IF(Element_Stiffness!$E$5=5,IF(0=Element_Stiffness!$C$5,Element_Stiffness!P35,IF(0=Element_Stiffness!$E$5,Element_Stiffness!V35,0)),0)),0)+IF(Element_Stiffness!$C$41,IF(Element_Stiffness!$C$40=5,IF(0=Element_Stiffness!$C$40,Element_Stiffness!P64,IF(0=Element_Stiffness!$E$40,Element_Stiffness!V64,0)),IF(Element_Stiffness!$E$40=5,IF(0=Element_Stiffness!$C$40,Element_Stiffness!P70,IF(0=Element_Stiffness!$E$40,Element_Stiffness!V70,0)),0)),0)+IF(Element_Stiffness!$C$76,IF(Element_Stiffness!$C$75=5,IF(0=Element_Stiffness!$C$75,Element_Stiffness!P99,IF(0=Element_Stiffness!$E$75,Element_Stiffness!V99,0)),IF(Element_Stiffness!$E$75=5,IF(0=Element_Stiffness!$C$75,Element_Stiffness!P105,IF(0=Element_Stiffness!$E$75,Element_Stiffness!V105,0)),0)),0)+IF(Element_Stiffness!$C$111,IF(Element_Stiffness!$C$110=5,IF(0=Element_Stiffness!$C$110,Element_Stiffness!P134,IF(0=Element_Stiffness!$E$110,Element_Stiffness!V134,0)),IF(Element_Stiffness!$E$110=5,IF(0=Element_Stiffness!$C$110,Element_Stiffness!P140,IF(0=Element_Stiffness!$E$110,Element_Stiffness!V140,0)),0)),0)+IF(Element_Stiffness!$C$146,IF(Element_Stiffness!$C$145=5,IF(0=Element_Stiffness!$C$145,Element_Stiffness!P169,IF(0=Element_Stiffness!$E$145,Element_Stiffness!V169,0)),IF(Element_Stiffness!$E$145=5,IF(0=Element_Stiffness!$C$145,Element_Stiffness!P175,IF(0=Element_Stiffness!$E$145,Element_Stiffness!V175,0)),0)),0)+IF(Element_Stiffness!$C$181,IF(Element_Stiffness!$C$180=5,IF(0=Element_Stiffness!$C$180,Element_Stiffness!P204,IF(0=Element_Stiffness!$E$180,Element_Stiffness!V204,0)),IF(Element_Stiffness!$E$180=5,IF(0=Element_Stiffness!$C$180,Element_Stiffness!P210,IF(0=Element_Stiffness!$E$180,Element_Stiffness!V210,0)),0)),0)+IF(Element_Stiffness!$C$216,IF(Element_Stiffness!$C$215=5,IF(0=Element_Stiffness!$C$215,Element_Stiffness!P239,IF(0=Element_Stiffness!$E$215,Element_Stiffness!V239,0)),IF(Element_Stiffness!$E$215=5,IF(0=Element_Stiffness!$C$215,Element_Stiffness!P245,IF(0=Element_Stiffness!$E$215,Element_Stiffness!V245,0)),0)),0)</f>
        <v/>
      </c>
      <c r="D38" s="21">
        <f>IF(Element_Stiffness!$C$6,IF(Element_Stiffness!$C$5=5,IF(0=Element_Stiffness!$C$5,Element_Stiffness!Q29,IF(0=Element_Stiffness!$E$5,Element_Stiffness!W29,0)),IF(Element_Stiffness!$E$5=5,IF(0=Element_Stiffness!$C$5,Element_Stiffness!Q35,IF(0=Element_Stiffness!$E$5,Element_Stiffness!W35,0)),0)),0)+IF(Element_Stiffness!$C$41,IF(Element_Stiffness!$C$40=5,IF(0=Element_Stiffness!$C$40,Element_Stiffness!Q64,IF(0=Element_Stiffness!$E$40,Element_Stiffness!W64,0)),IF(Element_Stiffness!$E$40=5,IF(0=Element_Stiffness!$C$40,Element_Stiffness!Q70,IF(0=Element_Stiffness!$E$40,Element_Stiffness!W70,0)),0)),0)+IF(Element_Stiffness!$C$76,IF(Element_Stiffness!$C$75=5,IF(0=Element_Stiffness!$C$75,Element_Stiffness!Q99,IF(0=Element_Stiffness!$E$75,Element_Stiffness!W99,0)),IF(Element_Stiffness!$E$75=5,IF(0=Element_Stiffness!$C$75,Element_Stiffness!Q105,IF(0=Element_Stiffness!$E$75,Element_Stiffness!W105,0)),0)),0)+IF(Element_Stiffness!$C$111,IF(Element_Stiffness!$C$110=5,IF(0=Element_Stiffness!$C$110,Element_Stiffness!Q134,IF(0=Element_Stiffness!$E$110,Element_Stiffness!W134,0)),IF(Element_Stiffness!$E$110=5,IF(0=Element_Stiffness!$C$110,Element_Stiffness!Q140,IF(0=Element_Stiffness!$E$110,Element_Stiffness!W140,0)),0)),0)+IF(Element_Stiffness!$C$146,IF(Element_Stiffness!$C$145=5,IF(0=Element_Stiffness!$C$145,Element_Stiffness!Q169,IF(0=Element_Stiffness!$E$145,Element_Stiffness!W169,0)),IF(Element_Stiffness!$E$145=5,IF(0=Element_Stiffness!$C$145,Element_Stiffness!Q175,IF(0=Element_Stiffness!$E$145,Element_Stiffness!W175,0)),0)),0)+IF(Element_Stiffness!$C$181,IF(Element_Stiffness!$C$180=5,IF(0=Element_Stiffness!$C$180,Element_Stiffness!Q204,IF(0=Element_Stiffness!$E$180,Element_Stiffness!W204,0)),IF(Element_Stiffness!$E$180=5,IF(0=Element_Stiffness!$C$180,Element_Stiffness!Q210,IF(0=Element_Stiffness!$E$180,Element_Stiffness!W210,0)),0)),0)+IF(Element_Stiffness!$C$216,IF(Element_Stiffness!$C$215=5,IF(0=Element_Stiffness!$C$215,Element_Stiffness!Q239,IF(0=Element_Stiffness!$E$215,Element_Stiffness!W239,0)),IF(Element_Stiffness!$E$215=5,IF(0=Element_Stiffness!$C$215,Element_Stiffness!Q245,IF(0=Element_Stiffness!$E$215,Element_Stiffness!W245,0)),0)),0)</f>
        <v/>
      </c>
      <c r="E38" s="21">
        <f>IF(Element_Stiffness!$C$6,IF(Element_Stiffness!$C$5=5,IF(0=Element_Stiffness!$C$5,Element_Stiffness!R29,IF(0=Element_Stiffness!$E$5,Element_Stiffness!X29,0)),IF(Element_Stiffness!$E$5=5,IF(0=Element_Stiffness!$C$5,Element_Stiffness!R35,IF(0=Element_Stiffness!$E$5,Element_Stiffness!X35,0)),0)),0)+IF(Element_Stiffness!$C$41,IF(Element_Stiffness!$C$40=5,IF(0=Element_Stiffness!$C$40,Element_Stiffness!R64,IF(0=Element_Stiffness!$E$40,Element_Stiffness!X64,0)),IF(Element_Stiffness!$E$40=5,IF(0=Element_Stiffness!$C$40,Element_Stiffness!R70,IF(0=Element_Stiffness!$E$40,Element_Stiffness!X70,0)),0)),0)+IF(Element_Stiffness!$C$76,IF(Element_Stiffness!$C$75=5,IF(0=Element_Stiffness!$C$75,Element_Stiffness!R99,IF(0=Element_Stiffness!$E$75,Element_Stiffness!X99,0)),IF(Element_Stiffness!$E$75=5,IF(0=Element_Stiffness!$C$75,Element_Stiffness!R105,IF(0=Element_Stiffness!$E$75,Element_Stiffness!X105,0)),0)),0)+IF(Element_Stiffness!$C$111,IF(Element_Stiffness!$C$110=5,IF(0=Element_Stiffness!$C$110,Element_Stiffness!R134,IF(0=Element_Stiffness!$E$110,Element_Stiffness!X134,0)),IF(Element_Stiffness!$E$110=5,IF(0=Element_Stiffness!$C$110,Element_Stiffness!R140,IF(0=Element_Stiffness!$E$110,Element_Stiffness!X140,0)),0)),0)+IF(Element_Stiffness!$C$146,IF(Element_Stiffness!$C$145=5,IF(0=Element_Stiffness!$C$145,Element_Stiffness!R169,IF(0=Element_Stiffness!$E$145,Element_Stiffness!X169,0)),IF(Element_Stiffness!$E$145=5,IF(0=Element_Stiffness!$C$145,Element_Stiffness!R175,IF(0=Element_Stiffness!$E$145,Element_Stiffness!X175,0)),0)),0)+IF(Element_Stiffness!$C$181,IF(Element_Stiffness!$C$180=5,IF(0=Element_Stiffness!$C$180,Element_Stiffness!R204,IF(0=Element_Stiffness!$E$180,Element_Stiffness!X204,0)),IF(Element_Stiffness!$E$180=5,IF(0=Element_Stiffness!$C$180,Element_Stiffness!R210,IF(0=Element_Stiffness!$E$180,Element_Stiffness!X210,0)),0)),0)+IF(Element_Stiffness!$C$216,IF(Element_Stiffness!$C$215=5,IF(0=Element_Stiffness!$C$215,Element_Stiffness!R239,IF(0=Element_Stiffness!$E$215,Element_Stiffness!X239,0)),IF(Element_Stiffness!$E$215=5,IF(0=Element_Stiffness!$C$215,Element_Stiffness!R245,IF(0=Element_Stiffness!$E$215,Element_Stiffness!X245,0)),0)),0)</f>
        <v/>
      </c>
      <c r="F38" s="21">
        <f>IF(Element_Stiffness!$C$6,IF(Element_Stiffness!$C$5=5,IF(0=Element_Stiffness!$C$5,Element_Stiffness!S29,IF(0=Element_Stiffness!$E$5,Element_Stiffness!Y29,0)),IF(Element_Stiffness!$E$5=5,IF(0=Element_Stiffness!$C$5,Element_Stiffness!S35,IF(0=Element_Stiffness!$E$5,Element_Stiffness!Y35,0)),0)),0)+IF(Element_Stiffness!$C$41,IF(Element_Stiffness!$C$40=5,IF(0=Element_Stiffness!$C$40,Element_Stiffness!S64,IF(0=Element_Stiffness!$E$40,Element_Stiffness!Y64,0)),IF(Element_Stiffness!$E$40=5,IF(0=Element_Stiffness!$C$40,Element_Stiffness!S70,IF(0=Element_Stiffness!$E$40,Element_Stiffness!Y70,0)),0)),0)+IF(Element_Stiffness!$C$76,IF(Element_Stiffness!$C$75=5,IF(0=Element_Stiffness!$C$75,Element_Stiffness!S99,IF(0=Element_Stiffness!$E$75,Element_Stiffness!Y99,0)),IF(Element_Stiffness!$E$75=5,IF(0=Element_Stiffness!$C$75,Element_Stiffness!S105,IF(0=Element_Stiffness!$E$75,Element_Stiffness!Y105,0)),0)),0)+IF(Element_Stiffness!$C$111,IF(Element_Stiffness!$C$110=5,IF(0=Element_Stiffness!$C$110,Element_Stiffness!S134,IF(0=Element_Stiffness!$E$110,Element_Stiffness!Y134,0)),IF(Element_Stiffness!$E$110=5,IF(0=Element_Stiffness!$C$110,Element_Stiffness!S140,IF(0=Element_Stiffness!$E$110,Element_Stiffness!Y140,0)),0)),0)+IF(Element_Stiffness!$C$146,IF(Element_Stiffness!$C$145=5,IF(0=Element_Stiffness!$C$145,Element_Stiffness!S169,IF(0=Element_Stiffness!$E$145,Element_Stiffness!Y169,0)),IF(Element_Stiffness!$E$145=5,IF(0=Element_Stiffness!$C$145,Element_Stiffness!S175,IF(0=Element_Stiffness!$E$145,Element_Stiffness!Y175,0)),0)),0)+IF(Element_Stiffness!$C$181,IF(Element_Stiffness!$C$180=5,IF(0=Element_Stiffness!$C$180,Element_Stiffness!S204,IF(0=Element_Stiffness!$E$180,Element_Stiffness!Y204,0)),IF(Element_Stiffness!$E$180=5,IF(0=Element_Stiffness!$C$180,Element_Stiffness!S210,IF(0=Element_Stiffness!$E$180,Element_Stiffness!Y210,0)),0)),0)+IF(Element_Stiffness!$C$216,IF(Element_Stiffness!$C$215=5,IF(0=Element_Stiffness!$C$215,Element_Stiffness!S239,IF(0=Element_Stiffness!$E$215,Element_Stiffness!Y239,0)),IF(Element_Stiffness!$E$215=5,IF(0=Element_Stiffness!$C$215,Element_Stiffness!S245,IF(0=Element_Stiffness!$E$215,Element_Stiffness!Y245,0)),0)),0)</f>
        <v/>
      </c>
      <c r="G38" s="21">
        <f>IF(Element_Stiffness!$C$6,IF(Element_Stiffness!$C$5=5,IF(0=Element_Stiffness!$C$5,Element_Stiffness!T29,IF(0=Element_Stiffness!$E$5,Element_Stiffness!Z29,0)),IF(Element_Stiffness!$E$5=5,IF(0=Element_Stiffness!$C$5,Element_Stiffness!T35,IF(0=Element_Stiffness!$E$5,Element_Stiffness!Z35,0)),0)),0)+IF(Element_Stiffness!$C$41,IF(Element_Stiffness!$C$40=5,IF(0=Element_Stiffness!$C$40,Element_Stiffness!T64,IF(0=Element_Stiffness!$E$40,Element_Stiffness!Z64,0)),IF(Element_Stiffness!$E$40=5,IF(0=Element_Stiffness!$C$40,Element_Stiffness!T70,IF(0=Element_Stiffness!$E$40,Element_Stiffness!Z70,0)),0)),0)+IF(Element_Stiffness!$C$76,IF(Element_Stiffness!$C$75=5,IF(0=Element_Stiffness!$C$75,Element_Stiffness!T99,IF(0=Element_Stiffness!$E$75,Element_Stiffness!Z99,0)),IF(Element_Stiffness!$E$75=5,IF(0=Element_Stiffness!$C$75,Element_Stiffness!T105,IF(0=Element_Stiffness!$E$75,Element_Stiffness!Z105,0)),0)),0)+IF(Element_Stiffness!$C$111,IF(Element_Stiffness!$C$110=5,IF(0=Element_Stiffness!$C$110,Element_Stiffness!T134,IF(0=Element_Stiffness!$E$110,Element_Stiffness!Z134,0)),IF(Element_Stiffness!$E$110=5,IF(0=Element_Stiffness!$C$110,Element_Stiffness!T140,IF(0=Element_Stiffness!$E$110,Element_Stiffness!Z140,0)),0)),0)+IF(Element_Stiffness!$C$146,IF(Element_Stiffness!$C$145=5,IF(0=Element_Stiffness!$C$145,Element_Stiffness!T169,IF(0=Element_Stiffness!$E$145,Element_Stiffness!Z169,0)),IF(Element_Stiffness!$E$145=5,IF(0=Element_Stiffness!$C$145,Element_Stiffness!T175,IF(0=Element_Stiffness!$E$145,Element_Stiffness!Z175,0)),0)),0)+IF(Element_Stiffness!$C$181,IF(Element_Stiffness!$C$180=5,IF(0=Element_Stiffness!$C$180,Element_Stiffness!T204,IF(0=Element_Stiffness!$E$180,Element_Stiffness!Z204,0)),IF(Element_Stiffness!$E$180=5,IF(0=Element_Stiffness!$C$180,Element_Stiffness!T210,IF(0=Element_Stiffness!$E$180,Element_Stiffness!Z210,0)),0)),0)+IF(Element_Stiffness!$C$216,IF(Element_Stiffness!$C$215=5,IF(0=Element_Stiffness!$C$215,Element_Stiffness!T239,IF(0=Element_Stiffness!$E$215,Element_Stiffness!Z239,0)),IF(Element_Stiffness!$E$215=5,IF(0=Element_Stiffness!$C$215,Element_Stiffness!T245,IF(0=Element_Stiffness!$E$215,Element_Stiffness!Z245,0)),0)),0)</f>
        <v/>
      </c>
      <c r="H38" s="21">
        <f>IF(Element_Stiffness!$C$6,IF(Element_Stiffness!$C$5=5,IF(0=Element_Stiffness!$C$5,Element_Stiffness!U29,IF(0=Element_Stiffness!$E$5,Element_Stiffness!AA29,0)),IF(Element_Stiffness!$E$5=5,IF(0=Element_Stiffness!$C$5,Element_Stiffness!U35,IF(0=Element_Stiffness!$E$5,Element_Stiffness!AA35,0)),0)),0)+IF(Element_Stiffness!$C$41,IF(Element_Stiffness!$C$40=5,IF(0=Element_Stiffness!$C$40,Element_Stiffness!U64,IF(0=Element_Stiffness!$E$40,Element_Stiffness!AA64,0)),IF(Element_Stiffness!$E$40=5,IF(0=Element_Stiffness!$C$40,Element_Stiffness!U70,IF(0=Element_Stiffness!$E$40,Element_Stiffness!AA70,0)),0)),0)+IF(Element_Stiffness!$C$76,IF(Element_Stiffness!$C$75=5,IF(0=Element_Stiffness!$C$75,Element_Stiffness!U99,IF(0=Element_Stiffness!$E$75,Element_Stiffness!AA99,0)),IF(Element_Stiffness!$E$75=5,IF(0=Element_Stiffness!$C$75,Element_Stiffness!U105,IF(0=Element_Stiffness!$E$75,Element_Stiffness!AA105,0)),0)),0)+IF(Element_Stiffness!$C$111,IF(Element_Stiffness!$C$110=5,IF(0=Element_Stiffness!$C$110,Element_Stiffness!U134,IF(0=Element_Stiffness!$E$110,Element_Stiffness!AA134,0)),IF(Element_Stiffness!$E$110=5,IF(0=Element_Stiffness!$C$110,Element_Stiffness!U140,IF(0=Element_Stiffness!$E$110,Element_Stiffness!AA140,0)),0)),0)+IF(Element_Stiffness!$C$146,IF(Element_Stiffness!$C$145=5,IF(0=Element_Stiffness!$C$145,Element_Stiffness!U169,IF(0=Element_Stiffness!$E$145,Element_Stiffness!AA169,0)),IF(Element_Stiffness!$E$145=5,IF(0=Element_Stiffness!$C$145,Element_Stiffness!U175,IF(0=Element_Stiffness!$E$145,Element_Stiffness!AA175,0)),0)),0)+IF(Element_Stiffness!$C$181,IF(Element_Stiffness!$C$180=5,IF(0=Element_Stiffness!$C$180,Element_Stiffness!U204,IF(0=Element_Stiffness!$E$180,Element_Stiffness!AA204,0)),IF(Element_Stiffness!$E$180=5,IF(0=Element_Stiffness!$C$180,Element_Stiffness!U210,IF(0=Element_Stiffness!$E$180,Element_Stiffness!AA210,0)),0)),0)+IF(Element_Stiffness!$C$216,IF(Element_Stiffness!$C$215=5,IF(0=Element_Stiffness!$C$215,Element_Stiffness!U239,IF(0=Element_Stiffness!$E$215,Element_Stiffness!AA239,0)),IF(Element_Stiffness!$E$215=5,IF(0=Element_Stiffness!$C$215,Element_Stiffness!U245,IF(0=Element_Stiffness!$E$215,Element_Stiffness!AA245,0)),0)),0)</f>
        <v/>
      </c>
      <c r="I38" s="21">
        <f>IF(Element_Stiffness!$C$6,IF(Element_Stiffness!$C$5=5,IF(1=Element_Stiffness!$C$5,Element_Stiffness!P29,IF(1=Element_Stiffness!$E$5,Element_Stiffness!V29,0)),IF(Element_Stiffness!$E$5=5,IF(1=Element_Stiffness!$C$5,Element_Stiffness!P35,IF(1=Element_Stiffness!$E$5,Element_Stiffness!V35,0)),0)),0)+IF(Element_Stiffness!$C$41,IF(Element_Stiffness!$C$40=5,IF(1=Element_Stiffness!$C$40,Element_Stiffness!P64,IF(1=Element_Stiffness!$E$40,Element_Stiffness!V64,0)),IF(Element_Stiffness!$E$40=5,IF(1=Element_Stiffness!$C$40,Element_Stiffness!P70,IF(1=Element_Stiffness!$E$40,Element_Stiffness!V70,0)),0)),0)+IF(Element_Stiffness!$C$76,IF(Element_Stiffness!$C$75=5,IF(1=Element_Stiffness!$C$75,Element_Stiffness!P99,IF(1=Element_Stiffness!$E$75,Element_Stiffness!V99,0)),IF(Element_Stiffness!$E$75=5,IF(1=Element_Stiffness!$C$75,Element_Stiffness!P105,IF(1=Element_Stiffness!$E$75,Element_Stiffness!V105,0)),0)),0)+IF(Element_Stiffness!$C$111,IF(Element_Stiffness!$C$110=5,IF(1=Element_Stiffness!$C$110,Element_Stiffness!P134,IF(1=Element_Stiffness!$E$110,Element_Stiffness!V134,0)),IF(Element_Stiffness!$E$110=5,IF(1=Element_Stiffness!$C$110,Element_Stiffness!P140,IF(1=Element_Stiffness!$E$110,Element_Stiffness!V140,0)),0)),0)+IF(Element_Stiffness!$C$146,IF(Element_Stiffness!$C$145=5,IF(1=Element_Stiffness!$C$145,Element_Stiffness!P169,IF(1=Element_Stiffness!$E$145,Element_Stiffness!V169,0)),IF(Element_Stiffness!$E$145=5,IF(1=Element_Stiffness!$C$145,Element_Stiffness!P175,IF(1=Element_Stiffness!$E$145,Element_Stiffness!V175,0)),0)),0)+IF(Element_Stiffness!$C$181,IF(Element_Stiffness!$C$180=5,IF(1=Element_Stiffness!$C$180,Element_Stiffness!P204,IF(1=Element_Stiffness!$E$180,Element_Stiffness!V204,0)),IF(Element_Stiffness!$E$180=5,IF(1=Element_Stiffness!$C$180,Element_Stiffness!P210,IF(1=Element_Stiffness!$E$180,Element_Stiffness!V210,0)),0)),0)+IF(Element_Stiffness!$C$216,IF(Element_Stiffness!$C$215=5,IF(1=Element_Stiffness!$C$215,Element_Stiffness!P239,IF(1=Element_Stiffness!$E$215,Element_Stiffness!V239,0)),IF(Element_Stiffness!$E$215=5,IF(1=Element_Stiffness!$C$215,Element_Stiffness!P245,IF(1=Element_Stiffness!$E$215,Element_Stiffness!V245,0)),0)),0)</f>
        <v/>
      </c>
      <c r="J38" s="21">
        <f>IF(Element_Stiffness!$C$6,IF(Element_Stiffness!$C$5=5,IF(1=Element_Stiffness!$C$5,Element_Stiffness!Q29,IF(1=Element_Stiffness!$E$5,Element_Stiffness!W29,0)),IF(Element_Stiffness!$E$5=5,IF(1=Element_Stiffness!$C$5,Element_Stiffness!Q35,IF(1=Element_Stiffness!$E$5,Element_Stiffness!W35,0)),0)),0)+IF(Element_Stiffness!$C$41,IF(Element_Stiffness!$C$40=5,IF(1=Element_Stiffness!$C$40,Element_Stiffness!Q64,IF(1=Element_Stiffness!$E$40,Element_Stiffness!W64,0)),IF(Element_Stiffness!$E$40=5,IF(1=Element_Stiffness!$C$40,Element_Stiffness!Q70,IF(1=Element_Stiffness!$E$40,Element_Stiffness!W70,0)),0)),0)+IF(Element_Stiffness!$C$76,IF(Element_Stiffness!$C$75=5,IF(1=Element_Stiffness!$C$75,Element_Stiffness!Q99,IF(1=Element_Stiffness!$E$75,Element_Stiffness!W99,0)),IF(Element_Stiffness!$E$75=5,IF(1=Element_Stiffness!$C$75,Element_Stiffness!Q105,IF(1=Element_Stiffness!$E$75,Element_Stiffness!W105,0)),0)),0)+IF(Element_Stiffness!$C$111,IF(Element_Stiffness!$C$110=5,IF(1=Element_Stiffness!$C$110,Element_Stiffness!Q134,IF(1=Element_Stiffness!$E$110,Element_Stiffness!W134,0)),IF(Element_Stiffness!$E$110=5,IF(1=Element_Stiffness!$C$110,Element_Stiffness!Q140,IF(1=Element_Stiffness!$E$110,Element_Stiffness!W140,0)),0)),0)+IF(Element_Stiffness!$C$146,IF(Element_Stiffness!$C$145=5,IF(1=Element_Stiffness!$C$145,Element_Stiffness!Q169,IF(1=Element_Stiffness!$E$145,Element_Stiffness!W169,0)),IF(Element_Stiffness!$E$145=5,IF(1=Element_Stiffness!$C$145,Element_Stiffness!Q175,IF(1=Element_Stiffness!$E$145,Element_Stiffness!W175,0)),0)),0)+IF(Element_Stiffness!$C$181,IF(Element_Stiffness!$C$180=5,IF(1=Element_Stiffness!$C$180,Element_Stiffness!Q204,IF(1=Element_Stiffness!$E$180,Element_Stiffness!W204,0)),IF(Element_Stiffness!$E$180=5,IF(1=Element_Stiffness!$C$180,Element_Stiffness!Q210,IF(1=Element_Stiffness!$E$180,Element_Stiffness!W210,0)),0)),0)+IF(Element_Stiffness!$C$216,IF(Element_Stiffness!$C$215=5,IF(1=Element_Stiffness!$C$215,Element_Stiffness!Q239,IF(1=Element_Stiffness!$E$215,Element_Stiffness!W239,0)),IF(Element_Stiffness!$E$215=5,IF(1=Element_Stiffness!$C$215,Element_Stiffness!Q245,IF(1=Element_Stiffness!$E$215,Element_Stiffness!W245,0)),0)),0)</f>
        <v/>
      </c>
      <c r="K38" s="21">
        <f>IF(Element_Stiffness!$C$6,IF(Element_Stiffness!$C$5=5,IF(1=Element_Stiffness!$C$5,Element_Stiffness!R29,IF(1=Element_Stiffness!$E$5,Element_Stiffness!X29,0)),IF(Element_Stiffness!$E$5=5,IF(1=Element_Stiffness!$C$5,Element_Stiffness!R35,IF(1=Element_Stiffness!$E$5,Element_Stiffness!X35,0)),0)),0)+IF(Element_Stiffness!$C$41,IF(Element_Stiffness!$C$40=5,IF(1=Element_Stiffness!$C$40,Element_Stiffness!R64,IF(1=Element_Stiffness!$E$40,Element_Stiffness!X64,0)),IF(Element_Stiffness!$E$40=5,IF(1=Element_Stiffness!$C$40,Element_Stiffness!R70,IF(1=Element_Stiffness!$E$40,Element_Stiffness!X70,0)),0)),0)+IF(Element_Stiffness!$C$76,IF(Element_Stiffness!$C$75=5,IF(1=Element_Stiffness!$C$75,Element_Stiffness!R99,IF(1=Element_Stiffness!$E$75,Element_Stiffness!X99,0)),IF(Element_Stiffness!$E$75=5,IF(1=Element_Stiffness!$C$75,Element_Stiffness!R105,IF(1=Element_Stiffness!$E$75,Element_Stiffness!X105,0)),0)),0)+IF(Element_Stiffness!$C$111,IF(Element_Stiffness!$C$110=5,IF(1=Element_Stiffness!$C$110,Element_Stiffness!R134,IF(1=Element_Stiffness!$E$110,Element_Stiffness!X134,0)),IF(Element_Stiffness!$E$110=5,IF(1=Element_Stiffness!$C$110,Element_Stiffness!R140,IF(1=Element_Stiffness!$E$110,Element_Stiffness!X140,0)),0)),0)+IF(Element_Stiffness!$C$146,IF(Element_Stiffness!$C$145=5,IF(1=Element_Stiffness!$C$145,Element_Stiffness!R169,IF(1=Element_Stiffness!$E$145,Element_Stiffness!X169,0)),IF(Element_Stiffness!$E$145=5,IF(1=Element_Stiffness!$C$145,Element_Stiffness!R175,IF(1=Element_Stiffness!$E$145,Element_Stiffness!X175,0)),0)),0)+IF(Element_Stiffness!$C$181,IF(Element_Stiffness!$C$180=5,IF(1=Element_Stiffness!$C$180,Element_Stiffness!R204,IF(1=Element_Stiffness!$E$180,Element_Stiffness!X204,0)),IF(Element_Stiffness!$E$180=5,IF(1=Element_Stiffness!$C$180,Element_Stiffness!R210,IF(1=Element_Stiffness!$E$180,Element_Stiffness!X210,0)),0)),0)+IF(Element_Stiffness!$C$216,IF(Element_Stiffness!$C$215=5,IF(1=Element_Stiffness!$C$215,Element_Stiffness!R239,IF(1=Element_Stiffness!$E$215,Element_Stiffness!X239,0)),IF(Element_Stiffness!$E$215=5,IF(1=Element_Stiffness!$C$215,Element_Stiffness!R245,IF(1=Element_Stiffness!$E$215,Element_Stiffness!X245,0)),0)),0)</f>
        <v/>
      </c>
      <c r="L38" s="21">
        <f>IF(Element_Stiffness!$C$6,IF(Element_Stiffness!$C$5=5,IF(1=Element_Stiffness!$C$5,Element_Stiffness!S29,IF(1=Element_Stiffness!$E$5,Element_Stiffness!Y29,0)),IF(Element_Stiffness!$E$5=5,IF(1=Element_Stiffness!$C$5,Element_Stiffness!S35,IF(1=Element_Stiffness!$E$5,Element_Stiffness!Y35,0)),0)),0)+IF(Element_Stiffness!$C$41,IF(Element_Stiffness!$C$40=5,IF(1=Element_Stiffness!$C$40,Element_Stiffness!S64,IF(1=Element_Stiffness!$E$40,Element_Stiffness!Y64,0)),IF(Element_Stiffness!$E$40=5,IF(1=Element_Stiffness!$C$40,Element_Stiffness!S70,IF(1=Element_Stiffness!$E$40,Element_Stiffness!Y70,0)),0)),0)+IF(Element_Stiffness!$C$76,IF(Element_Stiffness!$C$75=5,IF(1=Element_Stiffness!$C$75,Element_Stiffness!S99,IF(1=Element_Stiffness!$E$75,Element_Stiffness!Y99,0)),IF(Element_Stiffness!$E$75=5,IF(1=Element_Stiffness!$C$75,Element_Stiffness!S105,IF(1=Element_Stiffness!$E$75,Element_Stiffness!Y105,0)),0)),0)+IF(Element_Stiffness!$C$111,IF(Element_Stiffness!$C$110=5,IF(1=Element_Stiffness!$C$110,Element_Stiffness!S134,IF(1=Element_Stiffness!$E$110,Element_Stiffness!Y134,0)),IF(Element_Stiffness!$E$110=5,IF(1=Element_Stiffness!$C$110,Element_Stiffness!S140,IF(1=Element_Stiffness!$E$110,Element_Stiffness!Y140,0)),0)),0)+IF(Element_Stiffness!$C$146,IF(Element_Stiffness!$C$145=5,IF(1=Element_Stiffness!$C$145,Element_Stiffness!S169,IF(1=Element_Stiffness!$E$145,Element_Stiffness!Y169,0)),IF(Element_Stiffness!$E$145=5,IF(1=Element_Stiffness!$C$145,Element_Stiffness!S175,IF(1=Element_Stiffness!$E$145,Element_Stiffness!Y175,0)),0)),0)+IF(Element_Stiffness!$C$181,IF(Element_Stiffness!$C$180=5,IF(1=Element_Stiffness!$C$180,Element_Stiffness!S204,IF(1=Element_Stiffness!$E$180,Element_Stiffness!Y204,0)),IF(Element_Stiffness!$E$180=5,IF(1=Element_Stiffness!$C$180,Element_Stiffness!S210,IF(1=Element_Stiffness!$E$180,Element_Stiffness!Y210,0)),0)),0)+IF(Element_Stiffness!$C$216,IF(Element_Stiffness!$C$215=5,IF(1=Element_Stiffness!$C$215,Element_Stiffness!S239,IF(1=Element_Stiffness!$E$215,Element_Stiffness!Y239,0)),IF(Element_Stiffness!$E$215=5,IF(1=Element_Stiffness!$C$215,Element_Stiffness!S245,IF(1=Element_Stiffness!$E$215,Element_Stiffness!Y245,0)),0)),0)</f>
        <v/>
      </c>
      <c r="M38" s="21">
        <f>IF(Element_Stiffness!$C$6,IF(Element_Stiffness!$C$5=5,IF(1=Element_Stiffness!$C$5,Element_Stiffness!T29,IF(1=Element_Stiffness!$E$5,Element_Stiffness!Z29,0)),IF(Element_Stiffness!$E$5=5,IF(1=Element_Stiffness!$C$5,Element_Stiffness!T35,IF(1=Element_Stiffness!$E$5,Element_Stiffness!Z35,0)),0)),0)+IF(Element_Stiffness!$C$41,IF(Element_Stiffness!$C$40=5,IF(1=Element_Stiffness!$C$40,Element_Stiffness!T64,IF(1=Element_Stiffness!$E$40,Element_Stiffness!Z64,0)),IF(Element_Stiffness!$E$40=5,IF(1=Element_Stiffness!$C$40,Element_Stiffness!T70,IF(1=Element_Stiffness!$E$40,Element_Stiffness!Z70,0)),0)),0)+IF(Element_Stiffness!$C$76,IF(Element_Stiffness!$C$75=5,IF(1=Element_Stiffness!$C$75,Element_Stiffness!T99,IF(1=Element_Stiffness!$E$75,Element_Stiffness!Z99,0)),IF(Element_Stiffness!$E$75=5,IF(1=Element_Stiffness!$C$75,Element_Stiffness!T105,IF(1=Element_Stiffness!$E$75,Element_Stiffness!Z105,0)),0)),0)+IF(Element_Stiffness!$C$111,IF(Element_Stiffness!$C$110=5,IF(1=Element_Stiffness!$C$110,Element_Stiffness!T134,IF(1=Element_Stiffness!$E$110,Element_Stiffness!Z134,0)),IF(Element_Stiffness!$E$110=5,IF(1=Element_Stiffness!$C$110,Element_Stiffness!T140,IF(1=Element_Stiffness!$E$110,Element_Stiffness!Z140,0)),0)),0)+IF(Element_Stiffness!$C$146,IF(Element_Stiffness!$C$145=5,IF(1=Element_Stiffness!$C$145,Element_Stiffness!T169,IF(1=Element_Stiffness!$E$145,Element_Stiffness!Z169,0)),IF(Element_Stiffness!$E$145=5,IF(1=Element_Stiffness!$C$145,Element_Stiffness!T175,IF(1=Element_Stiffness!$E$145,Element_Stiffness!Z175,0)),0)),0)+IF(Element_Stiffness!$C$181,IF(Element_Stiffness!$C$180=5,IF(1=Element_Stiffness!$C$180,Element_Stiffness!T204,IF(1=Element_Stiffness!$E$180,Element_Stiffness!Z204,0)),IF(Element_Stiffness!$E$180=5,IF(1=Element_Stiffness!$C$180,Element_Stiffness!T210,IF(1=Element_Stiffness!$E$180,Element_Stiffness!Z210,0)),0)),0)+IF(Element_Stiffness!$C$216,IF(Element_Stiffness!$C$215=5,IF(1=Element_Stiffness!$C$215,Element_Stiffness!T239,IF(1=Element_Stiffness!$E$215,Element_Stiffness!Z239,0)),IF(Element_Stiffness!$E$215=5,IF(1=Element_Stiffness!$C$215,Element_Stiffness!T245,IF(1=Element_Stiffness!$E$215,Element_Stiffness!Z245,0)),0)),0)</f>
        <v/>
      </c>
      <c r="N38" s="21">
        <f>IF(Element_Stiffness!$C$6,IF(Element_Stiffness!$C$5=5,IF(1=Element_Stiffness!$C$5,Element_Stiffness!U29,IF(1=Element_Stiffness!$E$5,Element_Stiffness!AA29,0)),IF(Element_Stiffness!$E$5=5,IF(1=Element_Stiffness!$C$5,Element_Stiffness!U35,IF(1=Element_Stiffness!$E$5,Element_Stiffness!AA35,0)),0)),0)+IF(Element_Stiffness!$C$41,IF(Element_Stiffness!$C$40=5,IF(1=Element_Stiffness!$C$40,Element_Stiffness!U64,IF(1=Element_Stiffness!$E$40,Element_Stiffness!AA64,0)),IF(Element_Stiffness!$E$40=5,IF(1=Element_Stiffness!$C$40,Element_Stiffness!U70,IF(1=Element_Stiffness!$E$40,Element_Stiffness!AA70,0)),0)),0)+IF(Element_Stiffness!$C$76,IF(Element_Stiffness!$C$75=5,IF(1=Element_Stiffness!$C$75,Element_Stiffness!U99,IF(1=Element_Stiffness!$E$75,Element_Stiffness!AA99,0)),IF(Element_Stiffness!$E$75=5,IF(1=Element_Stiffness!$C$75,Element_Stiffness!U105,IF(1=Element_Stiffness!$E$75,Element_Stiffness!AA105,0)),0)),0)+IF(Element_Stiffness!$C$111,IF(Element_Stiffness!$C$110=5,IF(1=Element_Stiffness!$C$110,Element_Stiffness!U134,IF(1=Element_Stiffness!$E$110,Element_Stiffness!AA134,0)),IF(Element_Stiffness!$E$110=5,IF(1=Element_Stiffness!$C$110,Element_Stiffness!U140,IF(1=Element_Stiffness!$E$110,Element_Stiffness!AA140,0)),0)),0)+IF(Element_Stiffness!$C$146,IF(Element_Stiffness!$C$145=5,IF(1=Element_Stiffness!$C$145,Element_Stiffness!U169,IF(1=Element_Stiffness!$E$145,Element_Stiffness!AA169,0)),IF(Element_Stiffness!$E$145=5,IF(1=Element_Stiffness!$C$145,Element_Stiffness!U175,IF(1=Element_Stiffness!$E$145,Element_Stiffness!AA175,0)),0)),0)+IF(Element_Stiffness!$C$181,IF(Element_Stiffness!$C$180=5,IF(1=Element_Stiffness!$C$180,Element_Stiffness!U204,IF(1=Element_Stiffness!$E$180,Element_Stiffness!AA204,0)),IF(Element_Stiffness!$E$180=5,IF(1=Element_Stiffness!$C$180,Element_Stiffness!U210,IF(1=Element_Stiffness!$E$180,Element_Stiffness!AA210,0)),0)),0)+IF(Element_Stiffness!$C$216,IF(Element_Stiffness!$C$215=5,IF(1=Element_Stiffness!$C$215,Element_Stiffness!U239,IF(1=Element_Stiffness!$E$215,Element_Stiffness!AA239,0)),IF(Element_Stiffness!$E$215=5,IF(1=Element_Stiffness!$C$215,Element_Stiffness!U245,IF(1=Element_Stiffness!$E$215,Element_Stiffness!AA245,0)),0)),0)</f>
        <v/>
      </c>
      <c r="O38" s="21">
        <f>IF(Element_Stiffness!$C$6,IF(Element_Stiffness!$C$5=5,IF(2=Element_Stiffness!$C$5,Element_Stiffness!P29,IF(2=Element_Stiffness!$E$5,Element_Stiffness!V29,0)),IF(Element_Stiffness!$E$5=5,IF(2=Element_Stiffness!$C$5,Element_Stiffness!P35,IF(2=Element_Stiffness!$E$5,Element_Stiffness!V35,0)),0)),0)+IF(Element_Stiffness!$C$41,IF(Element_Stiffness!$C$40=5,IF(2=Element_Stiffness!$C$40,Element_Stiffness!P64,IF(2=Element_Stiffness!$E$40,Element_Stiffness!V64,0)),IF(Element_Stiffness!$E$40=5,IF(2=Element_Stiffness!$C$40,Element_Stiffness!P70,IF(2=Element_Stiffness!$E$40,Element_Stiffness!V70,0)),0)),0)+IF(Element_Stiffness!$C$76,IF(Element_Stiffness!$C$75=5,IF(2=Element_Stiffness!$C$75,Element_Stiffness!P99,IF(2=Element_Stiffness!$E$75,Element_Stiffness!V99,0)),IF(Element_Stiffness!$E$75=5,IF(2=Element_Stiffness!$C$75,Element_Stiffness!P105,IF(2=Element_Stiffness!$E$75,Element_Stiffness!V105,0)),0)),0)+IF(Element_Stiffness!$C$111,IF(Element_Stiffness!$C$110=5,IF(2=Element_Stiffness!$C$110,Element_Stiffness!P134,IF(2=Element_Stiffness!$E$110,Element_Stiffness!V134,0)),IF(Element_Stiffness!$E$110=5,IF(2=Element_Stiffness!$C$110,Element_Stiffness!P140,IF(2=Element_Stiffness!$E$110,Element_Stiffness!V140,0)),0)),0)+IF(Element_Stiffness!$C$146,IF(Element_Stiffness!$C$145=5,IF(2=Element_Stiffness!$C$145,Element_Stiffness!P169,IF(2=Element_Stiffness!$E$145,Element_Stiffness!V169,0)),IF(Element_Stiffness!$E$145=5,IF(2=Element_Stiffness!$C$145,Element_Stiffness!P175,IF(2=Element_Stiffness!$E$145,Element_Stiffness!V175,0)),0)),0)+IF(Element_Stiffness!$C$181,IF(Element_Stiffness!$C$180=5,IF(2=Element_Stiffness!$C$180,Element_Stiffness!P204,IF(2=Element_Stiffness!$E$180,Element_Stiffness!V204,0)),IF(Element_Stiffness!$E$180=5,IF(2=Element_Stiffness!$C$180,Element_Stiffness!P210,IF(2=Element_Stiffness!$E$180,Element_Stiffness!V210,0)),0)),0)+IF(Element_Stiffness!$C$216,IF(Element_Stiffness!$C$215=5,IF(2=Element_Stiffness!$C$215,Element_Stiffness!P239,IF(2=Element_Stiffness!$E$215,Element_Stiffness!V239,0)),IF(Element_Stiffness!$E$215=5,IF(2=Element_Stiffness!$C$215,Element_Stiffness!P245,IF(2=Element_Stiffness!$E$215,Element_Stiffness!V245,0)),0)),0)</f>
        <v/>
      </c>
      <c r="P38" s="21">
        <f>IF(Element_Stiffness!$C$6,IF(Element_Stiffness!$C$5=5,IF(2=Element_Stiffness!$C$5,Element_Stiffness!Q29,IF(2=Element_Stiffness!$E$5,Element_Stiffness!W29,0)),IF(Element_Stiffness!$E$5=5,IF(2=Element_Stiffness!$C$5,Element_Stiffness!Q35,IF(2=Element_Stiffness!$E$5,Element_Stiffness!W35,0)),0)),0)+IF(Element_Stiffness!$C$41,IF(Element_Stiffness!$C$40=5,IF(2=Element_Stiffness!$C$40,Element_Stiffness!Q64,IF(2=Element_Stiffness!$E$40,Element_Stiffness!W64,0)),IF(Element_Stiffness!$E$40=5,IF(2=Element_Stiffness!$C$40,Element_Stiffness!Q70,IF(2=Element_Stiffness!$E$40,Element_Stiffness!W70,0)),0)),0)+IF(Element_Stiffness!$C$76,IF(Element_Stiffness!$C$75=5,IF(2=Element_Stiffness!$C$75,Element_Stiffness!Q99,IF(2=Element_Stiffness!$E$75,Element_Stiffness!W99,0)),IF(Element_Stiffness!$E$75=5,IF(2=Element_Stiffness!$C$75,Element_Stiffness!Q105,IF(2=Element_Stiffness!$E$75,Element_Stiffness!W105,0)),0)),0)+IF(Element_Stiffness!$C$111,IF(Element_Stiffness!$C$110=5,IF(2=Element_Stiffness!$C$110,Element_Stiffness!Q134,IF(2=Element_Stiffness!$E$110,Element_Stiffness!W134,0)),IF(Element_Stiffness!$E$110=5,IF(2=Element_Stiffness!$C$110,Element_Stiffness!Q140,IF(2=Element_Stiffness!$E$110,Element_Stiffness!W140,0)),0)),0)+IF(Element_Stiffness!$C$146,IF(Element_Stiffness!$C$145=5,IF(2=Element_Stiffness!$C$145,Element_Stiffness!Q169,IF(2=Element_Stiffness!$E$145,Element_Stiffness!W169,0)),IF(Element_Stiffness!$E$145=5,IF(2=Element_Stiffness!$C$145,Element_Stiffness!Q175,IF(2=Element_Stiffness!$E$145,Element_Stiffness!W175,0)),0)),0)+IF(Element_Stiffness!$C$181,IF(Element_Stiffness!$C$180=5,IF(2=Element_Stiffness!$C$180,Element_Stiffness!Q204,IF(2=Element_Stiffness!$E$180,Element_Stiffness!W204,0)),IF(Element_Stiffness!$E$180=5,IF(2=Element_Stiffness!$C$180,Element_Stiffness!Q210,IF(2=Element_Stiffness!$E$180,Element_Stiffness!W210,0)),0)),0)+IF(Element_Stiffness!$C$216,IF(Element_Stiffness!$C$215=5,IF(2=Element_Stiffness!$C$215,Element_Stiffness!Q239,IF(2=Element_Stiffness!$E$215,Element_Stiffness!W239,0)),IF(Element_Stiffness!$E$215=5,IF(2=Element_Stiffness!$C$215,Element_Stiffness!Q245,IF(2=Element_Stiffness!$E$215,Element_Stiffness!W245,0)),0)),0)</f>
        <v/>
      </c>
      <c r="Q38" s="21">
        <f>IF(Element_Stiffness!$C$6,IF(Element_Stiffness!$C$5=5,IF(2=Element_Stiffness!$C$5,Element_Stiffness!R29,IF(2=Element_Stiffness!$E$5,Element_Stiffness!X29,0)),IF(Element_Stiffness!$E$5=5,IF(2=Element_Stiffness!$C$5,Element_Stiffness!R35,IF(2=Element_Stiffness!$E$5,Element_Stiffness!X35,0)),0)),0)+IF(Element_Stiffness!$C$41,IF(Element_Stiffness!$C$40=5,IF(2=Element_Stiffness!$C$40,Element_Stiffness!R64,IF(2=Element_Stiffness!$E$40,Element_Stiffness!X64,0)),IF(Element_Stiffness!$E$40=5,IF(2=Element_Stiffness!$C$40,Element_Stiffness!R70,IF(2=Element_Stiffness!$E$40,Element_Stiffness!X70,0)),0)),0)+IF(Element_Stiffness!$C$76,IF(Element_Stiffness!$C$75=5,IF(2=Element_Stiffness!$C$75,Element_Stiffness!R99,IF(2=Element_Stiffness!$E$75,Element_Stiffness!X99,0)),IF(Element_Stiffness!$E$75=5,IF(2=Element_Stiffness!$C$75,Element_Stiffness!R105,IF(2=Element_Stiffness!$E$75,Element_Stiffness!X105,0)),0)),0)+IF(Element_Stiffness!$C$111,IF(Element_Stiffness!$C$110=5,IF(2=Element_Stiffness!$C$110,Element_Stiffness!R134,IF(2=Element_Stiffness!$E$110,Element_Stiffness!X134,0)),IF(Element_Stiffness!$E$110=5,IF(2=Element_Stiffness!$C$110,Element_Stiffness!R140,IF(2=Element_Stiffness!$E$110,Element_Stiffness!X140,0)),0)),0)+IF(Element_Stiffness!$C$146,IF(Element_Stiffness!$C$145=5,IF(2=Element_Stiffness!$C$145,Element_Stiffness!R169,IF(2=Element_Stiffness!$E$145,Element_Stiffness!X169,0)),IF(Element_Stiffness!$E$145=5,IF(2=Element_Stiffness!$C$145,Element_Stiffness!R175,IF(2=Element_Stiffness!$E$145,Element_Stiffness!X175,0)),0)),0)+IF(Element_Stiffness!$C$181,IF(Element_Stiffness!$C$180=5,IF(2=Element_Stiffness!$C$180,Element_Stiffness!R204,IF(2=Element_Stiffness!$E$180,Element_Stiffness!X204,0)),IF(Element_Stiffness!$E$180=5,IF(2=Element_Stiffness!$C$180,Element_Stiffness!R210,IF(2=Element_Stiffness!$E$180,Element_Stiffness!X210,0)),0)),0)+IF(Element_Stiffness!$C$216,IF(Element_Stiffness!$C$215=5,IF(2=Element_Stiffness!$C$215,Element_Stiffness!R239,IF(2=Element_Stiffness!$E$215,Element_Stiffness!X239,0)),IF(Element_Stiffness!$E$215=5,IF(2=Element_Stiffness!$C$215,Element_Stiffness!R245,IF(2=Element_Stiffness!$E$215,Element_Stiffness!X245,0)),0)),0)</f>
        <v/>
      </c>
      <c r="R38" s="21">
        <f>IF(Element_Stiffness!$C$6,IF(Element_Stiffness!$C$5=5,IF(2=Element_Stiffness!$C$5,Element_Stiffness!S29,IF(2=Element_Stiffness!$E$5,Element_Stiffness!Y29,0)),IF(Element_Stiffness!$E$5=5,IF(2=Element_Stiffness!$C$5,Element_Stiffness!S35,IF(2=Element_Stiffness!$E$5,Element_Stiffness!Y35,0)),0)),0)+IF(Element_Stiffness!$C$41,IF(Element_Stiffness!$C$40=5,IF(2=Element_Stiffness!$C$40,Element_Stiffness!S64,IF(2=Element_Stiffness!$E$40,Element_Stiffness!Y64,0)),IF(Element_Stiffness!$E$40=5,IF(2=Element_Stiffness!$C$40,Element_Stiffness!S70,IF(2=Element_Stiffness!$E$40,Element_Stiffness!Y70,0)),0)),0)+IF(Element_Stiffness!$C$76,IF(Element_Stiffness!$C$75=5,IF(2=Element_Stiffness!$C$75,Element_Stiffness!S99,IF(2=Element_Stiffness!$E$75,Element_Stiffness!Y99,0)),IF(Element_Stiffness!$E$75=5,IF(2=Element_Stiffness!$C$75,Element_Stiffness!S105,IF(2=Element_Stiffness!$E$75,Element_Stiffness!Y105,0)),0)),0)+IF(Element_Stiffness!$C$111,IF(Element_Stiffness!$C$110=5,IF(2=Element_Stiffness!$C$110,Element_Stiffness!S134,IF(2=Element_Stiffness!$E$110,Element_Stiffness!Y134,0)),IF(Element_Stiffness!$E$110=5,IF(2=Element_Stiffness!$C$110,Element_Stiffness!S140,IF(2=Element_Stiffness!$E$110,Element_Stiffness!Y140,0)),0)),0)+IF(Element_Stiffness!$C$146,IF(Element_Stiffness!$C$145=5,IF(2=Element_Stiffness!$C$145,Element_Stiffness!S169,IF(2=Element_Stiffness!$E$145,Element_Stiffness!Y169,0)),IF(Element_Stiffness!$E$145=5,IF(2=Element_Stiffness!$C$145,Element_Stiffness!S175,IF(2=Element_Stiffness!$E$145,Element_Stiffness!Y175,0)),0)),0)+IF(Element_Stiffness!$C$181,IF(Element_Stiffness!$C$180=5,IF(2=Element_Stiffness!$C$180,Element_Stiffness!S204,IF(2=Element_Stiffness!$E$180,Element_Stiffness!Y204,0)),IF(Element_Stiffness!$E$180=5,IF(2=Element_Stiffness!$C$180,Element_Stiffness!S210,IF(2=Element_Stiffness!$E$180,Element_Stiffness!Y210,0)),0)),0)+IF(Element_Stiffness!$C$216,IF(Element_Stiffness!$C$215=5,IF(2=Element_Stiffness!$C$215,Element_Stiffness!S239,IF(2=Element_Stiffness!$E$215,Element_Stiffness!Y239,0)),IF(Element_Stiffness!$E$215=5,IF(2=Element_Stiffness!$C$215,Element_Stiffness!S245,IF(2=Element_Stiffness!$E$215,Element_Stiffness!Y245,0)),0)),0)</f>
        <v/>
      </c>
      <c r="S38" s="21">
        <f>IF(Element_Stiffness!$C$6,IF(Element_Stiffness!$C$5=5,IF(2=Element_Stiffness!$C$5,Element_Stiffness!T29,IF(2=Element_Stiffness!$E$5,Element_Stiffness!Z29,0)),IF(Element_Stiffness!$E$5=5,IF(2=Element_Stiffness!$C$5,Element_Stiffness!T35,IF(2=Element_Stiffness!$E$5,Element_Stiffness!Z35,0)),0)),0)+IF(Element_Stiffness!$C$41,IF(Element_Stiffness!$C$40=5,IF(2=Element_Stiffness!$C$40,Element_Stiffness!T64,IF(2=Element_Stiffness!$E$40,Element_Stiffness!Z64,0)),IF(Element_Stiffness!$E$40=5,IF(2=Element_Stiffness!$C$40,Element_Stiffness!T70,IF(2=Element_Stiffness!$E$40,Element_Stiffness!Z70,0)),0)),0)+IF(Element_Stiffness!$C$76,IF(Element_Stiffness!$C$75=5,IF(2=Element_Stiffness!$C$75,Element_Stiffness!T99,IF(2=Element_Stiffness!$E$75,Element_Stiffness!Z99,0)),IF(Element_Stiffness!$E$75=5,IF(2=Element_Stiffness!$C$75,Element_Stiffness!T105,IF(2=Element_Stiffness!$E$75,Element_Stiffness!Z105,0)),0)),0)+IF(Element_Stiffness!$C$111,IF(Element_Stiffness!$C$110=5,IF(2=Element_Stiffness!$C$110,Element_Stiffness!T134,IF(2=Element_Stiffness!$E$110,Element_Stiffness!Z134,0)),IF(Element_Stiffness!$E$110=5,IF(2=Element_Stiffness!$C$110,Element_Stiffness!T140,IF(2=Element_Stiffness!$E$110,Element_Stiffness!Z140,0)),0)),0)+IF(Element_Stiffness!$C$146,IF(Element_Stiffness!$C$145=5,IF(2=Element_Stiffness!$C$145,Element_Stiffness!T169,IF(2=Element_Stiffness!$E$145,Element_Stiffness!Z169,0)),IF(Element_Stiffness!$E$145=5,IF(2=Element_Stiffness!$C$145,Element_Stiffness!T175,IF(2=Element_Stiffness!$E$145,Element_Stiffness!Z175,0)),0)),0)+IF(Element_Stiffness!$C$181,IF(Element_Stiffness!$C$180=5,IF(2=Element_Stiffness!$C$180,Element_Stiffness!T204,IF(2=Element_Stiffness!$E$180,Element_Stiffness!Z204,0)),IF(Element_Stiffness!$E$180=5,IF(2=Element_Stiffness!$C$180,Element_Stiffness!T210,IF(2=Element_Stiffness!$E$180,Element_Stiffness!Z210,0)),0)),0)+IF(Element_Stiffness!$C$216,IF(Element_Stiffness!$C$215=5,IF(2=Element_Stiffness!$C$215,Element_Stiffness!T239,IF(2=Element_Stiffness!$E$215,Element_Stiffness!Z239,0)),IF(Element_Stiffness!$E$215=5,IF(2=Element_Stiffness!$C$215,Element_Stiffness!T245,IF(2=Element_Stiffness!$E$215,Element_Stiffness!Z245,0)),0)),0)</f>
        <v/>
      </c>
      <c r="T38" s="21">
        <f>IF(Element_Stiffness!$C$6,IF(Element_Stiffness!$C$5=5,IF(2=Element_Stiffness!$C$5,Element_Stiffness!U29,IF(2=Element_Stiffness!$E$5,Element_Stiffness!AA29,0)),IF(Element_Stiffness!$E$5=5,IF(2=Element_Stiffness!$C$5,Element_Stiffness!U35,IF(2=Element_Stiffness!$E$5,Element_Stiffness!AA35,0)),0)),0)+IF(Element_Stiffness!$C$41,IF(Element_Stiffness!$C$40=5,IF(2=Element_Stiffness!$C$40,Element_Stiffness!U64,IF(2=Element_Stiffness!$E$40,Element_Stiffness!AA64,0)),IF(Element_Stiffness!$E$40=5,IF(2=Element_Stiffness!$C$40,Element_Stiffness!U70,IF(2=Element_Stiffness!$E$40,Element_Stiffness!AA70,0)),0)),0)+IF(Element_Stiffness!$C$76,IF(Element_Stiffness!$C$75=5,IF(2=Element_Stiffness!$C$75,Element_Stiffness!U99,IF(2=Element_Stiffness!$E$75,Element_Stiffness!AA99,0)),IF(Element_Stiffness!$E$75=5,IF(2=Element_Stiffness!$C$75,Element_Stiffness!U105,IF(2=Element_Stiffness!$E$75,Element_Stiffness!AA105,0)),0)),0)+IF(Element_Stiffness!$C$111,IF(Element_Stiffness!$C$110=5,IF(2=Element_Stiffness!$C$110,Element_Stiffness!U134,IF(2=Element_Stiffness!$E$110,Element_Stiffness!AA134,0)),IF(Element_Stiffness!$E$110=5,IF(2=Element_Stiffness!$C$110,Element_Stiffness!U140,IF(2=Element_Stiffness!$E$110,Element_Stiffness!AA140,0)),0)),0)+IF(Element_Stiffness!$C$146,IF(Element_Stiffness!$C$145=5,IF(2=Element_Stiffness!$C$145,Element_Stiffness!U169,IF(2=Element_Stiffness!$E$145,Element_Stiffness!AA169,0)),IF(Element_Stiffness!$E$145=5,IF(2=Element_Stiffness!$C$145,Element_Stiffness!U175,IF(2=Element_Stiffness!$E$145,Element_Stiffness!AA175,0)),0)),0)+IF(Element_Stiffness!$C$181,IF(Element_Stiffness!$C$180=5,IF(2=Element_Stiffness!$C$180,Element_Stiffness!U204,IF(2=Element_Stiffness!$E$180,Element_Stiffness!AA204,0)),IF(Element_Stiffness!$E$180=5,IF(2=Element_Stiffness!$C$180,Element_Stiffness!U210,IF(2=Element_Stiffness!$E$180,Element_Stiffness!AA210,0)),0)),0)+IF(Element_Stiffness!$C$216,IF(Element_Stiffness!$C$215=5,IF(2=Element_Stiffness!$C$215,Element_Stiffness!U239,IF(2=Element_Stiffness!$E$215,Element_Stiffness!AA239,0)),IF(Element_Stiffness!$E$215=5,IF(2=Element_Stiffness!$C$215,Element_Stiffness!U245,IF(2=Element_Stiffness!$E$215,Element_Stiffness!AA245,0)),0)),0)</f>
        <v/>
      </c>
      <c r="U38" s="21">
        <f>IF(Element_Stiffness!$C$6,IF(Element_Stiffness!$C$5=5,IF(3=Element_Stiffness!$C$5,Element_Stiffness!P29,IF(3=Element_Stiffness!$E$5,Element_Stiffness!V29,0)),IF(Element_Stiffness!$E$5=5,IF(3=Element_Stiffness!$C$5,Element_Stiffness!P35,IF(3=Element_Stiffness!$E$5,Element_Stiffness!V35,0)),0)),0)+IF(Element_Stiffness!$C$41,IF(Element_Stiffness!$C$40=5,IF(3=Element_Stiffness!$C$40,Element_Stiffness!P64,IF(3=Element_Stiffness!$E$40,Element_Stiffness!V64,0)),IF(Element_Stiffness!$E$40=5,IF(3=Element_Stiffness!$C$40,Element_Stiffness!P70,IF(3=Element_Stiffness!$E$40,Element_Stiffness!V70,0)),0)),0)+IF(Element_Stiffness!$C$76,IF(Element_Stiffness!$C$75=5,IF(3=Element_Stiffness!$C$75,Element_Stiffness!P99,IF(3=Element_Stiffness!$E$75,Element_Stiffness!V99,0)),IF(Element_Stiffness!$E$75=5,IF(3=Element_Stiffness!$C$75,Element_Stiffness!P105,IF(3=Element_Stiffness!$E$75,Element_Stiffness!V105,0)),0)),0)+IF(Element_Stiffness!$C$111,IF(Element_Stiffness!$C$110=5,IF(3=Element_Stiffness!$C$110,Element_Stiffness!P134,IF(3=Element_Stiffness!$E$110,Element_Stiffness!V134,0)),IF(Element_Stiffness!$E$110=5,IF(3=Element_Stiffness!$C$110,Element_Stiffness!P140,IF(3=Element_Stiffness!$E$110,Element_Stiffness!V140,0)),0)),0)+IF(Element_Stiffness!$C$146,IF(Element_Stiffness!$C$145=5,IF(3=Element_Stiffness!$C$145,Element_Stiffness!P169,IF(3=Element_Stiffness!$E$145,Element_Stiffness!V169,0)),IF(Element_Stiffness!$E$145=5,IF(3=Element_Stiffness!$C$145,Element_Stiffness!P175,IF(3=Element_Stiffness!$E$145,Element_Stiffness!V175,0)),0)),0)+IF(Element_Stiffness!$C$181,IF(Element_Stiffness!$C$180=5,IF(3=Element_Stiffness!$C$180,Element_Stiffness!P204,IF(3=Element_Stiffness!$E$180,Element_Stiffness!V204,0)),IF(Element_Stiffness!$E$180=5,IF(3=Element_Stiffness!$C$180,Element_Stiffness!P210,IF(3=Element_Stiffness!$E$180,Element_Stiffness!V210,0)),0)),0)+IF(Element_Stiffness!$C$216,IF(Element_Stiffness!$C$215=5,IF(3=Element_Stiffness!$C$215,Element_Stiffness!P239,IF(3=Element_Stiffness!$E$215,Element_Stiffness!V239,0)),IF(Element_Stiffness!$E$215=5,IF(3=Element_Stiffness!$C$215,Element_Stiffness!P245,IF(3=Element_Stiffness!$E$215,Element_Stiffness!V245,0)),0)),0)</f>
        <v/>
      </c>
      <c r="V38" s="21">
        <f>IF(Element_Stiffness!$C$6,IF(Element_Stiffness!$C$5=5,IF(3=Element_Stiffness!$C$5,Element_Stiffness!Q29,IF(3=Element_Stiffness!$E$5,Element_Stiffness!W29,0)),IF(Element_Stiffness!$E$5=5,IF(3=Element_Stiffness!$C$5,Element_Stiffness!Q35,IF(3=Element_Stiffness!$E$5,Element_Stiffness!W35,0)),0)),0)+IF(Element_Stiffness!$C$41,IF(Element_Stiffness!$C$40=5,IF(3=Element_Stiffness!$C$40,Element_Stiffness!Q64,IF(3=Element_Stiffness!$E$40,Element_Stiffness!W64,0)),IF(Element_Stiffness!$E$40=5,IF(3=Element_Stiffness!$C$40,Element_Stiffness!Q70,IF(3=Element_Stiffness!$E$40,Element_Stiffness!W70,0)),0)),0)+IF(Element_Stiffness!$C$76,IF(Element_Stiffness!$C$75=5,IF(3=Element_Stiffness!$C$75,Element_Stiffness!Q99,IF(3=Element_Stiffness!$E$75,Element_Stiffness!W99,0)),IF(Element_Stiffness!$E$75=5,IF(3=Element_Stiffness!$C$75,Element_Stiffness!Q105,IF(3=Element_Stiffness!$E$75,Element_Stiffness!W105,0)),0)),0)+IF(Element_Stiffness!$C$111,IF(Element_Stiffness!$C$110=5,IF(3=Element_Stiffness!$C$110,Element_Stiffness!Q134,IF(3=Element_Stiffness!$E$110,Element_Stiffness!W134,0)),IF(Element_Stiffness!$E$110=5,IF(3=Element_Stiffness!$C$110,Element_Stiffness!Q140,IF(3=Element_Stiffness!$E$110,Element_Stiffness!W140,0)),0)),0)+IF(Element_Stiffness!$C$146,IF(Element_Stiffness!$C$145=5,IF(3=Element_Stiffness!$C$145,Element_Stiffness!Q169,IF(3=Element_Stiffness!$E$145,Element_Stiffness!W169,0)),IF(Element_Stiffness!$E$145=5,IF(3=Element_Stiffness!$C$145,Element_Stiffness!Q175,IF(3=Element_Stiffness!$E$145,Element_Stiffness!W175,0)),0)),0)+IF(Element_Stiffness!$C$181,IF(Element_Stiffness!$C$180=5,IF(3=Element_Stiffness!$C$180,Element_Stiffness!Q204,IF(3=Element_Stiffness!$E$180,Element_Stiffness!W204,0)),IF(Element_Stiffness!$E$180=5,IF(3=Element_Stiffness!$C$180,Element_Stiffness!Q210,IF(3=Element_Stiffness!$E$180,Element_Stiffness!W210,0)),0)),0)+IF(Element_Stiffness!$C$216,IF(Element_Stiffness!$C$215=5,IF(3=Element_Stiffness!$C$215,Element_Stiffness!Q239,IF(3=Element_Stiffness!$E$215,Element_Stiffness!W239,0)),IF(Element_Stiffness!$E$215=5,IF(3=Element_Stiffness!$C$215,Element_Stiffness!Q245,IF(3=Element_Stiffness!$E$215,Element_Stiffness!W245,0)),0)),0)</f>
        <v/>
      </c>
      <c r="W38" s="21">
        <f>IF(Element_Stiffness!$C$6,IF(Element_Stiffness!$C$5=5,IF(3=Element_Stiffness!$C$5,Element_Stiffness!R29,IF(3=Element_Stiffness!$E$5,Element_Stiffness!X29,0)),IF(Element_Stiffness!$E$5=5,IF(3=Element_Stiffness!$C$5,Element_Stiffness!R35,IF(3=Element_Stiffness!$E$5,Element_Stiffness!X35,0)),0)),0)+IF(Element_Stiffness!$C$41,IF(Element_Stiffness!$C$40=5,IF(3=Element_Stiffness!$C$40,Element_Stiffness!R64,IF(3=Element_Stiffness!$E$40,Element_Stiffness!X64,0)),IF(Element_Stiffness!$E$40=5,IF(3=Element_Stiffness!$C$40,Element_Stiffness!R70,IF(3=Element_Stiffness!$E$40,Element_Stiffness!X70,0)),0)),0)+IF(Element_Stiffness!$C$76,IF(Element_Stiffness!$C$75=5,IF(3=Element_Stiffness!$C$75,Element_Stiffness!R99,IF(3=Element_Stiffness!$E$75,Element_Stiffness!X99,0)),IF(Element_Stiffness!$E$75=5,IF(3=Element_Stiffness!$C$75,Element_Stiffness!R105,IF(3=Element_Stiffness!$E$75,Element_Stiffness!X105,0)),0)),0)+IF(Element_Stiffness!$C$111,IF(Element_Stiffness!$C$110=5,IF(3=Element_Stiffness!$C$110,Element_Stiffness!R134,IF(3=Element_Stiffness!$E$110,Element_Stiffness!X134,0)),IF(Element_Stiffness!$E$110=5,IF(3=Element_Stiffness!$C$110,Element_Stiffness!R140,IF(3=Element_Stiffness!$E$110,Element_Stiffness!X140,0)),0)),0)+IF(Element_Stiffness!$C$146,IF(Element_Stiffness!$C$145=5,IF(3=Element_Stiffness!$C$145,Element_Stiffness!R169,IF(3=Element_Stiffness!$E$145,Element_Stiffness!X169,0)),IF(Element_Stiffness!$E$145=5,IF(3=Element_Stiffness!$C$145,Element_Stiffness!R175,IF(3=Element_Stiffness!$E$145,Element_Stiffness!X175,0)),0)),0)+IF(Element_Stiffness!$C$181,IF(Element_Stiffness!$C$180=5,IF(3=Element_Stiffness!$C$180,Element_Stiffness!R204,IF(3=Element_Stiffness!$E$180,Element_Stiffness!X204,0)),IF(Element_Stiffness!$E$180=5,IF(3=Element_Stiffness!$C$180,Element_Stiffness!R210,IF(3=Element_Stiffness!$E$180,Element_Stiffness!X210,0)),0)),0)+IF(Element_Stiffness!$C$216,IF(Element_Stiffness!$C$215=5,IF(3=Element_Stiffness!$C$215,Element_Stiffness!R239,IF(3=Element_Stiffness!$E$215,Element_Stiffness!X239,0)),IF(Element_Stiffness!$E$215=5,IF(3=Element_Stiffness!$C$215,Element_Stiffness!R245,IF(3=Element_Stiffness!$E$215,Element_Stiffness!X245,0)),0)),0)</f>
        <v/>
      </c>
      <c r="X38" s="21">
        <f>IF(Element_Stiffness!$C$6,IF(Element_Stiffness!$C$5=5,IF(3=Element_Stiffness!$C$5,Element_Stiffness!S29,IF(3=Element_Stiffness!$E$5,Element_Stiffness!Y29,0)),IF(Element_Stiffness!$E$5=5,IF(3=Element_Stiffness!$C$5,Element_Stiffness!S35,IF(3=Element_Stiffness!$E$5,Element_Stiffness!Y35,0)),0)),0)+IF(Element_Stiffness!$C$41,IF(Element_Stiffness!$C$40=5,IF(3=Element_Stiffness!$C$40,Element_Stiffness!S64,IF(3=Element_Stiffness!$E$40,Element_Stiffness!Y64,0)),IF(Element_Stiffness!$E$40=5,IF(3=Element_Stiffness!$C$40,Element_Stiffness!S70,IF(3=Element_Stiffness!$E$40,Element_Stiffness!Y70,0)),0)),0)+IF(Element_Stiffness!$C$76,IF(Element_Stiffness!$C$75=5,IF(3=Element_Stiffness!$C$75,Element_Stiffness!S99,IF(3=Element_Stiffness!$E$75,Element_Stiffness!Y99,0)),IF(Element_Stiffness!$E$75=5,IF(3=Element_Stiffness!$C$75,Element_Stiffness!S105,IF(3=Element_Stiffness!$E$75,Element_Stiffness!Y105,0)),0)),0)+IF(Element_Stiffness!$C$111,IF(Element_Stiffness!$C$110=5,IF(3=Element_Stiffness!$C$110,Element_Stiffness!S134,IF(3=Element_Stiffness!$E$110,Element_Stiffness!Y134,0)),IF(Element_Stiffness!$E$110=5,IF(3=Element_Stiffness!$C$110,Element_Stiffness!S140,IF(3=Element_Stiffness!$E$110,Element_Stiffness!Y140,0)),0)),0)+IF(Element_Stiffness!$C$146,IF(Element_Stiffness!$C$145=5,IF(3=Element_Stiffness!$C$145,Element_Stiffness!S169,IF(3=Element_Stiffness!$E$145,Element_Stiffness!Y169,0)),IF(Element_Stiffness!$E$145=5,IF(3=Element_Stiffness!$C$145,Element_Stiffness!S175,IF(3=Element_Stiffness!$E$145,Element_Stiffness!Y175,0)),0)),0)+IF(Element_Stiffness!$C$181,IF(Element_Stiffness!$C$180=5,IF(3=Element_Stiffness!$C$180,Element_Stiffness!S204,IF(3=Element_Stiffness!$E$180,Element_Stiffness!Y204,0)),IF(Element_Stiffness!$E$180=5,IF(3=Element_Stiffness!$C$180,Element_Stiffness!S210,IF(3=Element_Stiffness!$E$180,Element_Stiffness!Y210,0)),0)),0)+IF(Element_Stiffness!$C$216,IF(Element_Stiffness!$C$215=5,IF(3=Element_Stiffness!$C$215,Element_Stiffness!S239,IF(3=Element_Stiffness!$E$215,Element_Stiffness!Y239,0)),IF(Element_Stiffness!$E$215=5,IF(3=Element_Stiffness!$C$215,Element_Stiffness!S245,IF(3=Element_Stiffness!$E$215,Element_Stiffness!Y245,0)),0)),0)</f>
        <v/>
      </c>
      <c r="Y38" s="21">
        <f>IF(Element_Stiffness!$C$6,IF(Element_Stiffness!$C$5=5,IF(3=Element_Stiffness!$C$5,Element_Stiffness!T29,IF(3=Element_Stiffness!$E$5,Element_Stiffness!Z29,0)),IF(Element_Stiffness!$E$5=5,IF(3=Element_Stiffness!$C$5,Element_Stiffness!T35,IF(3=Element_Stiffness!$E$5,Element_Stiffness!Z35,0)),0)),0)+IF(Element_Stiffness!$C$41,IF(Element_Stiffness!$C$40=5,IF(3=Element_Stiffness!$C$40,Element_Stiffness!T64,IF(3=Element_Stiffness!$E$40,Element_Stiffness!Z64,0)),IF(Element_Stiffness!$E$40=5,IF(3=Element_Stiffness!$C$40,Element_Stiffness!T70,IF(3=Element_Stiffness!$E$40,Element_Stiffness!Z70,0)),0)),0)+IF(Element_Stiffness!$C$76,IF(Element_Stiffness!$C$75=5,IF(3=Element_Stiffness!$C$75,Element_Stiffness!T99,IF(3=Element_Stiffness!$E$75,Element_Stiffness!Z99,0)),IF(Element_Stiffness!$E$75=5,IF(3=Element_Stiffness!$C$75,Element_Stiffness!T105,IF(3=Element_Stiffness!$E$75,Element_Stiffness!Z105,0)),0)),0)+IF(Element_Stiffness!$C$111,IF(Element_Stiffness!$C$110=5,IF(3=Element_Stiffness!$C$110,Element_Stiffness!T134,IF(3=Element_Stiffness!$E$110,Element_Stiffness!Z134,0)),IF(Element_Stiffness!$E$110=5,IF(3=Element_Stiffness!$C$110,Element_Stiffness!T140,IF(3=Element_Stiffness!$E$110,Element_Stiffness!Z140,0)),0)),0)+IF(Element_Stiffness!$C$146,IF(Element_Stiffness!$C$145=5,IF(3=Element_Stiffness!$C$145,Element_Stiffness!T169,IF(3=Element_Stiffness!$E$145,Element_Stiffness!Z169,0)),IF(Element_Stiffness!$E$145=5,IF(3=Element_Stiffness!$C$145,Element_Stiffness!T175,IF(3=Element_Stiffness!$E$145,Element_Stiffness!Z175,0)),0)),0)+IF(Element_Stiffness!$C$181,IF(Element_Stiffness!$C$180=5,IF(3=Element_Stiffness!$C$180,Element_Stiffness!T204,IF(3=Element_Stiffness!$E$180,Element_Stiffness!Z204,0)),IF(Element_Stiffness!$E$180=5,IF(3=Element_Stiffness!$C$180,Element_Stiffness!T210,IF(3=Element_Stiffness!$E$180,Element_Stiffness!Z210,0)),0)),0)+IF(Element_Stiffness!$C$216,IF(Element_Stiffness!$C$215=5,IF(3=Element_Stiffness!$C$215,Element_Stiffness!T239,IF(3=Element_Stiffness!$E$215,Element_Stiffness!Z239,0)),IF(Element_Stiffness!$E$215=5,IF(3=Element_Stiffness!$C$215,Element_Stiffness!T245,IF(3=Element_Stiffness!$E$215,Element_Stiffness!Z245,0)),0)),0)</f>
        <v/>
      </c>
      <c r="Z38" s="21">
        <f>IF(Element_Stiffness!$C$6,IF(Element_Stiffness!$C$5=5,IF(3=Element_Stiffness!$C$5,Element_Stiffness!U29,IF(3=Element_Stiffness!$E$5,Element_Stiffness!AA29,0)),IF(Element_Stiffness!$E$5=5,IF(3=Element_Stiffness!$C$5,Element_Stiffness!U35,IF(3=Element_Stiffness!$E$5,Element_Stiffness!AA35,0)),0)),0)+IF(Element_Stiffness!$C$41,IF(Element_Stiffness!$C$40=5,IF(3=Element_Stiffness!$C$40,Element_Stiffness!U64,IF(3=Element_Stiffness!$E$40,Element_Stiffness!AA64,0)),IF(Element_Stiffness!$E$40=5,IF(3=Element_Stiffness!$C$40,Element_Stiffness!U70,IF(3=Element_Stiffness!$E$40,Element_Stiffness!AA70,0)),0)),0)+IF(Element_Stiffness!$C$76,IF(Element_Stiffness!$C$75=5,IF(3=Element_Stiffness!$C$75,Element_Stiffness!U99,IF(3=Element_Stiffness!$E$75,Element_Stiffness!AA99,0)),IF(Element_Stiffness!$E$75=5,IF(3=Element_Stiffness!$C$75,Element_Stiffness!U105,IF(3=Element_Stiffness!$E$75,Element_Stiffness!AA105,0)),0)),0)+IF(Element_Stiffness!$C$111,IF(Element_Stiffness!$C$110=5,IF(3=Element_Stiffness!$C$110,Element_Stiffness!U134,IF(3=Element_Stiffness!$E$110,Element_Stiffness!AA134,0)),IF(Element_Stiffness!$E$110=5,IF(3=Element_Stiffness!$C$110,Element_Stiffness!U140,IF(3=Element_Stiffness!$E$110,Element_Stiffness!AA140,0)),0)),0)+IF(Element_Stiffness!$C$146,IF(Element_Stiffness!$C$145=5,IF(3=Element_Stiffness!$C$145,Element_Stiffness!U169,IF(3=Element_Stiffness!$E$145,Element_Stiffness!AA169,0)),IF(Element_Stiffness!$E$145=5,IF(3=Element_Stiffness!$C$145,Element_Stiffness!U175,IF(3=Element_Stiffness!$E$145,Element_Stiffness!AA175,0)),0)),0)+IF(Element_Stiffness!$C$181,IF(Element_Stiffness!$C$180=5,IF(3=Element_Stiffness!$C$180,Element_Stiffness!U204,IF(3=Element_Stiffness!$E$180,Element_Stiffness!AA204,0)),IF(Element_Stiffness!$E$180=5,IF(3=Element_Stiffness!$C$180,Element_Stiffness!U210,IF(3=Element_Stiffness!$E$180,Element_Stiffness!AA210,0)),0)),0)+IF(Element_Stiffness!$C$216,IF(Element_Stiffness!$C$215=5,IF(3=Element_Stiffness!$C$215,Element_Stiffness!U239,IF(3=Element_Stiffness!$E$215,Element_Stiffness!AA239,0)),IF(Element_Stiffness!$E$215=5,IF(3=Element_Stiffness!$C$215,Element_Stiffness!U245,IF(3=Element_Stiffness!$E$215,Element_Stiffness!AA245,0)),0)),0)</f>
        <v/>
      </c>
      <c r="AA38" s="21">
        <f>IF(Element_Stiffness!$C$6,IF(Element_Stiffness!$C$5=5,IF(4=Element_Stiffness!$C$5,Element_Stiffness!P29,IF(4=Element_Stiffness!$E$5,Element_Stiffness!V29,0)),IF(Element_Stiffness!$E$5=5,IF(4=Element_Stiffness!$C$5,Element_Stiffness!P35,IF(4=Element_Stiffness!$E$5,Element_Stiffness!V35,0)),0)),0)+IF(Element_Stiffness!$C$41,IF(Element_Stiffness!$C$40=5,IF(4=Element_Stiffness!$C$40,Element_Stiffness!P64,IF(4=Element_Stiffness!$E$40,Element_Stiffness!V64,0)),IF(Element_Stiffness!$E$40=5,IF(4=Element_Stiffness!$C$40,Element_Stiffness!P70,IF(4=Element_Stiffness!$E$40,Element_Stiffness!V70,0)),0)),0)+IF(Element_Stiffness!$C$76,IF(Element_Stiffness!$C$75=5,IF(4=Element_Stiffness!$C$75,Element_Stiffness!P99,IF(4=Element_Stiffness!$E$75,Element_Stiffness!V99,0)),IF(Element_Stiffness!$E$75=5,IF(4=Element_Stiffness!$C$75,Element_Stiffness!P105,IF(4=Element_Stiffness!$E$75,Element_Stiffness!V105,0)),0)),0)+IF(Element_Stiffness!$C$111,IF(Element_Stiffness!$C$110=5,IF(4=Element_Stiffness!$C$110,Element_Stiffness!P134,IF(4=Element_Stiffness!$E$110,Element_Stiffness!V134,0)),IF(Element_Stiffness!$E$110=5,IF(4=Element_Stiffness!$C$110,Element_Stiffness!P140,IF(4=Element_Stiffness!$E$110,Element_Stiffness!V140,0)),0)),0)+IF(Element_Stiffness!$C$146,IF(Element_Stiffness!$C$145=5,IF(4=Element_Stiffness!$C$145,Element_Stiffness!P169,IF(4=Element_Stiffness!$E$145,Element_Stiffness!V169,0)),IF(Element_Stiffness!$E$145=5,IF(4=Element_Stiffness!$C$145,Element_Stiffness!P175,IF(4=Element_Stiffness!$E$145,Element_Stiffness!V175,0)),0)),0)+IF(Element_Stiffness!$C$181,IF(Element_Stiffness!$C$180=5,IF(4=Element_Stiffness!$C$180,Element_Stiffness!P204,IF(4=Element_Stiffness!$E$180,Element_Stiffness!V204,0)),IF(Element_Stiffness!$E$180=5,IF(4=Element_Stiffness!$C$180,Element_Stiffness!P210,IF(4=Element_Stiffness!$E$180,Element_Stiffness!V210,0)),0)),0)+IF(Element_Stiffness!$C$216,IF(Element_Stiffness!$C$215=5,IF(4=Element_Stiffness!$C$215,Element_Stiffness!P239,IF(4=Element_Stiffness!$E$215,Element_Stiffness!V239,0)),IF(Element_Stiffness!$E$215=5,IF(4=Element_Stiffness!$C$215,Element_Stiffness!P245,IF(4=Element_Stiffness!$E$215,Element_Stiffness!V245,0)),0)),0)</f>
        <v/>
      </c>
      <c r="AB38" s="21">
        <f>IF(Element_Stiffness!$C$6,IF(Element_Stiffness!$C$5=5,IF(4=Element_Stiffness!$C$5,Element_Stiffness!Q29,IF(4=Element_Stiffness!$E$5,Element_Stiffness!W29,0)),IF(Element_Stiffness!$E$5=5,IF(4=Element_Stiffness!$C$5,Element_Stiffness!Q35,IF(4=Element_Stiffness!$E$5,Element_Stiffness!W35,0)),0)),0)+IF(Element_Stiffness!$C$41,IF(Element_Stiffness!$C$40=5,IF(4=Element_Stiffness!$C$40,Element_Stiffness!Q64,IF(4=Element_Stiffness!$E$40,Element_Stiffness!W64,0)),IF(Element_Stiffness!$E$40=5,IF(4=Element_Stiffness!$C$40,Element_Stiffness!Q70,IF(4=Element_Stiffness!$E$40,Element_Stiffness!W70,0)),0)),0)+IF(Element_Stiffness!$C$76,IF(Element_Stiffness!$C$75=5,IF(4=Element_Stiffness!$C$75,Element_Stiffness!Q99,IF(4=Element_Stiffness!$E$75,Element_Stiffness!W99,0)),IF(Element_Stiffness!$E$75=5,IF(4=Element_Stiffness!$C$75,Element_Stiffness!Q105,IF(4=Element_Stiffness!$E$75,Element_Stiffness!W105,0)),0)),0)+IF(Element_Stiffness!$C$111,IF(Element_Stiffness!$C$110=5,IF(4=Element_Stiffness!$C$110,Element_Stiffness!Q134,IF(4=Element_Stiffness!$E$110,Element_Stiffness!W134,0)),IF(Element_Stiffness!$E$110=5,IF(4=Element_Stiffness!$C$110,Element_Stiffness!Q140,IF(4=Element_Stiffness!$E$110,Element_Stiffness!W140,0)),0)),0)+IF(Element_Stiffness!$C$146,IF(Element_Stiffness!$C$145=5,IF(4=Element_Stiffness!$C$145,Element_Stiffness!Q169,IF(4=Element_Stiffness!$E$145,Element_Stiffness!W169,0)),IF(Element_Stiffness!$E$145=5,IF(4=Element_Stiffness!$C$145,Element_Stiffness!Q175,IF(4=Element_Stiffness!$E$145,Element_Stiffness!W175,0)),0)),0)+IF(Element_Stiffness!$C$181,IF(Element_Stiffness!$C$180=5,IF(4=Element_Stiffness!$C$180,Element_Stiffness!Q204,IF(4=Element_Stiffness!$E$180,Element_Stiffness!W204,0)),IF(Element_Stiffness!$E$180=5,IF(4=Element_Stiffness!$C$180,Element_Stiffness!Q210,IF(4=Element_Stiffness!$E$180,Element_Stiffness!W210,0)),0)),0)+IF(Element_Stiffness!$C$216,IF(Element_Stiffness!$C$215=5,IF(4=Element_Stiffness!$C$215,Element_Stiffness!Q239,IF(4=Element_Stiffness!$E$215,Element_Stiffness!W239,0)),IF(Element_Stiffness!$E$215=5,IF(4=Element_Stiffness!$C$215,Element_Stiffness!Q245,IF(4=Element_Stiffness!$E$215,Element_Stiffness!W245,0)),0)),0)</f>
        <v/>
      </c>
      <c r="AC38" s="21">
        <f>IF(Element_Stiffness!$C$6,IF(Element_Stiffness!$C$5=5,IF(4=Element_Stiffness!$C$5,Element_Stiffness!R29,IF(4=Element_Stiffness!$E$5,Element_Stiffness!X29,0)),IF(Element_Stiffness!$E$5=5,IF(4=Element_Stiffness!$C$5,Element_Stiffness!R35,IF(4=Element_Stiffness!$E$5,Element_Stiffness!X35,0)),0)),0)+IF(Element_Stiffness!$C$41,IF(Element_Stiffness!$C$40=5,IF(4=Element_Stiffness!$C$40,Element_Stiffness!R64,IF(4=Element_Stiffness!$E$40,Element_Stiffness!X64,0)),IF(Element_Stiffness!$E$40=5,IF(4=Element_Stiffness!$C$40,Element_Stiffness!R70,IF(4=Element_Stiffness!$E$40,Element_Stiffness!X70,0)),0)),0)+IF(Element_Stiffness!$C$76,IF(Element_Stiffness!$C$75=5,IF(4=Element_Stiffness!$C$75,Element_Stiffness!R99,IF(4=Element_Stiffness!$E$75,Element_Stiffness!X99,0)),IF(Element_Stiffness!$E$75=5,IF(4=Element_Stiffness!$C$75,Element_Stiffness!R105,IF(4=Element_Stiffness!$E$75,Element_Stiffness!X105,0)),0)),0)+IF(Element_Stiffness!$C$111,IF(Element_Stiffness!$C$110=5,IF(4=Element_Stiffness!$C$110,Element_Stiffness!R134,IF(4=Element_Stiffness!$E$110,Element_Stiffness!X134,0)),IF(Element_Stiffness!$E$110=5,IF(4=Element_Stiffness!$C$110,Element_Stiffness!R140,IF(4=Element_Stiffness!$E$110,Element_Stiffness!X140,0)),0)),0)+IF(Element_Stiffness!$C$146,IF(Element_Stiffness!$C$145=5,IF(4=Element_Stiffness!$C$145,Element_Stiffness!R169,IF(4=Element_Stiffness!$E$145,Element_Stiffness!X169,0)),IF(Element_Stiffness!$E$145=5,IF(4=Element_Stiffness!$C$145,Element_Stiffness!R175,IF(4=Element_Stiffness!$E$145,Element_Stiffness!X175,0)),0)),0)+IF(Element_Stiffness!$C$181,IF(Element_Stiffness!$C$180=5,IF(4=Element_Stiffness!$C$180,Element_Stiffness!R204,IF(4=Element_Stiffness!$E$180,Element_Stiffness!X204,0)),IF(Element_Stiffness!$E$180=5,IF(4=Element_Stiffness!$C$180,Element_Stiffness!R210,IF(4=Element_Stiffness!$E$180,Element_Stiffness!X210,0)),0)),0)+IF(Element_Stiffness!$C$216,IF(Element_Stiffness!$C$215=5,IF(4=Element_Stiffness!$C$215,Element_Stiffness!R239,IF(4=Element_Stiffness!$E$215,Element_Stiffness!X239,0)),IF(Element_Stiffness!$E$215=5,IF(4=Element_Stiffness!$C$215,Element_Stiffness!R245,IF(4=Element_Stiffness!$E$215,Element_Stiffness!X245,0)),0)),0)</f>
        <v/>
      </c>
      <c r="AD38" s="21">
        <f>IF(Element_Stiffness!$C$6,IF(Element_Stiffness!$C$5=5,IF(4=Element_Stiffness!$C$5,Element_Stiffness!S29,IF(4=Element_Stiffness!$E$5,Element_Stiffness!Y29,0)),IF(Element_Stiffness!$E$5=5,IF(4=Element_Stiffness!$C$5,Element_Stiffness!S35,IF(4=Element_Stiffness!$E$5,Element_Stiffness!Y35,0)),0)),0)+IF(Element_Stiffness!$C$41,IF(Element_Stiffness!$C$40=5,IF(4=Element_Stiffness!$C$40,Element_Stiffness!S64,IF(4=Element_Stiffness!$E$40,Element_Stiffness!Y64,0)),IF(Element_Stiffness!$E$40=5,IF(4=Element_Stiffness!$C$40,Element_Stiffness!S70,IF(4=Element_Stiffness!$E$40,Element_Stiffness!Y70,0)),0)),0)+IF(Element_Stiffness!$C$76,IF(Element_Stiffness!$C$75=5,IF(4=Element_Stiffness!$C$75,Element_Stiffness!S99,IF(4=Element_Stiffness!$E$75,Element_Stiffness!Y99,0)),IF(Element_Stiffness!$E$75=5,IF(4=Element_Stiffness!$C$75,Element_Stiffness!S105,IF(4=Element_Stiffness!$E$75,Element_Stiffness!Y105,0)),0)),0)+IF(Element_Stiffness!$C$111,IF(Element_Stiffness!$C$110=5,IF(4=Element_Stiffness!$C$110,Element_Stiffness!S134,IF(4=Element_Stiffness!$E$110,Element_Stiffness!Y134,0)),IF(Element_Stiffness!$E$110=5,IF(4=Element_Stiffness!$C$110,Element_Stiffness!S140,IF(4=Element_Stiffness!$E$110,Element_Stiffness!Y140,0)),0)),0)+IF(Element_Stiffness!$C$146,IF(Element_Stiffness!$C$145=5,IF(4=Element_Stiffness!$C$145,Element_Stiffness!S169,IF(4=Element_Stiffness!$E$145,Element_Stiffness!Y169,0)),IF(Element_Stiffness!$E$145=5,IF(4=Element_Stiffness!$C$145,Element_Stiffness!S175,IF(4=Element_Stiffness!$E$145,Element_Stiffness!Y175,0)),0)),0)+IF(Element_Stiffness!$C$181,IF(Element_Stiffness!$C$180=5,IF(4=Element_Stiffness!$C$180,Element_Stiffness!S204,IF(4=Element_Stiffness!$E$180,Element_Stiffness!Y204,0)),IF(Element_Stiffness!$E$180=5,IF(4=Element_Stiffness!$C$180,Element_Stiffness!S210,IF(4=Element_Stiffness!$E$180,Element_Stiffness!Y210,0)),0)),0)+IF(Element_Stiffness!$C$216,IF(Element_Stiffness!$C$215=5,IF(4=Element_Stiffness!$C$215,Element_Stiffness!S239,IF(4=Element_Stiffness!$E$215,Element_Stiffness!Y239,0)),IF(Element_Stiffness!$E$215=5,IF(4=Element_Stiffness!$C$215,Element_Stiffness!S245,IF(4=Element_Stiffness!$E$215,Element_Stiffness!Y245,0)),0)),0)</f>
        <v/>
      </c>
      <c r="AE38" s="21">
        <f>IF(Element_Stiffness!$C$6,IF(Element_Stiffness!$C$5=5,IF(4=Element_Stiffness!$C$5,Element_Stiffness!T29,IF(4=Element_Stiffness!$E$5,Element_Stiffness!Z29,0)),IF(Element_Stiffness!$E$5=5,IF(4=Element_Stiffness!$C$5,Element_Stiffness!T35,IF(4=Element_Stiffness!$E$5,Element_Stiffness!Z35,0)),0)),0)+IF(Element_Stiffness!$C$41,IF(Element_Stiffness!$C$40=5,IF(4=Element_Stiffness!$C$40,Element_Stiffness!T64,IF(4=Element_Stiffness!$E$40,Element_Stiffness!Z64,0)),IF(Element_Stiffness!$E$40=5,IF(4=Element_Stiffness!$C$40,Element_Stiffness!T70,IF(4=Element_Stiffness!$E$40,Element_Stiffness!Z70,0)),0)),0)+IF(Element_Stiffness!$C$76,IF(Element_Stiffness!$C$75=5,IF(4=Element_Stiffness!$C$75,Element_Stiffness!T99,IF(4=Element_Stiffness!$E$75,Element_Stiffness!Z99,0)),IF(Element_Stiffness!$E$75=5,IF(4=Element_Stiffness!$C$75,Element_Stiffness!T105,IF(4=Element_Stiffness!$E$75,Element_Stiffness!Z105,0)),0)),0)+IF(Element_Stiffness!$C$111,IF(Element_Stiffness!$C$110=5,IF(4=Element_Stiffness!$C$110,Element_Stiffness!T134,IF(4=Element_Stiffness!$E$110,Element_Stiffness!Z134,0)),IF(Element_Stiffness!$E$110=5,IF(4=Element_Stiffness!$C$110,Element_Stiffness!T140,IF(4=Element_Stiffness!$E$110,Element_Stiffness!Z140,0)),0)),0)+IF(Element_Stiffness!$C$146,IF(Element_Stiffness!$C$145=5,IF(4=Element_Stiffness!$C$145,Element_Stiffness!T169,IF(4=Element_Stiffness!$E$145,Element_Stiffness!Z169,0)),IF(Element_Stiffness!$E$145=5,IF(4=Element_Stiffness!$C$145,Element_Stiffness!T175,IF(4=Element_Stiffness!$E$145,Element_Stiffness!Z175,0)),0)),0)+IF(Element_Stiffness!$C$181,IF(Element_Stiffness!$C$180=5,IF(4=Element_Stiffness!$C$180,Element_Stiffness!T204,IF(4=Element_Stiffness!$E$180,Element_Stiffness!Z204,0)),IF(Element_Stiffness!$E$180=5,IF(4=Element_Stiffness!$C$180,Element_Stiffness!T210,IF(4=Element_Stiffness!$E$180,Element_Stiffness!Z210,0)),0)),0)+IF(Element_Stiffness!$C$216,IF(Element_Stiffness!$C$215=5,IF(4=Element_Stiffness!$C$215,Element_Stiffness!T239,IF(4=Element_Stiffness!$E$215,Element_Stiffness!Z239,0)),IF(Element_Stiffness!$E$215=5,IF(4=Element_Stiffness!$C$215,Element_Stiffness!T245,IF(4=Element_Stiffness!$E$215,Element_Stiffness!Z245,0)),0)),0)</f>
        <v/>
      </c>
      <c r="AF38" s="21">
        <f>IF(Element_Stiffness!$C$6,IF(Element_Stiffness!$C$5=5,IF(4=Element_Stiffness!$C$5,Element_Stiffness!U29,IF(4=Element_Stiffness!$E$5,Element_Stiffness!AA29,0)),IF(Element_Stiffness!$E$5=5,IF(4=Element_Stiffness!$C$5,Element_Stiffness!U35,IF(4=Element_Stiffness!$E$5,Element_Stiffness!AA35,0)),0)),0)+IF(Element_Stiffness!$C$41,IF(Element_Stiffness!$C$40=5,IF(4=Element_Stiffness!$C$40,Element_Stiffness!U64,IF(4=Element_Stiffness!$E$40,Element_Stiffness!AA64,0)),IF(Element_Stiffness!$E$40=5,IF(4=Element_Stiffness!$C$40,Element_Stiffness!U70,IF(4=Element_Stiffness!$E$40,Element_Stiffness!AA70,0)),0)),0)+IF(Element_Stiffness!$C$76,IF(Element_Stiffness!$C$75=5,IF(4=Element_Stiffness!$C$75,Element_Stiffness!U99,IF(4=Element_Stiffness!$E$75,Element_Stiffness!AA99,0)),IF(Element_Stiffness!$E$75=5,IF(4=Element_Stiffness!$C$75,Element_Stiffness!U105,IF(4=Element_Stiffness!$E$75,Element_Stiffness!AA105,0)),0)),0)+IF(Element_Stiffness!$C$111,IF(Element_Stiffness!$C$110=5,IF(4=Element_Stiffness!$C$110,Element_Stiffness!U134,IF(4=Element_Stiffness!$E$110,Element_Stiffness!AA134,0)),IF(Element_Stiffness!$E$110=5,IF(4=Element_Stiffness!$C$110,Element_Stiffness!U140,IF(4=Element_Stiffness!$E$110,Element_Stiffness!AA140,0)),0)),0)+IF(Element_Stiffness!$C$146,IF(Element_Stiffness!$C$145=5,IF(4=Element_Stiffness!$C$145,Element_Stiffness!U169,IF(4=Element_Stiffness!$E$145,Element_Stiffness!AA169,0)),IF(Element_Stiffness!$E$145=5,IF(4=Element_Stiffness!$C$145,Element_Stiffness!U175,IF(4=Element_Stiffness!$E$145,Element_Stiffness!AA175,0)),0)),0)+IF(Element_Stiffness!$C$181,IF(Element_Stiffness!$C$180=5,IF(4=Element_Stiffness!$C$180,Element_Stiffness!U204,IF(4=Element_Stiffness!$E$180,Element_Stiffness!AA204,0)),IF(Element_Stiffness!$E$180=5,IF(4=Element_Stiffness!$C$180,Element_Stiffness!U210,IF(4=Element_Stiffness!$E$180,Element_Stiffness!AA210,0)),0)),0)+IF(Element_Stiffness!$C$216,IF(Element_Stiffness!$C$215=5,IF(4=Element_Stiffness!$C$215,Element_Stiffness!U239,IF(4=Element_Stiffness!$E$215,Element_Stiffness!AA239,0)),IF(Element_Stiffness!$E$215=5,IF(4=Element_Stiffness!$C$215,Element_Stiffness!U245,IF(4=Element_Stiffness!$E$215,Element_Stiffness!AA245,0)),0)),0)</f>
        <v/>
      </c>
      <c r="AG38" s="21">
        <f>IF(Element_Stiffness!$C$6,IF(Element_Stiffness!$C$5=5,IF(5=Element_Stiffness!$C$5,Element_Stiffness!P29,IF(5=Element_Stiffness!$E$5,Element_Stiffness!V29,0)),IF(Element_Stiffness!$E$5=5,IF(5=Element_Stiffness!$C$5,Element_Stiffness!P35,IF(5=Element_Stiffness!$E$5,Element_Stiffness!V35,0)),0)),0)+IF(Element_Stiffness!$C$41,IF(Element_Stiffness!$C$40=5,IF(5=Element_Stiffness!$C$40,Element_Stiffness!P64,IF(5=Element_Stiffness!$E$40,Element_Stiffness!V64,0)),IF(Element_Stiffness!$E$40=5,IF(5=Element_Stiffness!$C$40,Element_Stiffness!P70,IF(5=Element_Stiffness!$E$40,Element_Stiffness!V70,0)),0)),0)+IF(Element_Stiffness!$C$76,IF(Element_Stiffness!$C$75=5,IF(5=Element_Stiffness!$C$75,Element_Stiffness!P99,IF(5=Element_Stiffness!$E$75,Element_Stiffness!V99,0)),IF(Element_Stiffness!$E$75=5,IF(5=Element_Stiffness!$C$75,Element_Stiffness!P105,IF(5=Element_Stiffness!$E$75,Element_Stiffness!V105,0)),0)),0)+IF(Element_Stiffness!$C$111,IF(Element_Stiffness!$C$110=5,IF(5=Element_Stiffness!$C$110,Element_Stiffness!P134,IF(5=Element_Stiffness!$E$110,Element_Stiffness!V134,0)),IF(Element_Stiffness!$E$110=5,IF(5=Element_Stiffness!$C$110,Element_Stiffness!P140,IF(5=Element_Stiffness!$E$110,Element_Stiffness!V140,0)),0)),0)+IF(Element_Stiffness!$C$146,IF(Element_Stiffness!$C$145=5,IF(5=Element_Stiffness!$C$145,Element_Stiffness!P169,IF(5=Element_Stiffness!$E$145,Element_Stiffness!V169,0)),IF(Element_Stiffness!$E$145=5,IF(5=Element_Stiffness!$C$145,Element_Stiffness!P175,IF(5=Element_Stiffness!$E$145,Element_Stiffness!V175,0)),0)),0)+IF(Element_Stiffness!$C$181,IF(Element_Stiffness!$C$180=5,IF(5=Element_Stiffness!$C$180,Element_Stiffness!P204,IF(5=Element_Stiffness!$E$180,Element_Stiffness!V204,0)),IF(Element_Stiffness!$E$180=5,IF(5=Element_Stiffness!$C$180,Element_Stiffness!P210,IF(5=Element_Stiffness!$E$180,Element_Stiffness!V210,0)),0)),0)+IF(Element_Stiffness!$C$216,IF(Element_Stiffness!$C$215=5,IF(5=Element_Stiffness!$C$215,Element_Stiffness!P239,IF(5=Element_Stiffness!$E$215,Element_Stiffness!V239,0)),IF(Element_Stiffness!$E$215=5,IF(5=Element_Stiffness!$C$215,Element_Stiffness!P245,IF(5=Element_Stiffness!$E$215,Element_Stiffness!V245,0)),0)),0)</f>
        <v/>
      </c>
      <c r="AH38" s="21">
        <f>IF(Element_Stiffness!$C$6,IF(Element_Stiffness!$C$5=5,IF(5=Element_Stiffness!$C$5,Element_Stiffness!Q29,IF(5=Element_Stiffness!$E$5,Element_Stiffness!W29,0)),IF(Element_Stiffness!$E$5=5,IF(5=Element_Stiffness!$C$5,Element_Stiffness!Q35,IF(5=Element_Stiffness!$E$5,Element_Stiffness!W35,0)),0)),0)+IF(Element_Stiffness!$C$41,IF(Element_Stiffness!$C$40=5,IF(5=Element_Stiffness!$C$40,Element_Stiffness!Q64,IF(5=Element_Stiffness!$E$40,Element_Stiffness!W64,0)),IF(Element_Stiffness!$E$40=5,IF(5=Element_Stiffness!$C$40,Element_Stiffness!Q70,IF(5=Element_Stiffness!$E$40,Element_Stiffness!W70,0)),0)),0)+IF(Element_Stiffness!$C$76,IF(Element_Stiffness!$C$75=5,IF(5=Element_Stiffness!$C$75,Element_Stiffness!Q99,IF(5=Element_Stiffness!$E$75,Element_Stiffness!W99,0)),IF(Element_Stiffness!$E$75=5,IF(5=Element_Stiffness!$C$75,Element_Stiffness!Q105,IF(5=Element_Stiffness!$E$75,Element_Stiffness!W105,0)),0)),0)+IF(Element_Stiffness!$C$111,IF(Element_Stiffness!$C$110=5,IF(5=Element_Stiffness!$C$110,Element_Stiffness!Q134,IF(5=Element_Stiffness!$E$110,Element_Stiffness!W134,0)),IF(Element_Stiffness!$E$110=5,IF(5=Element_Stiffness!$C$110,Element_Stiffness!Q140,IF(5=Element_Stiffness!$E$110,Element_Stiffness!W140,0)),0)),0)+IF(Element_Stiffness!$C$146,IF(Element_Stiffness!$C$145=5,IF(5=Element_Stiffness!$C$145,Element_Stiffness!Q169,IF(5=Element_Stiffness!$E$145,Element_Stiffness!W169,0)),IF(Element_Stiffness!$E$145=5,IF(5=Element_Stiffness!$C$145,Element_Stiffness!Q175,IF(5=Element_Stiffness!$E$145,Element_Stiffness!W175,0)),0)),0)+IF(Element_Stiffness!$C$181,IF(Element_Stiffness!$C$180=5,IF(5=Element_Stiffness!$C$180,Element_Stiffness!Q204,IF(5=Element_Stiffness!$E$180,Element_Stiffness!W204,0)),IF(Element_Stiffness!$E$180=5,IF(5=Element_Stiffness!$C$180,Element_Stiffness!Q210,IF(5=Element_Stiffness!$E$180,Element_Stiffness!W210,0)),0)),0)+IF(Element_Stiffness!$C$216,IF(Element_Stiffness!$C$215=5,IF(5=Element_Stiffness!$C$215,Element_Stiffness!Q239,IF(5=Element_Stiffness!$E$215,Element_Stiffness!W239,0)),IF(Element_Stiffness!$E$215=5,IF(5=Element_Stiffness!$C$215,Element_Stiffness!Q245,IF(5=Element_Stiffness!$E$215,Element_Stiffness!W245,0)),0)),0)</f>
        <v/>
      </c>
      <c r="AI38" s="21">
        <f>IF(Element_Stiffness!$C$6,IF(Element_Stiffness!$C$5=5,IF(5=Element_Stiffness!$C$5,Element_Stiffness!R29,IF(5=Element_Stiffness!$E$5,Element_Stiffness!X29,0)),IF(Element_Stiffness!$E$5=5,IF(5=Element_Stiffness!$C$5,Element_Stiffness!R35,IF(5=Element_Stiffness!$E$5,Element_Stiffness!X35,0)),0)),0)+IF(Element_Stiffness!$C$41,IF(Element_Stiffness!$C$40=5,IF(5=Element_Stiffness!$C$40,Element_Stiffness!R64,IF(5=Element_Stiffness!$E$40,Element_Stiffness!X64,0)),IF(Element_Stiffness!$E$40=5,IF(5=Element_Stiffness!$C$40,Element_Stiffness!R70,IF(5=Element_Stiffness!$E$40,Element_Stiffness!X70,0)),0)),0)+IF(Element_Stiffness!$C$76,IF(Element_Stiffness!$C$75=5,IF(5=Element_Stiffness!$C$75,Element_Stiffness!R99,IF(5=Element_Stiffness!$E$75,Element_Stiffness!X99,0)),IF(Element_Stiffness!$E$75=5,IF(5=Element_Stiffness!$C$75,Element_Stiffness!R105,IF(5=Element_Stiffness!$E$75,Element_Stiffness!X105,0)),0)),0)+IF(Element_Stiffness!$C$111,IF(Element_Stiffness!$C$110=5,IF(5=Element_Stiffness!$C$110,Element_Stiffness!R134,IF(5=Element_Stiffness!$E$110,Element_Stiffness!X134,0)),IF(Element_Stiffness!$E$110=5,IF(5=Element_Stiffness!$C$110,Element_Stiffness!R140,IF(5=Element_Stiffness!$E$110,Element_Stiffness!X140,0)),0)),0)+IF(Element_Stiffness!$C$146,IF(Element_Stiffness!$C$145=5,IF(5=Element_Stiffness!$C$145,Element_Stiffness!R169,IF(5=Element_Stiffness!$E$145,Element_Stiffness!X169,0)),IF(Element_Stiffness!$E$145=5,IF(5=Element_Stiffness!$C$145,Element_Stiffness!R175,IF(5=Element_Stiffness!$E$145,Element_Stiffness!X175,0)),0)),0)+IF(Element_Stiffness!$C$181,IF(Element_Stiffness!$C$180=5,IF(5=Element_Stiffness!$C$180,Element_Stiffness!R204,IF(5=Element_Stiffness!$E$180,Element_Stiffness!X204,0)),IF(Element_Stiffness!$E$180=5,IF(5=Element_Stiffness!$C$180,Element_Stiffness!R210,IF(5=Element_Stiffness!$E$180,Element_Stiffness!X210,0)),0)),0)+IF(Element_Stiffness!$C$216,IF(Element_Stiffness!$C$215=5,IF(5=Element_Stiffness!$C$215,Element_Stiffness!R239,IF(5=Element_Stiffness!$E$215,Element_Stiffness!X239,0)),IF(Element_Stiffness!$E$215=5,IF(5=Element_Stiffness!$C$215,Element_Stiffness!R245,IF(5=Element_Stiffness!$E$215,Element_Stiffness!X245,0)),0)),0)</f>
        <v/>
      </c>
      <c r="AJ38" s="21">
        <f>IF(Element_Stiffness!$C$6,IF(Element_Stiffness!$C$5=5,IF(5=Element_Stiffness!$C$5,Element_Stiffness!S29,IF(5=Element_Stiffness!$E$5,Element_Stiffness!Y29,0)),IF(Element_Stiffness!$E$5=5,IF(5=Element_Stiffness!$C$5,Element_Stiffness!S35,IF(5=Element_Stiffness!$E$5,Element_Stiffness!Y35,0)),0)),0)+IF(Element_Stiffness!$C$41,IF(Element_Stiffness!$C$40=5,IF(5=Element_Stiffness!$C$40,Element_Stiffness!S64,IF(5=Element_Stiffness!$E$40,Element_Stiffness!Y64,0)),IF(Element_Stiffness!$E$40=5,IF(5=Element_Stiffness!$C$40,Element_Stiffness!S70,IF(5=Element_Stiffness!$E$40,Element_Stiffness!Y70,0)),0)),0)+IF(Element_Stiffness!$C$76,IF(Element_Stiffness!$C$75=5,IF(5=Element_Stiffness!$C$75,Element_Stiffness!S99,IF(5=Element_Stiffness!$E$75,Element_Stiffness!Y99,0)),IF(Element_Stiffness!$E$75=5,IF(5=Element_Stiffness!$C$75,Element_Stiffness!S105,IF(5=Element_Stiffness!$E$75,Element_Stiffness!Y105,0)),0)),0)+IF(Element_Stiffness!$C$111,IF(Element_Stiffness!$C$110=5,IF(5=Element_Stiffness!$C$110,Element_Stiffness!S134,IF(5=Element_Stiffness!$E$110,Element_Stiffness!Y134,0)),IF(Element_Stiffness!$E$110=5,IF(5=Element_Stiffness!$C$110,Element_Stiffness!S140,IF(5=Element_Stiffness!$E$110,Element_Stiffness!Y140,0)),0)),0)+IF(Element_Stiffness!$C$146,IF(Element_Stiffness!$C$145=5,IF(5=Element_Stiffness!$C$145,Element_Stiffness!S169,IF(5=Element_Stiffness!$E$145,Element_Stiffness!Y169,0)),IF(Element_Stiffness!$E$145=5,IF(5=Element_Stiffness!$C$145,Element_Stiffness!S175,IF(5=Element_Stiffness!$E$145,Element_Stiffness!Y175,0)),0)),0)+IF(Element_Stiffness!$C$181,IF(Element_Stiffness!$C$180=5,IF(5=Element_Stiffness!$C$180,Element_Stiffness!S204,IF(5=Element_Stiffness!$E$180,Element_Stiffness!Y204,0)),IF(Element_Stiffness!$E$180=5,IF(5=Element_Stiffness!$C$180,Element_Stiffness!S210,IF(5=Element_Stiffness!$E$180,Element_Stiffness!Y210,0)),0)),0)+IF(Element_Stiffness!$C$216,IF(Element_Stiffness!$C$215=5,IF(5=Element_Stiffness!$C$215,Element_Stiffness!S239,IF(5=Element_Stiffness!$E$215,Element_Stiffness!Y239,0)),IF(Element_Stiffness!$E$215=5,IF(5=Element_Stiffness!$C$215,Element_Stiffness!S245,IF(5=Element_Stiffness!$E$215,Element_Stiffness!Y245,0)),0)),0)+IF(Inputs!F45=TRUE,1E15,IF(ISNUMBER(Inputs!F45),Inputs!F45,0))</f>
        <v/>
      </c>
      <c r="AK38" s="21">
        <f>IF(Element_Stiffness!$C$6,IF(Element_Stiffness!$C$5=5,IF(5=Element_Stiffness!$C$5,Element_Stiffness!T29,IF(5=Element_Stiffness!$E$5,Element_Stiffness!Z29,0)),IF(Element_Stiffness!$E$5=5,IF(5=Element_Stiffness!$C$5,Element_Stiffness!T35,IF(5=Element_Stiffness!$E$5,Element_Stiffness!Z35,0)),0)),0)+IF(Element_Stiffness!$C$41,IF(Element_Stiffness!$C$40=5,IF(5=Element_Stiffness!$C$40,Element_Stiffness!T64,IF(5=Element_Stiffness!$E$40,Element_Stiffness!Z64,0)),IF(Element_Stiffness!$E$40=5,IF(5=Element_Stiffness!$C$40,Element_Stiffness!T70,IF(5=Element_Stiffness!$E$40,Element_Stiffness!Z70,0)),0)),0)+IF(Element_Stiffness!$C$76,IF(Element_Stiffness!$C$75=5,IF(5=Element_Stiffness!$C$75,Element_Stiffness!T99,IF(5=Element_Stiffness!$E$75,Element_Stiffness!Z99,0)),IF(Element_Stiffness!$E$75=5,IF(5=Element_Stiffness!$C$75,Element_Stiffness!T105,IF(5=Element_Stiffness!$E$75,Element_Stiffness!Z105,0)),0)),0)+IF(Element_Stiffness!$C$111,IF(Element_Stiffness!$C$110=5,IF(5=Element_Stiffness!$C$110,Element_Stiffness!T134,IF(5=Element_Stiffness!$E$110,Element_Stiffness!Z134,0)),IF(Element_Stiffness!$E$110=5,IF(5=Element_Stiffness!$C$110,Element_Stiffness!T140,IF(5=Element_Stiffness!$E$110,Element_Stiffness!Z140,0)),0)),0)+IF(Element_Stiffness!$C$146,IF(Element_Stiffness!$C$145=5,IF(5=Element_Stiffness!$C$145,Element_Stiffness!T169,IF(5=Element_Stiffness!$E$145,Element_Stiffness!Z169,0)),IF(Element_Stiffness!$E$145=5,IF(5=Element_Stiffness!$C$145,Element_Stiffness!T175,IF(5=Element_Stiffness!$E$145,Element_Stiffness!Z175,0)),0)),0)+IF(Element_Stiffness!$C$181,IF(Element_Stiffness!$C$180=5,IF(5=Element_Stiffness!$C$180,Element_Stiffness!T204,IF(5=Element_Stiffness!$E$180,Element_Stiffness!Z204,0)),IF(Element_Stiffness!$E$180=5,IF(5=Element_Stiffness!$C$180,Element_Stiffness!T210,IF(5=Element_Stiffness!$E$180,Element_Stiffness!Z210,0)),0)),0)+IF(Element_Stiffness!$C$216,IF(Element_Stiffness!$C$215=5,IF(5=Element_Stiffness!$C$215,Element_Stiffness!T239,IF(5=Element_Stiffness!$E$215,Element_Stiffness!Z239,0)),IF(Element_Stiffness!$E$215=5,IF(5=Element_Stiffness!$C$215,Element_Stiffness!T245,IF(5=Element_Stiffness!$E$215,Element_Stiffness!Z245,0)),0)),0)</f>
        <v/>
      </c>
      <c r="AL38" s="21">
        <f>IF(Element_Stiffness!$C$6,IF(Element_Stiffness!$C$5=5,IF(5=Element_Stiffness!$C$5,Element_Stiffness!U29,IF(5=Element_Stiffness!$E$5,Element_Stiffness!AA29,0)),IF(Element_Stiffness!$E$5=5,IF(5=Element_Stiffness!$C$5,Element_Stiffness!U35,IF(5=Element_Stiffness!$E$5,Element_Stiffness!AA35,0)),0)),0)+IF(Element_Stiffness!$C$41,IF(Element_Stiffness!$C$40=5,IF(5=Element_Stiffness!$C$40,Element_Stiffness!U64,IF(5=Element_Stiffness!$E$40,Element_Stiffness!AA64,0)),IF(Element_Stiffness!$E$40=5,IF(5=Element_Stiffness!$C$40,Element_Stiffness!U70,IF(5=Element_Stiffness!$E$40,Element_Stiffness!AA70,0)),0)),0)+IF(Element_Stiffness!$C$76,IF(Element_Stiffness!$C$75=5,IF(5=Element_Stiffness!$C$75,Element_Stiffness!U99,IF(5=Element_Stiffness!$E$75,Element_Stiffness!AA99,0)),IF(Element_Stiffness!$E$75=5,IF(5=Element_Stiffness!$C$75,Element_Stiffness!U105,IF(5=Element_Stiffness!$E$75,Element_Stiffness!AA105,0)),0)),0)+IF(Element_Stiffness!$C$111,IF(Element_Stiffness!$C$110=5,IF(5=Element_Stiffness!$C$110,Element_Stiffness!U134,IF(5=Element_Stiffness!$E$110,Element_Stiffness!AA134,0)),IF(Element_Stiffness!$E$110=5,IF(5=Element_Stiffness!$C$110,Element_Stiffness!U140,IF(5=Element_Stiffness!$E$110,Element_Stiffness!AA140,0)),0)),0)+IF(Element_Stiffness!$C$146,IF(Element_Stiffness!$C$145=5,IF(5=Element_Stiffness!$C$145,Element_Stiffness!U169,IF(5=Element_Stiffness!$E$145,Element_Stiffness!AA169,0)),IF(Element_Stiffness!$E$145=5,IF(5=Element_Stiffness!$C$145,Element_Stiffness!U175,IF(5=Element_Stiffness!$E$145,Element_Stiffness!AA175,0)),0)),0)+IF(Element_Stiffness!$C$181,IF(Element_Stiffness!$C$180=5,IF(5=Element_Stiffness!$C$180,Element_Stiffness!U204,IF(5=Element_Stiffness!$E$180,Element_Stiffness!AA204,0)),IF(Element_Stiffness!$E$180=5,IF(5=Element_Stiffness!$C$180,Element_Stiffness!U210,IF(5=Element_Stiffness!$E$180,Element_Stiffness!AA210,0)),0)),0)+IF(Element_Stiffness!$C$216,IF(Element_Stiffness!$C$215=5,IF(5=Element_Stiffness!$C$215,Element_Stiffness!U239,IF(5=Element_Stiffness!$E$215,Element_Stiffness!AA239,0)),IF(Element_Stiffness!$E$215=5,IF(5=Element_Stiffness!$C$215,Element_Stiffness!U245,IF(5=Element_Stiffness!$E$215,Element_Stiffness!AA245,0)),0)),0)</f>
        <v/>
      </c>
      <c r="AM38" s="21">
        <f>IF(Element_Stiffness!$C$6,IF(Element_Stiffness!$C$5=5,IF(6=Element_Stiffness!$C$5,Element_Stiffness!P29,IF(6=Element_Stiffness!$E$5,Element_Stiffness!V29,0)),IF(Element_Stiffness!$E$5=5,IF(6=Element_Stiffness!$C$5,Element_Stiffness!P35,IF(6=Element_Stiffness!$E$5,Element_Stiffness!V35,0)),0)),0)+IF(Element_Stiffness!$C$41,IF(Element_Stiffness!$C$40=5,IF(6=Element_Stiffness!$C$40,Element_Stiffness!P64,IF(6=Element_Stiffness!$E$40,Element_Stiffness!V64,0)),IF(Element_Stiffness!$E$40=5,IF(6=Element_Stiffness!$C$40,Element_Stiffness!P70,IF(6=Element_Stiffness!$E$40,Element_Stiffness!V70,0)),0)),0)+IF(Element_Stiffness!$C$76,IF(Element_Stiffness!$C$75=5,IF(6=Element_Stiffness!$C$75,Element_Stiffness!P99,IF(6=Element_Stiffness!$E$75,Element_Stiffness!V99,0)),IF(Element_Stiffness!$E$75=5,IF(6=Element_Stiffness!$C$75,Element_Stiffness!P105,IF(6=Element_Stiffness!$E$75,Element_Stiffness!V105,0)),0)),0)+IF(Element_Stiffness!$C$111,IF(Element_Stiffness!$C$110=5,IF(6=Element_Stiffness!$C$110,Element_Stiffness!P134,IF(6=Element_Stiffness!$E$110,Element_Stiffness!V134,0)),IF(Element_Stiffness!$E$110=5,IF(6=Element_Stiffness!$C$110,Element_Stiffness!P140,IF(6=Element_Stiffness!$E$110,Element_Stiffness!V140,0)),0)),0)+IF(Element_Stiffness!$C$146,IF(Element_Stiffness!$C$145=5,IF(6=Element_Stiffness!$C$145,Element_Stiffness!P169,IF(6=Element_Stiffness!$E$145,Element_Stiffness!V169,0)),IF(Element_Stiffness!$E$145=5,IF(6=Element_Stiffness!$C$145,Element_Stiffness!P175,IF(6=Element_Stiffness!$E$145,Element_Stiffness!V175,0)),0)),0)+IF(Element_Stiffness!$C$181,IF(Element_Stiffness!$C$180=5,IF(6=Element_Stiffness!$C$180,Element_Stiffness!P204,IF(6=Element_Stiffness!$E$180,Element_Stiffness!V204,0)),IF(Element_Stiffness!$E$180=5,IF(6=Element_Stiffness!$C$180,Element_Stiffness!P210,IF(6=Element_Stiffness!$E$180,Element_Stiffness!V210,0)),0)),0)+IF(Element_Stiffness!$C$216,IF(Element_Stiffness!$C$215=5,IF(6=Element_Stiffness!$C$215,Element_Stiffness!P239,IF(6=Element_Stiffness!$E$215,Element_Stiffness!V239,0)),IF(Element_Stiffness!$E$215=5,IF(6=Element_Stiffness!$C$215,Element_Stiffness!P245,IF(6=Element_Stiffness!$E$215,Element_Stiffness!V245,0)),0)),0)</f>
        <v/>
      </c>
      <c r="AN38" s="21">
        <f>IF(Element_Stiffness!$C$6,IF(Element_Stiffness!$C$5=5,IF(6=Element_Stiffness!$C$5,Element_Stiffness!Q29,IF(6=Element_Stiffness!$E$5,Element_Stiffness!W29,0)),IF(Element_Stiffness!$E$5=5,IF(6=Element_Stiffness!$C$5,Element_Stiffness!Q35,IF(6=Element_Stiffness!$E$5,Element_Stiffness!W35,0)),0)),0)+IF(Element_Stiffness!$C$41,IF(Element_Stiffness!$C$40=5,IF(6=Element_Stiffness!$C$40,Element_Stiffness!Q64,IF(6=Element_Stiffness!$E$40,Element_Stiffness!W64,0)),IF(Element_Stiffness!$E$40=5,IF(6=Element_Stiffness!$C$40,Element_Stiffness!Q70,IF(6=Element_Stiffness!$E$40,Element_Stiffness!W70,0)),0)),0)+IF(Element_Stiffness!$C$76,IF(Element_Stiffness!$C$75=5,IF(6=Element_Stiffness!$C$75,Element_Stiffness!Q99,IF(6=Element_Stiffness!$E$75,Element_Stiffness!W99,0)),IF(Element_Stiffness!$E$75=5,IF(6=Element_Stiffness!$C$75,Element_Stiffness!Q105,IF(6=Element_Stiffness!$E$75,Element_Stiffness!W105,0)),0)),0)+IF(Element_Stiffness!$C$111,IF(Element_Stiffness!$C$110=5,IF(6=Element_Stiffness!$C$110,Element_Stiffness!Q134,IF(6=Element_Stiffness!$E$110,Element_Stiffness!W134,0)),IF(Element_Stiffness!$E$110=5,IF(6=Element_Stiffness!$C$110,Element_Stiffness!Q140,IF(6=Element_Stiffness!$E$110,Element_Stiffness!W140,0)),0)),0)+IF(Element_Stiffness!$C$146,IF(Element_Stiffness!$C$145=5,IF(6=Element_Stiffness!$C$145,Element_Stiffness!Q169,IF(6=Element_Stiffness!$E$145,Element_Stiffness!W169,0)),IF(Element_Stiffness!$E$145=5,IF(6=Element_Stiffness!$C$145,Element_Stiffness!Q175,IF(6=Element_Stiffness!$E$145,Element_Stiffness!W175,0)),0)),0)+IF(Element_Stiffness!$C$181,IF(Element_Stiffness!$C$180=5,IF(6=Element_Stiffness!$C$180,Element_Stiffness!Q204,IF(6=Element_Stiffness!$E$180,Element_Stiffness!W204,0)),IF(Element_Stiffness!$E$180=5,IF(6=Element_Stiffness!$C$180,Element_Stiffness!Q210,IF(6=Element_Stiffness!$E$180,Element_Stiffness!W210,0)),0)),0)+IF(Element_Stiffness!$C$216,IF(Element_Stiffness!$C$215=5,IF(6=Element_Stiffness!$C$215,Element_Stiffness!Q239,IF(6=Element_Stiffness!$E$215,Element_Stiffness!W239,0)),IF(Element_Stiffness!$E$215=5,IF(6=Element_Stiffness!$C$215,Element_Stiffness!Q245,IF(6=Element_Stiffness!$E$215,Element_Stiffness!W245,0)),0)),0)</f>
        <v/>
      </c>
      <c r="AO38" s="21">
        <f>IF(Element_Stiffness!$C$6,IF(Element_Stiffness!$C$5=5,IF(6=Element_Stiffness!$C$5,Element_Stiffness!R29,IF(6=Element_Stiffness!$E$5,Element_Stiffness!X29,0)),IF(Element_Stiffness!$E$5=5,IF(6=Element_Stiffness!$C$5,Element_Stiffness!R35,IF(6=Element_Stiffness!$E$5,Element_Stiffness!X35,0)),0)),0)+IF(Element_Stiffness!$C$41,IF(Element_Stiffness!$C$40=5,IF(6=Element_Stiffness!$C$40,Element_Stiffness!R64,IF(6=Element_Stiffness!$E$40,Element_Stiffness!X64,0)),IF(Element_Stiffness!$E$40=5,IF(6=Element_Stiffness!$C$40,Element_Stiffness!R70,IF(6=Element_Stiffness!$E$40,Element_Stiffness!X70,0)),0)),0)+IF(Element_Stiffness!$C$76,IF(Element_Stiffness!$C$75=5,IF(6=Element_Stiffness!$C$75,Element_Stiffness!R99,IF(6=Element_Stiffness!$E$75,Element_Stiffness!X99,0)),IF(Element_Stiffness!$E$75=5,IF(6=Element_Stiffness!$C$75,Element_Stiffness!R105,IF(6=Element_Stiffness!$E$75,Element_Stiffness!X105,0)),0)),0)+IF(Element_Stiffness!$C$111,IF(Element_Stiffness!$C$110=5,IF(6=Element_Stiffness!$C$110,Element_Stiffness!R134,IF(6=Element_Stiffness!$E$110,Element_Stiffness!X134,0)),IF(Element_Stiffness!$E$110=5,IF(6=Element_Stiffness!$C$110,Element_Stiffness!R140,IF(6=Element_Stiffness!$E$110,Element_Stiffness!X140,0)),0)),0)+IF(Element_Stiffness!$C$146,IF(Element_Stiffness!$C$145=5,IF(6=Element_Stiffness!$C$145,Element_Stiffness!R169,IF(6=Element_Stiffness!$E$145,Element_Stiffness!X169,0)),IF(Element_Stiffness!$E$145=5,IF(6=Element_Stiffness!$C$145,Element_Stiffness!R175,IF(6=Element_Stiffness!$E$145,Element_Stiffness!X175,0)),0)),0)+IF(Element_Stiffness!$C$181,IF(Element_Stiffness!$C$180=5,IF(6=Element_Stiffness!$C$180,Element_Stiffness!R204,IF(6=Element_Stiffness!$E$180,Element_Stiffness!X204,0)),IF(Element_Stiffness!$E$180=5,IF(6=Element_Stiffness!$C$180,Element_Stiffness!R210,IF(6=Element_Stiffness!$E$180,Element_Stiffness!X210,0)),0)),0)+IF(Element_Stiffness!$C$216,IF(Element_Stiffness!$C$215=5,IF(6=Element_Stiffness!$C$215,Element_Stiffness!R239,IF(6=Element_Stiffness!$E$215,Element_Stiffness!X239,0)),IF(Element_Stiffness!$E$215=5,IF(6=Element_Stiffness!$C$215,Element_Stiffness!R245,IF(6=Element_Stiffness!$E$215,Element_Stiffness!X245,0)),0)),0)</f>
        <v/>
      </c>
      <c r="AP38" s="21">
        <f>IF(Element_Stiffness!$C$6,IF(Element_Stiffness!$C$5=5,IF(6=Element_Stiffness!$C$5,Element_Stiffness!S29,IF(6=Element_Stiffness!$E$5,Element_Stiffness!Y29,0)),IF(Element_Stiffness!$E$5=5,IF(6=Element_Stiffness!$C$5,Element_Stiffness!S35,IF(6=Element_Stiffness!$E$5,Element_Stiffness!Y35,0)),0)),0)+IF(Element_Stiffness!$C$41,IF(Element_Stiffness!$C$40=5,IF(6=Element_Stiffness!$C$40,Element_Stiffness!S64,IF(6=Element_Stiffness!$E$40,Element_Stiffness!Y64,0)),IF(Element_Stiffness!$E$40=5,IF(6=Element_Stiffness!$C$40,Element_Stiffness!S70,IF(6=Element_Stiffness!$E$40,Element_Stiffness!Y70,0)),0)),0)+IF(Element_Stiffness!$C$76,IF(Element_Stiffness!$C$75=5,IF(6=Element_Stiffness!$C$75,Element_Stiffness!S99,IF(6=Element_Stiffness!$E$75,Element_Stiffness!Y99,0)),IF(Element_Stiffness!$E$75=5,IF(6=Element_Stiffness!$C$75,Element_Stiffness!S105,IF(6=Element_Stiffness!$E$75,Element_Stiffness!Y105,0)),0)),0)+IF(Element_Stiffness!$C$111,IF(Element_Stiffness!$C$110=5,IF(6=Element_Stiffness!$C$110,Element_Stiffness!S134,IF(6=Element_Stiffness!$E$110,Element_Stiffness!Y134,0)),IF(Element_Stiffness!$E$110=5,IF(6=Element_Stiffness!$C$110,Element_Stiffness!S140,IF(6=Element_Stiffness!$E$110,Element_Stiffness!Y140,0)),0)),0)+IF(Element_Stiffness!$C$146,IF(Element_Stiffness!$C$145=5,IF(6=Element_Stiffness!$C$145,Element_Stiffness!S169,IF(6=Element_Stiffness!$E$145,Element_Stiffness!Y169,0)),IF(Element_Stiffness!$E$145=5,IF(6=Element_Stiffness!$C$145,Element_Stiffness!S175,IF(6=Element_Stiffness!$E$145,Element_Stiffness!Y175,0)),0)),0)+IF(Element_Stiffness!$C$181,IF(Element_Stiffness!$C$180=5,IF(6=Element_Stiffness!$C$180,Element_Stiffness!S204,IF(6=Element_Stiffness!$E$180,Element_Stiffness!Y204,0)),IF(Element_Stiffness!$E$180=5,IF(6=Element_Stiffness!$C$180,Element_Stiffness!S210,IF(6=Element_Stiffness!$E$180,Element_Stiffness!Y210,0)),0)),0)+IF(Element_Stiffness!$C$216,IF(Element_Stiffness!$C$215=5,IF(6=Element_Stiffness!$C$215,Element_Stiffness!S239,IF(6=Element_Stiffness!$E$215,Element_Stiffness!Y239,0)),IF(Element_Stiffness!$E$215=5,IF(6=Element_Stiffness!$C$215,Element_Stiffness!S245,IF(6=Element_Stiffness!$E$215,Element_Stiffness!Y245,0)),0)),0)</f>
        <v/>
      </c>
      <c r="AQ38" s="21">
        <f>IF(Element_Stiffness!$C$6,IF(Element_Stiffness!$C$5=5,IF(6=Element_Stiffness!$C$5,Element_Stiffness!T29,IF(6=Element_Stiffness!$E$5,Element_Stiffness!Z29,0)),IF(Element_Stiffness!$E$5=5,IF(6=Element_Stiffness!$C$5,Element_Stiffness!T35,IF(6=Element_Stiffness!$E$5,Element_Stiffness!Z35,0)),0)),0)+IF(Element_Stiffness!$C$41,IF(Element_Stiffness!$C$40=5,IF(6=Element_Stiffness!$C$40,Element_Stiffness!T64,IF(6=Element_Stiffness!$E$40,Element_Stiffness!Z64,0)),IF(Element_Stiffness!$E$40=5,IF(6=Element_Stiffness!$C$40,Element_Stiffness!T70,IF(6=Element_Stiffness!$E$40,Element_Stiffness!Z70,0)),0)),0)+IF(Element_Stiffness!$C$76,IF(Element_Stiffness!$C$75=5,IF(6=Element_Stiffness!$C$75,Element_Stiffness!T99,IF(6=Element_Stiffness!$E$75,Element_Stiffness!Z99,0)),IF(Element_Stiffness!$E$75=5,IF(6=Element_Stiffness!$C$75,Element_Stiffness!T105,IF(6=Element_Stiffness!$E$75,Element_Stiffness!Z105,0)),0)),0)+IF(Element_Stiffness!$C$111,IF(Element_Stiffness!$C$110=5,IF(6=Element_Stiffness!$C$110,Element_Stiffness!T134,IF(6=Element_Stiffness!$E$110,Element_Stiffness!Z134,0)),IF(Element_Stiffness!$E$110=5,IF(6=Element_Stiffness!$C$110,Element_Stiffness!T140,IF(6=Element_Stiffness!$E$110,Element_Stiffness!Z140,0)),0)),0)+IF(Element_Stiffness!$C$146,IF(Element_Stiffness!$C$145=5,IF(6=Element_Stiffness!$C$145,Element_Stiffness!T169,IF(6=Element_Stiffness!$E$145,Element_Stiffness!Z169,0)),IF(Element_Stiffness!$E$145=5,IF(6=Element_Stiffness!$C$145,Element_Stiffness!T175,IF(6=Element_Stiffness!$E$145,Element_Stiffness!Z175,0)),0)),0)+IF(Element_Stiffness!$C$181,IF(Element_Stiffness!$C$180=5,IF(6=Element_Stiffness!$C$180,Element_Stiffness!T204,IF(6=Element_Stiffness!$E$180,Element_Stiffness!Z204,0)),IF(Element_Stiffness!$E$180=5,IF(6=Element_Stiffness!$C$180,Element_Stiffness!T210,IF(6=Element_Stiffness!$E$180,Element_Stiffness!Z210,0)),0)),0)+IF(Element_Stiffness!$C$216,IF(Element_Stiffness!$C$215=5,IF(6=Element_Stiffness!$C$215,Element_Stiffness!T239,IF(6=Element_Stiffness!$E$215,Element_Stiffness!Z239,0)),IF(Element_Stiffness!$E$215=5,IF(6=Element_Stiffness!$C$215,Element_Stiffness!T245,IF(6=Element_Stiffness!$E$215,Element_Stiffness!Z245,0)),0)),0)</f>
        <v/>
      </c>
      <c r="AR38" s="21">
        <f>IF(Element_Stiffness!$C$6,IF(Element_Stiffness!$C$5=5,IF(6=Element_Stiffness!$C$5,Element_Stiffness!U29,IF(6=Element_Stiffness!$E$5,Element_Stiffness!AA29,0)),IF(Element_Stiffness!$E$5=5,IF(6=Element_Stiffness!$C$5,Element_Stiffness!U35,IF(6=Element_Stiffness!$E$5,Element_Stiffness!AA35,0)),0)),0)+IF(Element_Stiffness!$C$41,IF(Element_Stiffness!$C$40=5,IF(6=Element_Stiffness!$C$40,Element_Stiffness!U64,IF(6=Element_Stiffness!$E$40,Element_Stiffness!AA64,0)),IF(Element_Stiffness!$E$40=5,IF(6=Element_Stiffness!$C$40,Element_Stiffness!U70,IF(6=Element_Stiffness!$E$40,Element_Stiffness!AA70,0)),0)),0)+IF(Element_Stiffness!$C$76,IF(Element_Stiffness!$C$75=5,IF(6=Element_Stiffness!$C$75,Element_Stiffness!U99,IF(6=Element_Stiffness!$E$75,Element_Stiffness!AA99,0)),IF(Element_Stiffness!$E$75=5,IF(6=Element_Stiffness!$C$75,Element_Stiffness!U105,IF(6=Element_Stiffness!$E$75,Element_Stiffness!AA105,0)),0)),0)+IF(Element_Stiffness!$C$111,IF(Element_Stiffness!$C$110=5,IF(6=Element_Stiffness!$C$110,Element_Stiffness!U134,IF(6=Element_Stiffness!$E$110,Element_Stiffness!AA134,0)),IF(Element_Stiffness!$E$110=5,IF(6=Element_Stiffness!$C$110,Element_Stiffness!U140,IF(6=Element_Stiffness!$E$110,Element_Stiffness!AA140,0)),0)),0)+IF(Element_Stiffness!$C$146,IF(Element_Stiffness!$C$145=5,IF(6=Element_Stiffness!$C$145,Element_Stiffness!U169,IF(6=Element_Stiffness!$E$145,Element_Stiffness!AA169,0)),IF(Element_Stiffness!$E$145=5,IF(6=Element_Stiffness!$C$145,Element_Stiffness!U175,IF(6=Element_Stiffness!$E$145,Element_Stiffness!AA175,0)),0)),0)+IF(Element_Stiffness!$C$181,IF(Element_Stiffness!$C$180=5,IF(6=Element_Stiffness!$C$180,Element_Stiffness!U204,IF(6=Element_Stiffness!$E$180,Element_Stiffness!AA204,0)),IF(Element_Stiffness!$E$180=5,IF(6=Element_Stiffness!$C$180,Element_Stiffness!U210,IF(6=Element_Stiffness!$E$180,Element_Stiffness!AA210,0)),0)),0)+IF(Element_Stiffness!$C$216,IF(Element_Stiffness!$C$215=5,IF(6=Element_Stiffness!$C$215,Element_Stiffness!U239,IF(6=Element_Stiffness!$E$215,Element_Stiffness!AA239,0)),IF(Element_Stiffness!$E$215=5,IF(6=Element_Stiffness!$C$215,Element_Stiffness!U245,IF(6=Element_Stiffness!$E$215,Element_Stiffness!AA245,0)),0)),0)</f>
        <v/>
      </c>
      <c r="AS38" s="21">
        <f>IF(Element_Stiffness!$C$6,IF(Element_Stiffness!$C$5=5,IF(7=Element_Stiffness!$C$5,Element_Stiffness!P29,IF(7=Element_Stiffness!$E$5,Element_Stiffness!V29,0)),IF(Element_Stiffness!$E$5=5,IF(7=Element_Stiffness!$C$5,Element_Stiffness!P35,IF(7=Element_Stiffness!$E$5,Element_Stiffness!V35,0)),0)),0)+IF(Element_Stiffness!$C$41,IF(Element_Stiffness!$C$40=5,IF(7=Element_Stiffness!$C$40,Element_Stiffness!P64,IF(7=Element_Stiffness!$E$40,Element_Stiffness!V64,0)),IF(Element_Stiffness!$E$40=5,IF(7=Element_Stiffness!$C$40,Element_Stiffness!P70,IF(7=Element_Stiffness!$E$40,Element_Stiffness!V70,0)),0)),0)+IF(Element_Stiffness!$C$76,IF(Element_Stiffness!$C$75=5,IF(7=Element_Stiffness!$C$75,Element_Stiffness!P99,IF(7=Element_Stiffness!$E$75,Element_Stiffness!V99,0)),IF(Element_Stiffness!$E$75=5,IF(7=Element_Stiffness!$C$75,Element_Stiffness!P105,IF(7=Element_Stiffness!$E$75,Element_Stiffness!V105,0)),0)),0)+IF(Element_Stiffness!$C$111,IF(Element_Stiffness!$C$110=5,IF(7=Element_Stiffness!$C$110,Element_Stiffness!P134,IF(7=Element_Stiffness!$E$110,Element_Stiffness!V134,0)),IF(Element_Stiffness!$E$110=5,IF(7=Element_Stiffness!$C$110,Element_Stiffness!P140,IF(7=Element_Stiffness!$E$110,Element_Stiffness!V140,0)),0)),0)+IF(Element_Stiffness!$C$146,IF(Element_Stiffness!$C$145=5,IF(7=Element_Stiffness!$C$145,Element_Stiffness!P169,IF(7=Element_Stiffness!$E$145,Element_Stiffness!V169,0)),IF(Element_Stiffness!$E$145=5,IF(7=Element_Stiffness!$C$145,Element_Stiffness!P175,IF(7=Element_Stiffness!$E$145,Element_Stiffness!V175,0)),0)),0)+IF(Element_Stiffness!$C$181,IF(Element_Stiffness!$C$180=5,IF(7=Element_Stiffness!$C$180,Element_Stiffness!P204,IF(7=Element_Stiffness!$E$180,Element_Stiffness!V204,0)),IF(Element_Stiffness!$E$180=5,IF(7=Element_Stiffness!$C$180,Element_Stiffness!P210,IF(7=Element_Stiffness!$E$180,Element_Stiffness!V210,0)),0)),0)+IF(Element_Stiffness!$C$216,IF(Element_Stiffness!$C$215=5,IF(7=Element_Stiffness!$C$215,Element_Stiffness!P239,IF(7=Element_Stiffness!$E$215,Element_Stiffness!V239,0)),IF(Element_Stiffness!$E$215=5,IF(7=Element_Stiffness!$C$215,Element_Stiffness!P245,IF(7=Element_Stiffness!$E$215,Element_Stiffness!V245,0)),0)),0)</f>
        <v/>
      </c>
      <c r="AT38" s="21">
        <f>IF(Element_Stiffness!$C$6,IF(Element_Stiffness!$C$5=5,IF(7=Element_Stiffness!$C$5,Element_Stiffness!Q29,IF(7=Element_Stiffness!$E$5,Element_Stiffness!W29,0)),IF(Element_Stiffness!$E$5=5,IF(7=Element_Stiffness!$C$5,Element_Stiffness!Q35,IF(7=Element_Stiffness!$E$5,Element_Stiffness!W35,0)),0)),0)+IF(Element_Stiffness!$C$41,IF(Element_Stiffness!$C$40=5,IF(7=Element_Stiffness!$C$40,Element_Stiffness!Q64,IF(7=Element_Stiffness!$E$40,Element_Stiffness!W64,0)),IF(Element_Stiffness!$E$40=5,IF(7=Element_Stiffness!$C$40,Element_Stiffness!Q70,IF(7=Element_Stiffness!$E$40,Element_Stiffness!W70,0)),0)),0)+IF(Element_Stiffness!$C$76,IF(Element_Stiffness!$C$75=5,IF(7=Element_Stiffness!$C$75,Element_Stiffness!Q99,IF(7=Element_Stiffness!$E$75,Element_Stiffness!W99,0)),IF(Element_Stiffness!$E$75=5,IF(7=Element_Stiffness!$C$75,Element_Stiffness!Q105,IF(7=Element_Stiffness!$E$75,Element_Stiffness!W105,0)),0)),0)+IF(Element_Stiffness!$C$111,IF(Element_Stiffness!$C$110=5,IF(7=Element_Stiffness!$C$110,Element_Stiffness!Q134,IF(7=Element_Stiffness!$E$110,Element_Stiffness!W134,0)),IF(Element_Stiffness!$E$110=5,IF(7=Element_Stiffness!$C$110,Element_Stiffness!Q140,IF(7=Element_Stiffness!$E$110,Element_Stiffness!W140,0)),0)),0)+IF(Element_Stiffness!$C$146,IF(Element_Stiffness!$C$145=5,IF(7=Element_Stiffness!$C$145,Element_Stiffness!Q169,IF(7=Element_Stiffness!$E$145,Element_Stiffness!W169,0)),IF(Element_Stiffness!$E$145=5,IF(7=Element_Stiffness!$C$145,Element_Stiffness!Q175,IF(7=Element_Stiffness!$E$145,Element_Stiffness!W175,0)),0)),0)+IF(Element_Stiffness!$C$181,IF(Element_Stiffness!$C$180=5,IF(7=Element_Stiffness!$C$180,Element_Stiffness!Q204,IF(7=Element_Stiffness!$E$180,Element_Stiffness!W204,0)),IF(Element_Stiffness!$E$180=5,IF(7=Element_Stiffness!$C$180,Element_Stiffness!Q210,IF(7=Element_Stiffness!$E$180,Element_Stiffness!W210,0)),0)),0)+IF(Element_Stiffness!$C$216,IF(Element_Stiffness!$C$215=5,IF(7=Element_Stiffness!$C$215,Element_Stiffness!Q239,IF(7=Element_Stiffness!$E$215,Element_Stiffness!W239,0)),IF(Element_Stiffness!$E$215=5,IF(7=Element_Stiffness!$C$215,Element_Stiffness!Q245,IF(7=Element_Stiffness!$E$215,Element_Stiffness!W245,0)),0)),0)</f>
        <v/>
      </c>
      <c r="AU38" s="21">
        <f>IF(Element_Stiffness!$C$6,IF(Element_Stiffness!$C$5=5,IF(7=Element_Stiffness!$C$5,Element_Stiffness!R29,IF(7=Element_Stiffness!$E$5,Element_Stiffness!X29,0)),IF(Element_Stiffness!$E$5=5,IF(7=Element_Stiffness!$C$5,Element_Stiffness!R35,IF(7=Element_Stiffness!$E$5,Element_Stiffness!X35,0)),0)),0)+IF(Element_Stiffness!$C$41,IF(Element_Stiffness!$C$40=5,IF(7=Element_Stiffness!$C$40,Element_Stiffness!R64,IF(7=Element_Stiffness!$E$40,Element_Stiffness!X64,0)),IF(Element_Stiffness!$E$40=5,IF(7=Element_Stiffness!$C$40,Element_Stiffness!R70,IF(7=Element_Stiffness!$E$40,Element_Stiffness!X70,0)),0)),0)+IF(Element_Stiffness!$C$76,IF(Element_Stiffness!$C$75=5,IF(7=Element_Stiffness!$C$75,Element_Stiffness!R99,IF(7=Element_Stiffness!$E$75,Element_Stiffness!X99,0)),IF(Element_Stiffness!$E$75=5,IF(7=Element_Stiffness!$C$75,Element_Stiffness!R105,IF(7=Element_Stiffness!$E$75,Element_Stiffness!X105,0)),0)),0)+IF(Element_Stiffness!$C$111,IF(Element_Stiffness!$C$110=5,IF(7=Element_Stiffness!$C$110,Element_Stiffness!R134,IF(7=Element_Stiffness!$E$110,Element_Stiffness!X134,0)),IF(Element_Stiffness!$E$110=5,IF(7=Element_Stiffness!$C$110,Element_Stiffness!R140,IF(7=Element_Stiffness!$E$110,Element_Stiffness!X140,0)),0)),0)+IF(Element_Stiffness!$C$146,IF(Element_Stiffness!$C$145=5,IF(7=Element_Stiffness!$C$145,Element_Stiffness!R169,IF(7=Element_Stiffness!$E$145,Element_Stiffness!X169,0)),IF(Element_Stiffness!$E$145=5,IF(7=Element_Stiffness!$C$145,Element_Stiffness!R175,IF(7=Element_Stiffness!$E$145,Element_Stiffness!X175,0)),0)),0)+IF(Element_Stiffness!$C$181,IF(Element_Stiffness!$C$180=5,IF(7=Element_Stiffness!$C$180,Element_Stiffness!R204,IF(7=Element_Stiffness!$E$180,Element_Stiffness!X204,0)),IF(Element_Stiffness!$E$180=5,IF(7=Element_Stiffness!$C$180,Element_Stiffness!R210,IF(7=Element_Stiffness!$E$180,Element_Stiffness!X210,0)),0)),0)+IF(Element_Stiffness!$C$216,IF(Element_Stiffness!$C$215=5,IF(7=Element_Stiffness!$C$215,Element_Stiffness!R239,IF(7=Element_Stiffness!$E$215,Element_Stiffness!X239,0)),IF(Element_Stiffness!$E$215=5,IF(7=Element_Stiffness!$C$215,Element_Stiffness!R245,IF(7=Element_Stiffness!$E$215,Element_Stiffness!X245,0)),0)),0)</f>
        <v/>
      </c>
      <c r="AV38" s="21">
        <f>IF(Element_Stiffness!$C$6,IF(Element_Stiffness!$C$5=5,IF(7=Element_Stiffness!$C$5,Element_Stiffness!S29,IF(7=Element_Stiffness!$E$5,Element_Stiffness!Y29,0)),IF(Element_Stiffness!$E$5=5,IF(7=Element_Stiffness!$C$5,Element_Stiffness!S35,IF(7=Element_Stiffness!$E$5,Element_Stiffness!Y35,0)),0)),0)+IF(Element_Stiffness!$C$41,IF(Element_Stiffness!$C$40=5,IF(7=Element_Stiffness!$C$40,Element_Stiffness!S64,IF(7=Element_Stiffness!$E$40,Element_Stiffness!Y64,0)),IF(Element_Stiffness!$E$40=5,IF(7=Element_Stiffness!$C$40,Element_Stiffness!S70,IF(7=Element_Stiffness!$E$40,Element_Stiffness!Y70,0)),0)),0)+IF(Element_Stiffness!$C$76,IF(Element_Stiffness!$C$75=5,IF(7=Element_Stiffness!$C$75,Element_Stiffness!S99,IF(7=Element_Stiffness!$E$75,Element_Stiffness!Y99,0)),IF(Element_Stiffness!$E$75=5,IF(7=Element_Stiffness!$C$75,Element_Stiffness!S105,IF(7=Element_Stiffness!$E$75,Element_Stiffness!Y105,0)),0)),0)+IF(Element_Stiffness!$C$111,IF(Element_Stiffness!$C$110=5,IF(7=Element_Stiffness!$C$110,Element_Stiffness!S134,IF(7=Element_Stiffness!$E$110,Element_Stiffness!Y134,0)),IF(Element_Stiffness!$E$110=5,IF(7=Element_Stiffness!$C$110,Element_Stiffness!S140,IF(7=Element_Stiffness!$E$110,Element_Stiffness!Y140,0)),0)),0)+IF(Element_Stiffness!$C$146,IF(Element_Stiffness!$C$145=5,IF(7=Element_Stiffness!$C$145,Element_Stiffness!S169,IF(7=Element_Stiffness!$E$145,Element_Stiffness!Y169,0)),IF(Element_Stiffness!$E$145=5,IF(7=Element_Stiffness!$C$145,Element_Stiffness!S175,IF(7=Element_Stiffness!$E$145,Element_Stiffness!Y175,0)),0)),0)+IF(Element_Stiffness!$C$181,IF(Element_Stiffness!$C$180=5,IF(7=Element_Stiffness!$C$180,Element_Stiffness!S204,IF(7=Element_Stiffness!$E$180,Element_Stiffness!Y204,0)),IF(Element_Stiffness!$E$180=5,IF(7=Element_Stiffness!$C$180,Element_Stiffness!S210,IF(7=Element_Stiffness!$E$180,Element_Stiffness!Y210,0)),0)),0)+IF(Element_Stiffness!$C$216,IF(Element_Stiffness!$C$215=5,IF(7=Element_Stiffness!$C$215,Element_Stiffness!S239,IF(7=Element_Stiffness!$E$215,Element_Stiffness!Y239,0)),IF(Element_Stiffness!$E$215=5,IF(7=Element_Stiffness!$C$215,Element_Stiffness!S245,IF(7=Element_Stiffness!$E$215,Element_Stiffness!Y245,0)),0)),0)</f>
        <v/>
      </c>
      <c r="AW38" s="21">
        <f>IF(Element_Stiffness!$C$6,IF(Element_Stiffness!$C$5=5,IF(7=Element_Stiffness!$C$5,Element_Stiffness!T29,IF(7=Element_Stiffness!$E$5,Element_Stiffness!Z29,0)),IF(Element_Stiffness!$E$5=5,IF(7=Element_Stiffness!$C$5,Element_Stiffness!T35,IF(7=Element_Stiffness!$E$5,Element_Stiffness!Z35,0)),0)),0)+IF(Element_Stiffness!$C$41,IF(Element_Stiffness!$C$40=5,IF(7=Element_Stiffness!$C$40,Element_Stiffness!T64,IF(7=Element_Stiffness!$E$40,Element_Stiffness!Z64,0)),IF(Element_Stiffness!$E$40=5,IF(7=Element_Stiffness!$C$40,Element_Stiffness!T70,IF(7=Element_Stiffness!$E$40,Element_Stiffness!Z70,0)),0)),0)+IF(Element_Stiffness!$C$76,IF(Element_Stiffness!$C$75=5,IF(7=Element_Stiffness!$C$75,Element_Stiffness!T99,IF(7=Element_Stiffness!$E$75,Element_Stiffness!Z99,0)),IF(Element_Stiffness!$E$75=5,IF(7=Element_Stiffness!$C$75,Element_Stiffness!T105,IF(7=Element_Stiffness!$E$75,Element_Stiffness!Z105,0)),0)),0)+IF(Element_Stiffness!$C$111,IF(Element_Stiffness!$C$110=5,IF(7=Element_Stiffness!$C$110,Element_Stiffness!T134,IF(7=Element_Stiffness!$E$110,Element_Stiffness!Z134,0)),IF(Element_Stiffness!$E$110=5,IF(7=Element_Stiffness!$C$110,Element_Stiffness!T140,IF(7=Element_Stiffness!$E$110,Element_Stiffness!Z140,0)),0)),0)+IF(Element_Stiffness!$C$146,IF(Element_Stiffness!$C$145=5,IF(7=Element_Stiffness!$C$145,Element_Stiffness!T169,IF(7=Element_Stiffness!$E$145,Element_Stiffness!Z169,0)),IF(Element_Stiffness!$E$145=5,IF(7=Element_Stiffness!$C$145,Element_Stiffness!T175,IF(7=Element_Stiffness!$E$145,Element_Stiffness!Z175,0)),0)),0)+IF(Element_Stiffness!$C$181,IF(Element_Stiffness!$C$180=5,IF(7=Element_Stiffness!$C$180,Element_Stiffness!T204,IF(7=Element_Stiffness!$E$180,Element_Stiffness!Z204,0)),IF(Element_Stiffness!$E$180=5,IF(7=Element_Stiffness!$C$180,Element_Stiffness!T210,IF(7=Element_Stiffness!$E$180,Element_Stiffness!Z210,0)),0)),0)+IF(Element_Stiffness!$C$216,IF(Element_Stiffness!$C$215=5,IF(7=Element_Stiffness!$C$215,Element_Stiffness!T239,IF(7=Element_Stiffness!$E$215,Element_Stiffness!Z239,0)),IF(Element_Stiffness!$E$215=5,IF(7=Element_Stiffness!$C$215,Element_Stiffness!T245,IF(7=Element_Stiffness!$E$215,Element_Stiffness!Z245,0)),0)),0)</f>
        <v/>
      </c>
      <c r="AX38" s="21">
        <f>IF(Element_Stiffness!$C$6,IF(Element_Stiffness!$C$5=5,IF(7=Element_Stiffness!$C$5,Element_Stiffness!U29,IF(7=Element_Stiffness!$E$5,Element_Stiffness!AA29,0)),IF(Element_Stiffness!$E$5=5,IF(7=Element_Stiffness!$C$5,Element_Stiffness!U35,IF(7=Element_Stiffness!$E$5,Element_Stiffness!AA35,0)),0)),0)+IF(Element_Stiffness!$C$41,IF(Element_Stiffness!$C$40=5,IF(7=Element_Stiffness!$C$40,Element_Stiffness!U64,IF(7=Element_Stiffness!$E$40,Element_Stiffness!AA64,0)),IF(Element_Stiffness!$E$40=5,IF(7=Element_Stiffness!$C$40,Element_Stiffness!U70,IF(7=Element_Stiffness!$E$40,Element_Stiffness!AA70,0)),0)),0)+IF(Element_Stiffness!$C$76,IF(Element_Stiffness!$C$75=5,IF(7=Element_Stiffness!$C$75,Element_Stiffness!U99,IF(7=Element_Stiffness!$E$75,Element_Stiffness!AA99,0)),IF(Element_Stiffness!$E$75=5,IF(7=Element_Stiffness!$C$75,Element_Stiffness!U105,IF(7=Element_Stiffness!$E$75,Element_Stiffness!AA105,0)),0)),0)+IF(Element_Stiffness!$C$111,IF(Element_Stiffness!$C$110=5,IF(7=Element_Stiffness!$C$110,Element_Stiffness!U134,IF(7=Element_Stiffness!$E$110,Element_Stiffness!AA134,0)),IF(Element_Stiffness!$E$110=5,IF(7=Element_Stiffness!$C$110,Element_Stiffness!U140,IF(7=Element_Stiffness!$E$110,Element_Stiffness!AA140,0)),0)),0)+IF(Element_Stiffness!$C$146,IF(Element_Stiffness!$C$145=5,IF(7=Element_Stiffness!$C$145,Element_Stiffness!U169,IF(7=Element_Stiffness!$E$145,Element_Stiffness!AA169,0)),IF(Element_Stiffness!$E$145=5,IF(7=Element_Stiffness!$C$145,Element_Stiffness!U175,IF(7=Element_Stiffness!$E$145,Element_Stiffness!AA175,0)),0)),0)+IF(Element_Stiffness!$C$181,IF(Element_Stiffness!$C$180=5,IF(7=Element_Stiffness!$C$180,Element_Stiffness!U204,IF(7=Element_Stiffness!$E$180,Element_Stiffness!AA204,0)),IF(Element_Stiffness!$E$180=5,IF(7=Element_Stiffness!$C$180,Element_Stiffness!U210,IF(7=Element_Stiffness!$E$180,Element_Stiffness!AA210,0)),0)),0)+IF(Element_Stiffness!$C$216,IF(Element_Stiffness!$C$215=5,IF(7=Element_Stiffness!$C$215,Element_Stiffness!U239,IF(7=Element_Stiffness!$E$215,Element_Stiffness!AA239,0)),IF(Element_Stiffness!$E$215=5,IF(7=Element_Stiffness!$C$215,Element_Stiffness!U245,IF(7=Element_Stiffness!$E$215,Element_Stiffness!AA245,0)),0)),0)</f>
        <v/>
      </c>
      <c r="AY38" s="21" t="n">
        <v>0</v>
      </c>
      <c r="AZ38" s="21">
        <f>IF(Element_Stiffness!$C$6,IF(Element_Stiffness!$C$5=5,Element_Stiffness!C29,IF(Element_Stiffness!$E$5=5,Element_Stiffness!C35,0)),0)+IF(Element_Stiffness!$C$41,IF(Element_Stiffness!$C$40=5,Element_Stiffness!C64,IF(Element_Stiffness!$E$40=5,Element_Stiffness!C70,0)),0)+IF(Element_Stiffness!$C$76,IF(Element_Stiffness!$C$75=5,Element_Stiffness!C99,IF(Element_Stiffness!$E$75=5,Element_Stiffness!C105,0)),0)+IF(Element_Stiffness!$C$111,IF(Element_Stiffness!$C$110=5,Element_Stiffness!C134,IF(Element_Stiffness!$E$110=5,Element_Stiffness!C140,0)),0)+IF(Element_Stiffness!$C$146,IF(Element_Stiffness!$C$145=5,Element_Stiffness!C169,IF(Element_Stiffness!$E$145=5,Element_Stiffness!C175,0)),0)+IF(Element_Stiffness!$C$181,IF(Element_Stiffness!$C$180=5,Element_Stiffness!C204,IF(Element_Stiffness!$E$180=5,Element_Stiffness!C210,0)),0)+IF(Element_Stiffness!$C$216,IF(Element_Stiffness!$C$215=5,Element_Stiffness!C239,IF(Element_Stiffness!$E$215=5,Element_Stiffness!C245,0)),0)</f>
        <v/>
      </c>
      <c r="BB38" s="28">
        <f>INDEX(MMULT(MINVERSE(C5:AX52), AY5:AY52), 34, 1)</f>
        <v/>
      </c>
      <c r="BC38" s="28">
        <f>INDEX(MMULT(MINVERSE(C5:AX52), AZ5:AZ52), 34, 1)</f>
        <v/>
      </c>
    </row>
    <row r="39">
      <c r="B39" s="27" t="inlineStr">
        <is>
          <t>N5_ry</t>
        </is>
      </c>
      <c r="C39" s="21">
        <f>IF(Element_Stiffness!$C$6,IF(Element_Stiffness!$C$5=5,IF(0=Element_Stiffness!$C$5,Element_Stiffness!P30,IF(0=Element_Stiffness!$E$5,Element_Stiffness!V30,0)),IF(Element_Stiffness!$E$5=5,IF(0=Element_Stiffness!$C$5,Element_Stiffness!P36,IF(0=Element_Stiffness!$E$5,Element_Stiffness!V36,0)),0)),0)+IF(Element_Stiffness!$C$41,IF(Element_Stiffness!$C$40=5,IF(0=Element_Stiffness!$C$40,Element_Stiffness!P65,IF(0=Element_Stiffness!$E$40,Element_Stiffness!V65,0)),IF(Element_Stiffness!$E$40=5,IF(0=Element_Stiffness!$C$40,Element_Stiffness!P71,IF(0=Element_Stiffness!$E$40,Element_Stiffness!V71,0)),0)),0)+IF(Element_Stiffness!$C$76,IF(Element_Stiffness!$C$75=5,IF(0=Element_Stiffness!$C$75,Element_Stiffness!P100,IF(0=Element_Stiffness!$E$75,Element_Stiffness!V100,0)),IF(Element_Stiffness!$E$75=5,IF(0=Element_Stiffness!$C$75,Element_Stiffness!P106,IF(0=Element_Stiffness!$E$75,Element_Stiffness!V106,0)),0)),0)+IF(Element_Stiffness!$C$111,IF(Element_Stiffness!$C$110=5,IF(0=Element_Stiffness!$C$110,Element_Stiffness!P135,IF(0=Element_Stiffness!$E$110,Element_Stiffness!V135,0)),IF(Element_Stiffness!$E$110=5,IF(0=Element_Stiffness!$C$110,Element_Stiffness!P141,IF(0=Element_Stiffness!$E$110,Element_Stiffness!V141,0)),0)),0)+IF(Element_Stiffness!$C$146,IF(Element_Stiffness!$C$145=5,IF(0=Element_Stiffness!$C$145,Element_Stiffness!P170,IF(0=Element_Stiffness!$E$145,Element_Stiffness!V170,0)),IF(Element_Stiffness!$E$145=5,IF(0=Element_Stiffness!$C$145,Element_Stiffness!P176,IF(0=Element_Stiffness!$E$145,Element_Stiffness!V176,0)),0)),0)+IF(Element_Stiffness!$C$181,IF(Element_Stiffness!$C$180=5,IF(0=Element_Stiffness!$C$180,Element_Stiffness!P205,IF(0=Element_Stiffness!$E$180,Element_Stiffness!V205,0)),IF(Element_Stiffness!$E$180=5,IF(0=Element_Stiffness!$C$180,Element_Stiffness!P211,IF(0=Element_Stiffness!$E$180,Element_Stiffness!V211,0)),0)),0)+IF(Element_Stiffness!$C$216,IF(Element_Stiffness!$C$215=5,IF(0=Element_Stiffness!$C$215,Element_Stiffness!P240,IF(0=Element_Stiffness!$E$215,Element_Stiffness!V240,0)),IF(Element_Stiffness!$E$215=5,IF(0=Element_Stiffness!$C$215,Element_Stiffness!P246,IF(0=Element_Stiffness!$E$215,Element_Stiffness!V246,0)),0)),0)</f>
        <v/>
      </c>
      <c r="D39" s="21">
        <f>IF(Element_Stiffness!$C$6,IF(Element_Stiffness!$C$5=5,IF(0=Element_Stiffness!$C$5,Element_Stiffness!Q30,IF(0=Element_Stiffness!$E$5,Element_Stiffness!W30,0)),IF(Element_Stiffness!$E$5=5,IF(0=Element_Stiffness!$C$5,Element_Stiffness!Q36,IF(0=Element_Stiffness!$E$5,Element_Stiffness!W36,0)),0)),0)+IF(Element_Stiffness!$C$41,IF(Element_Stiffness!$C$40=5,IF(0=Element_Stiffness!$C$40,Element_Stiffness!Q65,IF(0=Element_Stiffness!$E$40,Element_Stiffness!W65,0)),IF(Element_Stiffness!$E$40=5,IF(0=Element_Stiffness!$C$40,Element_Stiffness!Q71,IF(0=Element_Stiffness!$E$40,Element_Stiffness!W71,0)),0)),0)+IF(Element_Stiffness!$C$76,IF(Element_Stiffness!$C$75=5,IF(0=Element_Stiffness!$C$75,Element_Stiffness!Q100,IF(0=Element_Stiffness!$E$75,Element_Stiffness!W100,0)),IF(Element_Stiffness!$E$75=5,IF(0=Element_Stiffness!$C$75,Element_Stiffness!Q106,IF(0=Element_Stiffness!$E$75,Element_Stiffness!W106,0)),0)),0)+IF(Element_Stiffness!$C$111,IF(Element_Stiffness!$C$110=5,IF(0=Element_Stiffness!$C$110,Element_Stiffness!Q135,IF(0=Element_Stiffness!$E$110,Element_Stiffness!W135,0)),IF(Element_Stiffness!$E$110=5,IF(0=Element_Stiffness!$C$110,Element_Stiffness!Q141,IF(0=Element_Stiffness!$E$110,Element_Stiffness!W141,0)),0)),0)+IF(Element_Stiffness!$C$146,IF(Element_Stiffness!$C$145=5,IF(0=Element_Stiffness!$C$145,Element_Stiffness!Q170,IF(0=Element_Stiffness!$E$145,Element_Stiffness!W170,0)),IF(Element_Stiffness!$E$145=5,IF(0=Element_Stiffness!$C$145,Element_Stiffness!Q176,IF(0=Element_Stiffness!$E$145,Element_Stiffness!W176,0)),0)),0)+IF(Element_Stiffness!$C$181,IF(Element_Stiffness!$C$180=5,IF(0=Element_Stiffness!$C$180,Element_Stiffness!Q205,IF(0=Element_Stiffness!$E$180,Element_Stiffness!W205,0)),IF(Element_Stiffness!$E$180=5,IF(0=Element_Stiffness!$C$180,Element_Stiffness!Q211,IF(0=Element_Stiffness!$E$180,Element_Stiffness!W211,0)),0)),0)+IF(Element_Stiffness!$C$216,IF(Element_Stiffness!$C$215=5,IF(0=Element_Stiffness!$C$215,Element_Stiffness!Q240,IF(0=Element_Stiffness!$E$215,Element_Stiffness!W240,0)),IF(Element_Stiffness!$E$215=5,IF(0=Element_Stiffness!$C$215,Element_Stiffness!Q246,IF(0=Element_Stiffness!$E$215,Element_Stiffness!W246,0)),0)),0)</f>
        <v/>
      </c>
      <c r="E39" s="21">
        <f>IF(Element_Stiffness!$C$6,IF(Element_Stiffness!$C$5=5,IF(0=Element_Stiffness!$C$5,Element_Stiffness!R30,IF(0=Element_Stiffness!$E$5,Element_Stiffness!X30,0)),IF(Element_Stiffness!$E$5=5,IF(0=Element_Stiffness!$C$5,Element_Stiffness!R36,IF(0=Element_Stiffness!$E$5,Element_Stiffness!X36,0)),0)),0)+IF(Element_Stiffness!$C$41,IF(Element_Stiffness!$C$40=5,IF(0=Element_Stiffness!$C$40,Element_Stiffness!R65,IF(0=Element_Stiffness!$E$40,Element_Stiffness!X65,0)),IF(Element_Stiffness!$E$40=5,IF(0=Element_Stiffness!$C$40,Element_Stiffness!R71,IF(0=Element_Stiffness!$E$40,Element_Stiffness!X71,0)),0)),0)+IF(Element_Stiffness!$C$76,IF(Element_Stiffness!$C$75=5,IF(0=Element_Stiffness!$C$75,Element_Stiffness!R100,IF(0=Element_Stiffness!$E$75,Element_Stiffness!X100,0)),IF(Element_Stiffness!$E$75=5,IF(0=Element_Stiffness!$C$75,Element_Stiffness!R106,IF(0=Element_Stiffness!$E$75,Element_Stiffness!X106,0)),0)),0)+IF(Element_Stiffness!$C$111,IF(Element_Stiffness!$C$110=5,IF(0=Element_Stiffness!$C$110,Element_Stiffness!R135,IF(0=Element_Stiffness!$E$110,Element_Stiffness!X135,0)),IF(Element_Stiffness!$E$110=5,IF(0=Element_Stiffness!$C$110,Element_Stiffness!R141,IF(0=Element_Stiffness!$E$110,Element_Stiffness!X141,0)),0)),0)+IF(Element_Stiffness!$C$146,IF(Element_Stiffness!$C$145=5,IF(0=Element_Stiffness!$C$145,Element_Stiffness!R170,IF(0=Element_Stiffness!$E$145,Element_Stiffness!X170,0)),IF(Element_Stiffness!$E$145=5,IF(0=Element_Stiffness!$C$145,Element_Stiffness!R176,IF(0=Element_Stiffness!$E$145,Element_Stiffness!X176,0)),0)),0)+IF(Element_Stiffness!$C$181,IF(Element_Stiffness!$C$180=5,IF(0=Element_Stiffness!$C$180,Element_Stiffness!R205,IF(0=Element_Stiffness!$E$180,Element_Stiffness!X205,0)),IF(Element_Stiffness!$E$180=5,IF(0=Element_Stiffness!$C$180,Element_Stiffness!R211,IF(0=Element_Stiffness!$E$180,Element_Stiffness!X211,0)),0)),0)+IF(Element_Stiffness!$C$216,IF(Element_Stiffness!$C$215=5,IF(0=Element_Stiffness!$C$215,Element_Stiffness!R240,IF(0=Element_Stiffness!$E$215,Element_Stiffness!X240,0)),IF(Element_Stiffness!$E$215=5,IF(0=Element_Stiffness!$C$215,Element_Stiffness!R246,IF(0=Element_Stiffness!$E$215,Element_Stiffness!X246,0)),0)),0)</f>
        <v/>
      </c>
      <c r="F39" s="21">
        <f>IF(Element_Stiffness!$C$6,IF(Element_Stiffness!$C$5=5,IF(0=Element_Stiffness!$C$5,Element_Stiffness!S30,IF(0=Element_Stiffness!$E$5,Element_Stiffness!Y30,0)),IF(Element_Stiffness!$E$5=5,IF(0=Element_Stiffness!$C$5,Element_Stiffness!S36,IF(0=Element_Stiffness!$E$5,Element_Stiffness!Y36,0)),0)),0)+IF(Element_Stiffness!$C$41,IF(Element_Stiffness!$C$40=5,IF(0=Element_Stiffness!$C$40,Element_Stiffness!S65,IF(0=Element_Stiffness!$E$40,Element_Stiffness!Y65,0)),IF(Element_Stiffness!$E$40=5,IF(0=Element_Stiffness!$C$40,Element_Stiffness!S71,IF(0=Element_Stiffness!$E$40,Element_Stiffness!Y71,0)),0)),0)+IF(Element_Stiffness!$C$76,IF(Element_Stiffness!$C$75=5,IF(0=Element_Stiffness!$C$75,Element_Stiffness!S100,IF(0=Element_Stiffness!$E$75,Element_Stiffness!Y100,0)),IF(Element_Stiffness!$E$75=5,IF(0=Element_Stiffness!$C$75,Element_Stiffness!S106,IF(0=Element_Stiffness!$E$75,Element_Stiffness!Y106,0)),0)),0)+IF(Element_Stiffness!$C$111,IF(Element_Stiffness!$C$110=5,IF(0=Element_Stiffness!$C$110,Element_Stiffness!S135,IF(0=Element_Stiffness!$E$110,Element_Stiffness!Y135,0)),IF(Element_Stiffness!$E$110=5,IF(0=Element_Stiffness!$C$110,Element_Stiffness!S141,IF(0=Element_Stiffness!$E$110,Element_Stiffness!Y141,0)),0)),0)+IF(Element_Stiffness!$C$146,IF(Element_Stiffness!$C$145=5,IF(0=Element_Stiffness!$C$145,Element_Stiffness!S170,IF(0=Element_Stiffness!$E$145,Element_Stiffness!Y170,0)),IF(Element_Stiffness!$E$145=5,IF(0=Element_Stiffness!$C$145,Element_Stiffness!S176,IF(0=Element_Stiffness!$E$145,Element_Stiffness!Y176,0)),0)),0)+IF(Element_Stiffness!$C$181,IF(Element_Stiffness!$C$180=5,IF(0=Element_Stiffness!$C$180,Element_Stiffness!S205,IF(0=Element_Stiffness!$E$180,Element_Stiffness!Y205,0)),IF(Element_Stiffness!$E$180=5,IF(0=Element_Stiffness!$C$180,Element_Stiffness!S211,IF(0=Element_Stiffness!$E$180,Element_Stiffness!Y211,0)),0)),0)+IF(Element_Stiffness!$C$216,IF(Element_Stiffness!$C$215=5,IF(0=Element_Stiffness!$C$215,Element_Stiffness!S240,IF(0=Element_Stiffness!$E$215,Element_Stiffness!Y240,0)),IF(Element_Stiffness!$E$215=5,IF(0=Element_Stiffness!$C$215,Element_Stiffness!S246,IF(0=Element_Stiffness!$E$215,Element_Stiffness!Y246,0)),0)),0)</f>
        <v/>
      </c>
      <c r="G39" s="21">
        <f>IF(Element_Stiffness!$C$6,IF(Element_Stiffness!$C$5=5,IF(0=Element_Stiffness!$C$5,Element_Stiffness!T30,IF(0=Element_Stiffness!$E$5,Element_Stiffness!Z30,0)),IF(Element_Stiffness!$E$5=5,IF(0=Element_Stiffness!$C$5,Element_Stiffness!T36,IF(0=Element_Stiffness!$E$5,Element_Stiffness!Z36,0)),0)),0)+IF(Element_Stiffness!$C$41,IF(Element_Stiffness!$C$40=5,IF(0=Element_Stiffness!$C$40,Element_Stiffness!T65,IF(0=Element_Stiffness!$E$40,Element_Stiffness!Z65,0)),IF(Element_Stiffness!$E$40=5,IF(0=Element_Stiffness!$C$40,Element_Stiffness!T71,IF(0=Element_Stiffness!$E$40,Element_Stiffness!Z71,0)),0)),0)+IF(Element_Stiffness!$C$76,IF(Element_Stiffness!$C$75=5,IF(0=Element_Stiffness!$C$75,Element_Stiffness!T100,IF(0=Element_Stiffness!$E$75,Element_Stiffness!Z100,0)),IF(Element_Stiffness!$E$75=5,IF(0=Element_Stiffness!$C$75,Element_Stiffness!T106,IF(0=Element_Stiffness!$E$75,Element_Stiffness!Z106,0)),0)),0)+IF(Element_Stiffness!$C$111,IF(Element_Stiffness!$C$110=5,IF(0=Element_Stiffness!$C$110,Element_Stiffness!T135,IF(0=Element_Stiffness!$E$110,Element_Stiffness!Z135,0)),IF(Element_Stiffness!$E$110=5,IF(0=Element_Stiffness!$C$110,Element_Stiffness!T141,IF(0=Element_Stiffness!$E$110,Element_Stiffness!Z141,0)),0)),0)+IF(Element_Stiffness!$C$146,IF(Element_Stiffness!$C$145=5,IF(0=Element_Stiffness!$C$145,Element_Stiffness!T170,IF(0=Element_Stiffness!$E$145,Element_Stiffness!Z170,0)),IF(Element_Stiffness!$E$145=5,IF(0=Element_Stiffness!$C$145,Element_Stiffness!T176,IF(0=Element_Stiffness!$E$145,Element_Stiffness!Z176,0)),0)),0)+IF(Element_Stiffness!$C$181,IF(Element_Stiffness!$C$180=5,IF(0=Element_Stiffness!$C$180,Element_Stiffness!T205,IF(0=Element_Stiffness!$E$180,Element_Stiffness!Z205,0)),IF(Element_Stiffness!$E$180=5,IF(0=Element_Stiffness!$C$180,Element_Stiffness!T211,IF(0=Element_Stiffness!$E$180,Element_Stiffness!Z211,0)),0)),0)+IF(Element_Stiffness!$C$216,IF(Element_Stiffness!$C$215=5,IF(0=Element_Stiffness!$C$215,Element_Stiffness!T240,IF(0=Element_Stiffness!$E$215,Element_Stiffness!Z240,0)),IF(Element_Stiffness!$E$215=5,IF(0=Element_Stiffness!$C$215,Element_Stiffness!T246,IF(0=Element_Stiffness!$E$215,Element_Stiffness!Z246,0)),0)),0)</f>
        <v/>
      </c>
      <c r="H39" s="21">
        <f>IF(Element_Stiffness!$C$6,IF(Element_Stiffness!$C$5=5,IF(0=Element_Stiffness!$C$5,Element_Stiffness!U30,IF(0=Element_Stiffness!$E$5,Element_Stiffness!AA30,0)),IF(Element_Stiffness!$E$5=5,IF(0=Element_Stiffness!$C$5,Element_Stiffness!U36,IF(0=Element_Stiffness!$E$5,Element_Stiffness!AA36,0)),0)),0)+IF(Element_Stiffness!$C$41,IF(Element_Stiffness!$C$40=5,IF(0=Element_Stiffness!$C$40,Element_Stiffness!U65,IF(0=Element_Stiffness!$E$40,Element_Stiffness!AA65,0)),IF(Element_Stiffness!$E$40=5,IF(0=Element_Stiffness!$C$40,Element_Stiffness!U71,IF(0=Element_Stiffness!$E$40,Element_Stiffness!AA71,0)),0)),0)+IF(Element_Stiffness!$C$76,IF(Element_Stiffness!$C$75=5,IF(0=Element_Stiffness!$C$75,Element_Stiffness!U100,IF(0=Element_Stiffness!$E$75,Element_Stiffness!AA100,0)),IF(Element_Stiffness!$E$75=5,IF(0=Element_Stiffness!$C$75,Element_Stiffness!U106,IF(0=Element_Stiffness!$E$75,Element_Stiffness!AA106,0)),0)),0)+IF(Element_Stiffness!$C$111,IF(Element_Stiffness!$C$110=5,IF(0=Element_Stiffness!$C$110,Element_Stiffness!U135,IF(0=Element_Stiffness!$E$110,Element_Stiffness!AA135,0)),IF(Element_Stiffness!$E$110=5,IF(0=Element_Stiffness!$C$110,Element_Stiffness!U141,IF(0=Element_Stiffness!$E$110,Element_Stiffness!AA141,0)),0)),0)+IF(Element_Stiffness!$C$146,IF(Element_Stiffness!$C$145=5,IF(0=Element_Stiffness!$C$145,Element_Stiffness!U170,IF(0=Element_Stiffness!$E$145,Element_Stiffness!AA170,0)),IF(Element_Stiffness!$E$145=5,IF(0=Element_Stiffness!$C$145,Element_Stiffness!U176,IF(0=Element_Stiffness!$E$145,Element_Stiffness!AA176,0)),0)),0)+IF(Element_Stiffness!$C$181,IF(Element_Stiffness!$C$180=5,IF(0=Element_Stiffness!$C$180,Element_Stiffness!U205,IF(0=Element_Stiffness!$E$180,Element_Stiffness!AA205,0)),IF(Element_Stiffness!$E$180=5,IF(0=Element_Stiffness!$C$180,Element_Stiffness!U211,IF(0=Element_Stiffness!$E$180,Element_Stiffness!AA211,0)),0)),0)+IF(Element_Stiffness!$C$216,IF(Element_Stiffness!$C$215=5,IF(0=Element_Stiffness!$C$215,Element_Stiffness!U240,IF(0=Element_Stiffness!$E$215,Element_Stiffness!AA240,0)),IF(Element_Stiffness!$E$215=5,IF(0=Element_Stiffness!$C$215,Element_Stiffness!U246,IF(0=Element_Stiffness!$E$215,Element_Stiffness!AA246,0)),0)),0)</f>
        <v/>
      </c>
      <c r="I39" s="21">
        <f>IF(Element_Stiffness!$C$6,IF(Element_Stiffness!$C$5=5,IF(1=Element_Stiffness!$C$5,Element_Stiffness!P30,IF(1=Element_Stiffness!$E$5,Element_Stiffness!V30,0)),IF(Element_Stiffness!$E$5=5,IF(1=Element_Stiffness!$C$5,Element_Stiffness!P36,IF(1=Element_Stiffness!$E$5,Element_Stiffness!V36,0)),0)),0)+IF(Element_Stiffness!$C$41,IF(Element_Stiffness!$C$40=5,IF(1=Element_Stiffness!$C$40,Element_Stiffness!P65,IF(1=Element_Stiffness!$E$40,Element_Stiffness!V65,0)),IF(Element_Stiffness!$E$40=5,IF(1=Element_Stiffness!$C$40,Element_Stiffness!P71,IF(1=Element_Stiffness!$E$40,Element_Stiffness!V71,0)),0)),0)+IF(Element_Stiffness!$C$76,IF(Element_Stiffness!$C$75=5,IF(1=Element_Stiffness!$C$75,Element_Stiffness!P100,IF(1=Element_Stiffness!$E$75,Element_Stiffness!V100,0)),IF(Element_Stiffness!$E$75=5,IF(1=Element_Stiffness!$C$75,Element_Stiffness!P106,IF(1=Element_Stiffness!$E$75,Element_Stiffness!V106,0)),0)),0)+IF(Element_Stiffness!$C$111,IF(Element_Stiffness!$C$110=5,IF(1=Element_Stiffness!$C$110,Element_Stiffness!P135,IF(1=Element_Stiffness!$E$110,Element_Stiffness!V135,0)),IF(Element_Stiffness!$E$110=5,IF(1=Element_Stiffness!$C$110,Element_Stiffness!P141,IF(1=Element_Stiffness!$E$110,Element_Stiffness!V141,0)),0)),0)+IF(Element_Stiffness!$C$146,IF(Element_Stiffness!$C$145=5,IF(1=Element_Stiffness!$C$145,Element_Stiffness!P170,IF(1=Element_Stiffness!$E$145,Element_Stiffness!V170,0)),IF(Element_Stiffness!$E$145=5,IF(1=Element_Stiffness!$C$145,Element_Stiffness!P176,IF(1=Element_Stiffness!$E$145,Element_Stiffness!V176,0)),0)),0)+IF(Element_Stiffness!$C$181,IF(Element_Stiffness!$C$180=5,IF(1=Element_Stiffness!$C$180,Element_Stiffness!P205,IF(1=Element_Stiffness!$E$180,Element_Stiffness!V205,0)),IF(Element_Stiffness!$E$180=5,IF(1=Element_Stiffness!$C$180,Element_Stiffness!P211,IF(1=Element_Stiffness!$E$180,Element_Stiffness!V211,0)),0)),0)+IF(Element_Stiffness!$C$216,IF(Element_Stiffness!$C$215=5,IF(1=Element_Stiffness!$C$215,Element_Stiffness!P240,IF(1=Element_Stiffness!$E$215,Element_Stiffness!V240,0)),IF(Element_Stiffness!$E$215=5,IF(1=Element_Stiffness!$C$215,Element_Stiffness!P246,IF(1=Element_Stiffness!$E$215,Element_Stiffness!V246,0)),0)),0)</f>
        <v/>
      </c>
      <c r="J39" s="21">
        <f>IF(Element_Stiffness!$C$6,IF(Element_Stiffness!$C$5=5,IF(1=Element_Stiffness!$C$5,Element_Stiffness!Q30,IF(1=Element_Stiffness!$E$5,Element_Stiffness!W30,0)),IF(Element_Stiffness!$E$5=5,IF(1=Element_Stiffness!$C$5,Element_Stiffness!Q36,IF(1=Element_Stiffness!$E$5,Element_Stiffness!W36,0)),0)),0)+IF(Element_Stiffness!$C$41,IF(Element_Stiffness!$C$40=5,IF(1=Element_Stiffness!$C$40,Element_Stiffness!Q65,IF(1=Element_Stiffness!$E$40,Element_Stiffness!W65,0)),IF(Element_Stiffness!$E$40=5,IF(1=Element_Stiffness!$C$40,Element_Stiffness!Q71,IF(1=Element_Stiffness!$E$40,Element_Stiffness!W71,0)),0)),0)+IF(Element_Stiffness!$C$76,IF(Element_Stiffness!$C$75=5,IF(1=Element_Stiffness!$C$75,Element_Stiffness!Q100,IF(1=Element_Stiffness!$E$75,Element_Stiffness!W100,0)),IF(Element_Stiffness!$E$75=5,IF(1=Element_Stiffness!$C$75,Element_Stiffness!Q106,IF(1=Element_Stiffness!$E$75,Element_Stiffness!W106,0)),0)),0)+IF(Element_Stiffness!$C$111,IF(Element_Stiffness!$C$110=5,IF(1=Element_Stiffness!$C$110,Element_Stiffness!Q135,IF(1=Element_Stiffness!$E$110,Element_Stiffness!W135,0)),IF(Element_Stiffness!$E$110=5,IF(1=Element_Stiffness!$C$110,Element_Stiffness!Q141,IF(1=Element_Stiffness!$E$110,Element_Stiffness!W141,0)),0)),0)+IF(Element_Stiffness!$C$146,IF(Element_Stiffness!$C$145=5,IF(1=Element_Stiffness!$C$145,Element_Stiffness!Q170,IF(1=Element_Stiffness!$E$145,Element_Stiffness!W170,0)),IF(Element_Stiffness!$E$145=5,IF(1=Element_Stiffness!$C$145,Element_Stiffness!Q176,IF(1=Element_Stiffness!$E$145,Element_Stiffness!W176,0)),0)),0)+IF(Element_Stiffness!$C$181,IF(Element_Stiffness!$C$180=5,IF(1=Element_Stiffness!$C$180,Element_Stiffness!Q205,IF(1=Element_Stiffness!$E$180,Element_Stiffness!W205,0)),IF(Element_Stiffness!$E$180=5,IF(1=Element_Stiffness!$C$180,Element_Stiffness!Q211,IF(1=Element_Stiffness!$E$180,Element_Stiffness!W211,0)),0)),0)+IF(Element_Stiffness!$C$216,IF(Element_Stiffness!$C$215=5,IF(1=Element_Stiffness!$C$215,Element_Stiffness!Q240,IF(1=Element_Stiffness!$E$215,Element_Stiffness!W240,0)),IF(Element_Stiffness!$E$215=5,IF(1=Element_Stiffness!$C$215,Element_Stiffness!Q246,IF(1=Element_Stiffness!$E$215,Element_Stiffness!W246,0)),0)),0)</f>
        <v/>
      </c>
      <c r="K39" s="21">
        <f>IF(Element_Stiffness!$C$6,IF(Element_Stiffness!$C$5=5,IF(1=Element_Stiffness!$C$5,Element_Stiffness!R30,IF(1=Element_Stiffness!$E$5,Element_Stiffness!X30,0)),IF(Element_Stiffness!$E$5=5,IF(1=Element_Stiffness!$C$5,Element_Stiffness!R36,IF(1=Element_Stiffness!$E$5,Element_Stiffness!X36,0)),0)),0)+IF(Element_Stiffness!$C$41,IF(Element_Stiffness!$C$40=5,IF(1=Element_Stiffness!$C$40,Element_Stiffness!R65,IF(1=Element_Stiffness!$E$40,Element_Stiffness!X65,0)),IF(Element_Stiffness!$E$40=5,IF(1=Element_Stiffness!$C$40,Element_Stiffness!R71,IF(1=Element_Stiffness!$E$40,Element_Stiffness!X71,0)),0)),0)+IF(Element_Stiffness!$C$76,IF(Element_Stiffness!$C$75=5,IF(1=Element_Stiffness!$C$75,Element_Stiffness!R100,IF(1=Element_Stiffness!$E$75,Element_Stiffness!X100,0)),IF(Element_Stiffness!$E$75=5,IF(1=Element_Stiffness!$C$75,Element_Stiffness!R106,IF(1=Element_Stiffness!$E$75,Element_Stiffness!X106,0)),0)),0)+IF(Element_Stiffness!$C$111,IF(Element_Stiffness!$C$110=5,IF(1=Element_Stiffness!$C$110,Element_Stiffness!R135,IF(1=Element_Stiffness!$E$110,Element_Stiffness!X135,0)),IF(Element_Stiffness!$E$110=5,IF(1=Element_Stiffness!$C$110,Element_Stiffness!R141,IF(1=Element_Stiffness!$E$110,Element_Stiffness!X141,0)),0)),0)+IF(Element_Stiffness!$C$146,IF(Element_Stiffness!$C$145=5,IF(1=Element_Stiffness!$C$145,Element_Stiffness!R170,IF(1=Element_Stiffness!$E$145,Element_Stiffness!X170,0)),IF(Element_Stiffness!$E$145=5,IF(1=Element_Stiffness!$C$145,Element_Stiffness!R176,IF(1=Element_Stiffness!$E$145,Element_Stiffness!X176,0)),0)),0)+IF(Element_Stiffness!$C$181,IF(Element_Stiffness!$C$180=5,IF(1=Element_Stiffness!$C$180,Element_Stiffness!R205,IF(1=Element_Stiffness!$E$180,Element_Stiffness!X205,0)),IF(Element_Stiffness!$E$180=5,IF(1=Element_Stiffness!$C$180,Element_Stiffness!R211,IF(1=Element_Stiffness!$E$180,Element_Stiffness!X211,0)),0)),0)+IF(Element_Stiffness!$C$216,IF(Element_Stiffness!$C$215=5,IF(1=Element_Stiffness!$C$215,Element_Stiffness!R240,IF(1=Element_Stiffness!$E$215,Element_Stiffness!X240,0)),IF(Element_Stiffness!$E$215=5,IF(1=Element_Stiffness!$C$215,Element_Stiffness!R246,IF(1=Element_Stiffness!$E$215,Element_Stiffness!X246,0)),0)),0)</f>
        <v/>
      </c>
      <c r="L39" s="21">
        <f>IF(Element_Stiffness!$C$6,IF(Element_Stiffness!$C$5=5,IF(1=Element_Stiffness!$C$5,Element_Stiffness!S30,IF(1=Element_Stiffness!$E$5,Element_Stiffness!Y30,0)),IF(Element_Stiffness!$E$5=5,IF(1=Element_Stiffness!$C$5,Element_Stiffness!S36,IF(1=Element_Stiffness!$E$5,Element_Stiffness!Y36,0)),0)),0)+IF(Element_Stiffness!$C$41,IF(Element_Stiffness!$C$40=5,IF(1=Element_Stiffness!$C$40,Element_Stiffness!S65,IF(1=Element_Stiffness!$E$40,Element_Stiffness!Y65,0)),IF(Element_Stiffness!$E$40=5,IF(1=Element_Stiffness!$C$40,Element_Stiffness!S71,IF(1=Element_Stiffness!$E$40,Element_Stiffness!Y71,0)),0)),0)+IF(Element_Stiffness!$C$76,IF(Element_Stiffness!$C$75=5,IF(1=Element_Stiffness!$C$75,Element_Stiffness!S100,IF(1=Element_Stiffness!$E$75,Element_Stiffness!Y100,0)),IF(Element_Stiffness!$E$75=5,IF(1=Element_Stiffness!$C$75,Element_Stiffness!S106,IF(1=Element_Stiffness!$E$75,Element_Stiffness!Y106,0)),0)),0)+IF(Element_Stiffness!$C$111,IF(Element_Stiffness!$C$110=5,IF(1=Element_Stiffness!$C$110,Element_Stiffness!S135,IF(1=Element_Stiffness!$E$110,Element_Stiffness!Y135,0)),IF(Element_Stiffness!$E$110=5,IF(1=Element_Stiffness!$C$110,Element_Stiffness!S141,IF(1=Element_Stiffness!$E$110,Element_Stiffness!Y141,0)),0)),0)+IF(Element_Stiffness!$C$146,IF(Element_Stiffness!$C$145=5,IF(1=Element_Stiffness!$C$145,Element_Stiffness!S170,IF(1=Element_Stiffness!$E$145,Element_Stiffness!Y170,0)),IF(Element_Stiffness!$E$145=5,IF(1=Element_Stiffness!$C$145,Element_Stiffness!S176,IF(1=Element_Stiffness!$E$145,Element_Stiffness!Y176,0)),0)),0)+IF(Element_Stiffness!$C$181,IF(Element_Stiffness!$C$180=5,IF(1=Element_Stiffness!$C$180,Element_Stiffness!S205,IF(1=Element_Stiffness!$E$180,Element_Stiffness!Y205,0)),IF(Element_Stiffness!$E$180=5,IF(1=Element_Stiffness!$C$180,Element_Stiffness!S211,IF(1=Element_Stiffness!$E$180,Element_Stiffness!Y211,0)),0)),0)+IF(Element_Stiffness!$C$216,IF(Element_Stiffness!$C$215=5,IF(1=Element_Stiffness!$C$215,Element_Stiffness!S240,IF(1=Element_Stiffness!$E$215,Element_Stiffness!Y240,0)),IF(Element_Stiffness!$E$215=5,IF(1=Element_Stiffness!$C$215,Element_Stiffness!S246,IF(1=Element_Stiffness!$E$215,Element_Stiffness!Y246,0)),0)),0)</f>
        <v/>
      </c>
      <c r="M39" s="21">
        <f>IF(Element_Stiffness!$C$6,IF(Element_Stiffness!$C$5=5,IF(1=Element_Stiffness!$C$5,Element_Stiffness!T30,IF(1=Element_Stiffness!$E$5,Element_Stiffness!Z30,0)),IF(Element_Stiffness!$E$5=5,IF(1=Element_Stiffness!$C$5,Element_Stiffness!T36,IF(1=Element_Stiffness!$E$5,Element_Stiffness!Z36,0)),0)),0)+IF(Element_Stiffness!$C$41,IF(Element_Stiffness!$C$40=5,IF(1=Element_Stiffness!$C$40,Element_Stiffness!T65,IF(1=Element_Stiffness!$E$40,Element_Stiffness!Z65,0)),IF(Element_Stiffness!$E$40=5,IF(1=Element_Stiffness!$C$40,Element_Stiffness!T71,IF(1=Element_Stiffness!$E$40,Element_Stiffness!Z71,0)),0)),0)+IF(Element_Stiffness!$C$76,IF(Element_Stiffness!$C$75=5,IF(1=Element_Stiffness!$C$75,Element_Stiffness!T100,IF(1=Element_Stiffness!$E$75,Element_Stiffness!Z100,0)),IF(Element_Stiffness!$E$75=5,IF(1=Element_Stiffness!$C$75,Element_Stiffness!T106,IF(1=Element_Stiffness!$E$75,Element_Stiffness!Z106,0)),0)),0)+IF(Element_Stiffness!$C$111,IF(Element_Stiffness!$C$110=5,IF(1=Element_Stiffness!$C$110,Element_Stiffness!T135,IF(1=Element_Stiffness!$E$110,Element_Stiffness!Z135,0)),IF(Element_Stiffness!$E$110=5,IF(1=Element_Stiffness!$C$110,Element_Stiffness!T141,IF(1=Element_Stiffness!$E$110,Element_Stiffness!Z141,0)),0)),0)+IF(Element_Stiffness!$C$146,IF(Element_Stiffness!$C$145=5,IF(1=Element_Stiffness!$C$145,Element_Stiffness!T170,IF(1=Element_Stiffness!$E$145,Element_Stiffness!Z170,0)),IF(Element_Stiffness!$E$145=5,IF(1=Element_Stiffness!$C$145,Element_Stiffness!T176,IF(1=Element_Stiffness!$E$145,Element_Stiffness!Z176,0)),0)),0)+IF(Element_Stiffness!$C$181,IF(Element_Stiffness!$C$180=5,IF(1=Element_Stiffness!$C$180,Element_Stiffness!T205,IF(1=Element_Stiffness!$E$180,Element_Stiffness!Z205,0)),IF(Element_Stiffness!$E$180=5,IF(1=Element_Stiffness!$C$180,Element_Stiffness!T211,IF(1=Element_Stiffness!$E$180,Element_Stiffness!Z211,0)),0)),0)+IF(Element_Stiffness!$C$216,IF(Element_Stiffness!$C$215=5,IF(1=Element_Stiffness!$C$215,Element_Stiffness!T240,IF(1=Element_Stiffness!$E$215,Element_Stiffness!Z240,0)),IF(Element_Stiffness!$E$215=5,IF(1=Element_Stiffness!$C$215,Element_Stiffness!T246,IF(1=Element_Stiffness!$E$215,Element_Stiffness!Z246,0)),0)),0)</f>
        <v/>
      </c>
      <c r="N39" s="21">
        <f>IF(Element_Stiffness!$C$6,IF(Element_Stiffness!$C$5=5,IF(1=Element_Stiffness!$C$5,Element_Stiffness!U30,IF(1=Element_Stiffness!$E$5,Element_Stiffness!AA30,0)),IF(Element_Stiffness!$E$5=5,IF(1=Element_Stiffness!$C$5,Element_Stiffness!U36,IF(1=Element_Stiffness!$E$5,Element_Stiffness!AA36,0)),0)),0)+IF(Element_Stiffness!$C$41,IF(Element_Stiffness!$C$40=5,IF(1=Element_Stiffness!$C$40,Element_Stiffness!U65,IF(1=Element_Stiffness!$E$40,Element_Stiffness!AA65,0)),IF(Element_Stiffness!$E$40=5,IF(1=Element_Stiffness!$C$40,Element_Stiffness!U71,IF(1=Element_Stiffness!$E$40,Element_Stiffness!AA71,0)),0)),0)+IF(Element_Stiffness!$C$76,IF(Element_Stiffness!$C$75=5,IF(1=Element_Stiffness!$C$75,Element_Stiffness!U100,IF(1=Element_Stiffness!$E$75,Element_Stiffness!AA100,0)),IF(Element_Stiffness!$E$75=5,IF(1=Element_Stiffness!$C$75,Element_Stiffness!U106,IF(1=Element_Stiffness!$E$75,Element_Stiffness!AA106,0)),0)),0)+IF(Element_Stiffness!$C$111,IF(Element_Stiffness!$C$110=5,IF(1=Element_Stiffness!$C$110,Element_Stiffness!U135,IF(1=Element_Stiffness!$E$110,Element_Stiffness!AA135,0)),IF(Element_Stiffness!$E$110=5,IF(1=Element_Stiffness!$C$110,Element_Stiffness!U141,IF(1=Element_Stiffness!$E$110,Element_Stiffness!AA141,0)),0)),0)+IF(Element_Stiffness!$C$146,IF(Element_Stiffness!$C$145=5,IF(1=Element_Stiffness!$C$145,Element_Stiffness!U170,IF(1=Element_Stiffness!$E$145,Element_Stiffness!AA170,0)),IF(Element_Stiffness!$E$145=5,IF(1=Element_Stiffness!$C$145,Element_Stiffness!U176,IF(1=Element_Stiffness!$E$145,Element_Stiffness!AA176,0)),0)),0)+IF(Element_Stiffness!$C$181,IF(Element_Stiffness!$C$180=5,IF(1=Element_Stiffness!$C$180,Element_Stiffness!U205,IF(1=Element_Stiffness!$E$180,Element_Stiffness!AA205,0)),IF(Element_Stiffness!$E$180=5,IF(1=Element_Stiffness!$C$180,Element_Stiffness!U211,IF(1=Element_Stiffness!$E$180,Element_Stiffness!AA211,0)),0)),0)+IF(Element_Stiffness!$C$216,IF(Element_Stiffness!$C$215=5,IF(1=Element_Stiffness!$C$215,Element_Stiffness!U240,IF(1=Element_Stiffness!$E$215,Element_Stiffness!AA240,0)),IF(Element_Stiffness!$E$215=5,IF(1=Element_Stiffness!$C$215,Element_Stiffness!U246,IF(1=Element_Stiffness!$E$215,Element_Stiffness!AA246,0)),0)),0)</f>
        <v/>
      </c>
      <c r="O39" s="21">
        <f>IF(Element_Stiffness!$C$6,IF(Element_Stiffness!$C$5=5,IF(2=Element_Stiffness!$C$5,Element_Stiffness!P30,IF(2=Element_Stiffness!$E$5,Element_Stiffness!V30,0)),IF(Element_Stiffness!$E$5=5,IF(2=Element_Stiffness!$C$5,Element_Stiffness!P36,IF(2=Element_Stiffness!$E$5,Element_Stiffness!V36,0)),0)),0)+IF(Element_Stiffness!$C$41,IF(Element_Stiffness!$C$40=5,IF(2=Element_Stiffness!$C$40,Element_Stiffness!P65,IF(2=Element_Stiffness!$E$40,Element_Stiffness!V65,0)),IF(Element_Stiffness!$E$40=5,IF(2=Element_Stiffness!$C$40,Element_Stiffness!P71,IF(2=Element_Stiffness!$E$40,Element_Stiffness!V71,0)),0)),0)+IF(Element_Stiffness!$C$76,IF(Element_Stiffness!$C$75=5,IF(2=Element_Stiffness!$C$75,Element_Stiffness!P100,IF(2=Element_Stiffness!$E$75,Element_Stiffness!V100,0)),IF(Element_Stiffness!$E$75=5,IF(2=Element_Stiffness!$C$75,Element_Stiffness!P106,IF(2=Element_Stiffness!$E$75,Element_Stiffness!V106,0)),0)),0)+IF(Element_Stiffness!$C$111,IF(Element_Stiffness!$C$110=5,IF(2=Element_Stiffness!$C$110,Element_Stiffness!P135,IF(2=Element_Stiffness!$E$110,Element_Stiffness!V135,0)),IF(Element_Stiffness!$E$110=5,IF(2=Element_Stiffness!$C$110,Element_Stiffness!P141,IF(2=Element_Stiffness!$E$110,Element_Stiffness!V141,0)),0)),0)+IF(Element_Stiffness!$C$146,IF(Element_Stiffness!$C$145=5,IF(2=Element_Stiffness!$C$145,Element_Stiffness!P170,IF(2=Element_Stiffness!$E$145,Element_Stiffness!V170,0)),IF(Element_Stiffness!$E$145=5,IF(2=Element_Stiffness!$C$145,Element_Stiffness!P176,IF(2=Element_Stiffness!$E$145,Element_Stiffness!V176,0)),0)),0)+IF(Element_Stiffness!$C$181,IF(Element_Stiffness!$C$180=5,IF(2=Element_Stiffness!$C$180,Element_Stiffness!P205,IF(2=Element_Stiffness!$E$180,Element_Stiffness!V205,0)),IF(Element_Stiffness!$E$180=5,IF(2=Element_Stiffness!$C$180,Element_Stiffness!P211,IF(2=Element_Stiffness!$E$180,Element_Stiffness!V211,0)),0)),0)+IF(Element_Stiffness!$C$216,IF(Element_Stiffness!$C$215=5,IF(2=Element_Stiffness!$C$215,Element_Stiffness!P240,IF(2=Element_Stiffness!$E$215,Element_Stiffness!V240,0)),IF(Element_Stiffness!$E$215=5,IF(2=Element_Stiffness!$C$215,Element_Stiffness!P246,IF(2=Element_Stiffness!$E$215,Element_Stiffness!V246,0)),0)),0)</f>
        <v/>
      </c>
      <c r="P39" s="21">
        <f>IF(Element_Stiffness!$C$6,IF(Element_Stiffness!$C$5=5,IF(2=Element_Stiffness!$C$5,Element_Stiffness!Q30,IF(2=Element_Stiffness!$E$5,Element_Stiffness!W30,0)),IF(Element_Stiffness!$E$5=5,IF(2=Element_Stiffness!$C$5,Element_Stiffness!Q36,IF(2=Element_Stiffness!$E$5,Element_Stiffness!W36,0)),0)),0)+IF(Element_Stiffness!$C$41,IF(Element_Stiffness!$C$40=5,IF(2=Element_Stiffness!$C$40,Element_Stiffness!Q65,IF(2=Element_Stiffness!$E$40,Element_Stiffness!W65,0)),IF(Element_Stiffness!$E$40=5,IF(2=Element_Stiffness!$C$40,Element_Stiffness!Q71,IF(2=Element_Stiffness!$E$40,Element_Stiffness!W71,0)),0)),0)+IF(Element_Stiffness!$C$76,IF(Element_Stiffness!$C$75=5,IF(2=Element_Stiffness!$C$75,Element_Stiffness!Q100,IF(2=Element_Stiffness!$E$75,Element_Stiffness!W100,0)),IF(Element_Stiffness!$E$75=5,IF(2=Element_Stiffness!$C$75,Element_Stiffness!Q106,IF(2=Element_Stiffness!$E$75,Element_Stiffness!W106,0)),0)),0)+IF(Element_Stiffness!$C$111,IF(Element_Stiffness!$C$110=5,IF(2=Element_Stiffness!$C$110,Element_Stiffness!Q135,IF(2=Element_Stiffness!$E$110,Element_Stiffness!W135,0)),IF(Element_Stiffness!$E$110=5,IF(2=Element_Stiffness!$C$110,Element_Stiffness!Q141,IF(2=Element_Stiffness!$E$110,Element_Stiffness!W141,0)),0)),0)+IF(Element_Stiffness!$C$146,IF(Element_Stiffness!$C$145=5,IF(2=Element_Stiffness!$C$145,Element_Stiffness!Q170,IF(2=Element_Stiffness!$E$145,Element_Stiffness!W170,0)),IF(Element_Stiffness!$E$145=5,IF(2=Element_Stiffness!$C$145,Element_Stiffness!Q176,IF(2=Element_Stiffness!$E$145,Element_Stiffness!W176,0)),0)),0)+IF(Element_Stiffness!$C$181,IF(Element_Stiffness!$C$180=5,IF(2=Element_Stiffness!$C$180,Element_Stiffness!Q205,IF(2=Element_Stiffness!$E$180,Element_Stiffness!W205,0)),IF(Element_Stiffness!$E$180=5,IF(2=Element_Stiffness!$C$180,Element_Stiffness!Q211,IF(2=Element_Stiffness!$E$180,Element_Stiffness!W211,0)),0)),0)+IF(Element_Stiffness!$C$216,IF(Element_Stiffness!$C$215=5,IF(2=Element_Stiffness!$C$215,Element_Stiffness!Q240,IF(2=Element_Stiffness!$E$215,Element_Stiffness!W240,0)),IF(Element_Stiffness!$E$215=5,IF(2=Element_Stiffness!$C$215,Element_Stiffness!Q246,IF(2=Element_Stiffness!$E$215,Element_Stiffness!W246,0)),0)),0)</f>
        <v/>
      </c>
      <c r="Q39" s="21">
        <f>IF(Element_Stiffness!$C$6,IF(Element_Stiffness!$C$5=5,IF(2=Element_Stiffness!$C$5,Element_Stiffness!R30,IF(2=Element_Stiffness!$E$5,Element_Stiffness!X30,0)),IF(Element_Stiffness!$E$5=5,IF(2=Element_Stiffness!$C$5,Element_Stiffness!R36,IF(2=Element_Stiffness!$E$5,Element_Stiffness!X36,0)),0)),0)+IF(Element_Stiffness!$C$41,IF(Element_Stiffness!$C$40=5,IF(2=Element_Stiffness!$C$40,Element_Stiffness!R65,IF(2=Element_Stiffness!$E$40,Element_Stiffness!X65,0)),IF(Element_Stiffness!$E$40=5,IF(2=Element_Stiffness!$C$40,Element_Stiffness!R71,IF(2=Element_Stiffness!$E$40,Element_Stiffness!X71,0)),0)),0)+IF(Element_Stiffness!$C$76,IF(Element_Stiffness!$C$75=5,IF(2=Element_Stiffness!$C$75,Element_Stiffness!R100,IF(2=Element_Stiffness!$E$75,Element_Stiffness!X100,0)),IF(Element_Stiffness!$E$75=5,IF(2=Element_Stiffness!$C$75,Element_Stiffness!R106,IF(2=Element_Stiffness!$E$75,Element_Stiffness!X106,0)),0)),0)+IF(Element_Stiffness!$C$111,IF(Element_Stiffness!$C$110=5,IF(2=Element_Stiffness!$C$110,Element_Stiffness!R135,IF(2=Element_Stiffness!$E$110,Element_Stiffness!X135,0)),IF(Element_Stiffness!$E$110=5,IF(2=Element_Stiffness!$C$110,Element_Stiffness!R141,IF(2=Element_Stiffness!$E$110,Element_Stiffness!X141,0)),0)),0)+IF(Element_Stiffness!$C$146,IF(Element_Stiffness!$C$145=5,IF(2=Element_Stiffness!$C$145,Element_Stiffness!R170,IF(2=Element_Stiffness!$E$145,Element_Stiffness!X170,0)),IF(Element_Stiffness!$E$145=5,IF(2=Element_Stiffness!$C$145,Element_Stiffness!R176,IF(2=Element_Stiffness!$E$145,Element_Stiffness!X176,0)),0)),0)+IF(Element_Stiffness!$C$181,IF(Element_Stiffness!$C$180=5,IF(2=Element_Stiffness!$C$180,Element_Stiffness!R205,IF(2=Element_Stiffness!$E$180,Element_Stiffness!X205,0)),IF(Element_Stiffness!$E$180=5,IF(2=Element_Stiffness!$C$180,Element_Stiffness!R211,IF(2=Element_Stiffness!$E$180,Element_Stiffness!X211,0)),0)),0)+IF(Element_Stiffness!$C$216,IF(Element_Stiffness!$C$215=5,IF(2=Element_Stiffness!$C$215,Element_Stiffness!R240,IF(2=Element_Stiffness!$E$215,Element_Stiffness!X240,0)),IF(Element_Stiffness!$E$215=5,IF(2=Element_Stiffness!$C$215,Element_Stiffness!R246,IF(2=Element_Stiffness!$E$215,Element_Stiffness!X246,0)),0)),0)</f>
        <v/>
      </c>
      <c r="R39" s="21">
        <f>IF(Element_Stiffness!$C$6,IF(Element_Stiffness!$C$5=5,IF(2=Element_Stiffness!$C$5,Element_Stiffness!S30,IF(2=Element_Stiffness!$E$5,Element_Stiffness!Y30,0)),IF(Element_Stiffness!$E$5=5,IF(2=Element_Stiffness!$C$5,Element_Stiffness!S36,IF(2=Element_Stiffness!$E$5,Element_Stiffness!Y36,0)),0)),0)+IF(Element_Stiffness!$C$41,IF(Element_Stiffness!$C$40=5,IF(2=Element_Stiffness!$C$40,Element_Stiffness!S65,IF(2=Element_Stiffness!$E$40,Element_Stiffness!Y65,0)),IF(Element_Stiffness!$E$40=5,IF(2=Element_Stiffness!$C$40,Element_Stiffness!S71,IF(2=Element_Stiffness!$E$40,Element_Stiffness!Y71,0)),0)),0)+IF(Element_Stiffness!$C$76,IF(Element_Stiffness!$C$75=5,IF(2=Element_Stiffness!$C$75,Element_Stiffness!S100,IF(2=Element_Stiffness!$E$75,Element_Stiffness!Y100,0)),IF(Element_Stiffness!$E$75=5,IF(2=Element_Stiffness!$C$75,Element_Stiffness!S106,IF(2=Element_Stiffness!$E$75,Element_Stiffness!Y106,0)),0)),0)+IF(Element_Stiffness!$C$111,IF(Element_Stiffness!$C$110=5,IF(2=Element_Stiffness!$C$110,Element_Stiffness!S135,IF(2=Element_Stiffness!$E$110,Element_Stiffness!Y135,0)),IF(Element_Stiffness!$E$110=5,IF(2=Element_Stiffness!$C$110,Element_Stiffness!S141,IF(2=Element_Stiffness!$E$110,Element_Stiffness!Y141,0)),0)),0)+IF(Element_Stiffness!$C$146,IF(Element_Stiffness!$C$145=5,IF(2=Element_Stiffness!$C$145,Element_Stiffness!S170,IF(2=Element_Stiffness!$E$145,Element_Stiffness!Y170,0)),IF(Element_Stiffness!$E$145=5,IF(2=Element_Stiffness!$C$145,Element_Stiffness!S176,IF(2=Element_Stiffness!$E$145,Element_Stiffness!Y176,0)),0)),0)+IF(Element_Stiffness!$C$181,IF(Element_Stiffness!$C$180=5,IF(2=Element_Stiffness!$C$180,Element_Stiffness!S205,IF(2=Element_Stiffness!$E$180,Element_Stiffness!Y205,0)),IF(Element_Stiffness!$E$180=5,IF(2=Element_Stiffness!$C$180,Element_Stiffness!S211,IF(2=Element_Stiffness!$E$180,Element_Stiffness!Y211,0)),0)),0)+IF(Element_Stiffness!$C$216,IF(Element_Stiffness!$C$215=5,IF(2=Element_Stiffness!$C$215,Element_Stiffness!S240,IF(2=Element_Stiffness!$E$215,Element_Stiffness!Y240,0)),IF(Element_Stiffness!$E$215=5,IF(2=Element_Stiffness!$C$215,Element_Stiffness!S246,IF(2=Element_Stiffness!$E$215,Element_Stiffness!Y246,0)),0)),0)</f>
        <v/>
      </c>
      <c r="S39" s="21">
        <f>IF(Element_Stiffness!$C$6,IF(Element_Stiffness!$C$5=5,IF(2=Element_Stiffness!$C$5,Element_Stiffness!T30,IF(2=Element_Stiffness!$E$5,Element_Stiffness!Z30,0)),IF(Element_Stiffness!$E$5=5,IF(2=Element_Stiffness!$C$5,Element_Stiffness!T36,IF(2=Element_Stiffness!$E$5,Element_Stiffness!Z36,0)),0)),0)+IF(Element_Stiffness!$C$41,IF(Element_Stiffness!$C$40=5,IF(2=Element_Stiffness!$C$40,Element_Stiffness!T65,IF(2=Element_Stiffness!$E$40,Element_Stiffness!Z65,0)),IF(Element_Stiffness!$E$40=5,IF(2=Element_Stiffness!$C$40,Element_Stiffness!T71,IF(2=Element_Stiffness!$E$40,Element_Stiffness!Z71,0)),0)),0)+IF(Element_Stiffness!$C$76,IF(Element_Stiffness!$C$75=5,IF(2=Element_Stiffness!$C$75,Element_Stiffness!T100,IF(2=Element_Stiffness!$E$75,Element_Stiffness!Z100,0)),IF(Element_Stiffness!$E$75=5,IF(2=Element_Stiffness!$C$75,Element_Stiffness!T106,IF(2=Element_Stiffness!$E$75,Element_Stiffness!Z106,0)),0)),0)+IF(Element_Stiffness!$C$111,IF(Element_Stiffness!$C$110=5,IF(2=Element_Stiffness!$C$110,Element_Stiffness!T135,IF(2=Element_Stiffness!$E$110,Element_Stiffness!Z135,0)),IF(Element_Stiffness!$E$110=5,IF(2=Element_Stiffness!$C$110,Element_Stiffness!T141,IF(2=Element_Stiffness!$E$110,Element_Stiffness!Z141,0)),0)),0)+IF(Element_Stiffness!$C$146,IF(Element_Stiffness!$C$145=5,IF(2=Element_Stiffness!$C$145,Element_Stiffness!T170,IF(2=Element_Stiffness!$E$145,Element_Stiffness!Z170,0)),IF(Element_Stiffness!$E$145=5,IF(2=Element_Stiffness!$C$145,Element_Stiffness!T176,IF(2=Element_Stiffness!$E$145,Element_Stiffness!Z176,0)),0)),0)+IF(Element_Stiffness!$C$181,IF(Element_Stiffness!$C$180=5,IF(2=Element_Stiffness!$C$180,Element_Stiffness!T205,IF(2=Element_Stiffness!$E$180,Element_Stiffness!Z205,0)),IF(Element_Stiffness!$E$180=5,IF(2=Element_Stiffness!$C$180,Element_Stiffness!T211,IF(2=Element_Stiffness!$E$180,Element_Stiffness!Z211,0)),0)),0)+IF(Element_Stiffness!$C$216,IF(Element_Stiffness!$C$215=5,IF(2=Element_Stiffness!$C$215,Element_Stiffness!T240,IF(2=Element_Stiffness!$E$215,Element_Stiffness!Z240,0)),IF(Element_Stiffness!$E$215=5,IF(2=Element_Stiffness!$C$215,Element_Stiffness!T246,IF(2=Element_Stiffness!$E$215,Element_Stiffness!Z246,0)),0)),0)</f>
        <v/>
      </c>
      <c r="T39" s="21">
        <f>IF(Element_Stiffness!$C$6,IF(Element_Stiffness!$C$5=5,IF(2=Element_Stiffness!$C$5,Element_Stiffness!U30,IF(2=Element_Stiffness!$E$5,Element_Stiffness!AA30,0)),IF(Element_Stiffness!$E$5=5,IF(2=Element_Stiffness!$C$5,Element_Stiffness!U36,IF(2=Element_Stiffness!$E$5,Element_Stiffness!AA36,0)),0)),0)+IF(Element_Stiffness!$C$41,IF(Element_Stiffness!$C$40=5,IF(2=Element_Stiffness!$C$40,Element_Stiffness!U65,IF(2=Element_Stiffness!$E$40,Element_Stiffness!AA65,0)),IF(Element_Stiffness!$E$40=5,IF(2=Element_Stiffness!$C$40,Element_Stiffness!U71,IF(2=Element_Stiffness!$E$40,Element_Stiffness!AA71,0)),0)),0)+IF(Element_Stiffness!$C$76,IF(Element_Stiffness!$C$75=5,IF(2=Element_Stiffness!$C$75,Element_Stiffness!U100,IF(2=Element_Stiffness!$E$75,Element_Stiffness!AA100,0)),IF(Element_Stiffness!$E$75=5,IF(2=Element_Stiffness!$C$75,Element_Stiffness!U106,IF(2=Element_Stiffness!$E$75,Element_Stiffness!AA106,0)),0)),0)+IF(Element_Stiffness!$C$111,IF(Element_Stiffness!$C$110=5,IF(2=Element_Stiffness!$C$110,Element_Stiffness!U135,IF(2=Element_Stiffness!$E$110,Element_Stiffness!AA135,0)),IF(Element_Stiffness!$E$110=5,IF(2=Element_Stiffness!$C$110,Element_Stiffness!U141,IF(2=Element_Stiffness!$E$110,Element_Stiffness!AA141,0)),0)),0)+IF(Element_Stiffness!$C$146,IF(Element_Stiffness!$C$145=5,IF(2=Element_Stiffness!$C$145,Element_Stiffness!U170,IF(2=Element_Stiffness!$E$145,Element_Stiffness!AA170,0)),IF(Element_Stiffness!$E$145=5,IF(2=Element_Stiffness!$C$145,Element_Stiffness!U176,IF(2=Element_Stiffness!$E$145,Element_Stiffness!AA176,0)),0)),0)+IF(Element_Stiffness!$C$181,IF(Element_Stiffness!$C$180=5,IF(2=Element_Stiffness!$C$180,Element_Stiffness!U205,IF(2=Element_Stiffness!$E$180,Element_Stiffness!AA205,0)),IF(Element_Stiffness!$E$180=5,IF(2=Element_Stiffness!$C$180,Element_Stiffness!U211,IF(2=Element_Stiffness!$E$180,Element_Stiffness!AA211,0)),0)),0)+IF(Element_Stiffness!$C$216,IF(Element_Stiffness!$C$215=5,IF(2=Element_Stiffness!$C$215,Element_Stiffness!U240,IF(2=Element_Stiffness!$E$215,Element_Stiffness!AA240,0)),IF(Element_Stiffness!$E$215=5,IF(2=Element_Stiffness!$C$215,Element_Stiffness!U246,IF(2=Element_Stiffness!$E$215,Element_Stiffness!AA246,0)),0)),0)</f>
        <v/>
      </c>
      <c r="U39" s="21">
        <f>IF(Element_Stiffness!$C$6,IF(Element_Stiffness!$C$5=5,IF(3=Element_Stiffness!$C$5,Element_Stiffness!P30,IF(3=Element_Stiffness!$E$5,Element_Stiffness!V30,0)),IF(Element_Stiffness!$E$5=5,IF(3=Element_Stiffness!$C$5,Element_Stiffness!P36,IF(3=Element_Stiffness!$E$5,Element_Stiffness!V36,0)),0)),0)+IF(Element_Stiffness!$C$41,IF(Element_Stiffness!$C$40=5,IF(3=Element_Stiffness!$C$40,Element_Stiffness!P65,IF(3=Element_Stiffness!$E$40,Element_Stiffness!V65,0)),IF(Element_Stiffness!$E$40=5,IF(3=Element_Stiffness!$C$40,Element_Stiffness!P71,IF(3=Element_Stiffness!$E$40,Element_Stiffness!V71,0)),0)),0)+IF(Element_Stiffness!$C$76,IF(Element_Stiffness!$C$75=5,IF(3=Element_Stiffness!$C$75,Element_Stiffness!P100,IF(3=Element_Stiffness!$E$75,Element_Stiffness!V100,0)),IF(Element_Stiffness!$E$75=5,IF(3=Element_Stiffness!$C$75,Element_Stiffness!P106,IF(3=Element_Stiffness!$E$75,Element_Stiffness!V106,0)),0)),0)+IF(Element_Stiffness!$C$111,IF(Element_Stiffness!$C$110=5,IF(3=Element_Stiffness!$C$110,Element_Stiffness!P135,IF(3=Element_Stiffness!$E$110,Element_Stiffness!V135,0)),IF(Element_Stiffness!$E$110=5,IF(3=Element_Stiffness!$C$110,Element_Stiffness!P141,IF(3=Element_Stiffness!$E$110,Element_Stiffness!V141,0)),0)),0)+IF(Element_Stiffness!$C$146,IF(Element_Stiffness!$C$145=5,IF(3=Element_Stiffness!$C$145,Element_Stiffness!P170,IF(3=Element_Stiffness!$E$145,Element_Stiffness!V170,0)),IF(Element_Stiffness!$E$145=5,IF(3=Element_Stiffness!$C$145,Element_Stiffness!P176,IF(3=Element_Stiffness!$E$145,Element_Stiffness!V176,0)),0)),0)+IF(Element_Stiffness!$C$181,IF(Element_Stiffness!$C$180=5,IF(3=Element_Stiffness!$C$180,Element_Stiffness!P205,IF(3=Element_Stiffness!$E$180,Element_Stiffness!V205,0)),IF(Element_Stiffness!$E$180=5,IF(3=Element_Stiffness!$C$180,Element_Stiffness!P211,IF(3=Element_Stiffness!$E$180,Element_Stiffness!V211,0)),0)),0)+IF(Element_Stiffness!$C$216,IF(Element_Stiffness!$C$215=5,IF(3=Element_Stiffness!$C$215,Element_Stiffness!P240,IF(3=Element_Stiffness!$E$215,Element_Stiffness!V240,0)),IF(Element_Stiffness!$E$215=5,IF(3=Element_Stiffness!$C$215,Element_Stiffness!P246,IF(3=Element_Stiffness!$E$215,Element_Stiffness!V246,0)),0)),0)</f>
        <v/>
      </c>
      <c r="V39" s="21">
        <f>IF(Element_Stiffness!$C$6,IF(Element_Stiffness!$C$5=5,IF(3=Element_Stiffness!$C$5,Element_Stiffness!Q30,IF(3=Element_Stiffness!$E$5,Element_Stiffness!W30,0)),IF(Element_Stiffness!$E$5=5,IF(3=Element_Stiffness!$C$5,Element_Stiffness!Q36,IF(3=Element_Stiffness!$E$5,Element_Stiffness!W36,0)),0)),0)+IF(Element_Stiffness!$C$41,IF(Element_Stiffness!$C$40=5,IF(3=Element_Stiffness!$C$40,Element_Stiffness!Q65,IF(3=Element_Stiffness!$E$40,Element_Stiffness!W65,0)),IF(Element_Stiffness!$E$40=5,IF(3=Element_Stiffness!$C$40,Element_Stiffness!Q71,IF(3=Element_Stiffness!$E$40,Element_Stiffness!W71,0)),0)),0)+IF(Element_Stiffness!$C$76,IF(Element_Stiffness!$C$75=5,IF(3=Element_Stiffness!$C$75,Element_Stiffness!Q100,IF(3=Element_Stiffness!$E$75,Element_Stiffness!W100,0)),IF(Element_Stiffness!$E$75=5,IF(3=Element_Stiffness!$C$75,Element_Stiffness!Q106,IF(3=Element_Stiffness!$E$75,Element_Stiffness!W106,0)),0)),0)+IF(Element_Stiffness!$C$111,IF(Element_Stiffness!$C$110=5,IF(3=Element_Stiffness!$C$110,Element_Stiffness!Q135,IF(3=Element_Stiffness!$E$110,Element_Stiffness!W135,0)),IF(Element_Stiffness!$E$110=5,IF(3=Element_Stiffness!$C$110,Element_Stiffness!Q141,IF(3=Element_Stiffness!$E$110,Element_Stiffness!W141,0)),0)),0)+IF(Element_Stiffness!$C$146,IF(Element_Stiffness!$C$145=5,IF(3=Element_Stiffness!$C$145,Element_Stiffness!Q170,IF(3=Element_Stiffness!$E$145,Element_Stiffness!W170,0)),IF(Element_Stiffness!$E$145=5,IF(3=Element_Stiffness!$C$145,Element_Stiffness!Q176,IF(3=Element_Stiffness!$E$145,Element_Stiffness!W176,0)),0)),0)+IF(Element_Stiffness!$C$181,IF(Element_Stiffness!$C$180=5,IF(3=Element_Stiffness!$C$180,Element_Stiffness!Q205,IF(3=Element_Stiffness!$E$180,Element_Stiffness!W205,0)),IF(Element_Stiffness!$E$180=5,IF(3=Element_Stiffness!$C$180,Element_Stiffness!Q211,IF(3=Element_Stiffness!$E$180,Element_Stiffness!W211,0)),0)),0)+IF(Element_Stiffness!$C$216,IF(Element_Stiffness!$C$215=5,IF(3=Element_Stiffness!$C$215,Element_Stiffness!Q240,IF(3=Element_Stiffness!$E$215,Element_Stiffness!W240,0)),IF(Element_Stiffness!$E$215=5,IF(3=Element_Stiffness!$C$215,Element_Stiffness!Q246,IF(3=Element_Stiffness!$E$215,Element_Stiffness!W246,0)),0)),0)</f>
        <v/>
      </c>
      <c r="W39" s="21">
        <f>IF(Element_Stiffness!$C$6,IF(Element_Stiffness!$C$5=5,IF(3=Element_Stiffness!$C$5,Element_Stiffness!R30,IF(3=Element_Stiffness!$E$5,Element_Stiffness!X30,0)),IF(Element_Stiffness!$E$5=5,IF(3=Element_Stiffness!$C$5,Element_Stiffness!R36,IF(3=Element_Stiffness!$E$5,Element_Stiffness!X36,0)),0)),0)+IF(Element_Stiffness!$C$41,IF(Element_Stiffness!$C$40=5,IF(3=Element_Stiffness!$C$40,Element_Stiffness!R65,IF(3=Element_Stiffness!$E$40,Element_Stiffness!X65,0)),IF(Element_Stiffness!$E$40=5,IF(3=Element_Stiffness!$C$40,Element_Stiffness!R71,IF(3=Element_Stiffness!$E$40,Element_Stiffness!X71,0)),0)),0)+IF(Element_Stiffness!$C$76,IF(Element_Stiffness!$C$75=5,IF(3=Element_Stiffness!$C$75,Element_Stiffness!R100,IF(3=Element_Stiffness!$E$75,Element_Stiffness!X100,0)),IF(Element_Stiffness!$E$75=5,IF(3=Element_Stiffness!$C$75,Element_Stiffness!R106,IF(3=Element_Stiffness!$E$75,Element_Stiffness!X106,0)),0)),0)+IF(Element_Stiffness!$C$111,IF(Element_Stiffness!$C$110=5,IF(3=Element_Stiffness!$C$110,Element_Stiffness!R135,IF(3=Element_Stiffness!$E$110,Element_Stiffness!X135,0)),IF(Element_Stiffness!$E$110=5,IF(3=Element_Stiffness!$C$110,Element_Stiffness!R141,IF(3=Element_Stiffness!$E$110,Element_Stiffness!X141,0)),0)),0)+IF(Element_Stiffness!$C$146,IF(Element_Stiffness!$C$145=5,IF(3=Element_Stiffness!$C$145,Element_Stiffness!R170,IF(3=Element_Stiffness!$E$145,Element_Stiffness!X170,0)),IF(Element_Stiffness!$E$145=5,IF(3=Element_Stiffness!$C$145,Element_Stiffness!R176,IF(3=Element_Stiffness!$E$145,Element_Stiffness!X176,0)),0)),0)+IF(Element_Stiffness!$C$181,IF(Element_Stiffness!$C$180=5,IF(3=Element_Stiffness!$C$180,Element_Stiffness!R205,IF(3=Element_Stiffness!$E$180,Element_Stiffness!X205,0)),IF(Element_Stiffness!$E$180=5,IF(3=Element_Stiffness!$C$180,Element_Stiffness!R211,IF(3=Element_Stiffness!$E$180,Element_Stiffness!X211,0)),0)),0)+IF(Element_Stiffness!$C$216,IF(Element_Stiffness!$C$215=5,IF(3=Element_Stiffness!$C$215,Element_Stiffness!R240,IF(3=Element_Stiffness!$E$215,Element_Stiffness!X240,0)),IF(Element_Stiffness!$E$215=5,IF(3=Element_Stiffness!$C$215,Element_Stiffness!R246,IF(3=Element_Stiffness!$E$215,Element_Stiffness!X246,0)),0)),0)</f>
        <v/>
      </c>
      <c r="X39" s="21">
        <f>IF(Element_Stiffness!$C$6,IF(Element_Stiffness!$C$5=5,IF(3=Element_Stiffness!$C$5,Element_Stiffness!S30,IF(3=Element_Stiffness!$E$5,Element_Stiffness!Y30,0)),IF(Element_Stiffness!$E$5=5,IF(3=Element_Stiffness!$C$5,Element_Stiffness!S36,IF(3=Element_Stiffness!$E$5,Element_Stiffness!Y36,0)),0)),0)+IF(Element_Stiffness!$C$41,IF(Element_Stiffness!$C$40=5,IF(3=Element_Stiffness!$C$40,Element_Stiffness!S65,IF(3=Element_Stiffness!$E$40,Element_Stiffness!Y65,0)),IF(Element_Stiffness!$E$40=5,IF(3=Element_Stiffness!$C$40,Element_Stiffness!S71,IF(3=Element_Stiffness!$E$40,Element_Stiffness!Y71,0)),0)),0)+IF(Element_Stiffness!$C$76,IF(Element_Stiffness!$C$75=5,IF(3=Element_Stiffness!$C$75,Element_Stiffness!S100,IF(3=Element_Stiffness!$E$75,Element_Stiffness!Y100,0)),IF(Element_Stiffness!$E$75=5,IF(3=Element_Stiffness!$C$75,Element_Stiffness!S106,IF(3=Element_Stiffness!$E$75,Element_Stiffness!Y106,0)),0)),0)+IF(Element_Stiffness!$C$111,IF(Element_Stiffness!$C$110=5,IF(3=Element_Stiffness!$C$110,Element_Stiffness!S135,IF(3=Element_Stiffness!$E$110,Element_Stiffness!Y135,0)),IF(Element_Stiffness!$E$110=5,IF(3=Element_Stiffness!$C$110,Element_Stiffness!S141,IF(3=Element_Stiffness!$E$110,Element_Stiffness!Y141,0)),0)),0)+IF(Element_Stiffness!$C$146,IF(Element_Stiffness!$C$145=5,IF(3=Element_Stiffness!$C$145,Element_Stiffness!S170,IF(3=Element_Stiffness!$E$145,Element_Stiffness!Y170,0)),IF(Element_Stiffness!$E$145=5,IF(3=Element_Stiffness!$C$145,Element_Stiffness!S176,IF(3=Element_Stiffness!$E$145,Element_Stiffness!Y176,0)),0)),0)+IF(Element_Stiffness!$C$181,IF(Element_Stiffness!$C$180=5,IF(3=Element_Stiffness!$C$180,Element_Stiffness!S205,IF(3=Element_Stiffness!$E$180,Element_Stiffness!Y205,0)),IF(Element_Stiffness!$E$180=5,IF(3=Element_Stiffness!$C$180,Element_Stiffness!S211,IF(3=Element_Stiffness!$E$180,Element_Stiffness!Y211,0)),0)),0)+IF(Element_Stiffness!$C$216,IF(Element_Stiffness!$C$215=5,IF(3=Element_Stiffness!$C$215,Element_Stiffness!S240,IF(3=Element_Stiffness!$E$215,Element_Stiffness!Y240,0)),IF(Element_Stiffness!$E$215=5,IF(3=Element_Stiffness!$C$215,Element_Stiffness!S246,IF(3=Element_Stiffness!$E$215,Element_Stiffness!Y246,0)),0)),0)</f>
        <v/>
      </c>
      <c r="Y39" s="21">
        <f>IF(Element_Stiffness!$C$6,IF(Element_Stiffness!$C$5=5,IF(3=Element_Stiffness!$C$5,Element_Stiffness!T30,IF(3=Element_Stiffness!$E$5,Element_Stiffness!Z30,0)),IF(Element_Stiffness!$E$5=5,IF(3=Element_Stiffness!$C$5,Element_Stiffness!T36,IF(3=Element_Stiffness!$E$5,Element_Stiffness!Z36,0)),0)),0)+IF(Element_Stiffness!$C$41,IF(Element_Stiffness!$C$40=5,IF(3=Element_Stiffness!$C$40,Element_Stiffness!T65,IF(3=Element_Stiffness!$E$40,Element_Stiffness!Z65,0)),IF(Element_Stiffness!$E$40=5,IF(3=Element_Stiffness!$C$40,Element_Stiffness!T71,IF(3=Element_Stiffness!$E$40,Element_Stiffness!Z71,0)),0)),0)+IF(Element_Stiffness!$C$76,IF(Element_Stiffness!$C$75=5,IF(3=Element_Stiffness!$C$75,Element_Stiffness!T100,IF(3=Element_Stiffness!$E$75,Element_Stiffness!Z100,0)),IF(Element_Stiffness!$E$75=5,IF(3=Element_Stiffness!$C$75,Element_Stiffness!T106,IF(3=Element_Stiffness!$E$75,Element_Stiffness!Z106,0)),0)),0)+IF(Element_Stiffness!$C$111,IF(Element_Stiffness!$C$110=5,IF(3=Element_Stiffness!$C$110,Element_Stiffness!T135,IF(3=Element_Stiffness!$E$110,Element_Stiffness!Z135,0)),IF(Element_Stiffness!$E$110=5,IF(3=Element_Stiffness!$C$110,Element_Stiffness!T141,IF(3=Element_Stiffness!$E$110,Element_Stiffness!Z141,0)),0)),0)+IF(Element_Stiffness!$C$146,IF(Element_Stiffness!$C$145=5,IF(3=Element_Stiffness!$C$145,Element_Stiffness!T170,IF(3=Element_Stiffness!$E$145,Element_Stiffness!Z170,0)),IF(Element_Stiffness!$E$145=5,IF(3=Element_Stiffness!$C$145,Element_Stiffness!T176,IF(3=Element_Stiffness!$E$145,Element_Stiffness!Z176,0)),0)),0)+IF(Element_Stiffness!$C$181,IF(Element_Stiffness!$C$180=5,IF(3=Element_Stiffness!$C$180,Element_Stiffness!T205,IF(3=Element_Stiffness!$E$180,Element_Stiffness!Z205,0)),IF(Element_Stiffness!$E$180=5,IF(3=Element_Stiffness!$C$180,Element_Stiffness!T211,IF(3=Element_Stiffness!$E$180,Element_Stiffness!Z211,0)),0)),0)+IF(Element_Stiffness!$C$216,IF(Element_Stiffness!$C$215=5,IF(3=Element_Stiffness!$C$215,Element_Stiffness!T240,IF(3=Element_Stiffness!$E$215,Element_Stiffness!Z240,0)),IF(Element_Stiffness!$E$215=5,IF(3=Element_Stiffness!$C$215,Element_Stiffness!T246,IF(3=Element_Stiffness!$E$215,Element_Stiffness!Z246,0)),0)),0)</f>
        <v/>
      </c>
      <c r="Z39" s="21">
        <f>IF(Element_Stiffness!$C$6,IF(Element_Stiffness!$C$5=5,IF(3=Element_Stiffness!$C$5,Element_Stiffness!U30,IF(3=Element_Stiffness!$E$5,Element_Stiffness!AA30,0)),IF(Element_Stiffness!$E$5=5,IF(3=Element_Stiffness!$C$5,Element_Stiffness!U36,IF(3=Element_Stiffness!$E$5,Element_Stiffness!AA36,0)),0)),0)+IF(Element_Stiffness!$C$41,IF(Element_Stiffness!$C$40=5,IF(3=Element_Stiffness!$C$40,Element_Stiffness!U65,IF(3=Element_Stiffness!$E$40,Element_Stiffness!AA65,0)),IF(Element_Stiffness!$E$40=5,IF(3=Element_Stiffness!$C$40,Element_Stiffness!U71,IF(3=Element_Stiffness!$E$40,Element_Stiffness!AA71,0)),0)),0)+IF(Element_Stiffness!$C$76,IF(Element_Stiffness!$C$75=5,IF(3=Element_Stiffness!$C$75,Element_Stiffness!U100,IF(3=Element_Stiffness!$E$75,Element_Stiffness!AA100,0)),IF(Element_Stiffness!$E$75=5,IF(3=Element_Stiffness!$C$75,Element_Stiffness!U106,IF(3=Element_Stiffness!$E$75,Element_Stiffness!AA106,0)),0)),0)+IF(Element_Stiffness!$C$111,IF(Element_Stiffness!$C$110=5,IF(3=Element_Stiffness!$C$110,Element_Stiffness!U135,IF(3=Element_Stiffness!$E$110,Element_Stiffness!AA135,0)),IF(Element_Stiffness!$E$110=5,IF(3=Element_Stiffness!$C$110,Element_Stiffness!U141,IF(3=Element_Stiffness!$E$110,Element_Stiffness!AA141,0)),0)),0)+IF(Element_Stiffness!$C$146,IF(Element_Stiffness!$C$145=5,IF(3=Element_Stiffness!$C$145,Element_Stiffness!U170,IF(3=Element_Stiffness!$E$145,Element_Stiffness!AA170,0)),IF(Element_Stiffness!$E$145=5,IF(3=Element_Stiffness!$C$145,Element_Stiffness!U176,IF(3=Element_Stiffness!$E$145,Element_Stiffness!AA176,0)),0)),0)+IF(Element_Stiffness!$C$181,IF(Element_Stiffness!$C$180=5,IF(3=Element_Stiffness!$C$180,Element_Stiffness!U205,IF(3=Element_Stiffness!$E$180,Element_Stiffness!AA205,0)),IF(Element_Stiffness!$E$180=5,IF(3=Element_Stiffness!$C$180,Element_Stiffness!U211,IF(3=Element_Stiffness!$E$180,Element_Stiffness!AA211,0)),0)),0)+IF(Element_Stiffness!$C$216,IF(Element_Stiffness!$C$215=5,IF(3=Element_Stiffness!$C$215,Element_Stiffness!U240,IF(3=Element_Stiffness!$E$215,Element_Stiffness!AA240,0)),IF(Element_Stiffness!$E$215=5,IF(3=Element_Stiffness!$C$215,Element_Stiffness!U246,IF(3=Element_Stiffness!$E$215,Element_Stiffness!AA246,0)),0)),0)</f>
        <v/>
      </c>
      <c r="AA39" s="21">
        <f>IF(Element_Stiffness!$C$6,IF(Element_Stiffness!$C$5=5,IF(4=Element_Stiffness!$C$5,Element_Stiffness!P30,IF(4=Element_Stiffness!$E$5,Element_Stiffness!V30,0)),IF(Element_Stiffness!$E$5=5,IF(4=Element_Stiffness!$C$5,Element_Stiffness!P36,IF(4=Element_Stiffness!$E$5,Element_Stiffness!V36,0)),0)),0)+IF(Element_Stiffness!$C$41,IF(Element_Stiffness!$C$40=5,IF(4=Element_Stiffness!$C$40,Element_Stiffness!P65,IF(4=Element_Stiffness!$E$40,Element_Stiffness!V65,0)),IF(Element_Stiffness!$E$40=5,IF(4=Element_Stiffness!$C$40,Element_Stiffness!P71,IF(4=Element_Stiffness!$E$40,Element_Stiffness!V71,0)),0)),0)+IF(Element_Stiffness!$C$76,IF(Element_Stiffness!$C$75=5,IF(4=Element_Stiffness!$C$75,Element_Stiffness!P100,IF(4=Element_Stiffness!$E$75,Element_Stiffness!V100,0)),IF(Element_Stiffness!$E$75=5,IF(4=Element_Stiffness!$C$75,Element_Stiffness!P106,IF(4=Element_Stiffness!$E$75,Element_Stiffness!V106,0)),0)),0)+IF(Element_Stiffness!$C$111,IF(Element_Stiffness!$C$110=5,IF(4=Element_Stiffness!$C$110,Element_Stiffness!P135,IF(4=Element_Stiffness!$E$110,Element_Stiffness!V135,0)),IF(Element_Stiffness!$E$110=5,IF(4=Element_Stiffness!$C$110,Element_Stiffness!P141,IF(4=Element_Stiffness!$E$110,Element_Stiffness!V141,0)),0)),0)+IF(Element_Stiffness!$C$146,IF(Element_Stiffness!$C$145=5,IF(4=Element_Stiffness!$C$145,Element_Stiffness!P170,IF(4=Element_Stiffness!$E$145,Element_Stiffness!V170,0)),IF(Element_Stiffness!$E$145=5,IF(4=Element_Stiffness!$C$145,Element_Stiffness!P176,IF(4=Element_Stiffness!$E$145,Element_Stiffness!V176,0)),0)),0)+IF(Element_Stiffness!$C$181,IF(Element_Stiffness!$C$180=5,IF(4=Element_Stiffness!$C$180,Element_Stiffness!P205,IF(4=Element_Stiffness!$E$180,Element_Stiffness!V205,0)),IF(Element_Stiffness!$E$180=5,IF(4=Element_Stiffness!$C$180,Element_Stiffness!P211,IF(4=Element_Stiffness!$E$180,Element_Stiffness!V211,0)),0)),0)+IF(Element_Stiffness!$C$216,IF(Element_Stiffness!$C$215=5,IF(4=Element_Stiffness!$C$215,Element_Stiffness!P240,IF(4=Element_Stiffness!$E$215,Element_Stiffness!V240,0)),IF(Element_Stiffness!$E$215=5,IF(4=Element_Stiffness!$C$215,Element_Stiffness!P246,IF(4=Element_Stiffness!$E$215,Element_Stiffness!V246,0)),0)),0)</f>
        <v/>
      </c>
      <c r="AB39" s="21">
        <f>IF(Element_Stiffness!$C$6,IF(Element_Stiffness!$C$5=5,IF(4=Element_Stiffness!$C$5,Element_Stiffness!Q30,IF(4=Element_Stiffness!$E$5,Element_Stiffness!W30,0)),IF(Element_Stiffness!$E$5=5,IF(4=Element_Stiffness!$C$5,Element_Stiffness!Q36,IF(4=Element_Stiffness!$E$5,Element_Stiffness!W36,0)),0)),0)+IF(Element_Stiffness!$C$41,IF(Element_Stiffness!$C$40=5,IF(4=Element_Stiffness!$C$40,Element_Stiffness!Q65,IF(4=Element_Stiffness!$E$40,Element_Stiffness!W65,0)),IF(Element_Stiffness!$E$40=5,IF(4=Element_Stiffness!$C$40,Element_Stiffness!Q71,IF(4=Element_Stiffness!$E$40,Element_Stiffness!W71,0)),0)),0)+IF(Element_Stiffness!$C$76,IF(Element_Stiffness!$C$75=5,IF(4=Element_Stiffness!$C$75,Element_Stiffness!Q100,IF(4=Element_Stiffness!$E$75,Element_Stiffness!W100,0)),IF(Element_Stiffness!$E$75=5,IF(4=Element_Stiffness!$C$75,Element_Stiffness!Q106,IF(4=Element_Stiffness!$E$75,Element_Stiffness!W106,0)),0)),0)+IF(Element_Stiffness!$C$111,IF(Element_Stiffness!$C$110=5,IF(4=Element_Stiffness!$C$110,Element_Stiffness!Q135,IF(4=Element_Stiffness!$E$110,Element_Stiffness!W135,0)),IF(Element_Stiffness!$E$110=5,IF(4=Element_Stiffness!$C$110,Element_Stiffness!Q141,IF(4=Element_Stiffness!$E$110,Element_Stiffness!W141,0)),0)),0)+IF(Element_Stiffness!$C$146,IF(Element_Stiffness!$C$145=5,IF(4=Element_Stiffness!$C$145,Element_Stiffness!Q170,IF(4=Element_Stiffness!$E$145,Element_Stiffness!W170,0)),IF(Element_Stiffness!$E$145=5,IF(4=Element_Stiffness!$C$145,Element_Stiffness!Q176,IF(4=Element_Stiffness!$E$145,Element_Stiffness!W176,0)),0)),0)+IF(Element_Stiffness!$C$181,IF(Element_Stiffness!$C$180=5,IF(4=Element_Stiffness!$C$180,Element_Stiffness!Q205,IF(4=Element_Stiffness!$E$180,Element_Stiffness!W205,0)),IF(Element_Stiffness!$E$180=5,IF(4=Element_Stiffness!$C$180,Element_Stiffness!Q211,IF(4=Element_Stiffness!$E$180,Element_Stiffness!W211,0)),0)),0)+IF(Element_Stiffness!$C$216,IF(Element_Stiffness!$C$215=5,IF(4=Element_Stiffness!$C$215,Element_Stiffness!Q240,IF(4=Element_Stiffness!$E$215,Element_Stiffness!W240,0)),IF(Element_Stiffness!$E$215=5,IF(4=Element_Stiffness!$C$215,Element_Stiffness!Q246,IF(4=Element_Stiffness!$E$215,Element_Stiffness!W246,0)),0)),0)</f>
        <v/>
      </c>
      <c r="AC39" s="21">
        <f>IF(Element_Stiffness!$C$6,IF(Element_Stiffness!$C$5=5,IF(4=Element_Stiffness!$C$5,Element_Stiffness!R30,IF(4=Element_Stiffness!$E$5,Element_Stiffness!X30,0)),IF(Element_Stiffness!$E$5=5,IF(4=Element_Stiffness!$C$5,Element_Stiffness!R36,IF(4=Element_Stiffness!$E$5,Element_Stiffness!X36,0)),0)),0)+IF(Element_Stiffness!$C$41,IF(Element_Stiffness!$C$40=5,IF(4=Element_Stiffness!$C$40,Element_Stiffness!R65,IF(4=Element_Stiffness!$E$40,Element_Stiffness!X65,0)),IF(Element_Stiffness!$E$40=5,IF(4=Element_Stiffness!$C$40,Element_Stiffness!R71,IF(4=Element_Stiffness!$E$40,Element_Stiffness!X71,0)),0)),0)+IF(Element_Stiffness!$C$76,IF(Element_Stiffness!$C$75=5,IF(4=Element_Stiffness!$C$75,Element_Stiffness!R100,IF(4=Element_Stiffness!$E$75,Element_Stiffness!X100,0)),IF(Element_Stiffness!$E$75=5,IF(4=Element_Stiffness!$C$75,Element_Stiffness!R106,IF(4=Element_Stiffness!$E$75,Element_Stiffness!X106,0)),0)),0)+IF(Element_Stiffness!$C$111,IF(Element_Stiffness!$C$110=5,IF(4=Element_Stiffness!$C$110,Element_Stiffness!R135,IF(4=Element_Stiffness!$E$110,Element_Stiffness!X135,0)),IF(Element_Stiffness!$E$110=5,IF(4=Element_Stiffness!$C$110,Element_Stiffness!R141,IF(4=Element_Stiffness!$E$110,Element_Stiffness!X141,0)),0)),0)+IF(Element_Stiffness!$C$146,IF(Element_Stiffness!$C$145=5,IF(4=Element_Stiffness!$C$145,Element_Stiffness!R170,IF(4=Element_Stiffness!$E$145,Element_Stiffness!X170,0)),IF(Element_Stiffness!$E$145=5,IF(4=Element_Stiffness!$C$145,Element_Stiffness!R176,IF(4=Element_Stiffness!$E$145,Element_Stiffness!X176,0)),0)),0)+IF(Element_Stiffness!$C$181,IF(Element_Stiffness!$C$180=5,IF(4=Element_Stiffness!$C$180,Element_Stiffness!R205,IF(4=Element_Stiffness!$E$180,Element_Stiffness!X205,0)),IF(Element_Stiffness!$E$180=5,IF(4=Element_Stiffness!$C$180,Element_Stiffness!R211,IF(4=Element_Stiffness!$E$180,Element_Stiffness!X211,0)),0)),0)+IF(Element_Stiffness!$C$216,IF(Element_Stiffness!$C$215=5,IF(4=Element_Stiffness!$C$215,Element_Stiffness!R240,IF(4=Element_Stiffness!$E$215,Element_Stiffness!X240,0)),IF(Element_Stiffness!$E$215=5,IF(4=Element_Stiffness!$C$215,Element_Stiffness!R246,IF(4=Element_Stiffness!$E$215,Element_Stiffness!X246,0)),0)),0)</f>
        <v/>
      </c>
      <c r="AD39" s="21">
        <f>IF(Element_Stiffness!$C$6,IF(Element_Stiffness!$C$5=5,IF(4=Element_Stiffness!$C$5,Element_Stiffness!S30,IF(4=Element_Stiffness!$E$5,Element_Stiffness!Y30,0)),IF(Element_Stiffness!$E$5=5,IF(4=Element_Stiffness!$C$5,Element_Stiffness!S36,IF(4=Element_Stiffness!$E$5,Element_Stiffness!Y36,0)),0)),0)+IF(Element_Stiffness!$C$41,IF(Element_Stiffness!$C$40=5,IF(4=Element_Stiffness!$C$40,Element_Stiffness!S65,IF(4=Element_Stiffness!$E$40,Element_Stiffness!Y65,0)),IF(Element_Stiffness!$E$40=5,IF(4=Element_Stiffness!$C$40,Element_Stiffness!S71,IF(4=Element_Stiffness!$E$40,Element_Stiffness!Y71,0)),0)),0)+IF(Element_Stiffness!$C$76,IF(Element_Stiffness!$C$75=5,IF(4=Element_Stiffness!$C$75,Element_Stiffness!S100,IF(4=Element_Stiffness!$E$75,Element_Stiffness!Y100,0)),IF(Element_Stiffness!$E$75=5,IF(4=Element_Stiffness!$C$75,Element_Stiffness!S106,IF(4=Element_Stiffness!$E$75,Element_Stiffness!Y106,0)),0)),0)+IF(Element_Stiffness!$C$111,IF(Element_Stiffness!$C$110=5,IF(4=Element_Stiffness!$C$110,Element_Stiffness!S135,IF(4=Element_Stiffness!$E$110,Element_Stiffness!Y135,0)),IF(Element_Stiffness!$E$110=5,IF(4=Element_Stiffness!$C$110,Element_Stiffness!S141,IF(4=Element_Stiffness!$E$110,Element_Stiffness!Y141,0)),0)),0)+IF(Element_Stiffness!$C$146,IF(Element_Stiffness!$C$145=5,IF(4=Element_Stiffness!$C$145,Element_Stiffness!S170,IF(4=Element_Stiffness!$E$145,Element_Stiffness!Y170,0)),IF(Element_Stiffness!$E$145=5,IF(4=Element_Stiffness!$C$145,Element_Stiffness!S176,IF(4=Element_Stiffness!$E$145,Element_Stiffness!Y176,0)),0)),0)+IF(Element_Stiffness!$C$181,IF(Element_Stiffness!$C$180=5,IF(4=Element_Stiffness!$C$180,Element_Stiffness!S205,IF(4=Element_Stiffness!$E$180,Element_Stiffness!Y205,0)),IF(Element_Stiffness!$E$180=5,IF(4=Element_Stiffness!$C$180,Element_Stiffness!S211,IF(4=Element_Stiffness!$E$180,Element_Stiffness!Y211,0)),0)),0)+IF(Element_Stiffness!$C$216,IF(Element_Stiffness!$C$215=5,IF(4=Element_Stiffness!$C$215,Element_Stiffness!S240,IF(4=Element_Stiffness!$E$215,Element_Stiffness!Y240,0)),IF(Element_Stiffness!$E$215=5,IF(4=Element_Stiffness!$C$215,Element_Stiffness!S246,IF(4=Element_Stiffness!$E$215,Element_Stiffness!Y246,0)),0)),0)</f>
        <v/>
      </c>
      <c r="AE39" s="21">
        <f>IF(Element_Stiffness!$C$6,IF(Element_Stiffness!$C$5=5,IF(4=Element_Stiffness!$C$5,Element_Stiffness!T30,IF(4=Element_Stiffness!$E$5,Element_Stiffness!Z30,0)),IF(Element_Stiffness!$E$5=5,IF(4=Element_Stiffness!$C$5,Element_Stiffness!T36,IF(4=Element_Stiffness!$E$5,Element_Stiffness!Z36,0)),0)),0)+IF(Element_Stiffness!$C$41,IF(Element_Stiffness!$C$40=5,IF(4=Element_Stiffness!$C$40,Element_Stiffness!T65,IF(4=Element_Stiffness!$E$40,Element_Stiffness!Z65,0)),IF(Element_Stiffness!$E$40=5,IF(4=Element_Stiffness!$C$40,Element_Stiffness!T71,IF(4=Element_Stiffness!$E$40,Element_Stiffness!Z71,0)),0)),0)+IF(Element_Stiffness!$C$76,IF(Element_Stiffness!$C$75=5,IF(4=Element_Stiffness!$C$75,Element_Stiffness!T100,IF(4=Element_Stiffness!$E$75,Element_Stiffness!Z100,0)),IF(Element_Stiffness!$E$75=5,IF(4=Element_Stiffness!$C$75,Element_Stiffness!T106,IF(4=Element_Stiffness!$E$75,Element_Stiffness!Z106,0)),0)),0)+IF(Element_Stiffness!$C$111,IF(Element_Stiffness!$C$110=5,IF(4=Element_Stiffness!$C$110,Element_Stiffness!T135,IF(4=Element_Stiffness!$E$110,Element_Stiffness!Z135,0)),IF(Element_Stiffness!$E$110=5,IF(4=Element_Stiffness!$C$110,Element_Stiffness!T141,IF(4=Element_Stiffness!$E$110,Element_Stiffness!Z141,0)),0)),0)+IF(Element_Stiffness!$C$146,IF(Element_Stiffness!$C$145=5,IF(4=Element_Stiffness!$C$145,Element_Stiffness!T170,IF(4=Element_Stiffness!$E$145,Element_Stiffness!Z170,0)),IF(Element_Stiffness!$E$145=5,IF(4=Element_Stiffness!$C$145,Element_Stiffness!T176,IF(4=Element_Stiffness!$E$145,Element_Stiffness!Z176,0)),0)),0)+IF(Element_Stiffness!$C$181,IF(Element_Stiffness!$C$180=5,IF(4=Element_Stiffness!$C$180,Element_Stiffness!T205,IF(4=Element_Stiffness!$E$180,Element_Stiffness!Z205,0)),IF(Element_Stiffness!$E$180=5,IF(4=Element_Stiffness!$C$180,Element_Stiffness!T211,IF(4=Element_Stiffness!$E$180,Element_Stiffness!Z211,0)),0)),0)+IF(Element_Stiffness!$C$216,IF(Element_Stiffness!$C$215=5,IF(4=Element_Stiffness!$C$215,Element_Stiffness!T240,IF(4=Element_Stiffness!$E$215,Element_Stiffness!Z240,0)),IF(Element_Stiffness!$E$215=5,IF(4=Element_Stiffness!$C$215,Element_Stiffness!T246,IF(4=Element_Stiffness!$E$215,Element_Stiffness!Z246,0)),0)),0)</f>
        <v/>
      </c>
      <c r="AF39" s="21">
        <f>IF(Element_Stiffness!$C$6,IF(Element_Stiffness!$C$5=5,IF(4=Element_Stiffness!$C$5,Element_Stiffness!U30,IF(4=Element_Stiffness!$E$5,Element_Stiffness!AA30,0)),IF(Element_Stiffness!$E$5=5,IF(4=Element_Stiffness!$C$5,Element_Stiffness!U36,IF(4=Element_Stiffness!$E$5,Element_Stiffness!AA36,0)),0)),0)+IF(Element_Stiffness!$C$41,IF(Element_Stiffness!$C$40=5,IF(4=Element_Stiffness!$C$40,Element_Stiffness!U65,IF(4=Element_Stiffness!$E$40,Element_Stiffness!AA65,0)),IF(Element_Stiffness!$E$40=5,IF(4=Element_Stiffness!$C$40,Element_Stiffness!U71,IF(4=Element_Stiffness!$E$40,Element_Stiffness!AA71,0)),0)),0)+IF(Element_Stiffness!$C$76,IF(Element_Stiffness!$C$75=5,IF(4=Element_Stiffness!$C$75,Element_Stiffness!U100,IF(4=Element_Stiffness!$E$75,Element_Stiffness!AA100,0)),IF(Element_Stiffness!$E$75=5,IF(4=Element_Stiffness!$C$75,Element_Stiffness!U106,IF(4=Element_Stiffness!$E$75,Element_Stiffness!AA106,0)),0)),0)+IF(Element_Stiffness!$C$111,IF(Element_Stiffness!$C$110=5,IF(4=Element_Stiffness!$C$110,Element_Stiffness!U135,IF(4=Element_Stiffness!$E$110,Element_Stiffness!AA135,0)),IF(Element_Stiffness!$E$110=5,IF(4=Element_Stiffness!$C$110,Element_Stiffness!U141,IF(4=Element_Stiffness!$E$110,Element_Stiffness!AA141,0)),0)),0)+IF(Element_Stiffness!$C$146,IF(Element_Stiffness!$C$145=5,IF(4=Element_Stiffness!$C$145,Element_Stiffness!U170,IF(4=Element_Stiffness!$E$145,Element_Stiffness!AA170,0)),IF(Element_Stiffness!$E$145=5,IF(4=Element_Stiffness!$C$145,Element_Stiffness!U176,IF(4=Element_Stiffness!$E$145,Element_Stiffness!AA176,0)),0)),0)+IF(Element_Stiffness!$C$181,IF(Element_Stiffness!$C$180=5,IF(4=Element_Stiffness!$C$180,Element_Stiffness!U205,IF(4=Element_Stiffness!$E$180,Element_Stiffness!AA205,0)),IF(Element_Stiffness!$E$180=5,IF(4=Element_Stiffness!$C$180,Element_Stiffness!U211,IF(4=Element_Stiffness!$E$180,Element_Stiffness!AA211,0)),0)),0)+IF(Element_Stiffness!$C$216,IF(Element_Stiffness!$C$215=5,IF(4=Element_Stiffness!$C$215,Element_Stiffness!U240,IF(4=Element_Stiffness!$E$215,Element_Stiffness!AA240,0)),IF(Element_Stiffness!$E$215=5,IF(4=Element_Stiffness!$C$215,Element_Stiffness!U246,IF(4=Element_Stiffness!$E$215,Element_Stiffness!AA246,0)),0)),0)</f>
        <v/>
      </c>
      <c r="AG39" s="21">
        <f>IF(Element_Stiffness!$C$6,IF(Element_Stiffness!$C$5=5,IF(5=Element_Stiffness!$C$5,Element_Stiffness!P30,IF(5=Element_Stiffness!$E$5,Element_Stiffness!V30,0)),IF(Element_Stiffness!$E$5=5,IF(5=Element_Stiffness!$C$5,Element_Stiffness!P36,IF(5=Element_Stiffness!$E$5,Element_Stiffness!V36,0)),0)),0)+IF(Element_Stiffness!$C$41,IF(Element_Stiffness!$C$40=5,IF(5=Element_Stiffness!$C$40,Element_Stiffness!P65,IF(5=Element_Stiffness!$E$40,Element_Stiffness!V65,0)),IF(Element_Stiffness!$E$40=5,IF(5=Element_Stiffness!$C$40,Element_Stiffness!P71,IF(5=Element_Stiffness!$E$40,Element_Stiffness!V71,0)),0)),0)+IF(Element_Stiffness!$C$76,IF(Element_Stiffness!$C$75=5,IF(5=Element_Stiffness!$C$75,Element_Stiffness!P100,IF(5=Element_Stiffness!$E$75,Element_Stiffness!V100,0)),IF(Element_Stiffness!$E$75=5,IF(5=Element_Stiffness!$C$75,Element_Stiffness!P106,IF(5=Element_Stiffness!$E$75,Element_Stiffness!V106,0)),0)),0)+IF(Element_Stiffness!$C$111,IF(Element_Stiffness!$C$110=5,IF(5=Element_Stiffness!$C$110,Element_Stiffness!P135,IF(5=Element_Stiffness!$E$110,Element_Stiffness!V135,0)),IF(Element_Stiffness!$E$110=5,IF(5=Element_Stiffness!$C$110,Element_Stiffness!P141,IF(5=Element_Stiffness!$E$110,Element_Stiffness!V141,0)),0)),0)+IF(Element_Stiffness!$C$146,IF(Element_Stiffness!$C$145=5,IF(5=Element_Stiffness!$C$145,Element_Stiffness!P170,IF(5=Element_Stiffness!$E$145,Element_Stiffness!V170,0)),IF(Element_Stiffness!$E$145=5,IF(5=Element_Stiffness!$C$145,Element_Stiffness!P176,IF(5=Element_Stiffness!$E$145,Element_Stiffness!V176,0)),0)),0)+IF(Element_Stiffness!$C$181,IF(Element_Stiffness!$C$180=5,IF(5=Element_Stiffness!$C$180,Element_Stiffness!P205,IF(5=Element_Stiffness!$E$180,Element_Stiffness!V205,0)),IF(Element_Stiffness!$E$180=5,IF(5=Element_Stiffness!$C$180,Element_Stiffness!P211,IF(5=Element_Stiffness!$E$180,Element_Stiffness!V211,0)),0)),0)+IF(Element_Stiffness!$C$216,IF(Element_Stiffness!$C$215=5,IF(5=Element_Stiffness!$C$215,Element_Stiffness!P240,IF(5=Element_Stiffness!$E$215,Element_Stiffness!V240,0)),IF(Element_Stiffness!$E$215=5,IF(5=Element_Stiffness!$C$215,Element_Stiffness!P246,IF(5=Element_Stiffness!$E$215,Element_Stiffness!V246,0)),0)),0)</f>
        <v/>
      </c>
      <c r="AH39" s="21">
        <f>IF(Element_Stiffness!$C$6,IF(Element_Stiffness!$C$5=5,IF(5=Element_Stiffness!$C$5,Element_Stiffness!Q30,IF(5=Element_Stiffness!$E$5,Element_Stiffness!W30,0)),IF(Element_Stiffness!$E$5=5,IF(5=Element_Stiffness!$C$5,Element_Stiffness!Q36,IF(5=Element_Stiffness!$E$5,Element_Stiffness!W36,0)),0)),0)+IF(Element_Stiffness!$C$41,IF(Element_Stiffness!$C$40=5,IF(5=Element_Stiffness!$C$40,Element_Stiffness!Q65,IF(5=Element_Stiffness!$E$40,Element_Stiffness!W65,0)),IF(Element_Stiffness!$E$40=5,IF(5=Element_Stiffness!$C$40,Element_Stiffness!Q71,IF(5=Element_Stiffness!$E$40,Element_Stiffness!W71,0)),0)),0)+IF(Element_Stiffness!$C$76,IF(Element_Stiffness!$C$75=5,IF(5=Element_Stiffness!$C$75,Element_Stiffness!Q100,IF(5=Element_Stiffness!$E$75,Element_Stiffness!W100,0)),IF(Element_Stiffness!$E$75=5,IF(5=Element_Stiffness!$C$75,Element_Stiffness!Q106,IF(5=Element_Stiffness!$E$75,Element_Stiffness!W106,0)),0)),0)+IF(Element_Stiffness!$C$111,IF(Element_Stiffness!$C$110=5,IF(5=Element_Stiffness!$C$110,Element_Stiffness!Q135,IF(5=Element_Stiffness!$E$110,Element_Stiffness!W135,0)),IF(Element_Stiffness!$E$110=5,IF(5=Element_Stiffness!$C$110,Element_Stiffness!Q141,IF(5=Element_Stiffness!$E$110,Element_Stiffness!W141,0)),0)),0)+IF(Element_Stiffness!$C$146,IF(Element_Stiffness!$C$145=5,IF(5=Element_Stiffness!$C$145,Element_Stiffness!Q170,IF(5=Element_Stiffness!$E$145,Element_Stiffness!W170,0)),IF(Element_Stiffness!$E$145=5,IF(5=Element_Stiffness!$C$145,Element_Stiffness!Q176,IF(5=Element_Stiffness!$E$145,Element_Stiffness!W176,0)),0)),0)+IF(Element_Stiffness!$C$181,IF(Element_Stiffness!$C$180=5,IF(5=Element_Stiffness!$C$180,Element_Stiffness!Q205,IF(5=Element_Stiffness!$E$180,Element_Stiffness!W205,0)),IF(Element_Stiffness!$E$180=5,IF(5=Element_Stiffness!$C$180,Element_Stiffness!Q211,IF(5=Element_Stiffness!$E$180,Element_Stiffness!W211,0)),0)),0)+IF(Element_Stiffness!$C$216,IF(Element_Stiffness!$C$215=5,IF(5=Element_Stiffness!$C$215,Element_Stiffness!Q240,IF(5=Element_Stiffness!$E$215,Element_Stiffness!W240,0)),IF(Element_Stiffness!$E$215=5,IF(5=Element_Stiffness!$C$215,Element_Stiffness!Q246,IF(5=Element_Stiffness!$E$215,Element_Stiffness!W246,0)),0)),0)</f>
        <v/>
      </c>
      <c r="AI39" s="21">
        <f>IF(Element_Stiffness!$C$6,IF(Element_Stiffness!$C$5=5,IF(5=Element_Stiffness!$C$5,Element_Stiffness!R30,IF(5=Element_Stiffness!$E$5,Element_Stiffness!X30,0)),IF(Element_Stiffness!$E$5=5,IF(5=Element_Stiffness!$C$5,Element_Stiffness!R36,IF(5=Element_Stiffness!$E$5,Element_Stiffness!X36,0)),0)),0)+IF(Element_Stiffness!$C$41,IF(Element_Stiffness!$C$40=5,IF(5=Element_Stiffness!$C$40,Element_Stiffness!R65,IF(5=Element_Stiffness!$E$40,Element_Stiffness!X65,0)),IF(Element_Stiffness!$E$40=5,IF(5=Element_Stiffness!$C$40,Element_Stiffness!R71,IF(5=Element_Stiffness!$E$40,Element_Stiffness!X71,0)),0)),0)+IF(Element_Stiffness!$C$76,IF(Element_Stiffness!$C$75=5,IF(5=Element_Stiffness!$C$75,Element_Stiffness!R100,IF(5=Element_Stiffness!$E$75,Element_Stiffness!X100,0)),IF(Element_Stiffness!$E$75=5,IF(5=Element_Stiffness!$C$75,Element_Stiffness!R106,IF(5=Element_Stiffness!$E$75,Element_Stiffness!X106,0)),0)),0)+IF(Element_Stiffness!$C$111,IF(Element_Stiffness!$C$110=5,IF(5=Element_Stiffness!$C$110,Element_Stiffness!R135,IF(5=Element_Stiffness!$E$110,Element_Stiffness!X135,0)),IF(Element_Stiffness!$E$110=5,IF(5=Element_Stiffness!$C$110,Element_Stiffness!R141,IF(5=Element_Stiffness!$E$110,Element_Stiffness!X141,0)),0)),0)+IF(Element_Stiffness!$C$146,IF(Element_Stiffness!$C$145=5,IF(5=Element_Stiffness!$C$145,Element_Stiffness!R170,IF(5=Element_Stiffness!$E$145,Element_Stiffness!X170,0)),IF(Element_Stiffness!$E$145=5,IF(5=Element_Stiffness!$C$145,Element_Stiffness!R176,IF(5=Element_Stiffness!$E$145,Element_Stiffness!X176,0)),0)),0)+IF(Element_Stiffness!$C$181,IF(Element_Stiffness!$C$180=5,IF(5=Element_Stiffness!$C$180,Element_Stiffness!R205,IF(5=Element_Stiffness!$E$180,Element_Stiffness!X205,0)),IF(Element_Stiffness!$E$180=5,IF(5=Element_Stiffness!$C$180,Element_Stiffness!R211,IF(5=Element_Stiffness!$E$180,Element_Stiffness!X211,0)),0)),0)+IF(Element_Stiffness!$C$216,IF(Element_Stiffness!$C$215=5,IF(5=Element_Stiffness!$C$215,Element_Stiffness!R240,IF(5=Element_Stiffness!$E$215,Element_Stiffness!X240,0)),IF(Element_Stiffness!$E$215=5,IF(5=Element_Stiffness!$C$215,Element_Stiffness!R246,IF(5=Element_Stiffness!$E$215,Element_Stiffness!X246,0)),0)),0)</f>
        <v/>
      </c>
      <c r="AJ39" s="21">
        <f>IF(Element_Stiffness!$C$6,IF(Element_Stiffness!$C$5=5,IF(5=Element_Stiffness!$C$5,Element_Stiffness!S30,IF(5=Element_Stiffness!$E$5,Element_Stiffness!Y30,0)),IF(Element_Stiffness!$E$5=5,IF(5=Element_Stiffness!$C$5,Element_Stiffness!S36,IF(5=Element_Stiffness!$E$5,Element_Stiffness!Y36,0)),0)),0)+IF(Element_Stiffness!$C$41,IF(Element_Stiffness!$C$40=5,IF(5=Element_Stiffness!$C$40,Element_Stiffness!S65,IF(5=Element_Stiffness!$E$40,Element_Stiffness!Y65,0)),IF(Element_Stiffness!$E$40=5,IF(5=Element_Stiffness!$C$40,Element_Stiffness!S71,IF(5=Element_Stiffness!$E$40,Element_Stiffness!Y71,0)),0)),0)+IF(Element_Stiffness!$C$76,IF(Element_Stiffness!$C$75=5,IF(5=Element_Stiffness!$C$75,Element_Stiffness!S100,IF(5=Element_Stiffness!$E$75,Element_Stiffness!Y100,0)),IF(Element_Stiffness!$E$75=5,IF(5=Element_Stiffness!$C$75,Element_Stiffness!S106,IF(5=Element_Stiffness!$E$75,Element_Stiffness!Y106,0)),0)),0)+IF(Element_Stiffness!$C$111,IF(Element_Stiffness!$C$110=5,IF(5=Element_Stiffness!$C$110,Element_Stiffness!S135,IF(5=Element_Stiffness!$E$110,Element_Stiffness!Y135,0)),IF(Element_Stiffness!$E$110=5,IF(5=Element_Stiffness!$C$110,Element_Stiffness!S141,IF(5=Element_Stiffness!$E$110,Element_Stiffness!Y141,0)),0)),0)+IF(Element_Stiffness!$C$146,IF(Element_Stiffness!$C$145=5,IF(5=Element_Stiffness!$C$145,Element_Stiffness!S170,IF(5=Element_Stiffness!$E$145,Element_Stiffness!Y170,0)),IF(Element_Stiffness!$E$145=5,IF(5=Element_Stiffness!$C$145,Element_Stiffness!S176,IF(5=Element_Stiffness!$E$145,Element_Stiffness!Y176,0)),0)),0)+IF(Element_Stiffness!$C$181,IF(Element_Stiffness!$C$180=5,IF(5=Element_Stiffness!$C$180,Element_Stiffness!S205,IF(5=Element_Stiffness!$E$180,Element_Stiffness!Y205,0)),IF(Element_Stiffness!$E$180=5,IF(5=Element_Stiffness!$C$180,Element_Stiffness!S211,IF(5=Element_Stiffness!$E$180,Element_Stiffness!Y211,0)),0)),0)+IF(Element_Stiffness!$C$216,IF(Element_Stiffness!$C$215=5,IF(5=Element_Stiffness!$C$215,Element_Stiffness!S240,IF(5=Element_Stiffness!$E$215,Element_Stiffness!Y240,0)),IF(Element_Stiffness!$E$215=5,IF(5=Element_Stiffness!$C$215,Element_Stiffness!S246,IF(5=Element_Stiffness!$E$215,Element_Stiffness!Y246,0)),0)),0)</f>
        <v/>
      </c>
      <c r="AK39" s="21">
        <f>IF(Element_Stiffness!$C$6,IF(Element_Stiffness!$C$5=5,IF(5=Element_Stiffness!$C$5,Element_Stiffness!T30,IF(5=Element_Stiffness!$E$5,Element_Stiffness!Z30,0)),IF(Element_Stiffness!$E$5=5,IF(5=Element_Stiffness!$C$5,Element_Stiffness!T36,IF(5=Element_Stiffness!$E$5,Element_Stiffness!Z36,0)),0)),0)+IF(Element_Stiffness!$C$41,IF(Element_Stiffness!$C$40=5,IF(5=Element_Stiffness!$C$40,Element_Stiffness!T65,IF(5=Element_Stiffness!$E$40,Element_Stiffness!Z65,0)),IF(Element_Stiffness!$E$40=5,IF(5=Element_Stiffness!$C$40,Element_Stiffness!T71,IF(5=Element_Stiffness!$E$40,Element_Stiffness!Z71,0)),0)),0)+IF(Element_Stiffness!$C$76,IF(Element_Stiffness!$C$75=5,IF(5=Element_Stiffness!$C$75,Element_Stiffness!T100,IF(5=Element_Stiffness!$E$75,Element_Stiffness!Z100,0)),IF(Element_Stiffness!$E$75=5,IF(5=Element_Stiffness!$C$75,Element_Stiffness!T106,IF(5=Element_Stiffness!$E$75,Element_Stiffness!Z106,0)),0)),0)+IF(Element_Stiffness!$C$111,IF(Element_Stiffness!$C$110=5,IF(5=Element_Stiffness!$C$110,Element_Stiffness!T135,IF(5=Element_Stiffness!$E$110,Element_Stiffness!Z135,0)),IF(Element_Stiffness!$E$110=5,IF(5=Element_Stiffness!$C$110,Element_Stiffness!T141,IF(5=Element_Stiffness!$E$110,Element_Stiffness!Z141,0)),0)),0)+IF(Element_Stiffness!$C$146,IF(Element_Stiffness!$C$145=5,IF(5=Element_Stiffness!$C$145,Element_Stiffness!T170,IF(5=Element_Stiffness!$E$145,Element_Stiffness!Z170,0)),IF(Element_Stiffness!$E$145=5,IF(5=Element_Stiffness!$C$145,Element_Stiffness!T176,IF(5=Element_Stiffness!$E$145,Element_Stiffness!Z176,0)),0)),0)+IF(Element_Stiffness!$C$181,IF(Element_Stiffness!$C$180=5,IF(5=Element_Stiffness!$C$180,Element_Stiffness!T205,IF(5=Element_Stiffness!$E$180,Element_Stiffness!Z205,0)),IF(Element_Stiffness!$E$180=5,IF(5=Element_Stiffness!$C$180,Element_Stiffness!T211,IF(5=Element_Stiffness!$E$180,Element_Stiffness!Z211,0)),0)),0)+IF(Element_Stiffness!$C$216,IF(Element_Stiffness!$C$215=5,IF(5=Element_Stiffness!$C$215,Element_Stiffness!T240,IF(5=Element_Stiffness!$E$215,Element_Stiffness!Z240,0)),IF(Element_Stiffness!$E$215=5,IF(5=Element_Stiffness!$C$215,Element_Stiffness!T246,IF(5=Element_Stiffness!$E$215,Element_Stiffness!Z246,0)),0)),0)+IF(Inputs!G45=TRUE,1E15,IF(ISNUMBER(Inputs!G45),Inputs!G45,0))</f>
        <v/>
      </c>
      <c r="AL39" s="21">
        <f>IF(Element_Stiffness!$C$6,IF(Element_Stiffness!$C$5=5,IF(5=Element_Stiffness!$C$5,Element_Stiffness!U30,IF(5=Element_Stiffness!$E$5,Element_Stiffness!AA30,0)),IF(Element_Stiffness!$E$5=5,IF(5=Element_Stiffness!$C$5,Element_Stiffness!U36,IF(5=Element_Stiffness!$E$5,Element_Stiffness!AA36,0)),0)),0)+IF(Element_Stiffness!$C$41,IF(Element_Stiffness!$C$40=5,IF(5=Element_Stiffness!$C$40,Element_Stiffness!U65,IF(5=Element_Stiffness!$E$40,Element_Stiffness!AA65,0)),IF(Element_Stiffness!$E$40=5,IF(5=Element_Stiffness!$C$40,Element_Stiffness!U71,IF(5=Element_Stiffness!$E$40,Element_Stiffness!AA71,0)),0)),0)+IF(Element_Stiffness!$C$76,IF(Element_Stiffness!$C$75=5,IF(5=Element_Stiffness!$C$75,Element_Stiffness!U100,IF(5=Element_Stiffness!$E$75,Element_Stiffness!AA100,0)),IF(Element_Stiffness!$E$75=5,IF(5=Element_Stiffness!$C$75,Element_Stiffness!U106,IF(5=Element_Stiffness!$E$75,Element_Stiffness!AA106,0)),0)),0)+IF(Element_Stiffness!$C$111,IF(Element_Stiffness!$C$110=5,IF(5=Element_Stiffness!$C$110,Element_Stiffness!U135,IF(5=Element_Stiffness!$E$110,Element_Stiffness!AA135,0)),IF(Element_Stiffness!$E$110=5,IF(5=Element_Stiffness!$C$110,Element_Stiffness!U141,IF(5=Element_Stiffness!$E$110,Element_Stiffness!AA141,0)),0)),0)+IF(Element_Stiffness!$C$146,IF(Element_Stiffness!$C$145=5,IF(5=Element_Stiffness!$C$145,Element_Stiffness!U170,IF(5=Element_Stiffness!$E$145,Element_Stiffness!AA170,0)),IF(Element_Stiffness!$E$145=5,IF(5=Element_Stiffness!$C$145,Element_Stiffness!U176,IF(5=Element_Stiffness!$E$145,Element_Stiffness!AA176,0)),0)),0)+IF(Element_Stiffness!$C$181,IF(Element_Stiffness!$C$180=5,IF(5=Element_Stiffness!$C$180,Element_Stiffness!U205,IF(5=Element_Stiffness!$E$180,Element_Stiffness!AA205,0)),IF(Element_Stiffness!$E$180=5,IF(5=Element_Stiffness!$C$180,Element_Stiffness!U211,IF(5=Element_Stiffness!$E$180,Element_Stiffness!AA211,0)),0)),0)+IF(Element_Stiffness!$C$216,IF(Element_Stiffness!$C$215=5,IF(5=Element_Stiffness!$C$215,Element_Stiffness!U240,IF(5=Element_Stiffness!$E$215,Element_Stiffness!AA240,0)),IF(Element_Stiffness!$E$215=5,IF(5=Element_Stiffness!$C$215,Element_Stiffness!U246,IF(5=Element_Stiffness!$E$215,Element_Stiffness!AA246,0)),0)),0)</f>
        <v/>
      </c>
      <c r="AM39" s="21">
        <f>IF(Element_Stiffness!$C$6,IF(Element_Stiffness!$C$5=5,IF(6=Element_Stiffness!$C$5,Element_Stiffness!P30,IF(6=Element_Stiffness!$E$5,Element_Stiffness!V30,0)),IF(Element_Stiffness!$E$5=5,IF(6=Element_Stiffness!$C$5,Element_Stiffness!P36,IF(6=Element_Stiffness!$E$5,Element_Stiffness!V36,0)),0)),0)+IF(Element_Stiffness!$C$41,IF(Element_Stiffness!$C$40=5,IF(6=Element_Stiffness!$C$40,Element_Stiffness!P65,IF(6=Element_Stiffness!$E$40,Element_Stiffness!V65,0)),IF(Element_Stiffness!$E$40=5,IF(6=Element_Stiffness!$C$40,Element_Stiffness!P71,IF(6=Element_Stiffness!$E$40,Element_Stiffness!V71,0)),0)),0)+IF(Element_Stiffness!$C$76,IF(Element_Stiffness!$C$75=5,IF(6=Element_Stiffness!$C$75,Element_Stiffness!P100,IF(6=Element_Stiffness!$E$75,Element_Stiffness!V100,0)),IF(Element_Stiffness!$E$75=5,IF(6=Element_Stiffness!$C$75,Element_Stiffness!P106,IF(6=Element_Stiffness!$E$75,Element_Stiffness!V106,0)),0)),0)+IF(Element_Stiffness!$C$111,IF(Element_Stiffness!$C$110=5,IF(6=Element_Stiffness!$C$110,Element_Stiffness!P135,IF(6=Element_Stiffness!$E$110,Element_Stiffness!V135,0)),IF(Element_Stiffness!$E$110=5,IF(6=Element_Stiffness!$C$110,Element_Stiffness!P141,IF(6=Element_Stiffness!$E$110,Element_Stiffness!V141,0)),0)),0)+IF(Element_Stiffness!$C$146,IF(Element_Stiffness!$C$145=5,IF(6=Element_Stiffness!$C$145,Element_Stiffness!P170,IF(6=Element_Stiffness!$E$145,Element_Stiffness!V170,0)),IF(Element_Stiffness!$E$145=5,IF(6=Element_Stiffness!$C$145,Element_Stiffness!P176,IF(6=Element_Stiffness!$E$145,Element_Stiffness!V176,0)),0)),0)+IF(Element_Stiffness!$C$181,IF(Element_Stiffness!$C$180=5,IF(6=Element_Stiffness!$C$180,Element_Stiffness!P205,IF(6=Element_Stiffness!$E$180,Element_Stiffness!V205,0)),IF(Element_Stiffness!$E$180=5,IF(6=Element_Stiffness!$C$180,Element_Stiffness!P211,IF(6=Element_Stiffness!$E$180,Element_Stiffness!V211,0)),0)),0)+IF(Element_Stiffness!$C$216,IF(Element_Stiffness!$C$215=5,IF(6=Element_Stiffness!$C$215,Element_Stiffness!P240,IF(6=Element_Stiffness!$E$215,Element_Stiffness!V240,0)),IF(Element_Stiffness!$E$215=5,IF(6=Element_Stiffness!$C$215,Element_Stiffness!P246,IF(6=Element_Stiffness!$E$215,Element_Stiffness!V246,0)),0)),0)</f>
        <v/>
      </c>
      <c r="AN39" s="21">
        <f>IF(Element_Stiffness!$C$6,IF(Element_Stiffness!$C$5=5,IF(6=Element_Stiffness!$C$5,Element_Stiffness!Q30,IF(6=Element_Stiffness!$E$5,Element_Stiffness!W30,0)),IF(Element_Stiffness!$E$5=5,IF(6=Element_Stiffness!$C$5,Element_Stiffness!Q36,IF(6=Element_Stiffness!$E$5,Element_Stiffness!W36,0)),0)),0)+IF(Element_Stiffness!$C$41,IF(Element_Stiffness!$C$40=5,IF(6=Element_Stiffness!$C$40,Element_Stiffness!Q65,IF(6=Element_Stiffness!$E$40,Element_Stiffness!W65,0)),IF(Element_Stiffness!$E$40=5,IF(6=Element_Stiffness!$C$40,Element_Stiffness!Q71,IF(6=Element_Stiffness!$E$40,Element_Stiffness!W71,0)),0)),0)+IF(Element_Stiffness!$C$76,IF(Element_Stiffness!$C$75=5,IF(6=Element_Stiffness!$C$75,Element_Stiffness!Q100,IF(6=Element_Stiffness!$E$75,Element_Stiffness!W100,0)),IF(Element_Stiffness!$E$75=5,IF(6=Element_Stiffness!$C$75,Element_Stiffness!Q106,IF(6=Element_Stiffness!$E$75,Element_Stiffness!W106,0)),0)),0)+IF(Element_Stiffness!$C$111,IF(Element_Stiffness!$C$110=5,IF(6=Element_Stiffness!$C$110,Element_Stiffness!Q135,IF(6=Element_Stiffness!$E$110,Element_Stiffness!W135,0)),IF(Element_Stiffness!$E$110=5,IF(6=Element_Stiffness!$C$110,Element_Stiffness!Q141,IF(6=Element_Stiffness!$E$110,Element_Stiffness!W141,0)),0)),0)+IF(Element_Stiffness!$C$146,IF(Element_Stiffness!$C$145=5,IF(6=Element_Stiffness!$C$145,Element_Stiffness!Q170,IF(6=Element_Stiffness!$E$145,Element_Stiffness!W170,0)),IF(Element_Stiffness!$E$145=5,IF(6=Element_Stiffness!$C$145,Element_Stiffness!Q176,IF(6=Element_Stiffness!$E$145,Element_Stiffness!W176,0)),0)),0)+IF(Element_Stiffness!$C$181,IF(Element_Stiffness!$C$180=5,IF(6=Element_Stiffness!$C$180,Element_Stiffness!Q205,IF(6=Element_Stiffness!$E$180,Element_Stiffness!W205,0)),IF(Element_Stiffness!$E$180=5,IF(6=Element_Stiffness!$C$180,Element_Stiffness!Q211,IF(6=Element_Stiffness!$E$180,Element_Stiffness!W211,0)),0)),0)+IF(Element_Stiffness!$C$216,IF(Element_Stiffness!$C$215=5,IF(6=Element_Stiffness!$C$215,Element_Stiffness!Q240,IF(6=Element_Stiffness!$E$215,Element_Stiffness!W240,0)),IF(Element_Stiffness!$E$215=5,IF(6=Element_Stiffness!$C$215,Element_Stiffness!Q246,IF(6=Element_Stiffness!$E$215,Element_Stiffness!W246,0)),0)),0)</f>
        <v/>
      </c>
      <c r="AO39" s="21">
        <f>IF(Element_Stiffness!$C$6,IF(Element_Stiffness!$C$5=5,IF(6=Element_Stiffness!$C$5,Element_Stiffness!R30,IF(6=Element_Stiffness!$E$5,Element_Stiffness!X30,0)),IF(Element_Stiffness!$E$5=5,IF(6=Element_Stiffness!$C$5,Element_Stiffness!R36,IF(6=Element_Stiffness!$E$5,Element_Stiffness!X36,0)),0)),0)+IF(Element_Stiffness!$C$41,IF(Element_Stiffness!$C$40=5,IF(6=Element_Stiffness!$C$40,Element_Stiffness!R65,IF(6=Element_Stiffness!$E$40,Element_Stiffness!X65,0)),IF(Element_Stiffness!$E$40=5,IF(6=Element_Stiffness!$C$40,Element_Stiffness!R71,IF(6=Element_Stiffness!$E$40,Element_Stiffness!X71,0)),0)),0)+IF(Element_Stiffness!$C$76,IF(Element_Stiffness!$C$75=5,IF(6=Element_Stiffness!$C$75,Element_Stiffness!R100,IF(6=Element_Stiffness!$E$75,Element_Stiffness!X100,0)),IF(Element_Stiffness!$E$75=5,IF(6=Element_Stiffness!$C$75,Element_Stiffness!R106,IF(6=Element_Stiffness!$E$75,Element_Stiffness!X106,0)),0)),0)+IF(Element_Stiffness!$C$111,IF(Element_Stiffness!$C$110=5,IF(6=Element_Stiffness!$C$110,Element_Stiffness!R135,IF(6=Element_Stiffness!$E$110,Element_Stiffness!X135,0)),IF(Element_Stiffness!$E$110=5,IF(6=Element_Stiffness!$C$110,Element_Stiffness!R141,IF(6=Element_Stiffness!$E$110,Element_Stiffness!X141,0)),0)),0)+IF(Element_Stiffness!$C$146,IF(Element_Stiffness!$C$145=5,IF(6=Element_Stiffness!$C$145,Element_Stiffness!R170,IF(6=Element_Stiffness!$E$145,Element_Stiffness!X170,0)),IF(Element_Stiffness!$E$145=5,IF(6=Element_Stiffness!$C$145,Element_Stiffness!R176,IF(6=Element_Stiffness!$E$145,Element_Stiffness!X176,0)),0)),0)+IF(Element_Stiffness!$C$181,IF(Element_Stiffness!$C$180=5,IF(6=Element_Stiffness!$C$180,Element_Stiffness!R205,IF(6=Element_Stiffness!$E$180,Element_Stiffness!X205,0)),IF(Element_Stiffness!$E$180=5,IF(6=Element_Stiffness!$C$180,Element_Stiffness!R211,IF(6=Element_Stiffness!$E$180,Element_Stiffness!X211,0)),0)),0)+IF(Element_Stiffness!$C$216,IF(Element_Stiffness!$C$215=5,IF(6=Element_Stiffness!$C$215,Element_Stiffness!R240,IF(6=Element_Stiffness!$E$215,Element_Stiffness!X240,0)),IF(Element_Stiffness!$E$215=5,IF(6=Element_Stiffness!$C$215,Element_Stiffness!R246,IF(6=Element_Stiffness!$E$215,Element_Stiffness!X246,0)),0)),0)</f>
        <v/>
      </c>
      <c r="AP39" s="21">
        <f>IF(Element_Stiffness!$C$6,IF(Element_Stiffness!$C$5=5,IF(6=Element_Stiffness!$C$5,Element_Stiffness!S30,IF(6=Element_Stiffness!$E$5,Element_Stiffness!Y30,0)),IF(Element_Stiffness!$E$5=5,IF(6=Element_Stiffness!$C$5,Element_Stiffness!S36,IF(6=Element_Stiffness!$E$5,Element_Stiffness!Y36,0)),0)),0)+IF(Element_Stiffness!$C$41,IF(Element_Stiffness!$C$40=5,IF(6=Element_Stiffness!$C$40,Element_Stiffness!S65,IF(6=Element_Stiffness!$E$40,Element_Stiffness!Y65,0)),IF(Element_Stiffness!$E$40=5,IF(6=Element_Stiffness!$C$40,Element_Stiffness!S71,IF(6=Element_Stiffness!$E$40,Element_Stiffness!Y71,0)),0)),0)+IF(Element_Stiffness!$C$76,IF(Element_Stiffness!$C$75=5,IF(6=Element_Stiffness!$C$75,Element_Stiffness!S100,IF(6=Element_Stiffness!$E$75,Element_Stiffness!Y100,0)),IF(Element_Stiffness!$E$75=5,IF(6=Element_Stiffness!$C$75,Element_Stiffness!S106,IF(6=Element_Stiffness!$E$75,Element_Stiffness!Y106,0)),0)),0)+IF(Element_Stiffness!$C$111,IF(Element_Stiffness!$C$110=5,IF(6=Element_Stiffness!$C$110,Element_Stiffness!S135,IF(6=Element_Stiffness!$E$110,Element_Stiffness!Y135,0)),IF(Element_Stiffness!$E$110=5,IF(6=Element_Stiffness!$C$110,Element_Stiffness!S141,IF(6=Element_Stiffness!$E$110,Element_Stiffness!Y141,0)),0)),0)+IF(Element_Stiffness!$C$146,IF(Element_Stiffness!$C$145=5,IF(6=Element_Stiffness!$C$145,Element_Stiffness!S170,IF(6=Element_Stiffness!$E$145,Element_Stiffness!Y170,0)),IF(Element_Stiffness!$E$145=5,IF(6=Element_Stiffness!$C$145,Element_Stiffness!S176,IF(6=Element_Stiffness!$E$145,Element_Stiffness!Y176,0)),0)),0)+IF(Element_Stiffness!$C$181,IF(Element_Stiffness!$C$180=5,IF(6=Element_Stiffness!$C$180,Element_Stiffness!S205,IF(6=Element_Stiffness!$E$180,Element_Stiffness!Y205,0)),IF(Element_Stiffness!$E$180=5,IF(6=Element_Stiffness!$C$180,Element_Stiffness!S211,IF(6=Element_Stiffness!$E$180,Element_Stiffness!Y211,0)),0)),0)+IF(Element_Stiffness!$C$216,IF(Element_Stiffness!$C$215=5,IF(6=Element_Stiffness!$C$215,Element_Stiffness!S240,IF(6=Element_Stiffness!$E$215,Element_Stiffness!Y240,0)),IF(Element_Stiffness!$E$215=5,IF(6=Element_Stiffness!$C$215,Element_Stiffness!S246,IF(6=Element_Stiffness!$E$215,Element_Stiffness!Y246,0)),0)),0)</f>
        <v/>
      </c>
      <c r="AQ39" s="21">
        <f>IF(Element_Stiffness!$C$6,IF(Element_Stiffness!$C$5=5,IF(6=Element_Stiffness!$C$5,Element_Stiffness!T30,IF(6=Element_Stiffness!$E$5,Element_Stiffness!Z30,0)),IF(Element_Stiffness!$E$5=5,IF(6=Element_Stiffness!$C$5,Element_Stiffness!T36,IF(6=Element_Stiffness!$E$5,Element_Stiffness!Z36,0)),0)),0)+IF(Element_Stiffness!$C$41,IF(Element_Stiffness!$C$40=5,IF(6=Element_Stiffness!$C$40,Element_Stiffness!T65,IF(6=Element_Stiffness!$E$40,Element_Stiffness!Z65,0)),IF(Element_Stiffness!$E$40=5,IF(6=Element_Stiffness!$C$40,Element_Stiffness!T71,IF(6=Element_Stiffness!$E$40,Element_Stiffness!Z71,0)),0)),0)+IF(Element_Stiffness!$C$76,IF(Element_Stiffness!$C$75=5,IF(6=Element_Stiffness!$C$75,Element_Stiffness!T100,IF(6=Element_Stiffness!$E$75,Element_Stiffness!Z100,0)),IF(Element_Stiffness!$E$75=5,IF(6=Element_Stiffness!$C$75,Element_Stiffness!T106,IF(6=Element_Stiffness!$E$75,Element_Stiffness!Z106,0)),0)),0)+IF(Element_Stiffness!$C$111,IF(Element_Stiffness!$C$110=5,IF(6=Element_Stiffness!$C$110,Element_Stiffness!T135,IF(6=Element_Stiffness!$E$110,Element_Stiffness!Z135,0)),IF(Element_Stiffness!$E$110=5,IF(6=Element_Stiffness!$C$110,Element_Stiffness!T141,IF(6=Element_Stiffness!$E$110,Element_Stiffness!Z141,0)),0)),0)+IF(Element_Stiffness!$C$146,IF(Element_Stiffness!$C$145=5,IF(6=Element_Stiffness!$C$145,Element_Stiffness!T170,IF(6=Element_Stiffness!$E$145,Element_Stiffness!Z170,0)),IF(Element_Stiffness!$E$145=5,IF(6=Element_Stiffness!$C$145,Element_Stiffness!T176,IF(6=Element_Stiffness!$E$145,Element_Stiffness!Z176,0)),0)),0)+IF(Element_Stiffness!$C$181,IF(Element_Stiffness!$C$180=5,IF(6=Element_Stiffness!$C$180,Element_Stiffness!T205,IF(6=Element_Stiffness!$E$180,Element_Stiffness!Z205,0)),IF(Element_Stiffness!$E$180=5,IF(6=Element_Stiffness!$C$180,Element_Stiffness!T211,IF(6=Element_Stiffness!$E$180,Element_Stiffness!Z211,0)),0)),0)+IF(Element_Stiffness!$C$216,IF(Element_Stiffness!$C$215=5,IF(6=Element_Stiffness!$C$215,Element_Stiffness!T240,IF(6=Element_Stiffness!$E$215,Element_Stiffness!Z240,0)),IF(Element_Stiffness!$E$215=5,IF(6=Element_Stiffness!$C$215,Element_Stiffness!T246,IF(6=Element_Stiffness!$E$215,Element_Stiffness!Z246,0)),0)),0)</f>
        <v/>
      </c>
      <c r="AR39" s="21">
        <f>IF(Element_Stiffness!$C$6,IF(Element_Stiffness!$C$5=5,IF(6=Element_Stiffness!$C$5,Element_Stiffness!U30,IF(6=Element_Stiffness!$E$5,Element_Stiffness!AA30,0)),IF(Element_Stiffness!$E$5=5,IF(6=Element_Stiffness!$C$5,Element_Stiffness!U36,IF(6=Element_Stiffness!$E$5,Element_Stiffness!AA36,0)),0)),0)+IF(Element_Stiffness!$C$41,IF(Element_Stiffness!$C$40=5,IF(6=Element_Stiffness!$C$40,Element_Stiffness!U65,IF(6=Element_Stiffness!$E$40,Element_Stiffness!AA65,0)),IF(Element_Stiffness!$E$40=5,IF(6=Element_Stiffness!$C$40,Element_Stiffness!U71,IF(6=Element_Stiffness!$E$40,Element_Stiffness!AA71,0)),0)),0)+IF(Element_Stiffness!$C$76,IF(Element_Stiffness!$C$75=5,IF(6=Element_Stiffness!$C$75,Element_Stiffness!U100,IF(6=Element_Stiffness!$E$75,Element_Stiffness!AA100,0)),IF(Element_Stiffness!$E$75=5,IF(6=Element_Stiffness!$C$75,Element_Stiffness!U106,IF(6=Element_Stiffness!$E$75,Element_Stiffness!AA106,0)),0)),0)+IF(Element_Stiffness!$C$111,IF(Element_Stiffness!$C$110=5,IF(6=Element_Stiffness!$C$110,Element_Stiffness!U135,IF(6=Element_Stiffness!$E$110,Element_Stiffness!AA135,0)),IF(Element_Stiffness!$E$110=5,IF(6=Element_Stiffness!$C$110,Element_Stiffness!U141,IF(6=Element_Stiffness!$E$110,Element_Stiffness!AA141,0)),0)),0)+IF(Element_Stiffness!$C$146,IF(Element_Stiffness!$C$145=5,IF(6=Element_Stiffness!$C$145,Element_Stiffness!U170,IF(6=Element_Stiffness!$E$145,Element_Stiffness!AA170,0)),IF(Element_Stiffness!$E$145=5,IF(6=Element_Stiffness!$C$145,Element_Stiffness!U176,IF(6=Element_Stiffness!$E$145,Element_Stiffness!AA176,0)),0)),0)+IF(Element_Stiffness!$C$181,IF(Element_Stiffness!$C$180=5,IF(6=Element_Stiffness!$C$180,Element_Stiffness!U205,IF(6=Element_Stiffness!$E$180,Element_Stiffness!AA205,0)),IF(Element_Stiffness!$E$180=5,IF(6=Element_Stiffness!$C$180,Element_Stiffness!U211,IF(6=Element_Stiffness!$E$180,Element_Stiffness!AA211,0)),0)),0)+IF(Element_Stiffness!$C$216,IF(Element_Stiffness!$C$215=5,IF(6=Element_Stiffness!$C$215,Element_Stiffness!U240,IF(6=Element_Stiffness!$E$215,Element_Stiffness!AA240,0)),IF(Element_Stiffness!$E$215=5,IF(6=Element_Stiffness!$C$215,Element_Stiffness!U246,IF(6=Element_Stiffness!$E$215,Element_Stiffness!AA246,0)),0)),0)</f>
        <v/>
      </c>
      <c r="AS39" s="21">
        <f>IF(Element_Stiffness!$C$6,IF(Element_Stiffness!$C$5=5,IF(7=Element_Stiffness!$C$5,Element_Stiffness!P30,IF(7=Element_Stiffness!$E$5,Element_Stiffness!V30,0)),IF(Element_Stiffness!$E$5=5,IF(7=Element_Stiffness!$C$5,Element_Stiffness!P36,IF(7=Element_Stiffness!$E$5,Element_Stiffness!V36,0)),0)),0)+IF(Element_Stiffness!$C$41,IF(Element_Stiffness!$C$40=5,IF(7=Element_Stiffness!$C$40,Element_Stiffness!P65,IF(7=Element_Stiffness!$E$40,Element_Stiffness!V65,0)),IF(Element_Stiffness!$E$40=5,IF(7=Element_Stiffness!$C$40,Element_Stiffness!P71,IF(7=Element_Stiffness!$E$40,Element_Stiffness!V71,0)),0)),0)+IF(Element_Stiffness!$C$76,IF(Element_Stiffness!$C$75=5,IF(7=Element_Stiffness!$C$75,Element_Stiffness!P100,IF(7=Element_Stiffness!$E$75,Element_Stiffness!V100,0)),IF(Element_Stiffness!$E$75=5,IF(7=Element_Stiffness!$C$75,Element_Stiffness!P106,IF(7=Element_Stiffness!$E$75,Element_Stiffness!V106,0)),0)),0)+IF(Element_Stiffness!$C$111,IF(Element_Stiffness!$C$110=5,IF(7=Element_Stiffness!$C$110,Element_Stiffness!P135,IF(7=Element_Stiffness!$E$110,Element_Stiffness!V135,0)),IF(Element_Stiffness!$E$110=5,IF(7=Element_Stiffness!$C$110,Element_Stiffness!P141,IF(7=Element_Stiffness!$E$110,Element_Stiffness!V141,0)),0)),0)+IF(Element_Stiffness!$C$146,IF(Element_Stiffness!$C$145=5,IF(7=Element_Stiffness!$C$145,Element_Stiffness!P170,IF(7=Element_Stiffness!$E$145,Element_Stiffness!V170,0)),IF(Element_Stiffness!$E$145=5,IF(7=Element_Stiffness!$C$145,Element_Stiffness!P176,IF(7=Element_Stiffness!$E$145,Element_Stiffness!V176,0)),0)),0)+IF(Element_Stiffness!$C$181,IF(Element_Stiffness!$C$180=5,IF(7=Element_Stiffness!$C$180,Element_Stiffness!P205,IF(7=Element_Stiffness!$E$180,Element_Stiffness!V205,0)),IF(Element_Stiffness!$E$180=5,IF(7=Element_Stiffness!$C$180,Element_Stiffness!P211,IF(7=Element_Stiffness!$E$180,Element_Stiffness!V211,0)),0)),0)+IF(Element_Stiffness!$C$216,IF(Element_Stiffness!$C$215=5,IF(7=Element_Stiffness!$C$215,Element_Stiffness!P240,IF(7=Element_Stiffness!$E$215,Element_Stiffness!V240,0)),IF(Element_Stiffness!$E$215=5,IF(7=Element_Stiffness!$C$215,Element_Stiffness!P246,IF(7=Element_Stiffness!$E$215,Element_Stiffness!V246,0)),0)),0)</f>
        <v/>
      </c>
      <c r="AT39" s="21">
        <f>IF(Element_Stiffness!$C$6,IF(Element_Stiffness!$C$5=5,IF(7=Element_Stiffness!$C$5,Element_Stiffness!Q30,IF(7=Element_Stiffness!$E$5,Element_Stiffness!W30,0)),IF(Element_Stiffness!$E$5=5,IF(7=Element_Stiffness!$C$5,Element_Stiffness!Q36,IF(7=Element_Stiffness!$E$5,Element_Stiffness!W36,0)),0)),0)+IF(Element_Stiffness!$C$41,IF(Element_Stiffness!$C$40=5,IF(7=Element_Stiffness!$C$40,Element_Stiffness!Q65,IF(7=Element_Stiffness!$E$40,Element_Stiffness!W65,0)),IF(Element_Stiffness!$E$40=5,IF(7=Element_Stiffness!$C$40,Element_Stiffness!Q71,IF(7=Element_Stiffness!$E$40,Element_Stiffness!W71,0)),0)),0)+IF(Element_Stiffness!$C$76,IF(Element_Stiffness!$C$75=5,IF(7=Element_Stiffness!$C$75,Element_Stiffness!Q100,IF(7=Element_Stiffness!$E$75,Element_Stiffness!W100,0)),IF(Element_Stiffness!$E$75=5,IF(7=Element_Stiffness!$C$75,Element_Stiffness!Q106,IF(7=Element_Stiffness!$E$75,Element_Stiffness!W106,0)),0)),0)+IF(Element_Stiffness!$C$111,IF(Element_Stiffness!$C$110=5,IF(7=Element_Stiffness!$C$110,Element_Stiffness!Q135,IF(7=Element_Stiffness!$E$110,Element_Stiffness!W135,0)),IF(Element_Stiffness!$E$110=5,IF(7=Element_Stiffness!$C$110,Element_Stiffness!Q141,IF(7=Element_Stiffness!$E$110,Element_Stiffness!W141,0)),0)),0)+IF(Element_Stiffness!$C$146,IF(Element_Stiffness!$C$145=5,IF(7=Element_Stiffness!$C$145,Element_Stiffness!Q170,IF(7=Element_Stiffness!$E$145,Element_Stiffness!W170,0)),IF(Element_Stiffness!$E$145=5,IF(7=Element_Stiffness!$C$145,Element_Stiffness!Q176,IF(7=Element_Stiffness!$E$145,Element_Stiffness!W176,0)),0)),0)+IF(Element_Stiffness!$C$181,IF(Element_Stiffness!$C$180=5,IF(7=Element_Stiffness!$C$180,Element_Stiffness!Q205,IF(7=Element_Stiffness!$E$180,Element_Stiffness!W205,0)),IF(Element_Stiffness!$E$180=5,IF(7=Element_Stiffness!$C$180,Element_Stiffness!Q211,IF(7=Element_Stiffness!$E$180,Element_Stiffness!W211,0)),0)),0)+IF(Element_Stiffness!$C$216,IF(Element_Stiffness!$C$215=5,IF(7=Element_Stiffness!$C$215,Element_Stiffness!Q240,IF(7=Element_Stiffness!$E$215,Element_Stiffness!W240,0)),IF(Element_Stiffness!$E$215=5,IF(7=Element_Stiffness!$C$215,Element_Stiffness!Q246,IF(7=Element_Stiffness!$E$215,Element_Stiffness!W246,0)),0)),0)</f>
        <v/>
      </c>
      <c r="AU39" s="21">
        <f>IF(Element_Stiffness!$C$6,IF(Element_Stiffness!$C$5=5,IF(7=Element_Stiffness!$C$5,Element_Stiffness!R30,IF(7=Element_Stiffness!$E$5,Element_Stiffness!X30,0)),IF(Element_Stiffness!$E$5=5,IF(7=Element_Stiffness!$C$5,Element_Stiffness!R36,IF(7=Element_Stiffness!$E$5,Element_Stiffness!X36,0)),0)),0)+IF(Element_Stiffness!$C$41,IF(Element_Stiffness!$C$40=5,IF(7=Element_Stiffness!$C$40,Element_Stiffness!R65,IF(7=Element_Stiffness!$E$40,Element_Stiffness!X65,0)),IF(Element_Stiffness!$E$40=5,IF(7=Element_Stiffness!$C$40,Element_Stiffness!R71,IF(7=Element_Stiffness!$E$40,Element_Stiffness!X71,0)),0)),0)+IF(Element_Stiffness!$C$76,IF(Element_Stiffness!$C$75=5,IF(7=Element_Stiffness!$C$75,Element_Stiffness!R100,IF(7=Element_Stiffness!$E$75,Element_Stiffness!X100,0)),IF(Element_Stiffness!$E$75=5,IF(7=Element_Stiffness!$C$75,Element_Stiffness!R106,IF(7=Element_Stiffness!$E$75,Element_Stiffness!X106,0)),0)),0)+IF(Element_Stiffness!$C$111,IF(Element_Stiffness!$C$110=5,IF(7=Element_Stiffness!$C$110,Element_Stiffness!R135,IF(7=Element_Stiffness!$E$110,Element_Stiffness!X135,0)),IF(Element_Stiffness!$E$110=5,IF(7=Element_Stiffness!$C$110,Element_Stiffness!R141,IF(7=Element_Stiffness!$E$110,Element_Stiffness!X141,0)),0)),0)+IF(Element_Stiffness!$C$146,IF(Element_Stiffness!$C$145=5,IF(7=Element_Stiffness!$C$145,Element_Stiffness!R170,IF(7=Element_Stiffness!$E$145,Element_Stiffness!X170,0)),IF(Element_Stiffness!$E$145=5,IF(7=Element_Stiffness!$C$145,Element_Stiffness!R176,IF(7=Element_Stiffness!$E$145,Element_Stiffness!X176,0)),0)),0)+IF(Element_Stiffness!$C$181,IF(Element_Stiffness!$C$180=5,IF(7=Element_Stiffness!$C$180,Element_Stiffness!R205,IF(7=Element_Stiffness!$E$180,Element_Stiffness!X205,0)),IF(Element_Stiffness!$E$180=5,IF(7=Element_Stiffness!$C$180,Element_Stiffness!R211,IF(7=Element_Stiffness!$E$180,Element_Stiffness!X211,0)),0)),0)+IF(Element_Stiffness!$C$216,IF(Element_Stiffness!$C$215=5,IF(7=Element_Stiffness!$C$215,Element_Stiffness!R240,IF(7=Element_Stiffness!$E$215,Element_Stiffness!X240,0)),IF(Element_Stiffness!$E$215=5,IF(7=Element_Stiffness!$C$215,Element_Stiffness!R246,IF(7=Element_Stiffness!$E$215,Element_Stiffness!X246,0)),0)),0)</f>
        <v/>
      </c>
      <c r="AV39" s="21">
        <f>IF(Element_Stiffness!$C$6,IF(Element_Stiffness!$C$5=5,IF(7=Element_Stiffness!$C$5,Element_Stiffness!S30,IF(7=Element_Stiffness!$E$5,Element_Stiffness!Y30,0)),IF(Element_Stiffness!$E$5=5,IF(7=Element_Stiffness!$C$5,Element_Stiffness!S36,IF(7=Element_Stiffness!$E$5,Element_Stiffness!Y36,0)),0)),0)+IF(Element_Stiffness!$C$41,IF(Element_Stiffness!$C$40=5,IF(7=Element_Stiffness!$C$40,Element_Stiffness!S65,IF(7=Element_Stiffness!$E$40,Element_Stiffness!Y65,0)),IF(Element_Stiffness!$E$40=5,IF(7=Element_Stiffness!$C$40,Element_Stiffness!S71,IF(7=Element_Stiffness!$E$40,Element_Stiffness!Y71,0)),0)),0)+IF(Element_Stiffness!$C$76,IF(Element_Stiffness!$C$75=5,IF(7=Element_Stiffness!$C$75,Element_Stiffness!S100,IF(7=Element_Stiffness!$E$75,Element_Stiffness!Y100,0)),IF(Element_Stiffness!$E$75=5,IF(7=Element_Stiffness!$C$75,Element_Stiffness!S106,IF(7=Element_Stiffness!$E$75,Element_Stiffness!Y106,0)),0)),0)+IF(Element_Stiffness!$C$111,IF(Element_Stiffness!$C$110=5,IF(7=Element_Stiffness!$C$110,Element_Stiffness!S135,IF(7=Element_Stiffness!$E$110,Element_Stiffness!Y135,0)),IF(Element_Stiffness!$E$110=5,IF(7=Element_Stiffness!$C$110,Element_Stiffness!S141,IF(7=Element_Stiffness!$E$110,Element_Stiffness!Y141,0)),0)),0)+IF(Element_Stiffness!$C$146,IF(Element_Stiffness!$C$145=5,IF(7=Element_Stiffness!$C$145,Element_Stiffness!S170,IF(7=Element_Stiffness!$E$145,Element_Stiffness!Y170,0)),IF(Element_Stiffness!$E$145=5,IF(7=Element_Stiffness!$C$145,Element_Stiffness!S176,IF(7=Element_Stiffness!$E$145,Element_Stiffness!Y176,0)),0)),0)+IF(Element_Stiffness!$C$181,IF(Element_Stiffness!$C$180=5,IF(7=Element_Stiffness!$C$180,Element_Stiffness!S205,IF(7=Element_Stiffness!$E$180,Element_Stiffness!Y205,0)),IF(Element_Stiffness!$E$180=5,IF(7=Element_Stiffness!$C$180,Element_Stiffness!S211,IF(7=Element_Stiffness!$E$180,Element_Stiffness!Y211,0)),0)),0)+IF(Element_Stiffness!$C$216,IF(Element_Stiffness!$C$215=5,IF(7=Element_Stiffness!$C$215,Element_Stiffness!S240,IF(7=Element_Stiffness!$E$215,Element_Stiffness!Y240,0)),IF(Element_Stiffness!$E$215=5,IF(7=Element_Stiffness!$C$215,Element_Stiffness!S246,IF(7=Element_Stiffness!$E$215,Element_Stiffness!Y246,0)),0)),0)</f>
        <v/>
      </c>
      <c r="AW39" s="21">
        <f>IF(Element_Stiffness!$C$6,IF(Element_Stiffness!$C$5=5,IF(7=Element_Stiffness!$C$5,Element_Stiffness!T30,IF(7=Element_Stiffness!$E$5,Element_Stiffness!Z30,0)),IF(Element_Stiffness!$E$5=5,IF(7=Element_Stiffness!$C$5,Element_Stiffness!T36,IF(7=Element_Stiffness!$E$5,Element_Stiffness!Z36,0)),0)),0)+IF(Element_Stiffness!$C$41,IF(Element_Stiffness!$C$40=5,IF(7=Element_Stiffness!$C$40,Element_Stiffness!T65,IF(7=Element_Stiffness!$E$40,Element_Stiffness!Z65,0)),IF(Element_Stiffness!$E$40=5,IF(7=Element_Stiffness!$C$40,Element_Stiffness!T71,IF(7=Element_Stiffness!$E$40,Element_Stiffness!Z71,0)),0)),0)+IF(Element_Stiffness!$C$76,IF(Element_Stiffness!$C$75=5,IF(7=Element_Stiffness!$C$75,Element_Stiffness!T100,IF(7=Element_Stiffness!$E$75,Element_Stiffness!Z100,0)),IF(Element_Stiffness!$E$75=5,IF(7=Element_Stiffness!$C$75,Element_Stiffness!T106,IF(7=Element_Stiffness!$E$75,Element_Stiffness!Z106,0)),0)),0)+IF(Element_Stiffness!$C$111,IF(Element_Stiffness!$C$110=5,IF(7=Element_Stiffness!$C$110,Element_Stiffness!T135,IF(7=Element_Stiffness!$E$110,Element_Stiffness!Z135,0)),IF(Element_Stiffness!$E$110=5,IF(7=Element_Stiffness!$C$110,Element_Stiffness!T141,IF(7=Element_Stiffness!$E$110,Element_Stiffness!Z141,0)),0)),0)+IF(Element_Stiffness!$C$146,IF(Element_Stiffness!$C$145=5,IF(7=Element_Stiffness!$C$145,Element_Stiffness!T170,IF(7=Element_Stiffness!$E$145,Element_Stiffness!Z170,0)),IF(Element_Stiffness!$E$145=5,IF(7=Element_Stiffness!$C$145,Element_Stiffness!T176,IF(7=Element_Stiffness!$E$145,Element_Stiffness!Z176,0)),0)),0)+IF(Element_Stiffness!$C$181,IF(Element_Stiffness!$C$180=5,IF(7=Element_Stiffness!$C$180,Element_Stiffness!T205,IF(7=Element_Stiffness!$E$180,Element_Stiffness!Z205,0)),IF(Element_Stiffness!$E$180=5,IF(7=Element_Stiffness!$C$180,Element_Stiffness!T211,IF(7=Element_Stiffness!$E$180,Element_Stiffness!Z211,0)),0)),0)+IF(Element_Stiffness!$C$216,IF(Element_Stiffness!$C$215=5,IF(7=Element_Stiffness!$C$215,Element_Stiffness!T240,IF(7=Element_Stiffness!$E$215,Element_Stiffness!Z240,0)),IF(Element_Stiffness!$E$215=5,IF(7=Element_Stiffness!$C$215,Element_Stiffness!T246,IF(7=Element_Stiffness!$E$215,Element_Stiffness!Z246,0)),0)),0)</f>
        <v/>
      </c>
      <c r="AX39" s="21">
        <f>IF(Element_Stiffness!$C$6,IF(Element_Stiffness!$C$5=5,IF(7=Element_Stiffness!$C$5,Element_Stiffness!U30,IF(7=Element_Stiffness!$E$5,Element_Stiffness!AA30,0)),IF(Element_Stiffness!$E$5=5,IF(7=Element_Stiffness!$C$5,Element_Stiffness!U36,IF(7=Element_Stiffness!$E$5,Element_Stiffness!AA36,0)),0)),0)+IF(Element_Stiffness!$C$41,IF(Element_Stiffness!$C$40=5,IF(7=Element_Stiffness!$C$40,Element_Stiffness!U65,IF(7=Element_Stiffness!$E$40,Element_Stiffness!AA65,0)),IF(Element_Stiffness!$E$40=5,IF(7=Element_Stiffness!$C$40,Element_Stiffness!U71,IF(7=Element_Stiffness!$E$40,Element_Stiffness!AA71,0)),0)),0)+IF(Element_Stiffness!$C$76,IF(Element_Stiffness!$C$75=5,IF(7=Element_Stiffness!$C$75,Element_Stiffness!U100,IF(7=Element_Stiffness!$E$75,Element_Stiffness!AA100,0)),IF(Element_Stiffness!$E$75=5,IF(7=Element_Stiffness!$C$75,Element_Stiffness!U106,IF(7=Element_Stiffness!$E$75,Element_Stiffness!AA106,0)),0)),0)+IF(Element_Stiffness!$C$111,IF(Element_Stiffness!$C$110=5,IF(7=Element_Stiffness!$C$110,Element_Stiffness!U135,IF(7=Element_Stiffness!$E$110,Element_Stiffness!AA135,0)),IF(Element_Stiffness!$E$110=5,IF(7=Element_Stiffness!$C$110,Element_Stiffness!U141,IF(7=Element_Stiffness!$E$110,Element_Stiffness!AA141,0)),0)),0)+IF(Element_Stiffness!$C$146,IF(Element_Stiffness!$C$145=5,IF(7=Element_Stiffness!$C$145,Element_Stiffness!U170,IF(7=Element_Stiffness!$E$145,Element_Stiffness!AA170,0)),IF(Element_Stiffness!$E$145=5,IF(7=Element_Stiffness!$C$145,Element_Stiffness!U176,IF(7=Element_Stiffness!$E$145,Element_Stiffness!AA176,0)),0)),0)+IF(Element_Stiffness!$C$181,IF(Element_Stiffness!$C$180=5,IF(7=Element_Stiffness!$C$180,Element_Stiffness!U205,IF(7=Element_Stiffness!$E$180,Element_Stiffness!AA205,0)),IF(Element_Stiffness!$E$180=5,IF(7=Element_Stiffness!$C$180,Element_Stiffness!U211,IF(7=Element_Stiffness!$E$180,Element_Stiffness!AA211,0)),0)),0)+IF(Element_Stiffness!$C$216,IF(Element_Stiffness!$C$215=5,IF(7=Element_Stiffness!$C$215,Element_Stiffness!U240,IF(7=Element_Stiffness!$E$215,Element_Stiffness!AA240,0)),IF(Element_Stiffness!$E$215=5,IF(7=Element_Stiffness!$C$215,Element_Stiffness!U246,IF(7=Element_Stiffness!$E$215,Element_Stiffness!AA246,0)),0)),0)</f>
        <v/>
      </c>
      <c r="AY39" s="21" t="n">
        <v>0</v>
      </c>
      <c r="AZ39" s="21">
        <f>IF(Element_Stiffness!$C$6,IF(Element_Stiffness!$C$5=5,Element_Stiffness!C30,IF(Element_Stiffness!$E$5=5,Element_Stiffness!C36,0)),0)+IF(Element_Stiffness!$C$41,IF(Element_Stiffness!$C$40=5,Element_Stiffness!C65,IF(Element_Stiffness!$E$40=5,Element_Stiffness!C71,0)),0)+IF(Element_Stiffness!$C$76,IF(Element_Stiffness!$C$75=5,Element_Stiffness!C100,IF(Element_Stiffness!$E$75=5,Element_Stiffness!C106,0)),0)+IF(Element_Stiffness!$C$111,IF(Element_Stiffness!$C$110=5,Element_Stiffness!C135,IF(Element_Stiffness!$E$110=5,Element_Stiffness!C141,0)),0)+IF(Element_Stiffness!$C$146,IF(Element_Stiffness!$C$145=5,Element_Stiffness!C170,IF(Element_Stiffness!$E$145=5,Element_Stiffness!C176,0)),0)+IF(Element_Stiffness!$C$181,IF(Element_Stiffness!$C$180=5,Element_Stiffness!C205,IF(Element_Stiffness!$E$180=5,Element_Stiffness!C211,0)),0)+IF(Element_Stiffness!$C$216,IF(Element_Stiffness!$C$215=5,Element_Stiffness!C240,IF(Element_Stiffness!$E$215=5,Element_Stiffness!C246,0)),0)</f>
        <v/>
      </c>
      <c r="BB39" s="28">
        <f>INDEX(MMULT(MINVERSE(C5:AX52), AY5:AY52), 35, 1)</f>
        <v/>
      </c>
      <c r="BC39" s="28">
        <f>INDEX(MMULT(MINVERSE(C5:AX52), AZ5:AZ52), 35, 1)</f>
        <v/>
      </c>
    </row>
    <row r="40">
      <c r="B40" s="27" t="inlineStr">
        <is>
          <t>N5_rz</t>
        </is>
      </c>
      <c r="C40" s="21">
        <f>IF(Element_Stiffness!$C$6,IF(Element_Stiffness!$C$5=5,IF(0=Element_Stiffness!$C$5,Element_Stiffness!P31,IF(0=Element_Stiffness!$E$5,Element_Stiffness!V31,0)),IF(Element_Stiffness!$E$5=5,IF(0=Element_Stiffness!$C$5,Element_Stiffness!P37,IF(0=Element_Stiffness!$E$5,Element_Stiffness!V37,0)),0)),0)+IF(Element_Stiffness!$C$41,IF(Element_Stiffness!$C$40=5,IF(0=Element_Stiffness!$C$40,Element_Stiffness!P66,IF(0=Element_Stiffness!$E$40,Element_Stiffness!V66,0)),IF(Element_Stiffness!$E$40=5,IF(0=Element_Stiffness!$C$40,Element_Stiffness!P72,IF(0=Element_Stiffness!$E$40,Element_Stiffness!V72,0)),0)),0)+IF(Element_Stiffness!$C$76,IF(Element_Stiffness!$C$75=5,IF(0=Element_Stiffness!$C$75,Element_Stiffness!P101,IF(0=Element_Stiffness!$E$75,Element_Stiffness!V101,0)),IF(Element_Stiffness!$E$75=5,IF(0=Element_Stiffness!$C$75,Element_Stiffness!P107,IF(0=Element_Stiffness!$E$75,Element_Stiffness!V107,0)),0)),0)+IF(Element_Stiffness!$C$111,IF(Element_Stiffness!$C$110=5,IF(0=Element_Stiffness!$C$110,Element_Stiffness!P136,IF(0=Element_Stiffness!$E$110,Element_Stiffness!V136,0)),IF(Element_Stiffness!$E$110=5,IF(0=Element_Stiffness!$C$110,Element_Stiffness!P142,IF(0=Element_Stiffness!$E$110,Element_Stiffness!V142,0)),0)),0)+IF(Element_Stiffness!$C$146,IF(Element_Stiffness!$C$145=5,IF(0=Element_Stiffness!$C$145,Element_Stiffness!P171,IF(0=Element_Stiffness!$E$145,Element_Stiffness!V171,0)),IF(Element_Stiffness!$E$145=5,IF(0=Element_Stiffness!$C$145,Element_Stiffness!P177,IF(0=Element_Stiffness!$E$145,Element_Stiffness!V177,0)),0)),0)+IF(Element_Stiffness!$C$181,IF(Element_Stiffness!$C$180=5,IF(0=Element_Stiffness!$C$180,Element_Stiffness!P206,IF(0=Element_Stiffness!$E$180,Element_Stiffness!V206,0)),IF(Element_Stiffness!$E$180=5,IF(0=Element_Stiffness!$C$180,Element_Stiffness!P212,IF(0=Element_Stiffness!$E$180,Element_Stiffness!V212,0)),0)),0)+IF(Element_Stiffness!$C$216,IF(Element_Stiffness!$C$215=5,IF(0=Element_Stiffness!$C$215,Element_Stiffness!P241,IF(0=Element_Stiffness!$E$215,Element_Stiffness!V241,0)),IF(Element_Stiffness!$E$215=5,IF(0=Element_Stiffness!$C$215,Element_Stiffness!P247,IF(0=Element_Stiffness!$E$215,Element_Stiffness!V247,0)),0)),0)</f>
        <v/>
      </c>
      <c r="D40" s="21">
        <f>IF(Element_Stiffness!$C$6,IF(Element_Stiffness!$C$5=5,IF(0=Element_Stiffness!$C$5,Element_Stiffness!Q31,IF(0=Element_Stiffness!$E$5,Element_Stiffness!W31,0)),IF(Element_Stiffness!$E$5=5,IF(0=Element_Stiffness!$C$5,Element_Stiffness!Q37,IF(0=Element_Stiffness!$E$5,Element_Stiffness!W37,0)),0)),0)+IF(Element_Stiffness!$C$41,IF(Element_Stiffness!$C$40=5,IF(0=Element_Stiffness!$C$40,Element_Stiffness!Q66,IF(0=Element_Stiffness!$E$40,Element_Stiffness!W66,0)),IF(Element_Stiffness!$E$40=5,IF(0=Element_Stiffness!$C$40,Element_Stiffness!Q72,IF(0=Element_Stiffness!$E$40,Element_Stiffness!W72,0)),0)),0)+IF(Element_Stiffness!$C$76,IF(Element_Stiffness!$C$75=5,IF(0=Element_Stiffness!$C$75,Element_Stiffness!Q101,IF(0=Element_Stiffness!$E$75,Element_Stiffness!W101,0)),IF(Element_Stiffness!$E$75=5,IF(0=Element_Stiffness!$C$75,Element_Stiffness!Q107,IF(0=Element_Stiffness!$E$75,Element_Stiffness!W107,0)),0)),0)+IF(Element_Stiffness!$C$111,IF(Element_Stiffness!$C$110=5,IF(0=Element_Stiffness!$C$110,Element_Stiffness!Q136,IF(0=Element_Stiffness!$E$110,Element_Stiffness!W136,0)),IF(Element_Stiffness!$E$110=5,IF(0=Element_Stiffness!$C$110,Element_Stiffness!Q142,IF(0=Element_Stiffness!$E$110,Element_Stiffness!W142,0)),0)),0)+IF(Element_Stiffness!$C$146,IF(Element_Stiffness!$C$145=5,IF(0=Element_Stiffness!$C$145,Element_Stiffness!Q171,IF(0=Element_Stiffness!$E$145,Element_Stiffness!W171,0)),IF(Element_Stiffness!$E$145=5,IF(0=Element_Stiffness!$C$145,Element_Stiffness!Q177,IF(0=Element_Stiffness!$E$145,Element_Stiffness!W177,0)),0)),0)+IF(Element_Stiffness!$C$181,IF(Element_Stiffness!$C$180=5,IF(0=Element_Stiffness!$C$180,Element_Stiffness!Q206,IF(0=Element_Stiffness!$E$180,Element_Stiffness!W206,0)),IF(Element_Stiffness!$E$180=5,IF(0=Element_Stiffness!$C$180,Element_Stiffness!Q212,IF(0=Element_Stiffness!$E$180,Element_Stiffness!W212,0)),0)),0)+IF(Element_Stiffness!$C$216,IF(Element_Stiffness!$C$215=5,IF(0=Element_Stiffness!$C$215,Element_Stiffness!Q241,IF(0=Element_Stiffness!$E$215,Element_Stiffness!W241,0)),IF(Element_Stiffness!$E$215=5,IF(0=Element_Stiffness!$C$215,Element_Stiffness!Q247,IF(0=Element_Stiffness!$E$215,Element_Stiffness!W247,0)),0)),0)</f>
        <v/>
      </c>
      <c r="E40" s="21">
        <f>IF(Element_Stiffness!$C$6,IF(Element_Stiffness!$C$5=5,IF(0=Element_Stiffness!$C$5,Element_Stiffness!R31,IF(0=Element_Stiffness!$E$5,Element_Stiffness!X31,0)),IF(Element_Stiffness!$E$5=5,IF(0=Element_Stiffness!$C$5,Element_Stiffness!R37,IF(0=Element_Stiffness!$E$5,Element_Stiffness!X37,0)),0)),0)+IF(Element_Stiffness!$C$41,IF(Element_Stiffness!$C$40=5,IF(0=Element_Stiffness!$C$40,Element_Stiffness!R66,IF(0=Element_Stiffness!$E$40,Element_Stiffness!X66,0)),IF(Element_Stiffness!$E$40=5,IF(0=Element_Stiffness!$C$40,Element_Stiffness!R72,IF(0=Element_Stiffness!$E$40,Element_Stiffness!X72,0)),0)),0)+IF(Element_Stiffness!$C$76,IF(Element_Stiffness!$C$75=5,IF(0=Element_Stiffness!$C$75,Element_Stiffness!R101,IF(0=Element_Stiffness!$E$75,Element_Stiffness!X101,0)),IF(Element_Stiffness!$E$75=5,IF(0=Element_Stiffness!$C$75,Element_Stiffness!R107,IF(0=Element_Stiffness!$E$75,Element_Stiffness!X107,0)),0)),0)+IF(Element_Stiffness!$C$111,IF(Element_Stiffness!$C$110=5,IF(0=Element_Stiffness!$C$110,Element_Stiffness!R136,IF(0=Element_Stiffness!$E$110,Element_Stiffness!X136,0)),IF(Element_Stiffness!$E$110=5,IF(0=Element_Stiffness!$C$110,Element_Stiffness!R142,IF(0=Element_Stiffness!$E$110,Element_Stiffness!X142,0)),0)),0)+IF(Element_Stiffness!$C$146,IF(Element_Stiffness!$C$145=5,IF(0=Element_Stiffness!$C$145,Element_Stiffness!R171,IF(0=Element_Stiffness!$E$145,Element_Stiffness!X171,0)),IF(Element_Stiffness!$E$145=5,IF(0=Element_Stiffness!$C$145,Element_Stiffness!R177,IF(0=Element_Stiffness!$E$145,Element_Stiffness!X177,0)),0)),0)+IF(Element_Stiffness!$C$181,IF(Element_Stiffness!$C$180=5,IF(0=Element_Stiffness!$C$180,Element_Stiffness!R206,IF(0=Element_Stiffness!$E$180,Element_Stiffness!X206,0)),IF(Element_Stiffness!$E$180=5,IF(0=Element_Stiffness!$C$180,Element_Stiffness!R212,IF(0=Element_Stiffness!$E$180,Element_Stiffness!X212,0)),0)),0)+IF(Element_Stiffness!$C$216,IF(Element_Stiffness!$C$215=5,IF(0=Element_Stiffness!$C$215,Element_Stiffness!R241,IF(0=Element_Stiffness!$E$215,Element_Stiffness!X241,0)),IF(Element_Stiffness!$E$215=5,IF(0=Element_Stiffness!$C$215,Element_Stiffness!R247,IF(0=Element_Stiffness!$E$215,Element_Stiffness!X247,0)),0)),0)</f>
        <v/>
      </c>
      <c r="F40" s="21">
        <f>IF(Element_Stiffness!$C$6,IF(Element_Stiffness!$C$5=5,IF(0=Element_Stiffness!$C$5,Element_Stiffness!S31,IF(0=Element_Stiffness!$E$5,Element_Stiffness!Y31,0)),IF(Element_Stiffness!$E$5=5,IF(0=Element_Stiffness!$C$5,Element_Stiffness!S37,IF(0=Element_Stiffness!$E$5,Element_Stiffness!Y37,0)),0)),0)+IF(Element_Stiffness!$C$41,IF(Element_Stiffness!$C$40=5,IF(0=Element_Stiffness!$C$40,Element_Stiffness!S66,IF(0=Element_Stiffness!$E$40,Element_Stiffness!Y66,0)),IF(Element_Stiffness!$E$40=5,IF(0=Element_Stiffness!$C$40,Element_Stiffness!S72,IF(0=Element_Stiffness!$E$40,Element_Stiffness!Y72,0)),0)),0)+IF(Element_Stiffness!$C$76,IF(Element_Stiffness!$C$75=5,IF(0=Element_Stiffness!$C$75,Element_Stiffness!S101,IF(0=Element_Stiffness!$E$75,Element_Stiffness!Y101,0)),IF(Element_Stiffness!$E$75=5,IF(0=Element_Stiffness!$C$75,Element_Stiffness!S107,IF(0=Element_Stiffness!$E$75,Element_Stiffness!Y107,0)),0)),0)+IF(Element_Stiffness!$C$111,IF(Element_Stiffness!$C$110=5,IF(0=Element_Stiffness!$C$110,Element_Stiffness!S136,IF(0=Element_Stiffness!$E$110,Element_Stiffness!Y136,0)),IF(Element_Stiffness!$E$110=5,IF(0=Element_Stiffness!$C$110,Element_Stiffness!S142,IF(0=Element_Stiffness!$E$110,Element_Stiffness!Y142,0)),0)),0)+IF(Element_Stiffness!$C$146,IF(Element_Stiffness!$C$145=5,IF(0=Element_Stiffness!$C$145,Element_Stiffness!S171,IF(0=Element_Stiffness!$E$145,Element_Stiffness!Y171,0)),IF(Element_Stiffness!$E$145=5,IF(0=Element_Stiffness!$C$145,Element_Stiffness!S177,IF(0=Element_Stiffness!$E$145,Element_Stiffness!Y177,0)),0)),0)+IF(Element_Stiffness!$C$181,IF(Element_Stiffness!$C$180=5,IF(0=Element_Stiffness!$C$180,Element_Stiffness!S206,IF(0=Element_Stiffness!$E$180,Element_Stiffness!Y206,0)),IF(Element_Stiffness!$E$180=5,IF(0=Element_Stiffness!$C$180,Element_Stiffness!S212,IF(0=Element_Stiffness!$E$180,Element_Stiffness!Y212,0)),0)),0)+IF(Element_Stiffness!$C$216,IF(Element_Stiffness!$C$215=5,IF(0=Element_Stiffness!$C$215,Element_Stiffness!S241,IF(0=Element_Stiffness!$E$215,Element_Stiffness!Y241,0)),IF(Element_Stiffness!$E$215=5,IF(0=Element_Stiffness!$C$215,Element_Stiffness!S247,IF(0=Element_Stiffness!$E$215,Element_Stiffness!Y247,0)),0)),0)</f>
        <v/>
      </c>
      <c r="G40" s="21">
        <f>IF(Element_Stiffness!$C$6,IF(Element_Stiffness!$C$5=5,IF(0=Element_Stiffness!$C$5,Element_Stiffness!T31,IF(0=Element_Stiffness!$E$5,Element_Stiffness!Z31,0)),IF(Element_Stiffness!$E$5=5,IF(0=Element_Stiffness!$C$5,Element_Stiffness!T37,IF(0=Element_Stiffness!$E$5,Element_Stiffness!Z37,0)),0)),0)+IF(Element_Stiffness!$C$41,IF(Element_Stiffness!$C$40=5,IF(0=Element_Stiffness!$C$40,Element_Stiffness!T66,IF(0=Element_Stiffness!$E$40,Element_Stiffness!Z66,0)),IF(Element_Stiffness!$E$40=5,IF(0=Element_Stiffness!$C$40,Element_Stiffness!T72,IF(0=Element_Stiffness!$E$40,Element_Stiffness!Z72,0)),0)),0)+IF(Element_Stiffness!$C$76,IF(Element_Stiffness!$C$75=5,IF(0=Element_Stiffness!$C$75,Element_Stiffness!T101,IF(0=Element_Stiffness!$E$75,Element_Stiffness!Z101,0)),IF(Element_Stiffness!$E$75=5,IF(0=Element_Stiffness!$C$75,Element_Stiffness!T107,IF(0=Element_Stiffness!$E$75,Element_Stiffness!Z107,0)),0)),0)+IF(Element_Stiffness!$C$111,IF(Element_Stiffness!$C$110=5,IF(0=Element_Stiffness!$C$110,Element_Stiffness!T136,IF(0=Element_Stiffness!$E$110,Element_Stiffness!Z136,0)),IF(Element_Stiffness!$E$110=5,IF(0=Element_Stiffness!$C$110,Element_Stiffness!T142,IF(0=Element_Stiffness!$E$110,Element_Stiffness!Z142,0)),0)),0)+IF(Element_Stiffness!$C$146,IF(Element_Stiffness!$C$145=5,IF(0=Element_Stiffness!$C$145,Element_Stiffness!T171,IF(0=Element_Stiffness!$E$145,Element_Stiffness!Z171,0)),IF(Element_Stiffness!$E$145=5,IF(0=Element_Stiffness!$C$145,Element_Stiffness!T177,IF(0=Element_Stiffness!$E$145,Element_Stiffness!Z177,0)),0)),0)+IF(Element_Stiffness!$C$181,IF(Element_Stiffness!$C$180=5,IF(0=Element_Stiffness!$C$180,Element_Stiffness!T206,IF(0=Element_Stiffness!$E$180,Element_Stiffness!Z206,0)),IF(Element_Stiffness!$E$180=5,IF(0=Element_Stiffness!$C$180,Element_Stiffness!T212,IF(0=Element_Stiffness!$E$180,Element_Stiffness!Z212,0)),0)),0)+IF(Element_Stiffness!$C$216,IF(Element_Stiffness!$C$215=5,IF(0=Element_Stiffness!$C$215,Element_Stiffness!T241,IF(0=Element_Stiffness!$E$215,Element_Stiffness!Z241,0)),IF(Element_Stiffness!$E$215=5,IF(0=Element_Stiffness!$C$215,Element_Stiffness!T247,IF(0=Element_Stiffness!$E$215,Element_Stiffness!Z247,0)),0)),0)</f>
        <v/>
      </c>
      <c r="H40" s="21">
        <f>IF(Element_Stiffness!$C$6,IF(Element_Stiffness!$C$5=5,IF(0=Element_Stiffness!$C$5,Element_Stiffness!U31,IF(0=Element_Stiffness!$E$5,Element_Stiffness!AA31,0)),IF(Element_Stiffness!$E$5=5,IF(0=Element_Stiffness!$C$5,Element_Stiffness!U37,IF(0=Element_Stiffness!$E$5,Element_Stiffness!AA37,0)),0)),0)+IF(Element_Stiffness!$C$41,IF(Element_Stiffness!$C$40=5,IF(0=Element_Stiffness!$C$40,Element_Stiffness!U66,IF(0=Element_Stiffness!$E$40,Element_Stiffness!AA66,0)),IF(Element_Stiffness!$E$40=5,IF(0=Element_Stiffness!$C$40,Element_Stiffness!U72,IF(0=Element_Stiffness!$E$40,Element_Stiffness!AA72,0)),0)),0)+IF(Element_Stiffness!$C$76,IF(Element_Stiffness!$C$75=5,IF(0=Element_Stiffness!$C$75,Element_Stiffness!U101,IF(0=Element_Stiffness!$E$75,Element_Stiffness!AA101,0)),IF(Element_Stiffness!$E$75=5,IF(0=Element_Stiffness!$C$75,Element_Stiffness!U107,IF(0=Element_Stiffness!$E$75,Element_Stiffness!AA107,0)),0)),0)+IF(Element_Stiffness!$C$111,IF(Element_Stiffness!$C$110=5,IF(0=Element_Stiffness!$C$110,Element_Stiffness!U136,IF(0=Element_Stiffness!$E$110,Element_Stiffness!AA136,0)),IF(Element_Stiffness!$E$110=5,IF(0=Element_Stiffness!$C$110,Element_Stiffness!U142,IF(0=Element_Stiffness!$E$110,Element_Stiffness!AA142,0)),0)),0)+IF(Element_Stiffness!$C$146,IF(Element_Stiffness!$C$145=5,IF(0=Element_Stiffness!$C$145,Element_Stiffness!U171,IF(0=Element_Stiffness!$E$145,Element_Stiffness!AA171,0)),IF(Element_Stiffness!$E$145=5,IF(0=Element_Stiffness!$C$145,Element_Stiffness!U177,IF(0=Element_Stiffness!$E$145,Element_Stiffness!AA177,0)),0)),0)+IF(Element_Stiffness!$C$181,IF(Element_Stiffness!$C$180=5,IF(0=Element_Stiffness!$C$180,Element_Stiffness!U206,IF(0=Element_Stiffness!$E$180,Element_Stiffness!AA206,0)),IF(Element_Stiffness!$E$180=5,IF(0=Element_Stiffness!$C$180,Element_Stiffness!U212,IF(0=Element_Stiffness!$E$180,Element_Stiffness!AA212,0)),0)),0)+IF(Element_Stiffness!$C$216,IF(Element_Stiffness!$C$215=5,IF(0=Element_Stiffness!$C$215,Element_Stiffness!U241,IF(0=Element_Stiffness!$E$215,Element_Stiffness!AA241,0)),IF(Element_Stiffness!$E$215=5,IF(0=Element_Stiffness!$C$215,Element_Stiffness!U247,IF(0=Element_Stiffness!$E$215,Element_Stiffness!AA247,0)),0)),0)</f>
        <v/>
      </c>
      <c r="I40" s="21">
        <f>IF(Element_Stiffness!$C$6,IF(Element_Stiffness!$C$5=5,IF(1=Element_Stiffness!$C$5,Element_Stiffness!P31,IF(1=Element_Stiffness!$E$5,Element_Stiffness!V31,0)),IF(Element_Stiffness!$E$5=5,IF(1=Element_Stiffness!$C$5,Element_Stiffness!P37,IF(1=Element_Stiffness!$E$5,Element_Stiffness!V37,0)),0)),0)+IF(Element_Stiffness!$C$41,IF(Element_Stiffness!$C$40=5,IF(1=Element_Stiffness!$C$40,Element_Stiffness!P66,IF(1=Element_Stiffness!$E$40,Element_Stiffness!V66,0)),IF(Element_Stiffness!$E$40=5,IF(1=Element_Stiffness!$C$40,Element_Stiffness!P72,IF(1=Element_Stiffness!$E$40,Element_Stiffness!V72,0)),0)),0)+IF(Element_Stiffness!$C$76,IF(Element_Stiffness!$C$75=5,IF(1=Element_Stiffness!$C$75,Element_Stiffness!P101,IF(1=Element_Stiffness!$E$75,Element_Stiffness!V101,0)),IF(Element_Stiffness!$E$75=5,IF(1=Element_Stiffness!$C$75,Element_Stiffness!P107,IF(1=Element_Stiffness!$E$75,Element_Stiffness!V107,0)),0)),0)+IF(Element_Stiffness!$C$111,IF(Element_Stiffness!$C$110=5,IF(1=Element_Stiffness!$C$110,Element_Stiffness!P136,IF(1=Element_Stiffness!$E$110,Element_Stiffness!V136,0)),IF(Element_Stiffness!$E$110=5,IF(1=Element_Stiffness!$C$110,Element_Stiffness!P142,IF(1=Element_Stiffness!$E$110,Element_Stiffness!V142,0)),0)),0)+IF(Element_Stiffness!$C$146,IF(Element_Stiffness!$C$145=5,IF(1=Element_Stiffness!$C$145,Element_Stiffness!P171,IF(1=Element_Stiffness!$E$145,Element_Stiffness!V171,0)),IF(Element_Stiffness!$E$145=5,IF(1=Element_Stiffness!$C$145,Element_Stiffness!P177,IF(1=Element_Stiffness!$E$145,Element_Stiffness!V177,0)),0)),0)+IF(Element_Stiffness!$C$181,IF(Element_Stiffness!$C$180=5,IF(1=Element_Stiffness!$C$180,Element_Stiffness!P206,IF(1=Element_Stiffness!$E$180,Element_Stiffness!V206,0)),IF(Element_Stiffness!$E$180=5,IF(1=Element_Stiffness!$C$180,Element_Stiffness!P212,IF(1=Element_Stiffness!$E$180,Element_Stiffness!V212,0)),0)),0)+IF(Element_Stiffness!$C$216,IF(Element_Stiffness!$C$215=5,IF(1=Element_Stiffness!$C$215,Element_Stiffness!P241,IF(1=Element_Stiffness!$E$215,Element_Stiffness!V241,0)),IF(Element_Stiffness!$E$215=5,IF(1=Element_Stiffness!$C$215,Element_Stiffness!P247,IF(1=Element_Stiffness!$E$215,Element_Stiffness!V247,0)),0)),0)</f>
        <v/>
      </c>
      <c r="J40" s="21">
        <f>IF(Element_Stiffness!$C$6,IF(Element_Stiffness!$C$5=5,IF(1=Element_Stiffness!$C$5,Element_Stiffness!Q31,IF(1=Element_Stiffness!$E$5,Element_Stiffness!W31,0)),IF(Element_Stiffness!$E$5=5,IF(1=Element_Stiffness!$C$5,Element_Stiffness!Q37,IF(1=Element_Stiffness!$E$5,Element_Stiffness!W37,0)),0)),0)+IF(Element_Stiffness!$C$41,IF(Element_Stiffness!$C$40=5,IF(1=Element_Stiffness!$C$40,Element_Stiffness!Q66,IF(1=Element_Stiffness!$E$40,Element_Stiffness!W66,0)),IF(Element_Stiffness!$E$40=5,IF(1=Element_Stiffness!$C$40,Element_Stiffness!Q72,IF(1=Element_Stiffness!$E$40,Element_Stiffness!W72,0)),0)),0)+IF(Element_Stiffness!$C$76,IF(Element_Stiffness!$C$75=5,IF(1=Element_Stiffness!$C$75,Element_Stiffness!Q101,IF(1=Element_Stiffness!$E$75,Element_Stiffness!W101,0)),IF(Element_Stiffness!$E$75=5,IF(1=Element_Stiffness!$C$75,Element_Stiffness!Q107,IF(1=Element_Stiffness!$E$75,Element_Stiffness!W107,0)),0)),0)+IF(Element_Stiffness!$C$111,IF(Element_Stiffness!$C$110=5,IF(1=Element_Stiffness!$C$110,Element_Stiffness!Q136,IF(1=Element_Stiffness!$E$110,Element_Stiffness!W136,0)),IF(Element_Stiffness!$E$110=5,IF(1=Element_Stiffness!$C$110,Element_Stiffness!Q142,IF(1=Element_Stiffness!$E$110,Element_Stiffness!W142,0)),0)),0)+IF(Element_Stiffness!$C$146,IF(Element_Stiffness!$C$145=5,IF(1=Element_Stiffness!$C$145,Element_Stiffness!Q171,IF(1=Element_Stiffness!$E$145,Element_Stiffness!W171,0)),IF(Element_Stiffness!$E$145=5,IF(1=Element_Stiffness!$C$145,Element_Stiffness!Q177,IF(1=Element_Stiffness!$E$145,Element_Stiffness!W177,0)),0)),0)+IF(Element_Stiffness!$C$181,IF(Element_Stiffness!$C$180=5,IF(1=Element_Stiffness!$C$180,Element_Stiffness!Q206,IF(1=Element_Stiffness!$E$180,Element_Stiffness!W206,0)),IF(Element_Stiffness!$E$180=5,IF(1=Element_Stiffness!$C$180,Element_Stiffness!Q212,IF(1=Element_Stiffness!$E$180,Element_Stiffness!W212,0)),0)),0)+IF(Element_Stiffness!$C$216,IF(Element_Stiffness!$C$215=5,IF(1=Element_Stiffness!$C$215,Element_Stiffness!Q241,IF(1=Element_Stiffness!$E$215,Element_Stiffness!W241,0)),IF(Element_Stiffness!$E$215=5,IF(1=Element_Stiffness!$C$215,Element_Stiffness!Q247,IF(1=Element_Stiffness!$E$215,Element_Stiffness!W247,0)),0)),0)</f>
        <v/>
      </c>
      <c r="K40" s="21">
        <f>IF(Element_Stiffness!$C$6,IF(Element_Stiffness!$C$5=5,IF(1=Element_Stiffness!$C$5,Element_Stiffness!R31,IF(1=Element_Stiffness!$E$5,Element_Stiffness!X31,0)),IF(Element_Stiffness!$E$5=5,IF(1=Element_Stiffness!$C$5,Element_Stiffness!R37,IF(1=Element_Stiffness!$E$5,Element_Stiffness!X37,0)),0)),0)+IF(Element_Stiffness!$C$41,IF(Element_Stiffness!$C$40=5,IF(1=Element_Stiffness!$C$40,Element_Stiffness!R66,IF(1=Element_Stiffness!$E$40,Element_Stiffness!X66,0)),IF(Element_Stiffness!$E$40=5,IF(1=Element_Stiffness!$C$40,Element_Stiffness!R72,IF(1=Element_Stiffness!$E$40,Element_Stiffness!X72,0)),0)),0)+IF(Element_Stiffness!$C$76,IF(Element_Stiffness!$C$75=5,IF(1=Element_Stiffness!$C$75,Element_Stiffness!R101,IF(1=Element_Stiffness!$E$75,Element_Stiffness!X101,0)),IF(Element_Stiffness!$E$75=5,IF(1=Element_Stiffness!$C$75,Element_Stiffness!R107,IF(1=Element_Stiffness!$E$75,Element_Stiffness!X107,0)),0)),0)+IF(Element_Stiffness!$C$111,IF(Element_Stiffness!$C$110=5,IF(1=Element_Stiffness!$C$110,Element_Stiffness!R136,IF(1=Element_Stiffness!$E$110,Element_Stiffness!X136,0)),IF(Element_Stiffness!$E$110=5,IF(1=Element_Stiffness!$C$110,Element_Stiffness!R142,IF(1=Element_Stiffness!$E$110,Element_Stiffness!X142,0)),0)),0)+IF(Element_Stiffness!$C$146,IF(Element_Stiffness!$C$145=5,IF(1=Element_Stiffness!$C$145,Element_Stiffness!R171,IF(1=Element_Stiffness!$E$145,Element_Stiffness!X171,0)),IF(Element_Stiffness!$E$145=5,IF(1=Element_Stiffness!$C$145,Element_Stiffness!R177,IF(1=Element_Stiffness!$E$145,Element_Stiffness!X177,0)),0)),0)+IF(Element_Stiffness!$C$181,IF(Element_Stiffness!$C$180=5,IF(1=Element_Stiffness!$C$180,Element_Stiffness!R206,IF(1=Element_Stiffness!$E$180,Element_Stiffness!X206,0)),IF(Element_Stiffness!$E$180=5,IF(1=Element_Stiffness!$C$180,Element_Stiffness!R212,IF(1=Element_Stiffness!$E$180,Element_Stiffness!X212,0)),0)),0)+IF(Element_Stiffness!$C$216,IF(Element_Stiffness!$C$215=5,IF(1=Element_Stiffness!$C$215,Element_Stiffness!R241,IF(1=Element_Stiffness!$E$215,Element_Stiffness!X241,0)),IF(Element_Stiffness!$E$215=5,IF(1=Element_Stiffness!$C$215,Element_Stiffness!R247,IF(1=Element_Stiffness!$E$215,Element_Stiffness!X247,0)),0)),0)</f>
        <v/>
      </c>
      <c r="L40" s="21">
        <f>IF(Element_Stiffness!$C$6,IF(Element_Stiffness!$C$5=5,IF(1=Element_Stiffness!$C$5,Element_Stiffness!S31,IF(1=Element_Stiffness!$E$5,Element_Stiffness!Y31,0)),IF(Element_Stiffness!$E$5=5,IF(1=Element_Stiffness!$C$5,Element_Stiffness!S37,IF(1=Element_Stiffness!$E$5,Element_Stiffness!Y37,0)),0)),0)+IF(Element_Stiffness!$C$41,IF(Element_Stiffness!$C$40=5,IF(1=Element_Stiffness!$C$40,Element_Stiffness!S66,IF(1=Element_Stiffness!$E$40,Element_Stiffness!Y66,0)),IF(Element_Stiffness!$E$40=5,IF(1=Element_Stiffness!$C$40,Element_Stiffness!S72,IF(1=Element_Stiffness!$E$40,Element_Stiffness!Y72,0)),0)),0)+IF(Element_Stiffness!$C$76,IF(Element_Stiffness!$C$75=5,IF(1=Element_Stiffness!$C$75,Element_Stiffness!S101,IF(1=Element_Stiffness!$E$75,Element_Stiffness!Y101,0)),IF(Element_Stiffness!$E$75=5,IF(1=Element_Stiffness!$C$75,Element_Stiffness!S107,IF(1=Element_Stiffness!$E$75,Element_Stiffness!Y107,0)),0)),0)+IF(Element_Stiffness!$C$111,IF(Element_Stiffness!$C$110=5,IF(1=Element_Stiffness!$C$110,Element_Stiffness!S136,IF(1=Element_Stiffness!$E$110,Element_Stiffness!Y136,0)),IF(Element_Stiffness!$E$110=5,IF(1=Element_Stiffness!$C$110,Element_Stiffness!S142,IF(1=Element_Stiffness!$E$110,Element_Stiffness!Y142,0)),0)),0)+IF(Element_Stiffness!$C$146,IF(Element_Stiffness!$C$145=5,IF(1=Element_Stiffness!$C$145,Element_Stiffness!S171,IF(1=Element_Stiffness!$E$145,Element_Stiffness!Y171,0)),IF(Element_Stiffness!$E$145=5,IF(1=Element_Stiffness!$C$145,Element_Stiffness!S177,IF(1=Element_Stiffness!$E$145,Element_Stiffness!Y177,0)),0)),0)+IF(Element_Stiffness!$C$181,IF(Element_Stiffness!$C$180=5,IF(1=Element_Stiffness!$C$180,Element_Stiffness!S206,IF(1=Element_Stiffness!$E$180,Element_Stiffness!Y206,0)),IF(Element_Stiffness!$E$180=5,IF(1=Element_Stiffness!$C$180,Element_Stiffness!S212,IF(1=Element_Stiffness!$E$180,Element_Stiffness!Y212,0)),0)),0)+IF(Element_Stiffness!$C$216,IF(Element_Stiffness!$C$215=5,IF(1=Element_Stiffness!$C$215,Element_Stiffness!S241,IF(1=Element_Stiffness!$E$215,Element_Stiffness!Y241,0)),IF(Element_Stiffness!$E$215=5,IF(1=Element_Stiffness!$C$215,Element_Stiffness!S247,IF(1=Element_Stiffness!$E$215,Element_Stiffness!Y247,0)),0)),0)</f>
        <v/>
      </c>
      <c r="M40" s="21">
        <f>IF(Element_Stiffness!$C$6,IF(Element_Stiffness!$C$5=5,IF(1=Element_Stiffness!$C$5,Element_Stiffness!T31,IF(1=Element_Stiffness!$E$5,Element_Stiffness!Z31,0)),IF(Element_Stiffness!$E$5=5,IF(1=Element_Stiffness!$C$5,Element_Stiffness!T37,IF(1=Element_Stiffness!$E$5,Element_Stiffness!Z37,0)),0)),0)+IF(Element_Stiffness!$C$41,IF(Element_Stiffness!$C$40=5,IF(1=Element_Stiffness!$C$40,Element_Stiffness!T66,IF(1=Element_Stiffness!$E$40,Element_Stiffness!Z66,0)),IF(Element_Stiffness!$E$40=5,IF(1=Element_Stiffness!$C$40,Element_Stiffness!T72,IF(1=Element_Stiffness!$E$40,Element_Stiffness!Z72,0)),0)),0)+IF(Element_Stiffness!$C$76,IF(Element_Stiffness!$C$75=5,IF(1=Element_Stiffness!$C$75,Element_Stiffness!T101,IF(1=Element_Stiffness!$E$75,Element_Stiffness!Z101,0)),IF(Element_Stiffness!$E$75=5,IF(1=Element_Stiffness!$C$75,Element_Stiffness!T107,IF(1=Element_Stiffness!$E$75,Element_Stiffness!Z107,0)),0)),0)+IF(Element_Stiffness!$C$111,IF(Element_Stiffness!$C$110=5,IF(1=Element_Stiffness!$C$110,Element_Stiffness!T136,IF(1=Element_Stiffness!$E$110,Element_Stiffness!Z136,0)),IF(Element_Stiffness!$E$110=5,IF(1=Element_Stiffness!$C$110,Element_Stiffness!T142,IF(1=Element_Stiffness!$E$110,Element_Stiffness!Z142,0)),0)),0)+IF(Element_Stiffness!$C$146,IF(Element_Stiffness!$C$145=5,IF(1=Element_Stiffness!$C$145,Element_Stiffness!T171,IF(1=Element_Stiffness!$E$145,Element_Stiffness!Z171,0)),IF(Element_Stiffness!$E$145=5,IF(1=Element_Stiffness!$C$145,Element_Stiffness!T177,IF(1=Element_Stiffness!$E$145,Element_Stiffness!Z177,0)),0)),0)+IF(Element_Stiffness!$C$181,IF(Element_Stiffness!$C$180=5,IF(1=Element_Stiffness!$C$180,Element_Stiffness!T206,IF(1=Element_Stiffness!$E$180,Element_Stiffness!Z206,0)),IF(Element_Stiffness!$E$180=5,IF(1=Element_Stiffness!$C$180,Element_Stiffness!T212,IF(1=Element_Stiffness!$E$180,Element_Stiffness!Z212,0)),0)),0)+IF(Element_Stiffness!$C$216,IF(Element_Stiffness!$C$215=5,IF(1=Element_Stiffness!$C$215,Element_Stiffness!T241,IF(1=Element_Stiffness!$E$215,Element_Stiffness!Z241,0)),IF(Element_Stiffness!$E$215=5,IF(1=Element_Stiffness!$C$215,Element_Stiffness!T247,IF(1=Element_Stiffness!$E$215,Element_Stiffness!Z247,0)),0)),0)</f>
        <v/>
      </c>
      <c r="N40" s="21">
        <f>IF(Element_Stiffness!$C$6,IF(Element_Stiffness!$C$5=5,IF(1=Element_Stiffness!$C$5,Element_Stiffness!U31,IF(1=Element_Stiffness!$E$5,Element_Stiffness!AA31,0)),IF(Element_Stiffness!$E$5=5,IF(1=Element_Stiffness!$C$5,Element_Stiffness!U37,IF(1=Element_Stiffness!$E$5,Element_Stiffness!AA37,0)),0)),0)+IF(Element_Stiffness!$C$41,IF(Element_Stiffness!$C$40=5,IF(1=Element_Stiffness!$C$40,Element_Stiffness!U66,IF(1=Element_Stiffness!$E$40,Element_Stiffness!AA66,0)),IF(Element_Stiffness!$E$40=5,IF(1=Element_Stiffness!$C$40,Element_Stiffness!U72,IF(1=Element_Stiffness!$E$40,Element_Stiffness!AA72,0)),0)),0)+IF(Element_Stiffness!$C$76,IF(Element_Stiffness!$C$75=5,IF(1=Element_Stiffness!$C$75,Element_Stiffness!U101,IF(1=Element_Stiffness!$E$75,Element_Stiffness!AA101,0)),IF(Element_Stiffness!$E$75=5,IF(1=Element_Stiffness!$C$75,Element_Stiffness!U107,IF(1=Element_Stiffness!$E$75,Element_Stiffness!AA107,0)),0)),0)+IF(Element_Stiffness!$C$111,IF(Element_Stiffness!$C$110=5,IF(1=Element_Stiffness!$C$110,Element_Stiffness!U136,IF(1=Element_Stiffness!$E$110,Element_Stiffness!AA136,0)),IF(Element_Stiffness!$E$110=5,IF(1=Element_Stiffness!$C$110,Element_Stiffness!U142,IF(1=Element_Stiffness!$E$110,Element_Stiffness!AA142,0)),0)),0)+IF(Element_Stiffness!$C$146,IF(Element_Stiffness!$C$145=5,IF(1=Element_Stiffness!$C$145,Element_Stiffness!U171,IF(1=Element_Stiffness!$E$145,Element_Stiffness!AA171,0)),IF(Element_Stiffness!$E$145=5,IF(1=Element_Stiffness!$C$145,Element_Stiffness!U177,IF(1=Element_Stiffness!$E$145,Element_Stiffness!AA177,0)),0)),0)+IF(Element_Stiffness!$C$181,IF(Element_Stiffness!$C$180=5,IF(1=Element_Stiffness!$C$180,Element_Stiffness!U206,IF(1=Element_Stiffness!$E$180,Element_Stiffness!AA206,0)),IF(Element_Stiffness!$E$180=5,IF(1=Element_Stiffness!$C$180,Element_Stiffness!U212,IF(1=Element_Stiffness!$E$180,Element_Stiffness!AA212,0)),0)),0)+IF(Element_Stiffness!$C$216,IF(Element_Stiffness!$C$215=5,IF(1=Element_Stiffness!$C$215,Element_Stiffness!U241,IF(1=Element_Stiffness!$E$215,Element_Stiffness!AA241,0)),IF(Element_Stiffness!$E$215=5,IF(1=Element_Stiffness!$C$215,Element_Stiffness!U247,IF(1=Element_Stiffness!$E$215,Element_Stiffness!AA247,0)),0)),0)</f>
        <v/>
      </c>
      <c r="O40" s="21">
        <f>IF(Element_Stiffness!$C$6,IF(Element_Stiffness!$C$5=5,IF(2=Element_Stiffness!$C$5,Element_Stiffness!P31,IF(2=Element_Stiffness!$E$5,Element_Stiffness!V31,0)),IF(Element_Stiffness!$E$5=5,IF(2=Element_Stiffness!$C$5,Element_Stiffness!P37,IF(2=Element_Stiffness!$E$5,Element_Stiffness!V37,0)),0)),0)+IF(Element_Stiffness!$C$41,IF(Element_Stiffness!$C$40=5,IF(2=Element_Stiffness!$C$40,Element_Stiffness!P66,IF(2=Element_Stiffness!$E$40,Element_Stiffness!V66,0)),IF(Element_Stiffness!$E$40=5,IF(2=Element_Stiffness!$C$40,Element_Stiffness!P72,IF(2=Element_Stiffness!$E$40,Element_Stiffness!V72,0)),0)),0)+IF(Element_Stiffness!$C$76,IF(Element_Stiffness!$C$75=5,IF(2=Element_Stiffness!$C$75,Element_Stiffness!P101,IF(2=Element_Stiffness!$E$75,Element_Stiffness!V101,0)),IF(Element_Stiffness!$E$75=5,IF(2=Element_Stiffness!$C$75,Element_Stiffness!P107,IF(2=Element_Stiffness!$E$75,Element_Stiffness!V107,0)),0)),0)+IF(Element_Stiffness!$C$111,IF(Element_Stiffness!$C$110=5,IF(2=Element_Stiffness!$C$110,Element_Stiffness!P136,IF(2=Element_Stiffness!$E$110,Element_Stiffness!V136,0)),IF(Element_Stiffness!$E$110=5,IF(2=Element_Stiffness!$C$110,Element_Stiffness!P142,IF(2=Element_Stiffness!$E$110,Element_Stiffness!V142,0)),0)),0)+IF(Element_Stiffness!$C$146,IF(Element_Stiffness!$C$145=5,IF(2=Element_Stiffness!$C$145,Element_Stiffness!P171,IF(2=Element_Stiffness!$E$145,Element_Stiffness!V171,0)),IF(Element_Stiffness!$E$145=5,IF(2=Element_Stiffness!$C$145,Element_Stiffness!P177,IF(2=Element_Stiffness!$E$145,Element_Stiffness!V177,0)),0)),0)+IF(Element_Stiffness!$C$181,IF(Element_Stiffness!$C$180=5,IF(2=Element_Stiffness!$C$180,Element_Stiffness!P206,IF(2=Element_Stiffness!$E$180,Element_Stiffness!V206,0)),IF(Element_Stiffness!$E$180=5,IF(2=Element_Stiffness!$C$180,Element_Stiffness!P212,IF(2=Element_Stiffness!$E$180,Element_Stiffness!V212,0)),0)),0)+IF(Element_Stiffness!$C$216,IF(Element_Stiffness!$C$215=5,IF(2=Element_Stiffness!$C$215,Element_Stiffness!P241,IF(2=Element_Stiffness!$E$215,Element_Stiffness!V241,0)),IF(Element_Stiffness!$E$215=5,IF(2=Element_Stiffness!$C$215,Element_Stiffness!P247,IF(2=Element_Stiffness!$E$215,Element_Stiffness!V247,0)),0)),0)</f>
        <v/>
      </c>
      <c r="P40" s="21">
        <f>IF(Element_Stiffness!$C$6,IF(Element_Stiffness!$C$5=5,IF(2=Element_Stiffness!$C$5,Element_Stiffness!Q31,IF(2=Element_Stiffness!$E$5,Element_Stiffness!W31,0)),IF(Element_Stiffness!$E$5=5,IF(2=Element_Stiffness!$C$5,Element_Stiffness!Q37,IF(2=Element_Stiffness!$E$5,Element_Stiffness!W37,0)),0)),0)+IF(Element_Stiffness!$C$41,IF(Element_Stiffness!$C$40=5,IF(2=Element_Stiffness!$C$40,Element_Stiffness!Q66,IF(2=Element_Stiffness!$E$40,Element_Stiffness!W66,0)),IF(Element_Stiffness!$E$40=5,IF(2=Element_Stiffness!$C$40,Element_Stiffness!Q72,IF(2=Element_Stiffness!$E$40,Element_Stiffness!W72,0)),0)),0)+IF(Element_Stiffness!$C$76,IF(Element_Stiffness!$C$75=5,IF(2=Element_Stiffness!$C$75,Element_Stiffness!Q101,IF(2=Element_Stiffness!$E$75,Element_Stiffness!W101,0)),IF(Element_Stiffness!$E$75=5,IF(2=Element_Stiffness!$C$75,Element_Stiffness!Q107,IF(2=Element_Stiffness!$E$75,Element_Stiffness!W107,0)),0)),0)+IF(Element_Stiffness!$C$111,IF(Element_Stiffness!$C$110=5,IF(2=Element_Stiffness!$C$110,Element_Stiffness!Q136,IF(2=Element_Stiffness!$E$110,Element_Stiffness!W136,0)),IF(Element_Stiffness!$E$110=5,IF(2=Element_Stiffness!$C$110,Element_Stiffness!Q142,IF(2=Element_Stiffness!$E$110,Element_Stiffness!W142,0)),0)),0)+IF(Element_Stiffness!$C$146,IF(Element_Stiffness!$C$145=5,IF(2=Element_Stiffness!$C$145,Element_Stiffness!Q171,IF(2=Element_Stiffness!$E$145,Element_Stiffness!W171,0)),IF(Element_Stiffness!$E$145=5,IF(2=Element_Stiffness!$C$145,Element_Stiffness!Q177,IF(2=Element_Stiffness!$E$145,Element_Stiffness!W177,0)),0)),0)+IF(Element_Stiffness!$C$181,IF(Element_Stiffness!$C$180=5,IF(2=Element_Stiffness!$C$180,Element_Stiffness!Q206,IF(2=Element_Stiffness!$E$180,Element_Stiffness!W206,0)),IF(Element_Stiffness!$E$180=5,IF(2=Element_Stiffness!$C$180,Element_Stiffness!Q212,IF(2=Element_Stiffness!$E$180,Element_Stiffness!W212,0)),0)),0)+IF(Element_Stiffness!$C$216,IF(Element_Stiffness!$C$215=5,IF(2=Element_Stiffness!$C$215,Element_Stiffness!Q241,IF(2=Element_Stiffness!$E$215,Element_Stiffness!W241,0)),IF(Element_Stiffness!$E$215=5,IF(2=Element_Stiffness!$C$215,Element_Stiffness!Q247,IF(2=Element_Stiffness!$E$215,Element_Stiffness!W247,0)),0)),0)</f>
        <v/>
      </c>
      <c r="Q40" s="21">
        <f>IF(Element_Stiffness!$C$6,IF(Element_Stiffness!$C$5=5,IF(2=Element_Stiffness!$C$5,Element_Stiffness!R31,IF(2=Element_Stiffness!$E$5,Element_Stiffness!X31,0)),IF(Element_Stiffness!$E$5=5,IF(2=Element_Stiffness!$C$5,Element_Stiffness!R37,IF(2=Element_Stiffness!$E$5,Element_Stiffness!X37,0)),0)),0)+IF(Element_Stiffness!$C$41,IF(Element_Stiffness!$C$40=5,IF(2=Element_Stiffness!$C$40,Element_Stiffness!R66,IF(2=Element_Stiffness!$E$40,Element_Stiffness!X66,0)),IF(Element_Stiffness!$E$40=5,IF(2=Element_Stiffness!$C$40,Element_Stiffness!R72,IF(2=Element_Stiffness!$E$40,Element_Stiffness!X72,0)),0)),0)+IF(Element_Stiffness!$C$76,IF(Element_Stiffness!$C$75=5,IF(2=Element_Stiffness!$C$75,Element_Stiffness!R101,IF(2=Element_Stiffness!$E$75,Element_Stiffness!X101,0)),IF(Element_Stiffness!$E$75=5,IF(2=Element_Stiffness!$C$75,Element_Stiffness!R107,IF(2=Element_Stiffness!$E$75,Element_Stiffness!X107,0)),0)),0)+IF(Element_Stiffness!$C$111,IF(Element_Stiffness!$C$110=5,IF(2=Element_Stiffness!$C$110,Element_Stiffness!R136,IF(2=Element_Stiffness!$E$110,Element_Stiffness!X136,0)),IF(Element_Stiffness!$E$110=5,IF(2=Element_Stiffness!$C$110,Element_Stiffness!R142,IF(2=Element_Stiffness!$E$110,Element_Stiffness!X142,0)),0)),0)+IF(Element_Stiffness!$C$146,IF(Element_Stiffness!$C$145=5,IF(2=Element_Stiffness!$C$145,Element_Stiffness!R171,IF(2=Element_Stiffness!$E$145,Element_Stiffness!X171,0)),IF(Element_Stiffness!$E$145=5,IF(2=Element_Stiffness!$C$145,Element_Stiffness!R177,IF(2=Element_Stiffness!$E$145,Element_Stiffness!X177,0)),0)),0)+IF(Element_Stiffness!$C$181,IF(Element_Stiffness!$C$180=5,IF(2=Element_Stiffness!$C$180,Element_Stiffness!R206,IF(2=Element_Stiffness!$E$180,Element_Stiffness!X206,0)),IF(Element_Stiffness!$E$180=5,IF(2=Element_Stiffness!$C$180,Element_Stiffness!R212,IF(2=Element_Stiffness!$E$180,Element_Stiffness!X212,0)),0)),0)+IF(Element_Stiffness!$C$216,IF(Element_Stiffness!$C$215=5,IF(2=Element_Stiffness!$C$215,Element_Stiffness!R241,IF(2=Element_Stiffness!$E$215,Element_Stiffness!X241,0)),IF(Element_Stiffness!$E$215=5,IF(2=Element_Stiffness!$C$215,Element_Stiffness!R247,IF(2=Element_Stiffness!$E$215,Element_Stiffness!X247,0)),0)),0)</f>
        <v/>
      </c>
      <c r="R40" s="21">
        <f>IF(Element_Stiffness!$C$6,IF(Element_Stiffness!$C$5=5,IF(2=Element_Stiffness!$C$5,Element_Stiffness!S31,IF(2=Element_Stiffness!$E$5,Element_Stiffness!Y31,0)),IF(Element_Stiffness!$E$5=5,IF(2=Element_Stiffness!$C$5,Element_Stiffness!S37,IF(2=Element_Stiffness!$E$5,Element_Stiffness!Y37,0)),0)),0)+IF(Element_Stiffness!$C$41,IF(Element_Stiffness!$C$40=5,IF(2=Element_Stiffness!$C$40,Element_Stiffness!S66,IF(2=Element_Stiffness!$E$40,Element_Stiffness!Y66,0)),IF(Element_Stiffness!$E$40=5,IF(2=Element_Stiffness!$C$40,Element_Stiffness!S72,IF(2=Element_Stiffness!$E$40,Element_Stiffness!Y72,0)),0)),0)+IF(Element_Stiffness!$C$76,IF(Element_Stiffness!$C$75=5,IF(2=Element_Stiffness!$C$75,Element_Stiffness!S101,IF(2=Element_Stiffness!$E$75,Element_Stiffness!Y101,0)),IF(Element_Stiffness!$E$75=5,IF(2=Element_Stiffness!$C$75,Element_Stiffness!S107,IF(2=Element_Stiffness!$E$75,Element_Stiffness!Y107,0)),0)),0)+IF(Element_Stiffness!$C$111,IF(Element_Stiffness!$C$110=5,IF(2=Element_Stiffness!$C$110,Element_Stiffness!S136,IF(2=Element_Stiffness!$E$110,Element_Stiffness!Y136,0)),IF(Element_Stiffness!$E$110=5,IF(2=Element_Stiffness!$C$110,Element_Stiffness!S142,IF(2=Element_Stiffness!$E$110,Element_Stiffness!Y142,0)),0)),0)+IF(Element_Stiffness!$C$146,IF(Element_Stiffness!$C$145=5,IF(2=Element_Stiffness!$C$145,Element_Stiffness!S171,IF(2=Element_Stiffness!$E$145,Element_Stiffness!Y171,0)),IF(Element_Stiffness!$E$145=5,IF(2=Element_Stiffness!$C$145,Element_Stiffness!S177,IF(2=Element_Stiffness!$E$145,Element_Stiffness!Y177,0)),0)),0)+IF(Element_Stiffness!$C$181,IF(Element_Stiffness!$C$180=5,IF(2=Element_Stiffness!$C$180,Element_Stiffness!S206,IF(2=Element_Stiffness!$E$180,Element_Stiffness!Y206,0)),IF(Element_Stiffness!$E$180=5,IF(2=Element_Stiffness!$C$180,Element_Stiffness!S212,IF(2=Element_Stiffness!$E$180,Element_Stiffness!Y212,0)),0)),0)+IF(Element_Stiffness!$C$216,IF(Element_Stiffness!$C$215=5,IF(2=Element_Stiffness!$C$215,Element_Stiffness!S241,IF(2=Element_Stiffness!$E$215,Element_Stiffness!Y241,0)),IF(Element_Stiffness!$E$215=5,IF(2=Element_Stiffness!$C$215,Element_Stiffness!S247,IF(2=Element_Stiffness!$E$215,Element_Stiffness!Y247,0)),0)),0)</f>
        <v/>
      </c>
      <c r="S40" s="21">
        <f>IF(Element_Stiffness!$C$6,IF(Element_Stiffness!$C$5=5,IF(2=Element_Stiffness!$C$5,Element_Stiffness!T31,IF(2=Element_Stiffness!$E$5,Element_Stiffness!Z31,0)),IF(Element_Stiffness!$E$5=5,IF(2=Element_Stiffness!$C$5,Element_Stiffness!T37,IF(2=Element_Stiffness!$E$5,Element_Stiffness!Z37,0)),0)),0)+IF(Element_Stiffness!$C$41,IF(Element_Stiffness!$C$40=5,IF(2=Element_Stiffness!$C$40,Element_Stiffness!T66,IF(2=Element_Stiffness!$E$40,Element_Stiffness!Z66,0)),IF(Element_Stiffness!$E$40=5,IF(2=Element_Stiffness!$C$40,Element_Stiffness!T72,IF(2=Element_Stiffness!$E$40,Element_Stiffness!Z72,0)),0)),0)+IF(Element_Stiffness!$C$76,IF(Element_Stiffness!$C$75=5,IF(2=Element_Stiffness!$C$75,Element_Stiffness!T101,IF(2=Element_Stiffness!$E$75,Element_Stiffness!Z101,0)),IF(Element_Stiffness!$E$75=5,IF(2=Element_Stiffness!$C$75,Element_Stiffness!T107,IF(2=Element_Stiffness!$E$75,Element_Stiffness!Z107,0)),0)),0)+IF(Element_Stiffness!$C$111,IF(Element_Stiffness!$C$110=5,IF(2=Element_Stiffness!$C$110,Element_Stiffness!T136,IF(2=Element_Stiffness!$E$110,Element_Stiffness!Z136,0)),IF(Element_Stiffness!$E$110=5,IF(2=Element_Stiffness!$C$110,Element_Stiffness!T142,IF(2=Element_Stiffness!$E$110,Element_Stiffness!Z142,0)),0)),0)+IF(Element_Stiffness!$C$146,IF(Element_Stiffness!$C$145=5,IF(2=Element_Stiffness!$C$145,Element_Stiffness!T171,IF(2=Element_Stiffness!$E$145,Element_Stiffness!Z171,0)),IF(Element_Stiffness!$E$145=5,IF(2=Element_Stiffness!$C$145,Element_Stiffness!T177,IF(2=Element_Stiffness!$E$145,Element_Stiffness!Z177,0)),0)),0)+IF(Element_Stiffness!$C$181,IF(Element_Stiffness!$C$180=5,IF(2=Element_Stiffness!$C$180,Element_Stiffness!T206,IF(2=Element_Stiffness!$E$180,Element_Stiffness!Z206,0)),IF(Element_Stiffness!$E$180=5,IF(2=Element_Stiffness!$C$180,Element_Stiffness!T212,IF(2=Element_Stiffness!$E$180,Element_Stiffness!Z212,0)),0)),0)+IF(Element_Stiffness!$C$216,IF(Element_Stiffness!$C$215=5,IF(2=Element_Stiffness!$C$215,Element_Stiffness!T241,IF(2=Element_Stiffness!$E$215,Element_Stiffness!Z241,0)),IF(Element_Stiffness!$E$215=5,IF(2=Element_Stiffness!$C$215,Element_Stiffness!T247,IF(2=Element_Stiffness!$E$215,Element_Stiffness!Z247,0)),0)),0)</f>
        <v/>
      </c>
      <c r="T40" s="21">
        <f>IF(Element_Stiffness!$C$6,IF(Element_Stiffness!$C$5=5,IF(2=Element_Stiffness!$C$5,Element_Stiffness!U31,IF(2=Element_Stiffness!$E$5,Element_Stiffness!AA31,0)),IF(Element_Stiffness!$E$5=5,IF(2=Element_Stiffness!$C$5,Element_Stiffness!U37,IF(2=Element_Stiffness!$E$5,Element_Stiffness!AA37,0)),0)),0)+IF(Element_Stiffness!$C$41,IF(Element_Stiffness!$C$40=5,IF(2=Element_Stiffness!$C$40,Element_Stiffness!U66,IF(2=Element_Stiffness!$E$40,Element_Stiffness!AA66,0)),IF(Element_Stiffness!$E$40=5,IF(2=Element_Stiffness!$C$40,Element_Stiffness!U72,IF(2=Element_Stiffness!$E$40,Element_Stiffness!AA72,0)),0)),0)+IF(Element_Stiffness!$C$76,IF(Element_Stiffness!$C$75=5,IF(2=Element_Stiffness!$C$75,Element_Stiffness!U101,IF(2=Element_Stiffness!$E$75,Element_Stiffness!AA101,0)),IF(Element_Stiffness!$E$75=5,IF(2=Element_Stiffness!$C$75,Element_Stiffness!U107,IF(2=Element_Stiffness!$E$75,Element_Stiffness!AA107,0)),0)),0)+IF(Element_Stiffness!$C$111,IF(Element_Stiffness!$C$110=5,IF(2=Element_Stiffness!$C$110,Element_Stiffness!U136,IF(2=Element_Stiffness!$E$110,Element_Stiffness!AA136,0)),IF(Element_Stiffness!$E$110=5,IF(2=Element_Stiffness!$C$110,Element_Stiffness!U142,IF(2=Element_Stiffness!$E$110,Element_Stiffness!AA142,0)),0)),0)+IF(Element_Stiffness!$C$146,IF(Element_Stiffness!$C$145=5,IF(2=Element_Stiffness!$C$145,Element_Stiffness!U171,IF(2=Element_Stiffness!$E$145,Element_Stiffness!AA171,0)),IF(Element_Stiffness!$E$145=5,IF(2=Element_Stiffness!$C$145,Element_Stiffness!U177,IF(2=Element_Stiffness!$E$145,Element_Stiffness!AA177,0)),0)),0)+IF(Element_Stiffness!$C$181,IF(Element_Stiffness!$C$180=5,IF(2=Element_Stiffness!$C$180,Element_Stiffness!U206,IF(2=Element_Stiffness!$E$180,Element_Stiffness!AA206,0)),IF(Element_Stiffness!$E$180=5,IF(2=Element_Stiffness!$C$180,Element_Stiffness!U212,IF(2=Element_Stiffness!$E$180,Element_Stiffness!AA212,0)),0)),0)+IF(Element_Stiffness!$C$216,IF(Element_Stiffness!$C$215=5,IF(2=Element_Stiffness!$C$215,Element_Stiffness!U241,IF(2=Element_Stiffness!$E$215,Element_Stiffness!AA241,0)),IF(Element_Stiffness!$E$215=5,IF(2=Element_Stiffness!$C$215,Element_Stiffness!U247,IF(2=Element_Stiffness!$E$215,Element_Stiffness!AA247,0)),0)),0)</f>
        <v/>
      </c>
      <c r="U40" s="21">
        <f>IF(Element_Stiffness!$C$6,IF(Element_Stiffness!$C$5=5,IF(3=Element_Stiffness!$C$5,Element_Stiffness!P31,IF(3=Element_Stiffness!$E$5,Element_Stiffness!V31,0)),IF(Element_Stiffness!$E$5=5,IF(3=Element_Stiffness!$C$5,Element_Stiffness!P37,IF(3=Element_Stiffness!$E$5,Element_Stiffness!V37,0)),0)),0)+IF(Element_Stiffness!$C$41,IF(Element_Stiffness!$C$40=5,IF(3=Element_Stiffness!$C$40,Element_Stiffness!P66,IF(3=Element_Stiffness!$E$40,Element_Stiffness!V66,0)),IF(Element_Stiffness!$E$40=5,IF(3=Element_Stiffness!$C$40,Element_Stiffness!P72,IF(3=Element_Stiffness!$E$40,Element_Stiffness!V72,0)),0)),0)+IF(Element_Stiffness!$C$76,IF(Element_Stiffness!$C$75=5,IF(3=Element_Stiffness!$C$75,Element_Stiffness!P101,IF(3=Element_Stiffness!$E$75,Element_Stiffness!V101,0)),IF(Element_Stiffness!$E$75=5,IF(3=Element_Stiffness!$C$75,Element_Stiffness!P107,IF(3=Element_Stiffness!$E$75,Element_Stiffness!V107,0)),0)),0)+IF(Element_Stiffness!$C$111,IF(Element_Stiffness!$C$110=5,IF(3=Element_Stiffness!$C$110,Element_Stiffness!P136,IF(3=Element_Stiffness!$E$110,Element_Stiffness!V136,0)),IF(Element_Stiffness!$E$110=5,IF(3=Element_Stiffness!$C$110,Element_Stiffness!P142,IF(3=Element_Stiffness!$E$110,Element_Stiffness!V142,0)),0)),0)+IF(Element_Stiffness!$C$146,IF(Element_Stiffness!$C$145=5,IF(3=Element_Stiffness!$C$145,Element_Stiffness!P171,IF(3=Element_Stiffness!$E$145,Element_Stiffness!V171,0)),IF(Element_Stiffness!$E$145=5,IF(3=Element_Stiffness!$C$145,Element_Stiffness!P177,IF(3=Element_Stiffness!$E$145,Element_Stiffness!V177,0)),0)),0)+IF(Element_Stiffness!$C$181,IF(Element_Stiffness!$C$180=5,IF(3=Element_Stiffness!$C$180,Element_Stiffness!P206,IF(3=Element_Stiffness!$E$180,Element_Stiffness!V206,0)),IF(Element_Stiffness!$E$180=5,IF(3=Element_Stiffness!$C$180,Element_Stiffness!P212,IF(3=Element_Stiffness!$E$180,Element_Stiffness!V212,0)),0)),0)+IF(Element_Stiffness!$C$216,IF(Element_Stiffness!$C$215=5,IF(3=Element_Stiffness!$C$215,Element_Stiffness!P241,IF(3=Element_Stiffness!$E$215,Element_Stiffness!V241,0)),IF(Element_Stiffness!$E$215=5,IF(3=Element_Stiffness!$C$215,Element_Stiffness!P247,IF(3=Element_Stiffness!$E$215,Element_Stiffness!V247,0)),0)),0)</f>
        <v/>
      </c>
      <c r="V40" s="21">
        <f>IF(Element_Stiffness!$C$6,IF(Element_Stiffness!$C$5=5,IF(3=Element_Stiffness!$C$5,Element_Stiffness!Q31,IF(3=Element_Stiffness!$E$5,Element_Stiffness!W31,0)),IF(Element_Stiffness!$E$5=5,IF(3=Element_Stiffness!$C$5,Element_Stiffness!Q37,IF(3=Element_Stiffness!$E$5,Element_Stiffness!W37,0)),0)),0)+IF(Element_Stiffness!$C$41,IF(Element_Stiffness!$C$40=5,IF(3=Element_Stiffness!$C$40,Element_Stiffness!Q66,IF(3=Element_Stiffness!$E$40,Element_Stiffness!W66,0)),IF(Element_Stiffness!$E$40=5,IF(3=Element_Stiffness!$C$40,Element_Stiffness!Q72,IF(3=Element_Stiffness!$E$40,Element_Stiffness!W72,0)),0)),0)+IF(Element_Stiffness!$C$76,IF(Element_Stiffness!$C$75=5,IF(3=Element_Stiffness!$C$75,Element_Stiffness!Q101,IF(3=Element_Stiffness!$E$75,Element_Stiffness!W101,0)),IF(Element_Stiffness!$E$75=5,IF(3=Element_Stiffness!$C$75,Element_Stiffness!Q107,IF(3=Element_Stiffness!$E$75,Element_Stiffness!W107,0)),0)),0)+IF(Element_Stiffness!$C$111,IF(Element_Stiffness!$C$110=5,IF(3=Element_Stiffness!$C$110,Element_Stiffness!Q136,IF(3=Element_Stiffness!$E$110,Element_Stiffness!W136,0)),IF(Element_Stiffness!$E$110=5,IF(3=Element_Stiffness!$C$110,Element_Stiffness!Q142,IF(3=Element_Stiffness!$E$110,Element_Stiffness!W142,0)),0)),0)+IF(Element_Stiffness!$C$146,IF(Element_Stiffness!$C$145=5,IF(3=Element_Stiffness!$C$145,Element_Stiffness!Q171,IF(3=Element_Stiffness!$E$145,Element_Stiffness!W171,0)),IF(Element_Stiffness!$E$145=5,IF(3=Element_Stiffness!$C$145,Element_Stiffness!Q177,IF(3=Element_Stiffness!$E$145,Element_Stiffness!W177,0)),0)),0)+IF(Element_Stiffness!$C$181,IF(Element_Stiffness!$C$180=5,IF(3=Element_Stiffness!$C$180,Element_Stiffness!Q206,IF(3=Element_Stiffness!$E$180,Element_Stiffness!W206,0)),IF(Element_Stiffness!$E$180=5,IF(3=Element_Stiffness!$C$180,Element_Stiffness!Q212,IF(3=Element_Stiffness!$E$180,Element_Stiffness!W212,0)),0)),0)+IF(Element_Stiffness!$C$216,IF(Element_Stiffness!$C$215=5,IF(3=Element_Stiffness!$C$215,Element_Stiffness!Q241,IF(3=Element_Stiffness!$E$215,Element_Stiffness!W241,0)),IF(Element_Stiffness!$E$215=5,IF(3=Element_Stiffness!$C$215,Element_Stiffness!Q247,IF(3=Element_Stiffness!$E$215,Element_Stiffness!W247,0)),0)),0)</f>
        <v/>
      </c>
      <c r="W40" s="21">
        <f>IF(Element_Stiffness!$C$6,IF(Element_Stiffness!$C$5=5,IF(3=Element_Stiffness!$C$5,Element_Stiffness!R31,IF(3=Element_Stiffness!$E$5,Element_Stiffness!X31,0)),IF(Element_Stiffness!$E$5=5,IF(3=Element_Stiffness!$C$5,Element_Stiffness!R37,IF(3=Element_Stiffness!$E$5,Element_Stiffness!X37,0)),0)),0)+IF(Element_Stiffness!$C$41,IF(Element_Stiffness!$C$40=5,IF(3=Element_Stiffness!$C$40,Element_Stiffness!R66,IF(3=Element_Stiffness!$E$40,Element_Stiffness!X66,0)),IF(Element_Stiffness!$E$40=5,IF(3=Element_Stiffness!$C$40,Element_Stiffness!R72,IF(3=Element_Stiffness!$E$40,Element_Stiffness!X72,0)),0)),0)+IF(Element_Stiffness!$C$76,IF(Element_Stiffness!$C$75=5,IF(3=Element_Stiffness!$C$75,Element_Stiffness!R101,IF(3=Element_Stiffness!$E$75,Element_Stiffness!X101,0)),IF(Element_Stiffness!$E$75=5,IF(3=Element_Stiffness!$C$75,Element_Stiffness!R107,IF(3=Element_Stiffness!$E$75,Element_Stiffness!X107,0)),0)),0)+IF(Element_Stiffness!$C$111,IF(Element_Stiffness!$C$110=5,IF(3=Element_Stiffness!$C$110,Element_Stiffness!R136,IF(3=Element_Stiffness!$E$110,Element_Stiffness!X136,0)),IF(Element_Stiffness!$E$110=5,IF(3=Element_Stiffness!$C$110,Element_Stiffness!R142,IF(3=Element_Stiffness!$E$110,Element_Stiffness!X142,0)),0)),0)+IF(Element_Stiffness!$C$146,IF(Element_Stiffness!$C$145=5,IF(3=Element_Stiffness!$C$145,Element_Stiffness!R171,IF(3=Element_Stiffness!$E$145,Element_Stiffness!X171,0)),IF(Element_Stiffness!$E$145=5,IF(3=Element_Stiffness!$C$145,Element_Stiffness!R177,IF(3=Element_Stiffness!$E$145,Element_Stiffness!X177,0)),0)),0)+IF(Element_Stiffness!$C$181,IF(Element_Stiffness!$C$180=5,IF(3=Element_Stiffness!$C$180,Element_Stiffness!R206,IF(3=Element_Stiffness!$E$180,Element_Stiffness!X206,0)),IF(Element_Stiffness!$E$180=5,IF(3=Element_Stiffness!$C$180,Element_Stiffness!R212,IF(3=Element_Stiffness!$E$180,Element_Stiffness!X212,0)),0)),0)+IF(Element_Stiffness!$C$216,IF(Element_Stiffness!$C$215=5,IF(3=Element_Stiffness!$C$215,Element_Stiffness!R241,IF(3=Element_Stiffness!$E$215,Element_Stiffness!X241,0)),IF(Element_Stiffness!$E$215=5,IF(3=Element_Stiffness!$C$215,Element_Stiffness!R247,IF(3=Element_Stiffness!$E$215,Element_Stiffness!X247,0)),0)),0)</f>
        <v/>
      </c>
      <c r="X40" s="21">
        <f>IF(Element_Stiffness!$C$6,IF(Element_Stiffness!$C$5=5,IF(3=Element_Stiffness!$C$5,Element_Stiffness!S31,IF(3=Element_Stiffness!$E$5,Element_Stiffness!Y31,0)),IF(Element_Stiffness!$E$5=5,IF(3=Element_Stiffness!$C$5,Element_Stiffness!S37,IF(3=Element_Stiffness!$E$5,Element_Stiffness!Y37,0)),0)),0)+IF(Element_Stiffness!$C$41,IF(Element_Stiffness!$C$40=5,IF(3=Element_Stiffness!$C$40,Element_Stiffness!S66,IF(3=Element_Stiffness!$E$40,Element_Stiffness!Y66,0)),IF(Element_Stiffness!$E$40=5,IF(3=Element_Stiffness!$C$40,Element_Stiffness!S72,IF(3=Element_Stiffness!$E$40,Element_Stiffness!Y72,0)),0)),0)+IF(Element_Stiffness!$C$76,IF(Element_Stiffness!$C$75=5,IF(3=Element_Stiffness!$C$75,Element_Stiffness!S101,IF(3=Element_Stiffness!$E$75,Element_Stiffness!Y101,0)),IF(Element_Stiffness!$E$75=5,IF(3=Element_Stiffness!$C$75,Element_Stiffness!S107,IF(3=Element_Stiffness!$E$75,Element_Stiffness!Y107,0)),0)),0)+IF(Element_Stiffness!$C$111,IF(Element_Stiffness!$C$110=5,IF(3=Element_Stiffness!$C$110,Element_Stiffness!S136,IF(3=Element_Stiffness!$E$110,Element_Stiffness!Y136,0)),IF(Element_Stiffness!$E$110=5,IF(3=Element_Stiffness!$C$110,Element_Stiffness!S142,IF(3=Element_Stiffness!$E$110,Element_Stiffness!Y142,0)),0)),0)+IF(Element_Stiffness!$C$146,IF(Element_Stiffness!$C$145=5,IF(3=Element_Stiffness!$C$145,Element_Stiffness!S171,IF(3=Element_Stiffness!$E$145,Element_Stiffness!Y171,0)),IF(Element_Stiffness!$E$145=5,IF(3=Element_Stiffness!$C$145,Element_Stiffness!S177,IF(3=Element_Stiffness!$E$145,Element_Stiffness!Y177,0)),0)),0)+IF(Element_Stiffness!$C$181,IF(Element_Stiffness!$C$180=5,IF(3=Element_Stiffness!$C$180,Element_Stiffness!S206,IF(3=Element_Stiffness!$E$180,Element_Stiffness!Y206,0)),IF(Element_Stiffness!$E$180=5,IF(3=Element_Stiffness!$C$180,Element_Stiffness!S212,IF(3=Element_Stiffness!$E$180,Element_Stiffness!Y212,0)),0)),0)+IF(Element_Stiffness!$C$216,IF(Element_Stiffness!$C$215=5,IF(3=Element_Stiffness!$C$215,Element_Stiffness!S241,IF(3=Element_Stiffness!$E$215,Element_Stiffness!Y241,0)),IF(Element_Stiffness!$E$215=5,IF(3=Element_Stiffness!$C$215,Element_Stiffness!S247,IF(3=Element_Stiffness!$E$215,Element_Stiffness!Y247,0)),0)),0)</f>
        <v/>
      </c>
      <c r="Y40" s="21">
        <f>IF(Element_Stiffness!$C$6,IF(Element_Stiffness!$C$5=5,IF(3=Element_Stiffness!$C$5,Element_Stiffness!T31,IF(3=Element_Stiffness!$E$5,Element_Stiffness!Z31,0)),IF(Element_Stiffness!$E$5=5,IF(3=Element_Stiffness!$C$5,Element_Stiffness!T37,IF(3=Element_Stiffness!$E$5,Element_Stiffness!Z37,0)),0)),0)+IF(Element_Stiffness!$C$41,IF(Element_Stiffness!$C$40=5,IF(3=Element_Stiffness!$C$40,Element_Stiffness!T66,IF(3=Element_Stiffness!$E$40,Element_Stiffness!Z66,0)),IF(Element_Stiffness!$E$40=5,IF(3=Element_Stiffness!$C$40,Element_Stiffness!T72,IF(3=Element_Stiffness!$E$40,Element_Stiffness!Z72,0)),0)),0)+IF(Element_Stiffness!$C$76,IF(Element_Stiffness!$C$75=5,IF(3=Element_Stiffness!$C$75,Element_Stiffness!T101,IF(3=Element_Stiffness!$E$75,Element_Stiffness!Z101,0)),IF(Element_Stiffness!$E$75=5,IF(3=Element_Stiffness!$C$75,Element_Stiffness!T107,IF(3=Element_Stiffness!$E$75,Element_Stiffness!Z107,0)),0)),0)+IF(Element_Stiffness!$C$111,IF(Element_Stiffness!$C$110=5,IF(3=Element_Stiffness!$C$110,Element_Stiffness!T136,IF(3=Element_Stiffness!$E$110,Element_Stiffness!Z136,0)),IF(Element_Stiffness!$E$110=5,IF(3=Element_Stiffness!$C$110,Element_Stiffness!T142,IF(3=Element_Stiffness!$E$110,Element_Stiffness!Z142,0)),0)),0)+IF(Element_Stiffness!$C$146,IF(Element_Stiffness!$C$145=5,IF(3=Element_Stiffness!$C$145,Element_Stiffness!T171,IF(3=Element_Stiffness!$E$145,Element_Stiffness!Z171,0)),IF(Element_Stiffness!$E$145=5,IF(3=Element_Stiffness!$C$145,Element_Stiffness!T177,IF(3=Element_Stiffness!$E$145,Element_Stiffness!Z177,0)),0)),0)+IF(Element_Stiffness!$C$181,IF(Element_Stiffness!$C$180=5,IF(3=Element_Stiffness!$C$180,Element_Stiffness!T206,IF(3=Element_Stiffness!$E$180,Element_Stiffness!Z206,0)),IF(Element_Stiffness!$E$180=5,IF(3=Element_Stiffness!$C$180,Element_Stiffness!T212,IF(3=Element_Stiffness!$E$180,Element_Stiffness!Z212,0)),0)),0)+IF(Element_Stiffness!$C$216,IF(Element_Stiffness!$C$215=5,IF(3=Element_Stiffness!$C$215,Element_Stiffness!T241,IF(3=Element_Stiffness!$E$215,Element_Stiffness!Z241,0)),IF(Element_Stiffness!$E$215=5,IF(3=Element_Stiffness!$C$215,Element_Stiffness!T247,IF(3=Element_Stiffness!$E$215,Element_Stiffness!Z247,0)),0)),0)</f>
        <v/>
      </c>
      <c r="Z40" s="21">
        <f>IF(Element_Stiffness!$C$6,IF(Element_Stiffness!$C$5=5,IF(3=Element_Stiffness!$C$5,Element_Stiffness!U31,IF(3=Element_Stiffness!$E$5,Element_Stiffness!AA31,0)),IF(Element_Stiffness!$E$5=5,IF(3=Element_Stiffness!$C$5,Element_Stiffness!U37,IF(3=Element_Stiffness!$E$5,Element_Stiffness!AA37,0)),0)),0)+IF(Element_Stiffness!$C$41,IF(Element_Stiffness!$C$40=5,IF(3=Element_Stiffness!$C$40,Element_Stiffness!U66,IF(3=Element_Stiffness!$E$40,Element_Stiffness!AA66,0)),IF(Element_Stiffness!$E$40=5,IF(3=Element_Stiffness!$C$40,Element_Stiffness!U72,IF(3=Element_Stiffness!$E$40,Element_Stiffness!AA72,0)),0)),0)+IF(Element_Stiffness!$C$76,IF(Element_Stiffness!$C$75=5,IF(3=Element_Stiffness!$C$75,Element_Stiffness!U101,IF(3=Element_Stiffness!$E$75,Element_Stiffness!AA101,0)),IF(Element_Stiffness!$E$75=5,IF(3=Element_Stiffness!$C$75,Element_Stiffness!U107,IF(3=Element_Stiffness!$E$75,Element_Stiffness!AA107,0)),0)),0)+IF(Element_Stiffness!$C$111,IF(Element_Stiffness!$C$110=5,IF(3=Element_Stiffness!$C$110,Element_Stiffness!U136,IF(3=Element_Stiffness!$E$110,Element_Stiffness!AA136,0)),IF(Element_Stiffness!$E$110=5,IF(3=Element_Stiffness!$C$110,Element_Stiffness!U142,IF(3=Element_Stiffness!$E$110,Element_Stiffness!AA142,0)),0)),0)+IF(Element_Stiffness!$C$146,IF(Element_Stiffness!$C$145=5,IF(3=Element_Stiffness!$C$145,Element_Stiffness!U171,IF(3=Element_Stiffness!$E$145,Element_Stiffness!AA171,0)),IF(Element_Stiffness!$E$145=5,IF(3=Element_Stiffness!$C$145,Element_Stiffness!U177,IF(3=Element_Stiffness!$E$145,Element_Stiffness!AA177,0)),0)),0)+IF(Element_Stiffness!$C$181,IF(Element_Stiffness!$C$180=5,IF(3=Element_Stiffness!$C$180,Element_Stiffness!U206,IF(3=Element_Stiffness!$E$180,Element_Stiffness!AA206,0)),IF(Element_Stiffness!$E$180=5,IF(3=Element_Stiffness!$C$180,Element_Stiffness!U212,IF(3=Element_Stiffness!$E$180,Element_Stiffness!AA212,0)),0)),0)+IF(Element_Stiffness!$C$216,IF(Element_Stiffness!$C$215=5,IF(3=Element_Stiffness!$C$215,Element_Stiffness!U241,IF(3=Element_Stiffness!$E$215,Element_Stiffness!AA241,0)),IF(Element_Stiffness!$E$215=5,IF(3=Element_Stiffness!$C$215,Element_Stiffness!U247,IF(3=Element_Stiffness!$E$215,Element_Stiffness!AA247,0)),0)),0)</f>
        <v/>
      </c>
      <c r="AA40" s="21">
        <f>IF(Element_Stiffness!$C$6,IF(Element_Stiffness!$C$5=5,IF(4=Element_Stiffness!$C$5,Element_Stiffness!P31,IF(4=Element_Stiffness!$E$5,Element_Stiffness!V31,0)),IF(Element_Stiffness!$E$5=5,IF(4=Element_Stiffness!$C$5,Element_Stiffness!P37,IF(4=Element_Stiffness!$E$5,Element_Stiffness!V37,0)),0)),0)+IF(Element_Stiffness!$C$41,IF(Element_Stiffness!$C$40=5,IF(4=Element_Stiffness!$C$40,Element_Stiffness!P66,IF(4=Element_Stiffness!$E$40,Element_Stiffness!V66,0)),IF(Element_Stiffness!$E$40=5,IF(4=Element_Stiffness!$C$40,Element_Stiffness!P72,IF(4=Element_Stiffness!$E$40,Element_Stiffness!V72,0)),0)),0)+IF(Element_Stiffness!$C$76,IF(Element_Stiffness!$C$75=5,IF(4=Element_Stiffness!$C$75,Element_Stiffness!P101,IF(4=Element_Stiffness!$E$75,Element_Stiffness!V101,0)),IF(Element_Stiffness!$E$75=5,IF(4=Element_Stiffness!$C$75,Element_Stiffness!P107,IF(4=Element_Stiffness!$E$75,Element_Stiffness!V107,0)),0)),0)+IF(Element_Stiffness!$C$111,IF(Element_Stiffness!$C$110=5,IF(4=Element_Stiffness!$C$110,Element_Stiffness!P136,IF(4=Element_Stiffness!$E$110,Element_Stiffness!V136,0)),IF(Element_Stiffness!$E$110=5,IF(4=Element_Stiffness!$C$110,Element_Stiffness!P142,IF(4=Element_Stiffness!$E$110,Element_Stiffness!V142,0)),0)),0)+IF(Element_Stiffness!$C$146,IF(Element_Stiffness!$C$145=5,IF(4=Element_Stiffness!$C$145,Element_Stiffness!P171,IF(4=Element_Stiffness!$E$145,Element_Stiffness!V171,0)),IF(Element_Stiffness!$E$145=5,IF(4=Element_Stiffness!$C$145,Element_Stiffness!P177,IF(4=Element_Stiffness!$E$145,Element_Stiffness!V177,0)),0)),0)+IF(Element_Stiffness!$C$181,IF(Element_Stiffness!$C$180=5,IF(4=Element_Stiffness!$C$180,Element_Stiffness!P206,IF(4=Element_Stiffness!$E$180,Element_Stiffness!V206,0)),IF(Element_Stiffness!$E$180=5,IF(4=Element_Stiffness!$C$180,Element_Stiffness!P212,IF(4=Element_Stiffness!$E$180,Element_Stiffness!V212,0)),0)),0)+IF(Element_Stiffness!$C$216,IF(Element_Stiffness!$C$215=5,IF(4=Element_Stiffness!$C$215,Element_Stiffness!P241,IF(4=Element_Stiffness!$E$215,Element_Stiffness!V241,0)),IF(Element_Stiffness!$E$215=5,IF(4=Element_Stiffness!$C$215,Element_Stiffness!P247,IF(4=Element_Stiffness!$E$215,Element_Stiffness!V247,0)),0)),0)</f>
        <v/>
      </c>
      <c r="AB40" s="21">
        <f>IF(Element_Stiffness!$C$6,IF(Element_Stiffness!$C$5=5,IF(4=Element_Stiffness!$C$5,Element_Stiffness!Q31,IF(4=Element_Stiffness!$E$5,Element_Stiffness!W31,0)),IF(Element_Stiffness!$E$5=5,IF(4=Element_Stiffness!$C$5,Element_Stiffness!Q37,IF(4=Element_Stiffness!$E$5,Element_Stiffness!W37,0)),0)),0)+IF(Element_Stiffness!$C$41,IF(Element_Stiffness!$C$40=5,IF(4=Element_Stiffness!$C$40,Element_Stiffness!Q66,IF(4=Element_Stiffness!$E$40,Element_Stiffness!W66,0)),IF(Element_Stiffness!$E$40=5,IF(4=Element_Stiffness!$C$40,Element_Stiffness!Q72,IF(4=Element_Stiffness!$E$40,Element_Stiffness!W72,0)),0)),0)+IF(Element_Stiffness!$C$76,IF(Element_Stiffness!$C$75=5,IF(4=Element_Stiffness!$C$75,Element_Stiffness!Q101,IF(4=Element_Stiffness!$E$75,Element_Stiffness!W101,0)),IF(Element_Stiffness!$E$75=5,IF(4=Element_Stiffness!$C$75,Element_Stiffness!Q107,IF(4=Element_Stiffness!$E$75,Element_Stiffness!W107,0)),0)),0)+IF(Element_Stiffness!$C$111,IF(Element_Stiffness!$C$110=5,IF(4=Element_Stiffness!$C$110,Element_Stiffness!Q136,IF(4=Element_Stiffness!$E$110,Element_Stiffness!W136,0)),IF(Element_Stiffness!$E$110=5,IF(4=Element_Stiffness!$C$110,Element_Stiffness!Q142,IF(4=Element_Stiffness!$E$110,Element_Stiffness!W142,0)),0)),0)+IF(Element_Stiffness!$C$146,IF(Element_Stiffness!$C$145=5,IF(4=Element_Stiffness!$C$145,Element_Stiffness!Q171,IF(4=Element_Stiffness!$E$145,Element_Stiffness!W171,0)),IF(Element_Stiffness!$E$145=5,IF(4=Element_Stiffness!$C$145,Element_Stiffness!Q177,IF(4=Element_Stiffness!$E$145,Element_Stiffness!W177,0)),0)),0)+IF(Element_Stiffness!$C$181,IF(Element_Stiffness!$C$180=5,IF(4=Element_Stiffness!$C$180,Element_Stiffness!Q206,IF(4=Element_Stiffness!$E$180,Element_Stiffness!W206,0)),IF(Element_Stiffness!$E$180=5,IF(4=Element_Stiffness!$C$180,Element_Stiffness!Q212,IF(4=Element_Stiffness!$E$180,Element_Stiffness!W212,0)),0)),0)+IF(Element_Stiffness!$C$216,IF(Element_Stiffness!$C$215=5,IF(4=Element_Stiffness!$C$215,Element_Stiffness!Q241,IF(4=Element_Stiffness!$E$215,Element_Stiffness!W241,0)),IF(Element_Stiffness!$E$215=5,IF(4=Element_Stiffness!$C$215,Element_Stiffness!Q247,IF(4=Element_Stiffness!$E$215,Element_Stiffness!W247,0)),0)),0)</f>
        <v/>
      </c>
      <c r="AC40" s="21">
        <f>IF(Element_Stiffness!$C$6,IF(Element_Stiffness!$C$5=5,IF(4=Element_Stiffness!$C$5,Element_Stiffness!R31,IF(4=Element_Stiffness!$E$5,Element_Stiffness!X31,0)),IF(Element_Stiffness!$E$5=5,IF(4=Element_Stiffness!$C$5,Element_Stiffness!R37,IF(4=Element_Stiffness!$E$5,Element_Stiffness!X37,0)),0)),0)+IF(Element_Stiffness!$C$41,IF(Element_Stiffness!$C$40=5,IF(4=Element_Stiffness!$C$40,Element_Stiffness!R66,IF(4=Element_Stiffness!$E$40,Element_Stiffness!X66,0)),IF(Element_Stiffness!$E$40=5,IF(4=Element_Stiffness!$C$40,Element_Stiffness!R72,IF(4=Element_Stiffness!$E$40,Element_Stiffness!X72,0)),0)),0)+IF(Element_Stiffness!$C$76,IF(Element_Stiffness!$C$75=5,IF(4=Element_Stiffness!$C$75,Element_Stiffness!R101,IF(4=Element_Stiffness!$E$75,Element_Stiffness!X101,0)),IF(Element_Stiffness!$E$75=5,IF(4=Element_Stiffness!$C$75,Element_Stiffness!R107,IF(4=Element_Stiffness!$E$75,Element_Stiffness!X107,0)),0)),0)+IF(Element_Stiffness!$C$111,IF(Element_Stiffness!$C$110=5,IF(4=Element_Stiffness!$C$110,Element_Stiffness!R136,IF(4=Element_Stiffness!$E$110,Element_Stiffness!X136,0)),IF(Element_Stiffness!$E$110=5,IF(4=Element_Stiffness!$C$110,Element_Stiffness!R142,IF(4=Element_Stiffness!$E$110,Element_Stiffness!X142,0)),0)),0)+IF(Element_Stiffness!$C$146,IF(Element_Stiffness!$C$145=5,IF(4=Element_Stiffness!$C$145,Element_Stiffness!R171,IF(4=Element_Stiffness!$E$145,Element_Stiffness!X171,0)),IF(Element_Stiffness!$E$145=5,IF(4=Element_Stiffness!$C$145,Element_Stiffness!R177,IF(4=Element_Stiffness!$E$145,Element_Stiffness!X177,0)),0)),0)+IF(Element_Stiffness!$C$181,IF(Element_Stiffness!$C$180=5,IF(4=Element_Stiffness!$C$180,Element_Stiffness!R206,IF(4=Element_Stiffness!$E$180,Element_Stiffness!X206,0)),IF(Element_Stiffness!$E$180=5,IF(4=Element_Stiffness!$C$180,Element_Stiffness!R212,IF(4=Element_Stiffness!$E$180,Element_Stiffness!X212,0)),0)),0)+IF(Element_Stiffness!$C$216,IF(Element_Stiffness!$C$215=5,IF(4=Element_Stiffness!$C$215,Element_Stiffness!R241,IF(4=Element_Stiffness!$E$215,Element_Stiffness!X241,0)),IF(Element_Stiffness!$E$215=5,IF(4=Element_Stiffness!$C$215,Element_Stiffness!R247,IF(4=Element_Stiffness!$E$215,Element_Stiffness!X247,0)),0)),0)</f>
        <v/>
      </c>
      <c r="AD40" s="21">
        <f>IF(Element_Stiffness!$C$6,IF(Element_Stiffness!$C$5=5,IF(4=Element_Stiffness!$C$5,Element_Stiffness!S31,IF(4=Element_Stiffness!$E$5,Element_Stiffness!Y31,0)),IF(Element_Stiffness!$E$5=5,IF(4=Element_Stiffness!$C$5,Element_Stiffness!S37,IF(4=Element_Stiffness!$E$5,Element_Stiffness!Y37,0)),0)),0)+IF(Element_Stiffness!$C$41,IF(Element_Stiffness!$C$40=5,IF(4=Element_Stiffness!$C$40,Element_Stiffness!S66,IF(4=Element_Stiffness!$E$40,Element_Stiffness!Y66,0)),IF(Element_Stiffness!$E$40=5,IF(4=Element_Stiffness!$C$40,Element_Stiffness!S72,IF(4=Element_Stiffness!$E$40,Element_Stiffness!Y72,0)),0)),0)+IF(Element_Stiffness!$C$76,IF(Element_Stiffness!$C$75=5,IF(4=Element_Stiffness!$C$75,Element_Stiffness!S101,IF(4=Element_Stiffness!$E$75,Element_Stiffness!Y101,0)),IF(Element_Stiffness!$E$75=5,IF(4=Element_Stiffness!$C$75,Element_Stiffness!S107,IF(4=Element_Stiffness!$E$75,Element_Stiffness!Y107,0)),0)),0)+IF(Element_Stiffness!$C$111,IF(Element_Stiffness!$C$110=5,IF(4=Element_Stiffness!$C$110,Element_Stiffness!S136,IF(4=Element_Stiffness!$E$110,Element_Stiffness!Y136,0)),IF(Element_Stiffness!$E$110=5,IF(4=Element_Stiffness!$C$110,Element_Stiffness!S142,IF(4=Element_Stiffness!$E$110,Element_Stiffness!Y142,0)),0)),0)+IF(Element_Stiffness!$C$146,IF(Element_Stiffness!$C$145=5,IF(4=Element_Stiffness!$C$145,Element_Stiffness!S171,IF(4=Element_Stiffness!$E$145,Element_Stiffness!Y171,0)),IF(Element_Stiffness!$E$145=5,IF(4=Element_Stiffness!$C$145,Element_Stiffness!S177,IF(4=Element_Stiffness!$E$145,Element_Stiffness!Y177,0)),0)),0)+IF(Element_Stiffness!$C$181,IF(Element_Stiffness!$C$180=5,IF(4=Element_Stiffness!$C$180,Element_Stiffness!S206,IF(4=Element_Stiffness!$E$180,Element_Stiffness!Y206,0)),IF(Element_Stiffness!$E$180=5,IF(4=Element_Stiffness!$C$180,Element_Stiffness!S212,IF(4=Element_Stiffness!$E$180,Element_Stiffness!Y212,0)),0)),0)+IF(Element_Stiffness!$C$216,IF(Element_Stiffness!$C$215=5,IF(4=Element_Stiffness!$C$215,Element_Stiffness!S241,IF(4=Element_Stiffness!$E$215,Element_Stiffness!Y241,0)),IF(Element_Stiffness!$E$215=5,IF(4=Element_Stiffness!$C$215,Element_Stiffness!S247,IF(4=Element_Stiffness!$E$215,Element_Stiffness!Y247,0)),0)),0)</f>
        <v/>
      </c>
      <c r="AE40" s="21">
        <f>IF(Element_Stiffness!$C$6,IF(Element_Stiffness!$C$5=5,IF(4=Element_Stiffness!$C$5,Element_Stiffness!T31,IF(4=Element_Stiffness!$E$5,Element_Stiffness!Z31,0)),IF(Element_Stiffness!$E$5=5,IF(4=Element_Stiffness!$C$5,Element_Stiffness!T37,IF(4=Element_Stiffness!$E$5,Element_Stiffness!Z37,0)),0)),0)+IF(Element_Stiffness!$C$41,IF(Element_Stiffness!$C$40=5,IF(4=Element_Stiffness!$C$40,Element_Stiffness!T66,IF(4=Element_Stiffness!$E$40,Element_Stiffness!Z66,0)),IF(Element_Stiffness!$E$40=5,IF(4=Element_Stiffness!$C$40,Element_Stiffness!T72,IF(4=Element_Stiffness!$E$40,Element_Stiffness!Z72,0)),0)),0)+IF(Element_Stiffness!$C$76,IF(Element_Stiffness!$C$75=5,IF(4=Element_Stiffness!$C$75,Element_Stiffness!T101,IF(4=Element_Stiffness!$E$75,Element_Stiffness!Z101,0)),IF(Element_Stiffness!$E$75=5,IF(4=Element_Stiffness!$C$75,Element_Stiffness!T107,IF(4=Element_Stiffness!$E$75,Element_Stiffness!Z107,0)),0)),0)+IF(Element_Stiffness!$C$111,IF(Element_Stiffness!$C$110=5,IF(4=Element_Stiffness!$C$110,Element_Stiffness!T136,IF(4=Element_Stiffness!$E$110,Element_Stiffness!Z136,0)),IF(Element_Stiffness!$E$110=5,IF(4=Element_Stiffness!$C$110,Element_Stiffness!T142,IF(4=Element_Stiffness!$E$110,Element_Stiffness!Z142,0)),0)),0)+IF(Element_Stiffness!$C$146,IF(Element_Stiffness!$C$145=5,IF(4=Element_Stiffness!$C$145,Element_Stiffness!T171,IF(4=Element_Stiffness!$E$145,Element_Stiffness!Z171,0)),IF(Element_Stiffness!$E$145=5,IF(4=Element_Stiffness!$C$145,Element_Stiffness!T177,IF(4=Element_Stiffness!$E$145,Element_Stiffness!Z177,0)),0)),0)+IF(Element_Stiffness!$C$181,IF(Element_Stiffness!$C$180=5,IF(4=Element_Stiffness!$C$180,Element_Stiffness!T206,IF(4=Element_Stiffness!$E$180,Element_Stiffness!Z206,0)),IF(Element_Stiffness!$E$180=5,IF(4=Element_Stiffness!$C$180,Element_Stiffness!T212,IF(4=Element_Stiffness!$E$180,Element_Stiffness!Z212,0)),0)),0)+IF(Element_Stiffness!$C$216,IF(Element_Stiffness!$C$215=5,IF(4=Element_Stiffness!$C$215,Element_Stiffness!T241,IF(4=Element_Stiffness!$E$215,Element_Stiffness!Z241,0)),IF(Element_Stiffness!$E$215=5,IF(4=Element_Stiffness!$C$215,Element_Stiffness!T247,IF(4=Element_Stiffness!$E$215,Element_Stiffness!Z247,0)),0)),0)</f>
        <v/>
      </c>
      <c r="AF40" s="21">
        <f>IF(Element_Stiffness!$C$6,IF(Element_Stiffness!$C$5=5,IF(4=Element_Stiffness!$C$5,Element_Stiffness!U31,IF(4=Element_Stiffness!$E$5,Element_Stiffness!AA31,0)),IF(Element_Stiffness!$E$5=5,IF(4=Element_Stiffness!$C$5,Element_Stiffness!U37,IF(4=Element_Stiffness!$E$5,Element_Stiffness!AA37,0)),0)),0)+IF(Element_Stiffness!$C$41,IF(Element_Stiffness!$C$40=5,IF(4=Element_Stiffness!$C$40,Element_Stiffness!U66,IF(4=Element_Stiffness!$E$40,Element_Stiffness!AA66,0)),IF(Element_Stiffness!$E$40=5,IF(4=Element_Stiffness!$C$40,Element_Stiffness!U72,IF(4=Element_Stiffness!$E$40,Element_Stiffness!AA72,0)),0)),0)+IF(Element_Stiffness!$C$76,IF(Element_Stiffness!$C$75=5,IF(4=Element_Stiffness!$C$75,Element_Stiffness!U101,IF(4=Element_Stiffness!$E$75,Element_Stiffness!AA101,0)),IF(Element_Stiffness!$E$75=5,IF(4=Element_Stiffness!$C$75,Element_Stiffness!U107,IF(4=Element_Stiffness!$E$75,Element_Stiffness!AA107,0)),0)),0)+IF(Element_Stiffness!$C$111,IF(Element_Stiffness!$C$110=5,IF(4=Element_Stiffness!$C$110,Element_Stiffness!U136,IF(4=Element_Stiffness!$E$110,Element_Stiffness!AA136,0)),IF(Element_Stiffness!$E$110=5,IF(4=Element_Stiffness!$C$110,Element_Stiffness!U142,IF(4=Element_Stiffness!$E$110,Element_Stiffness!AA142,0)),0)),0)+IF(Element_Stiffness!$C$146,IF(Element_Stiffness!$C$145=5,IF(4=Element_Stiffness!$C$145,Element_Stiffness!U171,IF(4=Element_Stiffness!$E$145,Element_Stiffness!AA171,0)),IF(Element_Stiffness!$E$145=5,IF(4=Element_Stiffness!$C$145,Element_Stiffness!U177,IF(4=Element_Stiffness!$E$145,Element_Stiffness!AA177,0)),0)),0)+IF(Element_Stiffness!$C$181,IF(Element_Stiffness!$C$180=5,IF(4=Element_Stiffness!$C$180,Element_Stiffness!U206,IF(4=Element_Stiffness!$E$180,Element_Stiffness!AA206,0)),IF(Element_Stiffness!$E$180=5,IF(4=Element_Stiffness!$C$180,Element_Stiffness!U212,IF(4=Element_Stiffness!$E$180,Element_Stiffness!AA212,0)),0)),0)+IF(Element_Stiffness!$C$216,IF(Element_Stiffness!$C$215=5,IF(4=Element_Stiffness!$C$215,Element_Stiffness!U241,IF(4=Element_Stiffness!$E$215,Element_Stiffness!AA241,0)),IF(Element_Stiffness!$E$215=5,IF(4=Element_Stiffness!$C$215,Element_Stiffness!U247,IF(4=Element_Stiffness!$E$215,Element_Stiffness!AA247,0)),0)),0)</f>
        <v/>
      </c>
      <c r="AG40" s="21">
        <f>IF(Element_Stiffness!$C$6,IF(Element_Stiffness!$C$5=5,IF(5=Element_Stiffness!$C$5,Element_Stiffness!P31,IF(5=Element_Stiffness!$E$5,Element_Stiffness!V31,0)),IF(Element_Stiffness!$E$5=5,IF(5=Element_Stiffness!$C$5,Element_Stiffness!P37,IF(5=Element_Stiffness!$E$5,Element_Stiffness!V37,0)),0)),0)+IF(Element_Stiffness!$C$41,IF(Element_Stiffness!$C$40=5,IF(5=Element_Stiffness!$C$40,Element_Stiffness!P66,IF(5=Element_Stiffness!$E$40,Element_Stiffness!V66,0)),IF(Element_Stiffness!$E$40=5,IF(5=Element_Stiffness!$C$40,Element_Stiffness!P72,IF(5=Element_Stiffness!$E$40,Element_Stiffness!V72,0)),0)),0)+IF(Element_Stiffness!$C$76,IF(Element_Stiffness!$C$75=5,IF(5=Element_Stiffness!$C$75,Element_Stiffness!P101,IF(5=Element_Stiffness!$E$75,Element_Stiffness!V101,0)),IF(Element_Stiffness!$E$75=5,IF(5=Element_Stiffness!$C$75,Element_Stiffness!P107,IF(5=Element_Stiffness!$E$75,Element_Stiffness!V107,0)),0)),0)+IF(Element_Stiffness!$C$111,IF(Element_Stiffness!$C$110=5,IF(5=Element_Stiffness!$C$110,Element_Stiffness!P136,IF(5=Element_Stiffness!$E$110,Element_Stiffness!V136,0)),IF(Element_Stiffness!$E$110=5,IF(5=Element_Stiffness!$C$110,Element_Stiffness!P142,IF(5=Element_Stiffness!$E$110,Element_Stiffness!V142,0)),0)),0)+IF(Element_Stiffness!$C$146,IF(Element_Stiffness!$C$145=5,IF(5=Element_Stiffness!$C$145,Element_Stiffness!P171,IF(5=Element_Stiffness!$E$145,Element_Stiffness!V171,0)),IF(Element_Stiffness!$E$145=5,IF(5=Element_Stiffness!$C$145,Element_Stiffness!P177,IF(5=Element_Stiffness!$E$145,Element_Stiffness!V177,0)),0)),0)+IF(Element_Stiffness!$C$181,IF(Element_Stiffness!$C$180=5,IF(5=Element_Stiffness!$C$180,Element_Stiffness!P206,IF(5=Element_Stiffness!$E$180,Element_Stiffness!V206,0)),IF(Element_Stiffness!$E$180=5,IF(5=Element_Stiffness!$C$180,Element_Stiffness!P212,IF(5=Element_Stiffness!$E$180,Element_Stiffness!V212,0)),0)),0)+IF(Element_Stiffness!$C$216,IF(Element_Stiffness!$C$215=5,IF(5=Element_Stiffness!$C$215,Element_Stiffness!P241,IF(5=Element_Stiffness!$E$215,Element_Stiffness!V241,0)),IF(Element_Stiffness!$E$215=5,IF(5=Element_Stiffness!$C$215,Element_Stiffness!P247,IF(5=Element_Stiffness!$E$215,Element_Stiffness!V247,0)),0)),0)</f>
        <v/>
      </c>
      <c r="AH40" s="21">
        <f>IF(Element_Stiffness!$C$6,IF(Element_Stiffness!$C$5=5,IF(5=Element_Stiffness!$C$5,Element_Stiffness!Q31,IF(5=Element_Stiffness!$E$5,Element_Stiffness!W31,0)),IF(Element_Stiffness!$E$5=5,IF(5=Element_Stiffness!$C$5,Element_Stiffness!Q37,IF(5=Element_Stiffness!$E$5,Element_Stiffness!W37,0)),0)),0)+IF(Element_Stiffness!$C$41,IF(Element_Stiffness!$C$40=5,IF(5=Element_Stiffness!$C$40,Element_Stiffness!Q66,IF(5=Element_Stiffness!$E$40,Element_Stiffness!W66,0)),IF(Element_Stiffness!$E$40=5,IF(5=Element_Stiffness!$C$40,Element_Stiffness!Q72,IF(5=Element_Stiffness!$E$40,Element_Stiffness!W72,0)),0)),0)+IF(Element_Stiffness!$C$76,IF(Element_Stiffness!$C$75=5,IF(5=Element_Stiffness!$C$75,Element_Stiffness!Q101,IF(5=Element_Stiffness!$E$75,Element_Stiffness!W101,0)),IF(Element_Stiffness!$E$75=5,IF(5=Element_Stiffness!$C$75,Element_Stiffness!Q107,IF(5=Element_Stiffness!$E$75,Element_Stiffness!W107,0)),0)),0)+IF(Element_Stiffness!$C$111,IF(Element_Stiffness!$C$110=5,IF(5=Element_Stiffness!$C$110,Element_Stiffness!Q136,IF(5=Element_Stiffness!$E$110,Element_Stiffness!W136,0)),IF(Element_Stiffness!$E$110=5,IF(5=Element_Stiffness!$C$110,Element_Stiffness!Q142,IF(5=Element_Stiffness!$E$110,Element_Stiffness!W142,0)),0)),0)+IF(Element_Stiffness!$C$146,IF(Element_Stiffness!$C$145=5,IF(5=Element_Stiffness!$C$145,Element_Stiffness!Q171,IF(5=Element_Stiffness!$E$145,Element_Stiffness!W171,0)),IF(Element_Stiffness!$E$145=5,IF(5=Element_Stiffness!$C$145,Element_Stiffness!Q177,IF(5=Element_Stiffness!$E$145,Element_Stiffness!W177,0)),0)),0)+IF(Element_Stiffness!$C$181,IF(Element_Stiffness!$C$180=5,IF(5=Element_Stiffness!$C$180,Element_Stiffness!Q206,IF(5=Element_Stiffness!$E$180,Element_Stiffness!W206,0)),IF(Element_Stiffness!$E$180=5,IF(5=Element_Stiffness!$C$180,Element_Stiffness!Q212,IF(5=Element_Stiffness!$E$180,Element_Stiffness!W212,0)),0)),0)+IF(Element_Stiffness!$C$216,IF(Element_Stiffness!$C$215=5,IF(5=Element_Stiffness!$C$215,Element_Stiffness!Q241,IF(5=Element_Stiffness!$E$215,Element_Stiffness!W241,0)),IF(Element_Stiffness!$E$215=5,IF(5=Element_Stiffness!$C$215,Element_Stiffness!Q247,IF(5=Element_Stiffness!$E$215,Element_Stiffness!W247,0)),0)),0)</f>
        <v/>
      </c>
      <c r="AI40" s="21">
        <f>IF(Element_Stiffness!$C$6,IF(Element_Stiffness!$C$5=5,IF(5=Element_Stiffness!$C$5,Element_Stiffness!R31,IF(5=Element_Stiffness!$E$5,Element_Stiffness!X31,0)),IF(Element_Stiffness!$E$5=5,IF(5=Element_Stiffness!$C$5,Element_Stiffness!R37,IF(5=Element_Stiffness!$E$5,Element_Stiffness!X37,0)),0)),0)+IF(Element_Stiffness!$C$41,IF(Element_Stiffness!$C$40=5,IF(5=Element_Stiffness!$C$40,Element_Stiffness!R66,IF(5=Element_Stiffness!$E$40,Element_Stiffness!X66,0)),IF(Element_Stiffness!$E$40=5,IF(5=Element_Stiffness!$C$40,Element_Stiffness!R72,IF(5=Element_Stiffness!$E$40,Element_Stiffness!X72,0)),0)),0)+IF(Element_Stiffness!$C$76,IF(Element_Stiffness!$C$75=5,IF(5=Element_Stiffness!$C$75,Element_Stiffness!R101,IF(5=Element_Stiffness!$E$75,Element_Stiffness!X101,0)),IF(Element_Stiffness!$E$75=5,IF(5=Element_Stiffness!$C$75,Element_Stiffness!R107,IF(5=Element_Stiffness!$E$75,Element_Stiffness!X107,0)),0)),0)+IF(Element_Stiffness!$C$111,IF(Element_Stiffness!$C$110=5,IF(5=Element_Stiffness!$C$110,Element_Stiffness!R136,IF(5=Element_Stiffness!$E$110,Element_Stiffness!X136,0)),IF(Element_Stiffness!$E$110=5,IF(5=Element_Stiffness!$C$110,Element_Stiffness!R142,IF(5=Element_Stiffness!$E$110,Element_Stiffness!X142,0)),0)),0)+IF(Element_Stiffness!$C$146,IF(Element_Stiffness!$C$145=5,IF(5=Element_Stiffness!$C$145,Element_Stiffness!R171,IF(5=Element_Stiffness!$E$145,Element_Stiffness!X171,0)),IF(Element_Stiffness!$E$145=5,IF(5=Element_Stiffness!$C$145,Element_Stiffness!R177,IF(5=Element_Stiffness!$E$145,Element_Stiffness!X177,0)),0)),0)+IF(Element_Stiffness!$C$181,IF(Element_Stiffness!$C$180=5,IF(5=Element_Stiffness!$C$180,Element_Stiffness!R206,IF(5=Element_Stiffness!$E$180,Element_Stiffness!X206,0)),IF(Element_Stiffness!$E$180=5,IF(5=Element_Stiffness!$C$180,Element_Stiffness!R212,IF(5=Element_Stiffness!$E$180,Element_Stiffness!X212,0)),0)),0)+IF(Element_Stiffness!$C$216,IF(Element_Stiffness!$C$215=5,IF(5=Element_Stiffness!$C$215,Element_Stiffness!R241,IF(5=Element_Stiffness!$E$215,Element_Stiffness!X241,0)),IF(Element_Stiffness!$E$215=5,IF(5=Element_Stiffness!$C$215,Element_Stiffness!R247,IF(5=Element_Stiffness!$E$215,Element_Stiffness!X247,0)),0)),0)</f>
        <v/>
      </c>
      <c r="AJ40" s="21">
        <f>IF(Element_Stiffness!$C$6,IF(Element_Stiffness!$C$5=5,IF(5=Element_Stiffness!$C$5,Element_Stiffness!S31,IF(5=Element_Stiffness!$E$5,Element_Stiffness!Y31,0)),IF(Element_Stiffness!$E$5=5,IF(5=Element_Stiffness!$C$5,Element_Stiffness!S37,IF(5=Element_Stiffness!$E$5,Element_Stiffness!Y37,0)),0)),0)+IF(Element_Stiffness!$C$41,IF(Element_Stiffness!$C$40=5,IF(5=Element_Stiffness!$C$40,Element_Stiffness!S66,IF(5=Element_Stiffness!$E$40,Element_Stiffness!Y66,0)),IF(Element_Stiffness!$E$40=5,IF(5=Element_Stiffness!$C$40,Element_Stiffness!S72,IF(5=Element_Stiffness!$E$40,Element_Stiffness!Y72,0)),0)),0)+IF(Element_Stiffness!$C$76,IF(Element_Stiffness!$C$75=5,IF(5=Element_Stiffness!$C$75,Element_Stiffness!S101,IF(5=Element_Stiffness!$E$75,Element_Stiffness!Y101,0)),IF(Element_Stiffness!$E$75=5,IF(5=Element_Stiffness!$C$75,Element_Stiffness!S107,IF(5=Element_Stiffness!$E$75,Element_Stiffness!Y107,0)),0)),0)+IF(Element_Stiffness!$C$111,IF(Element_Stiffness!$C$110=5,IF(5=Element_Stiffness!$C$110,Element_Stiffness!S136,IF(5=Element_Stiffness!$E$110,Element_Stiffness!Y136,0)),IF(Element_Stiffness!$E$110=5,IF(5=Element_Stiffness!$C$110,Element_Stiffness!S142,IF(5=Element_Stiffness!$E$110,Element_Stiffness!Y142,0)),0)),0)+IF(Element_Stiffness!$C$146,IF(Element_Stiffness!$C$145=5,IF(5=Element_Stiffness!$C$145,Element_Stiffness!S171,IF(5=Element_Stiffness!$E$145,Element_Stiffness!Y171,0)),IF(Element_Stiffness!$E$145=5,IF(5=Element_Stiffness!$C$145,Element_Stiffness!S177,IF(5=Element_Stiffness!$E$145,Element_Stiffness!Y177,0)),0)),0)+IF(Element_Stiffness!$C$181,IF(Element_Stiffness!$C$180=5,IF(5=Element_Stiffness!$C$180,Element_Stiffness!S206,IF(5=Element_Stiffness!$E$180,Element_Stiffness!Y206,0)),IF(Element_Stiffness!$E$180=5,IF(5=Element_Stiffness!$C$180,Element_Stiffness!S212,IF(5=Element_Stiffness!$E$180,Element_Stiffness!Y212,0)),0)),0)+IF(Element_Stiffness!$C$216,IF(Element_Stiffness!$C$215=5,IF(5=Element_Stiffness!$C$215,Element_Stiffness!S241,IF(5=Element_Stiffness!$E$215,Element_Stiffness!Y241,0)),IF(Element_Stiffness!$E$215=5,IF(5=Element_Stiffness!$C$215,Element_Stiffness!S247,IF(5=Element_Stiffness!$E$215,Element_Stiffness!Y247,0)),0)),0)</f>
        <v/>
      </c>
      <c r="AK40" s="21">
        <f>IF(Element_Stiffness!$C$6,IF(Element_Stiffness!$C$5=5,IF(5=Element_Stiffness!$C$5,Element_Stiffness!T31,IF(5=Element_Stiffness!$E$5,Element_Stiffness!Z31,0)),IF(Element_Stiffness!$E$5=5,IF(5=Element_Stiffness!$C$5,Element_Stiffness!T37,IF(5=Element_Stiffness!$E$5,Element_Stiffness!Z37,0)),0)),0)+IF(Element_Stiffness!$C$41,IF(Element_Stiffness!$C$40=5,IF(5=Element_Stiffness!$C$40,Element_Stiffness!T66,IF(5=Element_Stiffness!$E$40,Element_Stiffness!Z66,0)),IF(Element_Stiffness!$E$40=5,IF(5=Element_Stiffness!$C$40,Element_Stiffness!T72,IF(5=Element_Stiffness!$E$40,Element_Stiffness!Z72,0)),0)),0)+IF(Element_Stiffness!$C$76,IF(Element_Stiffness!$C$75=5,IF(5=Element_Stiffness!$C$75,Element_Stiffness!T101,IF(5=Element_Stiffness!$E$75,Element_Stiffness!Z101,0)),IF(Element_Stiffness!$E$75=5,IF(5=Element_Stiffness!$C$75,Element_Stiffness!T107,IF(5=Element_Stiffness!$E$75,Element_Stiffness!Z107,0)),0)),0)+IF(Element_Stiffness!$C$111,IF(Element_Stiffness!$C$110=5,IF(5=Element_Stiffness!$C$110,Element_Stiffness!T136,IF(5=Element_Stiffness!$E$110,Element_Stiffness!Z136,0)),IF(Element_Stiffness!$E$110=5,IF(5=Element_Stiffness!$C$110,Element_Stiffness!T142,IF(5=Element_Stiffness!$E$110,Element_Stiffness!Z142,0)),0)),0)+IF(Element_Stiffness!$C$146,IF(Element_Stiffness!$C$145=5,IF(5=Element_Stiffness!$C$145,Element_Stiffness!T171,IF(5=Element_Stiffness!$E$145,Element_Stiffness!Z171,0)),IF(Element_Stiffness!$E$145=5,IF(5=Element_Stiffness!$C$145,Element_Stiffness!T177,IF(5=Element_Stiffness!$E$145,Element_Stiffness!Z177,0)),0)),0)+IF(Element_Stiffness!$C$181,IF(Element_Stiffness!$C$180=5,IF(5=Element_Stiffness!$C$180,Element_Stiffness!T206,IF(5=Element_Stiffness!$E$180,Element_Stiffness!Z206,0)),IF(Element_Stiffness!$E$180=5,IF(5=Element_Stiffness!$C$180,Element_Stiffness!T212,IF(5=Element_Stiffness!$E$180,Element_Stiffness!Z212,0)),0)),0)+IF(Element_Stiffness!$C$216,IF(Element_Stiffness!$C$215=5,IF(5=Element_Stiffness!$C$215,Element_Stiffness!T241,IF(5=Element_Stiffness!$E$215,Element_Stiffness!Z241,0)),IF(Element_Stiffness!$E$215=5,IF(5=Element_Stiffness!$C$215,Element_Stiffness!T247,IF(5=Element_Stiffness!$E$215,Element_Stiffness!Z247,0)),0)),0)</f>
        <v/>
      </c>
      <c r="AL40" s="21">
        <f>IF(Element_Stiffness!$C$6,IF(Element_Stiffness!$C$5=5,IF(5=Element_Stiffness!$C$5,Element_Stiffness!U31,IF(5=Element_Stiffness!$E$5,Element_Stiffness!AA31,0)),IF(Element_Stiffness!$E$5=5,IF(5=Element_Stiffness!$C$5,Element_Stiffness!U37,IF(5=Element_Stiffness!$E$5,Element_Stiffness!AA37,0)),0)),0)+IF(Element_Stiffness!$C$41,IF(Element_Stiffness!$C$40=5,IF(5=Element_Stiffness!$C$40,Element_Stiffness!U66,IF(5=Element_Stiffness!$E$40,Element_Stiffness!AA66,0)),IF(Element_Stiffness!$E$40=5,IF(5=Element_Stiffness!$C$40,Element_Stiffness!U72,IF(5=Element_Stiffness!$E$40,Element_Stiffness!AA72,0)),0)),0)+IF(Element_Stiffness!$C$76,IF(Element_Stiffness!$C$75=5,IF(5=Element_Stiffness!$C$75,Element_Stiffness!U101,IF(5=Element_Stiffness!$E$75,Element_Stiffness!AA101,0)),IF(Element_Stiffness!$E$75=5,IF(5=Element_Stiffness!$C$75,Element_Stiffness!U107,IF(5=Element_Stiffness!$E$75,Element_Stiffness!AA107,0)),0)),0)+IF(Element_Stiffness!$C$111,IF(Element_Stiffness!$C$110=5,IF(5=Element_Stiffness!$C$110,Element_Stiffness!U136,IF(5=Element_Stiffness!$E$110,Element_Stiffness!AA136,0)),IF(Element_Stiffness!$E$110=5,IF(5=Element_Stiffness!$C$110,Element_Stiffness!U142,IF(5=Element_Stiffness!$E$110,Element_Stiffness!AA142,0)),0)),0)+IF(Element_Stiffness!$C$146,IF(Element_Stiffness!$C$145=5,IF(5=Element_Stiffness!$C$145,Element_Stiffness!U171,IF(5=Element_Stiffness!$E$145,Element_Stiffness!AA171,0)),IF(Element_Stiffness!$E$145=5,IF(5=Element_Stiffness!$C$145,Element_Stiffness!U177,IF(5=Element_Stiffness!$E$145,Element_Stiffness!AA177,0)),0)),0)+IF(Element_Stiffness!$C$181,IF(Element_Stiffness!$C$180=5,IF(5=Element_Stiffness!$C$180,Element_Stiffness!U206,IF(5=Element_Stiffness!$E$180,Element_Stiffness!AA206,0)),IF(Element_Stiffness!$E$180=5,IF(5=Element_Stiffness!$C$180,Element_Stiffness!U212,IF(5=Element_Stiffness!$E$180,Element_Stiffness!AA212,0)),0)),0)+IF(Element_Stiffness!$C$216,IF(Element_Stiffness!$C$215=5,IF(5=Element_Stiffness!$C$215,Element_Stiffness!U241,IF(5=Element_Stiffness!$E$215,Element_Stiffness!AA241,0)),IF(Element_Stiffness!$E$215=5,IF(5=Element_Stiffness!$C$215,Element_Stiffness!U247,IF(5=Element_Stiffness!$E$215,Element_Stiffness!AA247,0)),0)),0)+IF(Inputs!H45=TRUE,1E15,IF(ISNUMBER(Inputs!H45),Inputs!H45,0))</f>
        <v/>
      </c>
      <c r="AM40" s="21">
        <f>IF(Element_Stiffness!$C$6,IF(Element_Stiffness!$C$5=5,IF(6=Element_Stiffness!$C$5,Element_Stiffness!P31,IF(6=Element_Stiffness!$E$5,Element_Stiffness!V31,0)),IF(Element_Stiffness!$E$5=5,IF(6=Element_Stiffness!$C$5,Element_Stiffness!P37,IF(6=Element_Stiffness!$E$5,Element_Stiffness!V37,0)),0)),0)+IF(Element_Stiffness!$C$41,IF(Element_Stiffness!$C$40=5,IF(6=Element_Stiffness!$C$40,Element_Stiffness!P66,IF(6=Element_Stiffness!$E$40,Element_Stiffness!V66,0)),IF(Element_Stiffness!$E$40=5,IF(6=Element_Stiffness!$C$40,Element_Stiffness!P72,IF(6=Element_Stiffness!$E$40,Element_Stiffness!V72,0)),0)),0)+IF(Element_Stiffness!$C$76,IF(Element_Stiffness!$C$75=5,IF(6=Element_Stiffness!$C$75,Element_Stiffness!P101,IF(6=Element_Stiffness!$E$75,Element_Stiffness!V101,0)),IF(Element_Stiffness!$E$75=5,IF(6=Element_Stiffness!$C$75,Element_Stiffness!P107,IF(6=Element_Stiffness!$E$75,Element_Stiffness!V107,0)),0)),0)+IF(Element_Stiffness!$C$111,IF(Element_Stiffness!$C$110=5,IF(6=Element_Stiffness!$C$110,Element_Stiffness!P136,IF(6=Element_Stiffness!$E$110,Element_Stiffness!V136,0)),IF(Element_Stiffness!$E$110=5,IF(6=Element_Stiffness!$C$110,Element_Stiffness!P142,IF(6=Element_Stiffness!$E$110,Element_Stiffness!V142,0)),0)),0)+IF(Element_Stiffness!$C$146,IF(Element_Stiffness!$C$145=5,IF(6=Element_Stiffness!$C$145,Element_Stiffness!P171,IF(6=Element_Stiffness!$E$145,Element_Stiffness!V171,0)),IF(Element_Stiffness!$E$145=5,IF(6=Element_Stiffness!$C$145,Element_Stiffness!P177,IF(6=Element_Stiffness!$E$145,Element_Stiffness!V177,0)),0)),0)+IF(Element_Stiffness!$C$181,IF(Element_Stiffness!$C$180=5,IF(6=Element_Stiffness!$C$180,Element_Stiffness!P206,IF(6=Element_Stiffness!$E$180,Element_Stiffness!V206,0)),IF(Element_Stiffness!$E$180=5,IF(6=Element_Stiffness!$C$180,Element_Stiffness!P212,IF(6=Element_Stiffness!$E$180,Element_Stiffness!V212,0)),0)),0)+IF(Element_Stiffness!$C$216,IF(Element_Stiffness!$C$215=5,IF(6=Element_Stiffness!$C$215,Element_Stiffness!P241,IF(6=Element_Stiffness!$E$215,Element_Stiffness!V241,0)),IF(Element_Stiffness!$E$215=5,IF(6=Element_Stiffness!$C$215,Element_Stiffness!P247,IF(6=Element_Stiffness!$E$215,Element_Stiffness!V247,0)),0)),0)</f>
        <v/>
      </c>
      <c r="AN40" s="21">
        <f>IF(Element_Stiffness!$C$6,IF(Element_Stiffness!$C$5=5,IF(6=Element_Stiffness!$C$5,Element_Stiffness!Q31,IF(6=Element_Stiffness!$E$5,Element_Stiffness!W31,0)),IF(Element_Stiffness!$E$5=5,IF(6=Element_Stiffness!$C$5,Element_Stiffness!Q37,IF(6=Element_Stiffness!$E$5,Element_Stiffness!W37,0)),0)),0)+IF(Element_Stiffness!$C$41,IF(Element_Stiffness!$C$40=5,IF(6=Element_Stiffness!$C$40,Element_Stiffness!Q66,IF(6=Element_Stiffness!$E$40,Element_Stiffness!W66,0)),IF(Element_Stiffness!$E$40=5,IF(6=Element_Stiffness!$C$40,Element_Stiffness!Q72,IF(6=Element_Stiffness!$E$40,Element_Stiffness!W72,0)),0)),0)+IF(Element_Stiffness!$C$76,IF(Element_Stiffness!$C$75=5,IF(6=Element_Stiffness!$C$75,Element_Stiffness!Q101,IF(6=Element_Stiffness!$E$75,Element_Stiffness!W101,0)),IF(Element_Stiffness!$E$75=5,IF(6=Element_Stiffness!$C$75,Element_Stiffness!Q107,IF(6=Element_Stiffness!$E$75,Element_Stiffness!W107,0)),0)),0)+IF(Element_Stiffness!$C$111,IF(Element_Stiffness!$C$110=5,IF(6=Element_Stiffness!$C$110,Element_Stiffness!Q136,IF(6=Element_Stiffness!$E$110,Element_Stiffness!W136,0)),IF(Element_Stiffness!$E$110=5,IF(6=Element_Stiffness!$C$110,Element_Stiffness!Q142,IF(6=Element_Stiffness!$E$110,Element_Stiffness!W142,0)),0)),0)+IF(Element_Stiffness!$C$146,IF(Element_Stiffness!$C$145=5,IF(6=Element_Stiffness!$C$145,Element_Stiffness!Q171,IF(6=Element_Stiffness!$E$145,Element_Stiffness!W171,0)),IF(Element_Stiffness!$E$145=5,IF(6=Element_Stiffness!$C$145,Element_Stiffness!Q177,IF(6=Element_Stiffness!$E$145,Element_Stiffness!W177,0)),0)),0)+IF(Element_Stiffness!$C$181,IF(Element_Stiffness!$C$180=5,IF(6=Element_Stiffness!$C$180,Element_Stiffness!Q206,IF(6=Element_Stiffness!$E$180,Element_Stiffness!W206,0)),IF(Element_Stiffness!$E$180=5,IF(6=Element_Stiffness!$C$180,Element_Stiffness!Q212,IF(6=Element_Stiffness!$E$180,Element_Stiffness!W212,0)),0)),0)+IF(Element_Stiffness!$C$216,IF(Element_Stiffness!$C$215=5,IF(6=Element_Stiffness!$C$215,Element_Stiffness!Q241,IF(6=Element_Stiffness!$E$215,Element_Stiffness!W241,0)),IF(Element_Stiffness!$E$215=5,IF(6=Element_Stiffness!$C$215,Element_Stiffness!Q247,IF(6=Element_Stiffness!$E$215,Element_Stiffness!W247,0)),0)),0)</f>
        <v/>
      </c>
      <c r="AO40" s="21">
        <f>IF(Element_Stiffness!$C$6,IF(Element_Stiffness!$C$5=5,IF(6=Element_Stiffness!$C$5,Element_Stiffness!R31,IF(6=Element_Stiffness!$E$5,Element_Stiffness!X31,0)),IF(Element_Stiffness!$E$5=5,IF(6=Element_Stiffness!$C$5,Element_Stiffness!R37,IF(6=Element_Stiffness!$E$5,Element_Stiffness!X37,0)),0)),0)+IF(Element_Stiffness!$C$41,IF(Element_Stiffness!$C$40=5,IF(6=Element_Stiffness!$C$40,Element_Stiffness!R66,IF(6=Element_Stiffness!$E$40,Element_Stiffness!X66,0)),IF(Element_Stiffness!$E$40=5,IF(6=Element_Stiffness!$C$40,Element_Stiffness!R72,IF(6=Element_Stiffness!$E$40,Element_Stiffness!X72,0)),0)),0)+IF(Element_Stiffness!$C$76,IF(Element_Stiffness!$C$75=5,IF(6=Element_Stiffness!$C$75,Element_Stiffness!R101,IF(6=Element_Stiffness!$E$75,Element_Stiffness!X101,0)),IF(Element_Stiffness!$E$75=5,IF(6=Element_Stiffness!$C$75,Element_Stiffness!R107,IF(6=Element_Stiffness!$E$75,Element_Stiffness!X107,0)),0)),0)+IF(Element_Stiffness!$C$111,IF(Element_Stiffness!$C$110=5,IF(6=Element_Stiffness!$C$110,Element_Stiffness!R136,IF(6=Element_Stiffness!$E$110,Element_Stiffness!X136,0)),IF(Element_Stiffness!$E$110=5,IF(6=Element_Stiffness!$C$110,Element_Stiffness!R142,IF(6=Element_Stiffness!$E$110,Element_Stiffness!X142,0)),0)),0)+IF(Element_Stiffness!$C$146,IF(Element_Stiffness!$C$145=5,IF(6=Element_Stiffness!$C$145,Element_Stiffness!R171,IF(6=Element_Stiffness!$E$145,Element_Stiffness!X171,0)),IF(Element_Stiffness!$E$145=5,IF(6=Element_Stiffness!$C$145,Element_Stiffness!R177,IF(6=Element_Stiffness!$E$145,Element_Stiffness!X177,0)),0)),0)+IF(Element_Stiffness!$C$181,IF(Element_Stiffness!$C$180=5,IF(6=Element_Stiffness!$C$180,Element_Stiffness!R206,IF(6=Element_Stiffness!$E$180,Element_Stiffness!X206,0)),IF(Element_Stiffness!$E$180=5,IF(6=Element_Stiffness!$C$180,Element_Stiffness!R212,IF(6=Element_Stiffness!$E$180,Element_Stiffness!X212,0)),0)),0)+IF(Element_Stiffness!$C$216,IF(Element_Stiffness!$C$215=5,IF(6=Element_Stiffness!$C$215,Element_Stiffness!R241,IF(6=Element_Stiffness!$E$215,Element_Stiffness!X241,0)),IF(Element_Stiffness!$E$215=5,IF(6=Element_Stiffness!$C$215,Element_Stiffness!R247,IF(6=Element_Stiffness!$E$215,Element_Stiffness!X247,0)),0)),0)</f>
        <v/>
      </c>
      <c r="AP40" s="21">
        <f>IF(Element_Stiffness!$C$6,IF(Element_Stiffness!$C$5=5,IF(6=Element_Stiffness!$C$5,Element_Stiffness!S31,IF(6=Element_Stiffness!$E$5,Element_Stiffness!Y31,0)),IF(Element_Stiffness!$E$5=5,IF(6=Element_Stiffness!$C$5,Element_Stiffness!S37,IF(6=Element_Stiffness!$E$5,Element_Stiffness!Y37,0)),0)),0)+IF(Element_Stiffness!$C$41,IF(Element_Stiffness!$C$40=5,IF(6=Element_Stiffness!$C$40,Element_Stiffness!S66,IF(6=Element_Stiffness!$E$40,Element_Stiffness!Y66,0)),IF(Element_Stiffness!$E$40=5,IF(6=Element_Stiffness!$C$40,Element_Stiffness!S72,IF(6=Element_Stiffness!$E$40,Element_Stiffness!Y72,0)),0)),0)+IF(Element_Stiffness!$C$76,IF(Element_Stiffness!$C$75=5,IF(6=Element_Stiffness!$C$75,Element_Stiffness!S101,IF(6=Element_Stiffness!$E$75,Element_Stiffness!Y101,0)),IF(Element_Stiffness!$E$75=5,IF(6=Element_Stiffness!$C$75,Element_Stiffness!S107,IF(6=Element_Stiffness!$E$75,Element_Stiffness!Y107,0)),0)),0)+IF(Element_Stiffness!$C$111,IF(Element_Stiffness!$C$110=5,IF(6=Element_Stiffness!$C$110,Element_Stiffness!S136,IF(6=Element_Stiffness!$E$110,Element_Stiffness!Y136,0)),IF(Element_Stiffness!$E$110=5,IF(6=Element_Stiffness!$C$110,Element_Stiffness!S142,IF(6=Element_Stiffness!$E$110,Element_Stiffness!Y142,0)),0)),0)+IF(Element_Stiffness!$C$146,IF(Element_Stiffness!$C$145=5,IF(6=Element_Stiffness!$C$145,Element_Stiffness!S171,IF(6=Element_Stiffness!$E$145,Element_Stiffness!Y171,0)),IF(Element_Stiffness!$E$145=5,IF(6=Element_Stiffness!$C$145,Element_Stiffness!S177,IF(6=Element_Stiffness!$E$145,Element_Stiffness!Y177,0)),0)),0)+IF(Element_Stiffness!$C$181,IF(Element_Stiffness!$C$180=5,IF(6=Element_Stiffness!$C$180,Element_Stiffness!S206,IF(6=Element_Stiffness!$E$180,Element_Stiffness!Y206,0)),IF(Element_Stiffness!$E$180=5,IF(6=Element_Stiffness!$C$180,Element_Stiffness!S212,IF(6=Element_Stiffness!$E$180,Element_Stiffness!Y212,0)),0)),0)+IF(Element_Stiffness!$C$216,IF(Element_Stiffness!$C$215=5,IF(6=Element_Stiffness!$C$215,Element_Stiffness!S241,IF(6=Element_Stiffness!$E$215,Element_Stiffness!Y241,0)),IF(Element_Stiffness!$E$215=5,IF(6=Element_Stiffness!$C$215,Element_Stiffness!S247,IF(6=Element_Stiffness!$E$215,Element_Stiffness!Y247,0)),0)),0)</f>
        <v/>
      </c>
      <c r="AQ40" s="21">
        <f>IF(Element_Stiffness!$C$6,IF(Element_Stiffness!$C$5=5,IF(6=Element_Stiffness!$C$5,Element_Stiffness!T31,IF(6=Element_Stiffness!$E$5,Element_Stiffness!Z31,0)),IF(Element_Stiffness!$E$5=5,IF(6=Element_Stiffness!$C$5,Element_Stiffness!T37,IF(6=Element_Stiffness!$E$5,Element_Stiffness!Z37,0)),0)),0)+IF(Element_Stiffness!$C$41,IF(Element_Stiffness!$C$40=5,IF(6=Element_Stiffness!$C$40,Element_Stiffness!T66,IF(6=Element_Stiffness!$E$40,Element_Stiffness!Z66,0)),IF(Element_Stiffness!$E$40=5,IF(6=Element_Stiffness!$C$40,Element_Stiffness!T72,IF(6=Element_Stiffness!$E$40,Element_Stiffness!Z72,0)),0)),0)+IF(Element_Stiffness!$C$76,IF(Element_Stiffness!$C$75=5,IF(6=Element_Stiffness!$C$75,Element_Stiffness!T101,IF(6=Element_Stiffness!$E$75,Element_Stiffness!Z101,0)),IF(Element_Stiffness!$E$75=5,IF(6=Element_Stiffness!$C$75,Element_Stiffness!T107,IF(6=Element_Stiffness!$E$75,Element_Stiffness!Z107,0)),0)),0)+IF(Element_Stiffness!$C$111,IF(Element_Stiffness!$C$110=5,IF(6=Element_Stiffness!$C$110,Element_Stiffness!T136,IF(6=Element_Stiffness!$E$110,Element_Stiffness!Z136,0)),IF(Element_Stiffness!$E$110=5,IF(6=Element_Stiffness!$C$110,Element_Stiffness!T142,IF(6=Element_Stiffness!$E$110,Element_Stiffness!Z142,0)),0)),0)+IF(Element_Stiffness!$C$146,IF(Element_Stiffness!$C$145=5,IF(6=Element_Stiffness!$C$145,Element_Stiffness!T171,IF(6=Element_Stiffness!$E$145,Element_Stiffness!Z171,0)),IF(Element_Stiffness!$E$145=5,IF(6=Element_Stiffness!$C$145,Element_Stiffness!T177,IF(6=Element_Stiffness!$E$145,Element_Stiffness!Z177,0)),0)),0)+IF(Element_Stiffness!$C$181,IF(Element_Stiffness!$C$180=5,IF(6=Element_Stiffness!$C$180,Element_Stiffness!T206,IF(6=Element_Stiffness!$E$180,Element_Stiffness!Z206,0)),IF(Element_Stiffness!$E$180=5,IF(6=Element_Stiffness!$C$180,Element_Stiffness!T212,IF(6=Element_Stiffness!$E$180,Element_Stiffness!Z212,0)),0)),0)+IF(Element_Stiffness!$C$216,IF(Element_Stiffness!$C$215=5,IF(6=Element_Stiffness!$C$215,Element_Stiffness!T241,IF(6=Element_Stiffness!$E$215,Element_Stiffness!Z241,0)),IF(Element_Stiffness!$E$215=5,IF(6=Element_Stiffness!$C$215,Element_Stiffness!T247,IF(6=Element_Stiffness!$E$215,Element_Stiffness!Z247,0)),0)),0)</f>
        <v/>
      </c>
      <c r="AR40" s="21">
        <f>IF(Element_Stiffness!$C$6,IF(Element_Stiffness!$C$5=5,IF(6=Element_Stiffness!$C$5,Element_Stiffness!U31,IF(6=Element_Stiffness!$E$5,Element_Stiffness!AA31,0)),IF(Element_Stiffness!$E$5=5,IF(6=Element_Stiffness!$C$5,Element_Stiffness!U37,IF(6=Element_Stiffness!$E$5,Element_Stiffness!AA37,0)),0)),0)+IF(Element_Stiffness!$C$41,IF(Element_Stiffness!$C$40=5,IF(6=Element_Stiffness!$C$40,Element_Stiffness!U66,IF(6=Element_Stiffness!$E$40,Element_Stiffness!AA66,0)),IF(Element_Stiffness!$E$40=5,IF(6=Element_Stiffness!$C$40,Element_Stiffness!U72,IF(6=Element_Stiffness!$E$40,Element_Stiffness!AA72,0)),0)),0)+IF(Element_Stiffness!$C$76,IF(Element_Stiffness!$C$75=5,IF(6=Element_Stiffness!$C$75,Element_Stiffness!U101,IF(6=Element_Stiffness!$E$75,Element_Stiffness!AA101,0)),IF(Element_Stiffness!$E$75=5,IF(6=Element_Stiffness!$C$75,Element_Stiffness!U107,IF(6=Element_Stiffness!$E$75,Element_Stiffness!AA107,0)),0)),0)+IF(Element_Stiffness!$C$111,IF(Element_Stiffness!$C$110=5,IF(6=Element_Stiffness!$C$110,Element_Stiffness!U136,IF(6=Element_Stiffness!$E$110,Element_Stiffness!AA136,0)),IF(Element_Stiffness!$E$110=5,IF(6=Element_Stiffness!$C$110,Element_Stiffness!U142,IF(6=Element_Stiffness!$E$110,Element_Stiffness!AA142,0)),0)),0)+IF(Element_Stiffness!$C$146,IF(Element_Stiffness!$C$145=5,IF(6=Element_Stiffness!$C$145,Element_Stiffness!U171,IF(6=Element_Stiffness!$E$145,Element_Stiffness!AA171,0)),IF(Element_Stiffness!$E$145=5,IF(6=Element_Stiffness!$C$145,Element_Stiffness!U177,IF(6=Element_Stiffness!$E$145,Element_Stiffness!AA177,0)),0)),0)+IF(Element_Stiffness!$C$181,IF(Element_Stiffness!$C$180=5,IF(6=Element_Stiffness!$C$180,Element_Stiffness!U206,IF(6=Element_Stiffness!$E$180,Element_Stiffness!AA206,0)),IF(Element_Stiffness!$E$180=5,IF(6=Element_Stiffness!$C$180,Element_Stiffness!U212,IF(6=Element_Stiffness!$E$180,Element_Stiffness!AA212,0)),0)),0)+IF(Element_Stiffness!$C$216,IF(Element_Stiffness!$C$215=5,IF(6=Element_Stiffness!$C$215,Element_Stiffness!U241,IF(6=Element_Stiffness!$E$215,Element_Stiffness!AA241,0)),IF(Element_Stiffness!$E$215=5,IF(6=Element_Stiffness!$C$215,Element_Stiffness!U247,IF(6=Element_Stiffness!$E$215,Element_Stiffness!AA247,0)),0)),0)</f>
        <v/>
      </c>
      <c r="AS40" s="21">
        <f>IF(Element_Stiffness!$C$6,IF(Element_Stiffness!$C$5=5,IF(7=Element_Stiffness!$C$5,Element_Stiffness!P31,IF(7=Element_Stiffness!$E$5,Element_Stiffness!V31,0)),IF(Element_Stiffness!$E$5=5,IF(7=Element_Stiffness!$C$5,Element_Stiffness!P37,IF(7=Element_Stiffness!$E$5,Element_Stiffness!V37,0)),0)),0)+IF(Element_Stiffness!$C$41,IF(Element_Stiffness!$C$40=5,IF(7=Element_Stiffness!$C$40,Element_Stiffness!P66,IF(7=Element_Stiffness!$E$40,Element_Stiffness!V66,0)),IF(Element_Stiffness!$E$40=5,IF(7=Element_Stiffness!$C$40,Element_Stiffness!P72,IF(7=Element_Stiffness!$E$40,Element_Stiffness!V72,0)),0)),0)+IF(Element_Stiffness!$C$76,IF(Element_Stiffness!$C$75=5,IF(7=Element_Stiffness!$C$75,Element_Stiffness!P101,IF(7=Element_Stiffness!$E$75,Element_Stiffness!V101,0)),IF(Element_Stiffness!$E$75=5,IF(7=Element_Stiffness!$C$75,Element_Stiffness!P107,IF(7=Element_Stiffness!$E$75,Element_Stiffness!V107,0)),0)),0)+IF(Element_Stiffness!$C$111,IF(Element_Stiffness!$C$110=5,IF(7=Element_Stiffness!$C$110,Element_Stiffness!P136,IF(7=Element_Stiffness!$E$110,Element_Stiffness!V136,0)),IF(Element_Stiffness!$E$110=5,IF(7=Element_Stiffness!$C$110,Element_Stiffness!P142,IF(7=Element_Stiffness!$E$110,Element_Stiffness!V142,0)),0)),0)+IF(Element_Stiffness!$C$146,IF(Element_Stiffness!$C$145=5,IF(7=Element_Stiffness!$C$145,Element_Stiffness!P171,IF(7=Element_Stiffness!$E$145,Element_Stiffness!V171,0)),IF(Element_Stiffness!$E$145=5,IF(7=Element_Stiffness!$C$145,Element_Stiffness!P177,IF(7=Element_Stiffness!$E$145,Element_Stiffness!V177,0)),0)),0)+IF(Element_Stiffness!$C$181,IF(Element_Stiffness!$C$180=5,IF(7=Element_Stiffness!$C$180,Element_Stiffness!P206,IF(7=Element_Stiffness!$E$180,Element_Stiffness!V206,0)),IF(Element_Stiffness!$E$180=5,IF(7=Element_Stiffness!$C$180,Element_Stiffness!P212,IF(7=Element_Stiffness!$E$180,Element_Stiffness!V212,0)),0)),0)+IF(Element_Stiffness!$C$216,IF(Element_Stiffness!$C$215=5,IF(7=Element_Stiffness!$C$215,Element_Stiffness!P241,IF(7=Element_Stiffness!$E$215,Element_Stiffness!V241,0)),IF(Element_Stiffness!$E$215=5,IF(7=Element_Stiffness!$C$215,Element_Stiffness!P247,IF(7=Element_Stiffness!$E$215,Element_Stiffness!V247,0)),0)),0)</f>
        <v/>
      </c>
      <c r="AT40" s="21">
        <f>IF(Element_Stiffness!$C$6,IF(Element_Stiffness!$C$5=5,IF(7=Element_Stiffness!$C$5,Element_Stiffness!Q31,IF(7=Element_Stiffness!$E$5,Element_Stiffness!W31,0)),IF(Element_Stiffness!$E$5=5,IF(7=Element_Stiffness!$C$5,Element_Stiffness!Q37,IF(7=Element_Stiffness!$E$5,Element_Stiffness!W37,0)),0)),0)+IF(Element_Stiffness!$C$41,IF(Element_Stiffness!$C$40=5,IF(7=Element_Stiffness!$C$40,Element_Stiffness!Q66,IF(7=Element_Stiffness!$E$40,Element_Stiffness!W66,0)),IF(Element_Stiffness!$E$40=5,IF(7=Element_Stiffness!$C$40,Element_Stiffness!Q72,IF(7=Element_Stiffness!$E$40,Element_Stiffness!W72,0)),0)),0)+IF(Element_Stiffness!$C$76,IF(Element_Stiffness!$C$75=5,IF(7=Element_Stiffness!$C$75,Element_Stiffness!Q101,IF(7=Element_Stiffness!$E$75,Element_Stiffness!W101,0)),IF(Element_Stiffness!$E$75=5,IF(7=Element_Stiffness!$C$75,Element_Stiffness!Q107,IF(7=Element_Stiffness!$E$75,Element_Stiffness!W107,0)),0)),0)+IF(Element_Stiffness!$C$111,IF(Element_Stiffness!$C$110=5,IF(7=Element_Stiffness!$C$110,Element_Stiffness!Q136,IF(7=Element_Stiffness!$E$110,Element_Stiffness!W136,0)),IF(Element_Stiffness!$E$110=5,IF(7=Element_Stiffness!$C$110,Element_Stiffness!Q142,IF(7=Element_Stiffness!$E$110,Element_Stiffness!W142,0)),0)),0)+IF(Element_Stiffness!$C$146,IF(Element_Stiffness!$C$145=5,IF(7=Element_Stiffness!$C$145,Element_Stiffness!Q171,IF(7=Element_Stiffness!$E$145,Element_Stiffness!W171,0)),IF(Element_Stiffness!$E$145=5,IF(7=Element_Stiffness!$C$145,Element_Stiffness!Q177,IF(7=Element_Stiffness!$E$145,Element_Stiffness!W177,0)),0)),0)+IF(Element_Stiffness!$C$181,IF(Element_Stiffness!$C$180=5,IF(7=Element_Stiffness!$C$180,Element_Stiffness!Q206,IF(7=Element_Stiffness!$E$180,Element_Stiffness!W206,0)),IF(Element_Stiffness!$E$180=5,IF(7=Element_Stiffness!$C$180,Element_Stiffness!Q212,IF(7=Element_Stiffness!$E$180,Element_Stiffness!W212,0)),0)),0)+IF(Element_Stiffness!$C$216,IF(Element_Stiffness!$C$215=5,IF(7=Element_Stiffness!$C$215,Element_Stiffness!Q241,IF(7=Element_Stiffness!$E$215,Element_Stiffness!W241,0)),IF(Element_Stiffness!$E$215=5,IF(7=Element_Stiffness!$C$215,Element_Stiffness!Q247,IF(7=Element_Stiffness!$E$215,Element_Stiffness!W247,0)),0)),0)</f>
        <v/>
      </c>
      <c r="AU40" s="21">
        <f>IF(Element_Stiffness!$C$6,IF(Element_Stiffness!$C$5=5,IF(7=Element_Stiffness!$C$5,Element_Stiffness!R31,IF(7=Element_Stiffness!$E$5,Element_Stiffness!X31,0)),IF(Element_Stiffness!$E$5=5,IF(7=Element_Stiffness!$C$5,Element_Stiffness!R37,IF(7=Element_Stiffness!$E$5,Element_Stiffness!X37,0)),0)),0)+IF(Element_Stiffness!$C$41,IF(Element_Stiffness!$C$40=5,IF(7=Element_Stiffness!$C$40,Element_Stiffness!R66,IF(7=Element_Stiffness!$E$40,Element_Stiffness!X66,0)),IF(Element_Stiffness!$E$40=5,IF(7=Element_Stiffness!$C$40,Element_Stiffness!R72,IF(7=Element_Stiffness!$E$40,Element_Stiffness!X72,0)),0)),0)+IF(Element_Stiffness!$C$76,IF(Element_Stiffness!$C$75=5,IF(7=Element_Stiffness!$C$75,Element_Stiffness!R101,IF(7=Element_Stiffness!$E$75,Element_Stiffness!X101,0)),IF(Element_Stiffness!$E$75=5,IF(7=Element_Stiffness!$C$75,Element_Stiffness!R107,IF(7=Element_Stiffness!$E$75,Element_Stiffness!X107,0)),0)),0)+IF(Element_Stiffness!$C$111,IF(Element_Stiffness!$C$110=5,IF(7=Element_Stiffness!$C$110,Element_Stiffness!R136,IF(7=Element_Stiffness!$E$110,Element_Stiffness!X136,0)),IF(Element_Stiffness!$E$110=5,IF(7=Element_Stiffness!$C$110,Element_Stiffness!R142,IF(7=Element_Stiffness!$E$110,Element_Stiffness!X142,0)),0)),0)+IF(Element_Stiffness!$C$146,IF(Element_Stiffness!$C$145=5,IF(7=Element_Stiffness!$C$145,Element_Stiffness!R171,IF(7=Element_Stiffness!$E$145,Element_Stiffness!X171,0)),IF(Element_Stiffness!$E$145=5,IF(7=Element_Stiffness!$C$145,Element_Stiffness!R177,IF(7=Element_Stiffness!$E$145,Element_Stiffness!X177,0)),0)),0)+IF(Element_Stiffness!$C$181,IF(Element_Stiffness!$C$180=5,IF(7=Element_Stiffness!$C$180,Element_Stiffness!R206,IF(7=Element_Stiffness!$E$180,Element_Stiffness!X206,0)),IF(Element_Stiffness!$E$180=5,IF(7=Element_Stiffness!$C$180,Element_Stiffness!R212,IF(7=Element_Stiffness!$E$180,Element_Stiffness!X212,0)),0)),0)+IF(Element_Stiffness!$C$216,IF(Element_Stiffness!$C$215=5,IF(7=Element_Stiffness!$C$215,Element_Stiffness!R241,IF(7=Element_Stiffness!$E$215,Element_Stiffness!X241,0)),IF(Element_Stiffness!$E$215=5,IF(7=Element_Stiffness!$C$215,Element_Stiffness!R247,IF(7=Element_Stiffness!$E$215,Element_Stiffness!X247,0)),0)),0)</f>
        <v/>
      </c>
      <c r="AV40" s="21">
        <f>IF(Element_Stiffness!$C$6,IF(Element_Stiffness!$C$5=5,IF(7=Element_Stiffness!$C$5,Element_Stiffness!S31,IF(7=Element_Stiffness!$E$5,Element_Stiffness!Y31,0)),IF(Element_Stiffness!$E$5=5,IF(7=Element_Stiffness!$C$5,Element_Stiffness!S37,IF(7=Element_Stiffness!$E$5,Element_Stiffness!Y37,0)),0)),0)+IF(Element_Stiffness!$C$41,IF(Element_Stiffness!$C$40=5,IF(7=Element_Stiffness!$C$40,Element_Stiffness!S66,IF(7=Element_Stiffness!$E$40,Element_Stiffness!Y66,0)),IF(Element_Stiffness!$E$40=5,IF(7=Element_Stiffness!$C$40,Element_Stiffness!S72,IF(7=Element_Stiffness!$E$40,Element_Stiffness!Y72,0)),0)),0)+IF(Element_Stiffness!$C$76,IF(Element_Stiffness!$C$75=5,IF(7=Element_Stiffness!$C$75,Element_Stiffness!S101,IF(7=Element_Stiffness!$E$75,Element_Stiffness!Y101,0)),IF(Element_Stiffness!$E$75=5,IF(7=Element_Stiffness!$C$75,Element_Stiffness!S107,IF(7=Element_Stiffness!$E$75,Element_Stiffness!Y107,0)),0)),0)+IF(Element_Stiffness!$C$111,IF(Element_Stiffness!$C$110=5,IF(7=Element_Stiffness!$C$110,Element_Stiffness!S136,IF(7=Element_Stiffness!$E$110,Element_Stiffness!Y136,0)),IF(Element_Stiffness!$E$110=5,IF(7=Element_Stiffness!$C$110,Element_Stiffness!S142,IF(7=Element_Stiffness!$E$110,Element_Stiffness!Y142,0)),0)),0)+IF(Element_Stiffness!$C$146,IF(Element_Stiffness!$C$145=5,IF(7=Element_Stiffness!$C$145,Element_Stiffness!S171,IF(7=Element_Stiffness!$E$145,Element_Stiffness!Y171,0)),IF(Element_Stiffness!$E$145=5,IF(7=Element_Stiffness!$C$145,Element_Stiffness!S177,IF(7=Element_Stiffness!$E$145,Element_Stiffness!Y177,0)),0)),0)+IF(Element_Stiffness!$C$181,IF(Element_Stiffness!$C$180=5,IF(7=Element_Stiffness!$C$180,Element_Stiffness!S206,IF(7=Element_Stiffness!$E$180,Element_Stiffness!Y206,0)),IF(Element_Stiffness!$E$180=5,IF(7=Element_Stiffness!$C$180,Element_Stiffness!S212,IF(7=Element_Stiffness!$E$180,Element_Stiffness!Y212,0)),0)),0)+IF(Element_Stiffness!$C$216,IF(Element_Stiffness!$C$215=5,IF(7=Element_Stiffness!$C$215,Element_Stiffness!S241,IF(7=Element_Stiffness!$E$215,Element_Stiffness!Y241,0)),IF(Element_Stiffness!$E$215=5,IF(7=Element_Stiffness!$C$215,Element_Stiffness!S247,IF(7=Element_Stiffness!$E$215,Element_Stiffness!Y247,0)),0)),0)</f>
        <v/>
      </c>
      <c r="AW40" s="21">
        <f>IF(Element_Stiffness!$C$6,IF(Element_Stiffness!$C$5=5,IF(7=Element_Stiffness!$C$5,Element_Stiffness!T31,IF(7=Element_Stiffness!$E$5,Element_Stiffness!Z31,0)),IF(Element_Stiffness!$E$5=5,IF(7=Element_Stiffness!$C$5,Element_Stiffness!T37,IF(7=Element_Stiffness!$E$5,Element_Stiffness!Z37,0)),0)),0)+IF(Element_Stiffness!$C$41,IF(Element_Stiffness!$C$40=5,IF(7=Element_Stiffness!$C$40,Element_Stiffness!T66,IF(7=Element_Stiffness!$E$40,Element_Stiffness!Z66,0)),IF(Element_Stiffness!$E$40=5,IF(7=Element_Stiffness!$C$40,Element_Stiffness!T72,IF(7=Element_Stiffness!$E$40,Element_Stiffness!Z72,0)),0)),0)+IF(Element_Stiffness!$C$76,IF(Element_Stiffness!$C$75=5,IF(7=Element_Stiffness!$C$75,Element_Stiffness!T101,IF(7=Element_Stiffness!$E$75,Element_Stiffness!Z101,0)),IF(Element_Stiffness!$E$75=5,IF(7=Element_Stiffness!$C$75,Element_Stiffness!T107,IF(7=Element_Stiffness!$E$75,Element_Stiffness!Z107,0)),0)),0)+IF(Element_Stiffness!$C$111,IF(Element_Stiffness!$C$110=5,IF(7=Element_Stiffness!$C$110,Element_Stiffness!T136,IF(7=Element_Stiffness!$E$110,Element_Stiffness!Z136,0)),IF(Element_Stiffness!$E$110=5,IF(7=Element_Stiffness!$C$110,Element_Stiffness!T142,IF(7=Element_Stiffness!$E$110,Element_Stiffness!Z142,0)),0)),0)+IF(Element_Stiffness!$C$146,IF(Element_Stiffness!$C$145=5,IF(7=Element_Stiffness!$C$145,Element_Stiffness!T171,IF(7=Element_Stiffness!$E$145,Element_Stiffness!Z171,0)),IF(Element_Stiffness!$E$145=5,IF(7=Element_Stiffness!$C$145,Element_Stiffness!T177,IF(7=Element_Stiffness!$E$145,Element_Stiffness!Z177,0)),0)),0)+IF(Element_Stiffness!$C$181,IF(Element_Stiffness!$C$180=5,IF(7=Element_Stiffness!$C$180,Element_Stiffness!T206,IF(7=Element_Stiffness!$E$180,Element_Stiffness!Z206,0)),IF(Element_Stiffness!$E$180=5,IF(7=Element_Stiffness!$C$180,Element_Stiffness!T212,IF(7=Element_Stiffness!$E$180,Element_Stiffness!Z212,0)),0)),0)+IF(Element_Stiffness!$C$216,IF(Element_Stiffness!$C$215=5,IF(7=Element_Stiffness!$C$215,Element_Stiffness!T241,IF(7=Element_Stiffness!$E$215,Element_Stiffness!Z241,0)),IF(Element_Stiffness!$E$215=5,IF(7=Element_Stiffness!$C$215,Element_Stiffness!T247,IF(7=Element_Stiffness!$E$215,Element_Stiffness!Z247,0)),0)),0)</f>
        <v/>
      </c>
      <c r="AX40" s="21">
        <f>IF(Element_Stiffness!$C$6,IF(Element_Stiffness!$C$5=5,IF(7=Element_Stiffness!$C$5,Element_Stiffness!U31,IF(7=Element_Stiffness!$E$5,Element_Stiffness!AA31,0)),IF(Element_Stiffness!$E$5=5,IF(7=Element_Stiffness!$C$5,Element_Stiffness!U37,IF(7=Element_Stiffness!$E$5,Element_Stiffness!AA37,0)),0)),0)+IF(Element_Stiffness!$C$41,IF(Element_Stiffness!$C$40=5,IF(7=Element_Stiffness!$C$40,Element_Stiffness!U66,IF(7=Element_Stiffness!$E$40,Element_Stiffness!AA66,0)),IF(Element_Stiffness!$E$40=5,IF(7=Element_Stiffness!$C$40,Element_Stiffness!U72,IF(7=Element_Stiffness!$E$40,Element_Stiffness!AA72,0)),0)),0)+IF(Element_Stiffness!$C$76,IF(Element_Stiffness!$C$75=5,IF(7=Element_Stiffness!$C$75,Element_Stiffness!U101,IF(7=Element_Stiffness!$E$75,Element_Stiffness!AA101,0)),IF(Element_Stiffness!$E$75=5,IF(7=Element_Stiffness!$C$75,Element_Stiffness!U107,IF(7=Element_Stiffness!$E$75,Element_Stiffness!AA107,0)),0)),0)+IF(Element_Stiffness!$C$111,IF(Element_Stiffness!$C$110=5,IF(7=Element_Stiffness!$C$110,Element_Stiffness!U136,IF(7=Element_Stiffness!$E$110,Element_Stiffness!AA136,0)),IF(Element_Stiffness!$E$110=5,IF(7=Element_Stiffness!$C$110,Element_Stiffness!U142,IF(7=Element_Stiffness!$E$110,Element_Stiffness!AA142,0)),0)),0)+IF(Element_Stiffness!$C$146,IF(Element_Stiffness!$C$145=5,IF(7=Element_Stiffness!$C$145,Element_Stiffness!U171,IF(7=Element_Stiffness!$E$145,Element_Stiffness!AA171,0)),IF(Element_Stiffness!$E$145=5,IF(7=Element_Stiffness!$C$145,Element_Stiffness!U177,IF(7=Element_Stiffness!$E$145,Element_Stiffness!AA177,0)),0)),0)+IF(Element_Stiffness!$C$181,IF(Element_Stiffness!$C$180=5,IF(7=Element_Stiffness!$C$180,Element_Stiffness!U206,IF(7=Element_Stiffness!$E$180,Element_Stiffness!AA206,0)),IF(Element_Stiffness!$E$180=5,IF(7=Element_Stiffness!$C$180,Element_Stiffness!U212,IF(7=Element_Stiffness!$E$180,Element_Stiffness!AA212,0)),0)),0)+IF(Element_Stiffness!$C$216,IF(Element_Stiffness!$C$215=5,IF(7=Element_Stiffness!$C$215,Element_Stiffness!U241,IF(7=Element_Stiffness!$E$215,Element_Stiffness!AA241,0)),IF(Element_Stiffness!$E$215=5,IF(7=Element_Stiffness!$C$215,Element_Stiffness!U247,IF(7=Element_Stiffness!$E$215,Element_Stiffness!AA247,0)),0)),0)</f>
        <v/>
      </c>
      <c r="AY40" s="21" t="n">
        <v>0</v>
      </c>
      <c r="AZ40" s="21">
        <f>IF(Element_Stiffness!$C$6,IF(Element_Stiffness!$C$5=5,Element_Stiffness!C31,IF(Element_Stiffness!$E$5=5,Element_Stiffness!C37,0)),0)+IF(Element_Stiffness!$C$41,IF(Element_Stiffness!$C$40=5,Element_Stiffness!C66,IF(Element_Stiffness!$E$40=5,Element_Stiffness!C72,0)),0)+IF(Element_Stiffness!$C$76,IF(Element_Stiffness!$C$75=5,Element_Stiffness!C101,IF(Element_Stiffness!$E$75=5,Element_Stiffness!C107,0)),0)+IF(Element_Stiffness!$C$111,IF(Element_Stiffness!$C$110=5,Element_Stiffness!C136,IF(Element_Stiffness!$E$110=5,Element_Stiffness!C142,0)),0)+IF(Element_Stiffness!$C$146,IF(Element_Stiffness!$C$145=5,Element_Stiffness!C171,IF(Element_Stiffness!$E$145=5,Element_Stiffness!C177,0)),0)+IF(Element_Stiffness!$C$181,IF(Element_Stiffness!$C$180=5,Element_Stiffness!C206,IF(Element_Stiffness!$E$180=5,Element_Stiffness!C212,0)),0)+IF(Element_Stiffness!$C$216,IF(Element_Stiffness!$C$215=5,Element_Stiffness!C241,IF(Element_Stiffness!$E$215=5,Element_Stiffness!C247,0)),0)</f>
        <v/>
      </c>
      <c r="BB40" s="28">
        <f>INDEX(MMULT(MINVERSE(C5:AX52), AY5:AY52), 36, 1)</f>
        <v/>
      </c>
      <c r="BC40" s="28">
        <f>INDEX(MMULT(MINVERSE(C5:AX52), AZ5:AZ52), 36, 1)</f>
        <v/>
      </c>
    </row>
    <row r="41">
      <c r="B41" s="27" t="inlineStr">
        <is>
          <t>N6_tx</t>
        </is>
      </c>
      <c r="C41" s="21">
        <f>IF(Element_Stiffness!$C$6,IF(Element_Stiffness!$C$5=6,IF(0=Element_Stiffness!$C$5,Element_Stiffness!P26,IF(0=Element_Stiffness!$E$5,Element_Stiffness!V26,0)),IF(Element_Stiffness!$E$5=6,IF(0=Element_Stiffness!$C$5,Element_Stiffness!P32,IF(0=Element_Stiffness!$E$5,Element_Stiffness!V32,0)),0)),0)+IF(Element_Stiffness!$C$41,IF(Element_Stiffness!$C$40=6,IF(0=Element_Stiffness!$C$40,Element_Stiffness!P61,IF(0=Element_Stiffness!$E$40,Element_Stiffness!V61,0)),IF(Element_Stiffness!$E$40=6,IF(0=Element_Stiffness!$C$40,Element_Stiffness!P67,IF(0=Element_Stiffness!$E$40,Element_Stiffness!V67,0)),0)),0)+IF(Element_Stiffness!$C$76,IF(Element_Stiffness!$C$75=6,IF(0=Element_Stiffness!$C$75,Element_Stiffness!P96,IF(0=Element_Stiffness!$E$75,Element_Stiffness!V96,0)),IF(Element_Stiffness!$E$75=6,IF(0=Element_Stiffness!$C$75,Element_Stiffness!P102,IF(0=Element_Stiffness!$E$75,Element_Stiffness!V102,0)),0)),0)+IF(Element_Stiffness!$C$111,IF(Element_Stiffness!$C$110=6,IF(0=Element_Stiffness!$C$110,Element_Stiffness!P131,IF(0=Element_Stiffness!$E$110,Element_Stiffness!V131,0)),IF(Element_Stiffness!$E$110=6,IF(0=Element_Stiffness!$C$110,Element_Stiffness!P137,IF(0=Element_Stiffness!$E$110,Element_Stiffness!V137,0)),0)),0)+IF(Element_Stiffness!$C$146,IF(Element_Stiffness!$C$145=6,IF(0=Element_Stiffness!$C$145,Element_Stiffness!P166,IF(0=Element_Stiffness!$E$145,Element_Stiffness!V166,0)),IF(Element_Stiffness!$E$145=6,IF(0=Element_Stiffness!$C$145,Element_Stiffness!P172,IF(0=Element_Stiffness!$E$145,Element_Stiffness!V172,0)),0)),0)+IF(Element_Stiffness!$C$181,IF(Element_Stiffness!$C$180=6,IF(0=Element_Stiffness!$C$180,Element_Stiffness!P201,IF(0=Element_Stiffness!$E$180,Element_Stiffness!V201,0)),IF(Element_Stiffness!$E$180=6,IF(0=Element_Stiffness!$C$180,Element_Stiffness!P207,IF(0=Element_Stiffness!$E$180,Element_Stiffness!V207,0)),0)),0)+IF(Element_Stiffness!$C$216,IF(Element_Stiffness!$C$215=6,IF(0=Element_Stiffness!$C$215,Element_Stiffness!P236,IF(0=Element_Stiffness!$E$215,Element_Stiffness!V236,0)),IF(Element_Stiffness!$E$215=6,IF(0=Element_Stiffness!$C$215,Element_Stiffness!P242,IF(0=Element_Stiffness!$E$215,Element_Stiffness!V242,0)),0)),0)</f>
        <v/>
      </c>
      <c r="D41" s="21">
        <f>IF(Element_Stiffness!$C$6,IF(Element_Stiffness!$C$5=6,IF(0=Element_Stiffness!$C$5,Element_Stiffness!Q26,IF(0=Element_Stiffness!$E$5,Element_Stiffness!W26,0)),IF(Element_Stiffness!$E$5=6,IF(0=Element_Stiffness!$C$5,Element_Stiffness!Q32,IF(0=Element_Stiffness!$E$5,Element_Stiffness!W32,0)),0)),0)+IF(Element_Stiffness!$C$41,IF(Element_Stiffness!$C$40=6,IF(0=Element_Stiffness!$C$40,Element_Stiffness!Q61,IF(0=Element_Stiffness!$E$40,Element_Stiffness!W61,0)),IF(Element_Stiffness!$E$40=6,IF(0=Element_Stiffness!$C$40,Element_Stiffness!Q67,IF(0=Element_Stiffness!$E$40,Element_Stiffness!W67,0)),0)),0)+IF(Element_Stiffness!$C$76,IF(Element_Stiffness!$C$75=6,IF(0=Element_Stiffness!$C$75,Element_Stiffness!Q96,IF(0=Element_Stiffness!$E$75,Element_Stiffness!W96,0)),IF(Element_Stiffness!$E$75=6,IF(0=Element_Stiffness!$C$75,Element_Stiffness!Q102,IF(0=Element_Stiffness!$E$75,Element_Stiffness!W102,0)),0)),0)+IF(Element_Stiffness!$C$111,IF(Element_Stiffness!$C$110=6,IF(0=Element_Stiffness!$C$110,Element_Stiffness!Q131,IF(0=Element_Stiffness!$E$110,Element_Stiffness!W131,0)),IF(Element_Stiffness!$E$110=6,IF(0=Element_Stiffness!$C$110,Element_Stiffness!Q137,IF(0=Element_Stiffness!$E$110,Element_Stiffness!W137,0)),0)),0)+IF(Element_Stiffness!$C$146,IF(Element_Stiffness!$C$145=6,IF(0=Element_Stiffness!$C$145,Element_Stiffness!Q166,IF(0=Element_Stiffness!$E$145,Element_Stiffness!W166,0)),IF(Element_Stiffness!$E$145=6,IF(0=Element_Stiffness!$C$145,Element_Stiffness!Q172,IF(0=Element_Stiffness!$E$145,Element_Stiffness!W172,0)),0)),0)+IF(Element_Stiffness!$C$181,IF(Element_Stiffness!$C$180=6,IF(0=Element_Stiffness!$C$180,Element_Stiffness!Q201,IF(0=Element_Stiffness!$E$180,Element_Stiffness!W201,0)),IF(Element_Stiffness!$E$180=6,IF(0=Element_Stiffness!$C$180,Element_Stiffness!Q207,IF(0=Element_Stiffness!$E$180,Element_Stiffness!W207,0)),0)),0)+IF(Element_Stiffness!$C$216,IF(Element_Stiffness!$C$215=6,IF(0=Element_Stiffness!$C$215,Element_Stiffness!Q236,IF(0=Element_Stiffness!$E$215,Element_Stiffness!W236,0)),IF(Element_Stiffness!$E$215=6,IF(0=Element_Stiffness!$C$215,Element_Stiffness!Q242,IF(0=Element_Stiffness!$E$215,Element_Stiffness!W242,0)),0)),0)</f>
        <v/>
      </c>
      <c r="E41" s="21">
        <f>IF(Element_Stiffness!$C$6,IF(Element_Stiffness!$C$5=6,IF(0=Element_Stiffness!$C$5,Element_Stiffness!R26,IF(0=Element_Stiffness!$E$5,Element_Stiffness!X26,0)),IF(Element_Stiffness!$E$5=6,IF(0=Element_Stiffness!$C$5,Element_Stiffness!R32,IF(0=Element_Stiffness!$E$5,Element_Stiffness!X32,0)),0)),0)+IF(Element_Stiffness!$C$41,IF(Element_Stiffness!$C$40=6,IF(0=Element_Stiffness!$C$40,Element_Stiffness!R61,IF(0=Element_Stiffness!$E$40,Element_Stiffness!X61,0)),IF(Element_Stiffness!$E$40=6,IF(0=Element_Stiffness!$C$40,Element_Stiffness!R67,IF(0=Element_Stiffness!$E$40,Element_Stiffness!X67,0)),0)),0)+IF(Element_Stiffness!$C$76,IF(Element_Stiffness!$C$75=6,IF(0=Element_Stiffness!$C$75,Element_Stiffness!R96,IF(0=Element_Stiffness!$E$75,Element_Stiffness!X96,0)),IF(Element_Stiffness!$E$75=6,IF(0=Element_Stiffness!$C$75,Element_Stiffness!R102,IF(0=Element_Stiffness!$E$75,Element_Stiffness!X102,0)),0)),0)+IF(Element_Stiffness!$C$111,IF(Element_Stiffness!$C$110=6,IF(0=Element_Stiffness!$C$110,Element_Stiffness!R131,IF(0=Element_Stiffness!$E$110,Element_Stiffness!X131,0)),IF(Element_Stiffness!$E$110=6,IF(0=Element_Stiffness!$C$110,Element_Stiffness!R137,IF(0=Element_Stiffness!$E$110,Element_Stiffness!X137,0)),0)),0)+IF(Element_Stiffness!$C$146,IF(Element_Stiffness!$C$145=6,IF(0=Element_Stiffness!$C$145,Element_Stiffness!R166,IF(0=Element_Stiffness!$E$145,Element_Stiffness!X166,0)),IF(Element_Stiffness!$E$145=6,IF(0=Element_Stiffness!$C$145,Element_Stiffness!R172,IF(0=Element_Stiffness!$E$145,Element_Stiffness!X172,0)),0)),0)+IF(Element_Stiffness!$C$181,IF(Element_Stiffness!$C$180=6,IF(0=Element_Stiffness!$C$180,Element_Stiffness!R201,IF(0=Element_Stiffness!$E$180,Element_Stiffness!X201,0)),IF(Element_Stiffness!$E$180=6,IF(0=Element_Stiffness!$C$180,Element_Stiffness!R207,IF(0=Element_Stiffness!$E$180,Element_Stiffness!X207,0)),0)),0)+IF(Element_Stiffness!$C$216,IF(Element_Stiffness!$C$215=6,IF(0=Element_Stiffness!$C$215,Element_Stiffness!R236,IF(0=Element_Stiffness!$E$215,Element_Stiffness!X236,0)),IF(Element_Stiffness!$E$215=6,IF(0=Element_Stiffness!$C$215,Element_Stiffness!R242,IF(0=Element_Stiffness!$E$215,Element_Stiffness!X242,0)),0)),0)</f>
        <v/>
      </c>
      <c r="F41" s="21">
        <f>IF(Element_Stiffness!$C$6,IF(Element_Stiffness!$C$5=6,IF(0=Element_Stiffness!$C$5,Element_Stiffness!S26,IF(0=Element_Stiffness!$E$5,Element_Stiffness!Y26,0)),IF(Element_Stiffness!$E$5=6,IF(0=Element_Stiffness!$C$5,Element_Stiffness!S32,IF(0=Element_Stiffness!$E$5,Element_Stiffness!Y32,0)),0)),0)+IF(Element_Stiffness!$C$41,IF(Element_Stiffness!$C$40=6,IF(0=Element_Stiffness!$C$40,Element_Stiffness!S61,IF(0=Element_Stiffness!$E$40,Element_Stiffness!Y61,0)),IF(Element_Stiffness!$E$40=6,IF(0=Element_Stiffness!$C$40,Element_Stiffness!S67,IF(0=Element_Stiffness!$E$40,Element_Stiffness!Y67,0)),0)),0)+IF(Element_Stiffness!$C$76,IF(Element_Stiffness!$C$75=6,IF(0=Element_Stiffness!$C$75,Element_Stiffness!S96,IF(0=Element_Stiffness!$E$75,Element_Stiffness!Y96,0)),IF(Element_Stiffness!$E$75=6,IF(0=Element_Stiffness!$C$75,Element_Stiffness!S102,IF(0=Element_Stiffness!$E$75,Element_Stiffness!Y102,0)),0)),0)+IF(Element_Stiffness!$C$111,IF(Element_Stiffness!$C$110=6,IF(0=Element_Stiffness!$C$110,Element_Stiffness!S131,IF(0=Element_Stiffness!$E$110,Element_Stiffness!Y131,0)),IF(Element_Stiffness!$E$110=6,IF(0=Element_Stiffness!$C$110,Element_Stiffness!S137,IF(0=Element_Stiffness!$E$110,Element_Stiffness!Y137,0)),0)),0)+IF(Element_Stiffness!$C$146,IF(Element_Stiffness!$C$145=6,IF(0=Element_Stiffness!$C$145,Element_Stiffness!S166,IF(0=Element_Stiffness!$E$145,Element_Stiffness!Y166,0)),IF(Element_Stiffness!$E$145=6,IF(0=Element_Stiffness!$C$145,Element_Stiffness!S172,IF(0=Element_Stiffness!$E$145,Element_Stiffness!Y172,0)),0)),0)+IF(Element_Stiffness!$C$181,IF(Element_Stiffness!$C$180=6,IF(0=Element_Stiffness!$C$180,Element_Stiffness!S201,IF(0=Element_Stiffness!$E$180,Element_Stiffness!Y201,0)),IF(Element_Stiffness!$E$180=6,IF(0=Element_Stiffness!$C$180,Element_Stiffness!S207,IF(0=Element_Stiffness!$E$180,Element_Stiffness!Y207,0)),0)),0)+IF(Element_Stiffness!$C$216,IF(Element_Stiffness!$C$215=6,IF(0=Element_Stiffness!$C$215,Element_Stiffness!S236,IF(0=Element_Stiffness!$E$215,Element_Stiffness!Y236,0)),IF(Element_Stiffness!$E$215=6,IF(0=Element_Stiffness!$C$215,Element_Stiffness!S242,IF(0=Element_Stiffness!$E$215,Element_Stiffness!Y242,0)),0)),0)</f>
        <v/>
      </c>
      <c r="G41" s="21">
        <f>IF(Element_Stiffness!$C$6,IF(Element_Stiffness!$C$5=6,IF(0=Element_Stiffness!$C$5,Element_Stiffness!T26,IF(0=Element_Stiffness!$E$5,Element_Stiffness!Z26,0)),IF(Element_Stiffness!$E$5=6,IF(0=Element_Stiffness!$C$5,Element_Stiffness!T32,IF(0=Element_Stiffness!$E$5,Element_Stiffness!Z32,0)),0)),0)+IF(Element_Stiffness!$C$41,IF(Element_Stiffness!$C$40=6,IF(0=Element_Stiffness!$C$40,Element_Stiffness!T61,IF(0=Element_Stiffness!$E$40,Element_Stiffness!Z61,0)),IF(Element_Stiffness!$E$40=6,IF(0=Element_Stiffness!$C$40,Element_Stiffness!T67,IF(0=Element_Stiffness!$E$40,Element_Stiffness!Z67,0)),0)),0)+IF(Element_Stiffness!$C$76,IF(Element_Stiffness!$C$75=6,IF(0=Element_Stiffness!$C$75,Element_Stiffness!T96,IF(0=Element_Stiffness!$E$75,Element_Stiffness!Z96,0)),IF(Element_Stiffness!$E$75=6,IF(0=Element_Stiffness!$C$75,Element_Stiffness!T102,IF(0=Element_Stiffness!$E$75,Element_Stiffness!Z102,0)),0)),0)+IF(Element_Stiffness!$C$111,IF(Element_Stiffness!$C$110=6,IF(0=Element_Stiffness!$C$110,Element_Stiffness!T131,IF(0=Element_Stiffness!$E$110,Element_Stiffness!Z131,0)),IF(Element_Stiffness!$E$110=6,IF(0=Element_Stiffness!$C$110,Element_Stiffness!T137,IF(0=Element_Stiffness!$E$110,Element_Stiffness!Z137,0)),0)),0)+IF(Element_Stiffness!$C$146,IF(Element_Stiffness!$C$145=6,IF(0=Element_Stiffness!$C$145,Element_Stiffness!T166,IF(0=Element_Stiffness!$E$145,Element_Stiffness!Z166,0)),IF(Element_Stiffness!$E$145=6,IF(0=Element_Stiffness!$C$145,Element_Stiffness!T172,IF(0=Element_Stiffness!$E$145,Element_Stiffness!Z172,0)),0)),0)+IF(Element_Stiffness!$C$181,IF(Element_Stiffness!$C$180=6,IF(0=Element_Stiffness!$C$180,Element_Stiffness!T201,IF(0=Element_Stiffness!$E$180,Element_Stiffness!Z201,0)),IF(Element_Stiffness!$E$180=6,IF(0=Element_Stiffness!$C$180,Element_Stiffness!T207,IF(0=Element_Stiffness!$E$180,Element_Stiffness!Z207,0)),0)),0)+IF(Element_Stiffness!$C$216,IF(Element_Stiffness!$C$215=6,IF(0=Element_Stiffness!$C$215,Element_Stiffness!T236,IF(0=Element_Stiffness!$E$215,Element_Stiffness!Z236,0)),IF(Element_Stiffness!$E$215=6,IF(0=Element_Stiffness!$C$215,Element_Stiffness!T242,IF(0=Element_Stiffness!$E$215,Element_Stiffness!Z242,0)),0)),0)</f>
        <v/>
      </c>
      <c r="H41" s="21">
        <f>IF(Element_Stiffness!$C$6,IF(Element_Stiffness!$C$5=6,IF(0=Element_Stiffness!$C$5,Element_Stiffness!U26,IF(0=Element_Stiffness!$E$5,Element_Stiffness!AA26,0)),IF(Element_Stiffness!$E$5=6,IF(0=Element_Stiffness!$C$5,Element_Stiffness!U32,IF(0=Element_Stiffness!$E$5,Element_Stiffness!AA32,0)),0)),0)+IF(Element_Stiffness!$C$41,IF(Element_Stiffness!$C$40=6,IF(0=Element_Stiffness!$C$40,Element_Stiffness!U61,IF(0=Element_Stiffness!$E$40,Element_Stiffness!AA61,0)),IF(Element_Stiffness!$E$40=6,IF(0=Element_Stiffness!$C$40,Element_Stiffness!U67,IF(0=Element_Stiffness!$E$40,Element_Stiffness!AA67,0)),0)),0)+IF(Element_Stiffness!$C$76,IF(Element_Stiffness!$C$75=6,IF(0=Element_Stiffness!$C$75,Element_Stiffness!U96,IF(0=Element_Stiffness!$E$75,Element_Stiffness!AA96,0)),IF(Element_Stiffness!$E$75=6,IF(0=Element_Stiffness!$C$75,Element_Stiffness!U102,IF(0=Element_Stiffness!$E$75,Element_Stiffness!AA102,0)),0)),0)+IF(Element_Stiffness!$C$111,IF(Element_Stiffness!$C$110=6,IF(0=Element_Stiffness!$C$110,Element_Stiffness!U131,IF(0=Element_Stiffness!$E$110,Element_Stiffness!AA131,0)),IF(Element_Stiffness!$E$110=6,IF(0=Element_Stiffness!$C$110,Element_Stiffness!U137,IF(0=Element_Stiffness!$E$110,Element_Stiffness!AA137,0)),0)),0)+IF(Element_Stiffness!$C$146,IF(Element_Stiffness!$C$145=6,IF(0=Element_Stiffness!$C$145,Element_Stiffness!U166,IF(0=Element_Stiffness!$E$145,Element_Stiffness!AA166,0)),IF(Element_Stiffness!$E$145=6,IF(0=Element_Stiffness!$C$145,Element_Stiffness!U172,IF(0=Element_Stiffness!$E$145,Element_Stiffness!AA172,0)),0)),0)+IF(Element_Stiffness!$C$181,IF(Element_Stiffness!$C$180=6,IF(0=Element_Stiffness!$C$180,Element_Stiffness!U201,IF(0=Element_Stiffness!$E$180,Element_Stiffness!AA201,0)),IF(Element_Stiffness!$E$180=6,IF(0=Element_Stiffness!$C$180,Element_Stiffness!U207,IF(0=Element_Stiffness!$E$180,Element_Stiffness!AA207,0)),0)),0)+IF(Element_Stiffness!$C$216,IF(Element_Stiffness!$C$215=6,IF(0=Element_Stiffness!$C$215,Element_Stiffness!U236,IF(0=Element_Stiffness!$E$215,Element_Stiffness!AA236,0)),IF(Element_Stiffness!$E$215=6,IF(0=Element_Stiffness!$C$215,Element_Stiffness!U242,IF(0=Element_Stiffness!$E$215,Element_Stiffness!AA242,0)),0)),0)</f>
        <v/>
      </c>
      <c r="I41" s="21">
        <f>IF(Element_Stiffness!$C$6,IF(Element_Stiffness!$C$5=6,IF(1=Element_Stiffness!$C$5,Element_Stiffness!P26,IF(1=Element_Stiffness!$E$5,Element_Stiffness!V26,0)),IF(Element_Stiffness!$E$5=6,IF(1=Element_Stiffness!$C$5,Element_Stiffness!P32,IF(1=Element_Stiffness!$E$5,Element_Stiffness!V32,0)),0)),0)+IF(Element_Stiffness!$C$41,IF(Element_Stiffness!$C$40=6,IF(1=Element_Stiffness!$C$40,Element_Stiffness!P61,IF(1=Element_Stiffness!$E$40,Element_Stiffness!V61,0)),IF(Element_Stiffness!$E$40=6,IF(1=Element_Stiffness!$C$40,Element_Stiffness!P67,IF(1=Element_Stiffness!$E$40,Element_Stiffness!V67,0)),0)),0)+IF(Element_Stiffness!$C$76,IF(Element_Stiffness!$C$75=6,IF(1=Element_Stiffness!$C$75,Element_Stiffness!P96,IF(1=Element_Stiffness!$E$75,Element_Stiffness!V96,0)),IF(Element_Stiffness!$E$75=6,IF(1=Element_Stiffness!$C$75,Element_Stiffness!P102,IF(1=Element_Stiffness!$E$75,Element_Stiffness!V102,0)),0)),0)+IF(Element_Stiffness!$C$111,IF(Element_Stiffness!$C$110=6,IF(1=Element_Stiffness!$C$110,Element_Stiffness!P131,IF(1=Element_Stiffness!$E$110,Element_Stiffness!V131,0)),IF(Element_Stiffness!$E$110=6,IF(1=Element_Stiffness!$C$110,Element_Stiffness!P137,IF(1=Element_Stiffness!$E$110,Element_Stiffness!V137,0)),0)),0)+IF(Element_Stiffness!$C$146,IF(Element_Stiffness!$C$145=6,IF(1=Element_Stiffness!$C$145,Element_Stiffness!P166,IF(1=Element_Stiffness!$E$145,Element_Stiffness!V166,0)),IF(Element_Stiffness!$E$145=6,IF(1=Element_Stiffness!$C$145,Element_Stiffness!P172,IF(1=Element_Stiffness!$E$145,Element_Stiffness!V172,0)),0)),0)+IF(Element_Stiffness!$C$181,IF(Element_Stiffness!$C$180=6,IF(1=Element_Stiffness!$C$180,Element_Stiffness!P201,IF(1=Element_Stiffness!$E$180,Element_Stiffness!V201,0)),IF(Element_Stiffness!$E$180=6,IF(1=Element_Stiffness!$C$180,Element_Stiffness!P207,IF(1=Element_Stiffness!$E$180,Element_Stiffness!V207,0)),0)),0)+IF(Element_Stiffness!$C$216,IF(Element_Stiffness!$C$215=6,IF(1=Element_Stiffness!$C$215,Element_Stiffness!P236,IF(1=Element_Stiffness!$E$215,Element_Stiffness!V236,0)),IF(Element_Stiffness!$E$215=6,IF(1=Element_Stiffness!$C$215,Element_Stiffness!P242,IF(1=Element_Stiffness!$E$215,Element_Stiffness!V242,0)),0)),0)</f>
        <v/>
      </c>
      <c r="J41" s="21">
        <f>IF(Element_Stiffness!$C$6,IF(Element_Stiffness!$C$5=6,IF(1=Element_Stiffness!$C$5,Element_Stiffness!Q26,IF(1=Element_Stiffness!$E$5,Element_Stiffness!W26,0)),IF(Element_Stiffness!$E$5=6,IF(1=Element_Stiffness!$C$5,Element_Stiffness!Q32,IF(1=Element_Stiffness!$E$5,Element_Stiffness!W32,0)),0)),0)+IF(Element_Stiffness!$C$41,IF(Element_Stiffness!$C$40=6,IF(1=Element_Stiffness!$C$40,Element_Stiffness!Q61,IF(1=Element_Stiffness!$E$40,Element_Stiffness!W61,0)),IF(Element_Stiffness!$E$40=6,IF(1=Element_Stiffness!$C$40,Element_Stiffness!Q67,IF(1=Element_Stiffness!$E$40,Element_Stiffness!W67,0)),0)),0)+IF(Element_Stiffness!$C$76,IF(Element_Stiffness!$C$75=6,IF(1=Element_Stiffness!$C$75,Element_Stiffness!Q96,IF(1=Element_Stiffness!$E$75,Element_Stiffness!W96,0)),IF(Element_Stiffness!$E$75=6,IF(1=Element_Stiffness!$C$75,Element_Stiffness!Q102,IF(1=Element_Stiffness!$E$75,Element_Stiffness!W102,0)),0)),0)+IF(Element_Stiffness!$C$111,IF(Element_Stiffness!$C$110=6,IF(1=Element_Stiffness!$C$110,Element_Stiffness!Q131,IF(1=Element_Stiffness!$E$110,Element_Stiffness!W131,0)),IF(Element_Stiffness!$E$110=6,IF(1=Element_Stiffness!$C$110,Element_Stiffness!Q137,IF(1=Element_Stiffness!$E$110,Element_Stiffness!W137,0)),0)),0)+IF(Element_Stiffness!$C$146,IF(Element_Stiffness!$C$145=6,IF(1=Element_Stiffness!$C$145,Element_Stiffness!Q166,IF(1=Element_Stiffness!$E$145,Element_Stiffness!W166,0)),IF(Element_Stiffness!$E$145=6,IF(1=Element_Stiffness!$C$145,Element_Stiffness!Q172,IF(1=Element_Stiffness!$E$145,Element_Stiffness!W172,0)),0)),0)+IF(Element_Stiffness!$C$181,IF(Element_Stiffness!$C$180=6,IF(1=Element_Stiffness!$C$180,Element_Stiffness!Q201,IF(1=Element_Stiffness!$E$180,Element_Stiffness!W201,0)),IF(Element_Stiffness!$E$180=6,IF(1=Element_Stiffness!$C$180,Element_Stiffness!Q207,IF(1=Element_Stiffness!$E$180,Element_Stiffness!W207,0)),0)),0)+IF(Element_Stiffness!$C$216,IF(Element_Stiffness!$C$215=6,IF(1=Element_Stiffness!$C$215,Element_Stiffness!Q236,IF(1=Element_Stiffness!$E$215,Element_Stiffness!W236,0)),IF(Element_Stiffness!$E$215=6,IF(1=Element_Stiffness!$C$215,Element_Stiffness!Q242,IF(1=Element_Stiffness!$E$215,Element_Stiffness!W242,0)),0)),0)</f>
        <v/>
      </c>
      <c r="K41" s="21">
        <f>IF(Element_Stiffness!$C$6,IF(Element_Stiffness!$C$5=6,IF(1=Element_Stiffness!$C$5,Element_Stiffness!R26,IF(1=Element_Stiffness!$E$5,Element_Stiffness!X26,0)),IF(Element_Stiffness!$E$5=6,IF(1=Element_Stiffness!$C$5,Element_Stiffness!R32,IF(1=Element_Stiffness!$E$5,Element_Stiffness!X32,0)),0)),0)+IF(Element_Stiffness!$C$41,IF(Element_Stiffness!$C$40=6,IF(1=Element_Stiffness!$C$40,Element_Stiffness!R61,IF(1=Element_Stiffness!$E$40,Element_Stiffness!X61,0)),IF(Element_Stiffness!$E$40=6,IF(1=Element_Stiffness!$C$40,Element_Stiffness!R67,IF(1=Element_Stiffness!$E$40,Element_Stiffness!X67,0)),0)),0)+IF(Element_Stiffness!$C$76,IF(Element_Stiffness!$C$75=6,IF(1=Element_Stiffness!$C$75,Element_Stiffness!R96,IF(1=Element_Stiffness!$E$75,Element_Stiffness!X96,0)),IF(Element_Stiffness!$E$75=6,IF(1=Element_Stiffness!$C$75,Element_Stiffness!R102,IF(1=Element_Stiffness!$E$75,Element_Stiffness!X102,0)),0)),0)+IF(Element_Stiffness!$C$111,IF(Element_Stiffness!$C$110=6,IF(1=Element_Stiffness!$C$110,Element_Stiffness!R131,IF(1=Element_Stiffness!$E$110,Element_Stiffness!X131,0)),IF(Element_Stiffness!$E$110=6,IF(1=Element_Stiffness!$C$110,Element_Stiffness!R137,IF(1=Element_Stiffness!$E$110,Element_Stiffness!X137,0)),0)),0)+IF(Element_Stiffness!$C$146,IF(Element_Stiffness!$C$145=6,IF(1=Element_Stiffness!$C$145,Element_Stiffness!R166,IF(1=Element_Stiffness!$E$145,Element_Stiffness!X166,0)),IF(Element_Stiffness!$E$145=6,IF(1=Element_Stiffness!$C$145,Element_Stiffness!R172,IF(1=Element_Stiffness!$E$145,Element_Stiffness!X172,0)),0)),0)+IF(Element_Stiffness!$C$181,IF(Element_Stiffness!$C$180=6,IF(1=Element_Stiffness!$C$180,Element_Stiffness!R201,IF(1=Element_Stiffness!$E$180,Element_Stiffness!X201,0)),IF(Element_Stiffness!$E$180=6,IF(1=Element_Stiffness!$C$180,Element_Stiffness!R207,IF(1=Element_Stiffness!$E$180,Element_Stiffness!X207,0)),0)),0)+IF(Element_Stiffness!$C$216,IF(Element_Stiffness!$C$215=6,IF(1=Element_Stiffness!$C$215,Element_Stiffness!R236,IF(1=Element_Stiffness!$E$215,Element_Stiffness!X236,0)),IF(Element_Stiffness!$E$215=6,IF(1=Element_Stiffness!$C$215,Element_Stiffness!R242,IF(1=Element_Stiffness!$E$215,Element_Stiffness!X242,0)),0)),0)</f>
        <v/>
      </c>
      <c r="L41" s="21">
        <f>IF(Element_Stiffness!$C$6,IF(Element_Stiffness!$C$5=6,IF(1=Element_Stiffness!$C$5,Element_Stiffness!S26,IF(1=Element_Stiffness!$E$5,Element_Stiffness!Y26,0)),IF(Element_Stiffness!$E$5=6,IF(1=Element_Stiffness!$C$5,Element_Stiffness!S32,IF(1=Element_Stiffness!$E$5,Element_Stiffness!Y32,0)),0)),0)+IF(Element_Stiffness!$C$41,IF(Element_Stiffness!$C$40=6,IF(1=Element_Stiffness!$C$40,Element_Stiffness!S61,IF(1=Element_Stiffness!$E$40,Element_Stiffness!Y61,0)),IF(Element_Stiffness!$E$40=6,IF(1=Element_Stiffness!$C$40,Element_Stiffness!S67,IF(1=Element_Stiffness!$E$40,Element_Stiffness!Y67,0)),0)),0)+IF(Element_Stiffness!$C$76,IF(Element_Stiffness!$C$75=6,IF(1=Element_Stiffness!$C$75,Element_Stiffness!S96,IF(1=Element_Stiffness!$E$75,Element_Stiffness!Y96,0)),IF(Element_Stiffness!$E$75=6,IF(1=Element_Stiffness!$C$75,Element_Stiffness!S102,IF(1=Element_Stiffness!$E$75,Element_Stiffness!Y102,0)),0)),0)+IF(Element_Stiffness!$C$111,IF(Element_Stiffness!$C$110=6,IF(1=Element_Stiffness!$C$110,Element_Stiffness!S131,IF(1=Element_Stiffness!$E$110,Element_Stiffness!Y131,0)),IF(Element_Stiffness!$E$110=6,IF(1=Element_Stiffness!$C$110,Element_Stiffness!S137,IF(1=Element_Stiffness!$E$110,Element_Stiffness!Y137,0)),0)),0)+IF(Element_Stiffness!$C$146,IF(Element_Stiffness!$C$145=6,IF(1=Element_Stiffness!$C$145,Element_Stiffness!S166,IF(1=Element_Stiffness!$E$145,Element_Stiffness!Y166,0)),IF(Element_Stiffness!$E$145=6,IF(1=Element_Stiffness!$C$145,Element_Stiffness!S172,IF(1=Element_Stiffness!$E$145,Element_Stiffness!Y172,0)),0)),0)+IF(Element_Stiffness!$C$181,IF(Element_Stiffness!$C$180=6,IF(1=Element_Stiffness!$C$180,Element_Stiffness!S201,IF(1=Element_Stiffness!$E$180,Element_Stiffness!Y201,0)),IF(Element_Stiffness!$E$180=6,IF(1=Element_Stiffness!$C$180,Element_Stiffness!S207,IF(1=Element_Stiffness!$E$180,Element_Stiffness!Y207,0)),0)),0)+IF(Element_Stiffness!$C$216,IF(Element_Stiffness!$C$215=6,IF(1=Element_Stiffness!$C$215,Element_Stiffness!S236,IF(1=Element_Stiffness!$E$215,Element_Stiffness!Y236,0)),IF(Element_Stiffness!$E$215=6,IF(1=Element_Stiffness!$C$215,Element_Stiffness!S242,IF(1=Element_Stiffness!$E$215,Element_Stiffness!Y242,0)),0)),0)</f>
        <v/>
      </c>
      <c r="M41" s="21">
        <f>IF(Element_Stiffness!$C$6,IF(Element_Stiffness!$C$5=6,IF(1=Element_Stiffness!$C$5,Element_Stiffness!T26,IF(1=Element_Stiffness!$E$5,Element_Stiffness!Z26,0)),IF(Element_Stiffness!$E$5=6,IF(1=Element_Stiffness!$C$5,Element_Stiffness!T32,IF(1=Element_Stiffness!$E$5,Element_Stiffness!Z32,0)),0)),0)+IF(Element_Stiffness!$C$41,IF(Element_Stiffness!$C$40=6,IF(1=Element_Stiffness!$C$40,Element_Stiffness!T61,IF(1=Element_Stiffness!$E$40,Element_Stiffness!Z61,0)),IF(Element_Stiffness!$E$40=6,IF(1=Element_Stiffness!$C$40,Element_Stiffness!T67,IF(1=Element_Stiffness!$E$40,Element_Stiffness!Z67,0)),0)),0)+IF(Element_Stiffness!$C$76,IF(Element_Stiffness!$C$75=6,IF(1=Element_Stiffness!$C$75,Element_Stiffness!T96,IF(1=Element_Stiffness!$E$75,Element_Stiffness!Z96,0)),IF(Element_Stiffness!$E$75=6,IF(1=Element_Stiffness!$C$75,Element_Stiffness!T102,IF(1=Element_Stiffness!$E$75,Element_Stiffness!Z102,0)),0)),0)+IF(Element_Stiffness!$C$111,IF(Element_Stiffness!$C$110=6,IF(1=Element_Stiffness!$C$110,Element_Stiffness!T131,IF(1=Element_Stiffness!$E$110,Element_Stiffness!Z131,0)),IF(Element_Stiffness!$E$110=6,IF(1=Element_Stiffness!$C$110,Element_Stiffness!T137,IF(1=Element_Stiffness!$E$110,Element_Stiffness!Z137,0)),0)),0)+IF(Element_Stiffness!$C$146,IF(Element_Stiffness!$C$145=6,IF(1=Element_Stiffness!$C$145,Element_Stiffness!T166,IF(1=Element_Stiffness!$E$145,Element_Stiffness!Z166,0)),IF(Element_Stiffness!$E$145=6,IF(1=Element_Stiffness!$C$145,Element_Stiffness!T172,IF(1=Element_Stiffness!$E$145,Element_Stiffness!Z172,0)),0)),0)+IF(Element_Stiffness!$C$181,IF(Element_Stiffness!$C$180=6,IF(1=Element_Stiffness!$C$180,Element_Stiffness!T201,IF(1=Element_Stiffness!$E$180,Element_Stiffness!Z201,0)),IF(Element_Stiffness!$E$180=6,IF(1=Element_Stiffness!$C$180,Element_Stiffness!T207,IF(1=Element_Stiffness!$E$180,Element_Stiffness!Z207,0)),0)),0)+IF(Element_Stiffness!$C$216,IF(Element_Stiffness!$C$215=6,IF(1=Element_Stiffness!$C$215,Element_Stiffness!T236,IF(1=Element_Stiffness!$E$215,Element_Stiffness!Z236,0)),IF(Element_Stiffness!$E$215=6,IF(1=Element_Stiffness!$C$215,Element_Stiffness!T242,IF(1=Element_Stiffness!$E$215,Element_Stiffness!Z242,0)),0)),0)</f>
        <v/>
      </c>
      <c r="N41" s="21">
        <f>IF(Element_Stiffness!$C$6,IF(Element_Stiffness!$C$5=6,IF(1=Element_Stiffness!$C$5,Element_Stiffness!U26,IF(1=Element_Stiffness!$E$5,Element_Stiffness!AA26,0)),IF(Element_Stiffness!$E$5=6,IF(1=Element_Stiffness!$C$5,Element_Stiffness!U32,IF(1=Element_Stiffness!$E$5,Element_Stiffness!AA32,0)),0)),0)+IF(Element_Stiffness!$C$41,IF(Element_Stiffness!$C$40=6,IF(1=Element_Stiffness!$C$40,Element_Stiffness!U61,IF(1=Element_Stiffness!$E$40,Element_Stiffness!AA61,0)),IF(Element_Stiffness!$E$40=6,IF(1=Element_Stiffness!$C$40,Element_Stiffness!U67,IF(1=Element_Stiffness!$E$40,Element_Stiffness!AA67,0)),0)),0)+IF(Element_Stiffness!$C$76,IF(Element_Stiffness!$C$75=6,IF(1=Element_Stiffness!$C$75,Element_Stiffness!U96,IF(1=Element_Stiffness!$E$75,Element_Stiffness!AA96,0)),IF(Element_Stiffness!$E$75=6,IF(1=Element_Stiffness!$C$75,Element_Stiffness!U102,IF(1=Element_Stiffness!$E$75,Element_Stiffness!AA102,0)),0)),0)+IF(Element_Stiffness!$C$111,IF(Element_Stiffness!$C$110=6,IF(1=Element_Stiffness!$C$110,Element_Stiffness!U131,IF(1=Element_Stiffness!$E$110,Element_Stiffness!AA131,0)),IF(Element_Stiffness!$E$110=6,IF(1=Element_Stiffness!$C$110,Element_Stiffness!U137,IF(1=Element_Stiffness!$E$110,Element_Stiffness!AA137,0)),0)),0)+IF(Element_Stiffness!$C$146,IF(Element_Stiffness!$C$145=6,IF(1=Element_Stiffness!$C$145,Element_Stiffness!U166,IF(1=Element_Stiffness!$E$145,Element_Stiffness!AA166,0)),IF(Element_Stiffness!$E$145=6,IF(1=Element_Stiffness!$C$145,Element_Stiffness!U172,IF(1=Element_Stiffness!$E$145,Element_Stiffness!AA172,0)),0)),0)+IF(Element_Stiffness!$C$181,IF(Element_Stiffness!$C$180=6,IF(1=Element_Stiffness!$C$180,Element_Stiffness!U201,IF(1=Element_Stiffness!$E$180,Element_Stiffness!AA201,0)),IF(Element_Stiffness!$E$180=6,IF(1=Element_Stiffness!$C$180,Element_Stiffness!U207,IF(1=Element_Stiffness!$E$180,Element_Stiffness!AA207,0)),0)),0)+IF(Element_Stiffness!$C$216,IF(Element_Stiffness!$C$215=6,IF(1=Element_Stiffness!$C$215,Element_Stiffness!U236,IF(1=Element_Stiffness!$E$215,Element_Stiffness!AA236,0)),IF(Element_Stiffness!$E$215=6,IF(1=Element_Stiffness!$C$215,Element_Stiffness!U242,IF(1=Element_Stiffness!$E$215,Element_Stiffness!AA242,0)),0)),0)</f>
        <v/>
      </c>
      <c r="O41" s="21">
        <f>IF(Element_Stiffness!$C$6,IF(Element_Stiffness!$C$5=6,IF(2=Element_Stiffness!$C$5,Element_Stiffness!P26,IF(2=Element_Stiffness!$E$5,Element_Stiffness!V26,0)),IF(Element_Stiffness!$E$5=6,IF(2=Element_Stiffness!$C$5,Element_Stiffness!P32,IF(2=Element_Stiffness!$E$5,Element_Stiffness!V32,0)),0)),0)+IF(Element_Stiffness!$C$41,IF(Element_Stiffness!$C$40=6,IF(2=Element_Stiffness!$C$40,Element_Stiffness!P61,IF(2=Element_Stiffness!$E$40,Element_Stiffness!V61,0)),IF(Element_Stiffness!$E$40=6,IF(2=Element_Stiffness!$C$40,Element_Stiffness!P67,IF(2=Element_Stiffness!$E$40,Element_Stiffness!V67,0)),0)),0)+IF(Element_Stiffness!$C$76,IF(Element_Stiffness!$C$75=6,IF(2=Element_Stiffness!$C$75,Element_Stiffness!P96,IF(2=Element_Stiffness!$E$75,Element_Stiffness!V96,0)),IF(Element_Stiffness!$E$75=6,IF(2=Element_Stiffness!$C$75,Element_Stiffness!P102,IF(2=Element_Stiffness!$E$75,Element_Stiffness!V102,0)),0)),0)+IF(Element_Stiffness!$C$111,IF(Element_Stiffness!$C$110=6,IF(2=Element_Stiffness!$C$110,Element_Stiffness!P131,IF(2=Element_Stiffness!$E$110,Element_Stiffness!V131,0)),IF(Element_Stiffness!$E$110=6,IF(2=Element_Stiffness!$C$110,Element_Stiffness!P137,IF(2=Element_Stiffness!$E$110,Element_Stiffness!V137,0)),0)),0)+IF(Element_Stiffness!$C$146,IF(Element_Stiffness!$C$145=6,IF(2=Element_Stiffness!$C$145,Element_Stiffness!P166,IF(2=Element_Stiffness!$E$145,Element_Stiffness!V166,0)),IF(Element_Stiffness!$E$145=6,IF(2=Element_Stiffness!$C$145,Element_Stiffness!P172,IF(2=Element_Stiffness!$E$145,Element_Stiffness!V172,0)),0)),0)+IF(Element_Stiffness!$C$181,IF(Element_Stiffness!$C$180=6,IF(2=Element_Stiffness!$C$180,Element_Stiffness!P201,IF(2=Element_Stiffness!$E$180,Element_Stiffness!V201,0)),IF(Element_Stiffness!$E$180=6,IF(2=Element_Stiffness!$C$180,Element_Stiffness!P207,IF(2=Element_Stiffness!$E$180,Element_Stiffness!V207,0)),0)),0)+IF(Element_Stiffness!$C$216,IF(Element_Stiffness!$C$215=6,IF(2=Element_Stiffness!$C$215,Element_Stiffness!P236,IF(2=Element_Stiffness!$E$215,Element_Stiffness!V236,0)),IF(Element_Stiffness!$E$215=6,IF(2=Element_Stiffness!$C$215,Element_Stiffness!P242,IF(2=Element_Stiffness!$E$215,Element_Stiffness!V242,0)),0)),0)</f>
        <v/>
      </c>
      <c r="P41" s="21">
        <f>IF(Element_Stiffness!$C$6,IF(Element_Stiffness!$C$5=6,IF(2=Element_Stiffness!$C$5,Element_Stiffness!Q26,IF(2=Element_Stiffness!$E$5,Element_Stiffness!W26,0)),IF(Element_Stiffness!$E$5=6,IF(2=Element_Stiffness!$C$5,Element_Stiffness!Q32,IF(2=Element_Stiffness!$E$5,Element_Stiffness!W32,0)),0)),0)+IF(Element_Stiffness!$C$41,IF(Element_Stiffness!$C$40=6,IF(2=Element_Stiffness!$C$40,Element_Stiffness!Q61,IF(2=Element_Stiffness!$E$40,Element_Stiffness!W61,0)),IF(Element_Stiffness!$E$40=6,IF(2=Element_Stiffness!$C$40,Element_Stiffness!Q67,IF(2=Element_Stiffness!$E$40,Element_Stiffness!W67,0)),0)),0)+IF(Element_Stiffness!$C$76,IF(Element_Stiffness!$C$75=6,IF(2=Element_Stiffness!$C$75,Element_Stiffness!Q96,IF(2=Element_Stiffness!$E$75,Element_Stiffness!W96,0)),IF(Element_Stiffness!$E$75=6,IF(2=Element_Stiffness!$C$75,Element_Stiffness!Q102,IF(2=Element_Stiffness!$E$75,Element_Stiffness!W102,0)),0)),0)+IF(Element_Stiffness!$C$111,IF(Element_Stiffness!$C$110=6,IF(2=Element_Stiffness!$C$110,Element_Stiffness!Q131,IF(2=Element_Stiffness!$E$110,Element_Stiffness!W131,0)),IF(Element_Stiffness!$E$110=6,IF(2=Element_Stiffness!$C$110,Element_Stiffness!Q137,IF(2=Element_Stiffness!$E$110,Element_Stiffness!W137,0)),0)),0)+IF(Element_Stiffness!$C$146,IF(Element_Stiffness!$C$145=6,IF(2=Element_Stiffness!$C$145,Element_Stiffness!Q166,IF(2=Element_Stiffness!$E$145,Element_Stiffness!W166,0)),IF(Element_Stiffness!$E$145=6,IF(2=Element_Stiffness!$C$145,Element_Stiffness!Q172,IF(2=Element_Stiffness!$E$145,Element_Stiffness!W172,0)),0)),0)+IF(Element_Stiffness!$C$181,IF(Element_Stiffness!$C$180=6,IF(2=Element_Stiffness!$C$180,Element_Stiffness!Q201,IF(2=Element_Stiffness!$E$180,Element_Stiffness!W201,0)),IF(Element_Stiffness!$E$180=6,IF(2=Element_Stiffness!$C$180,Element_Stiffness!Q207,IF(2=Element_Stiffness!$E$180,Element_Stiffness!W207,0)),0)),0)+IF(Element_Stiffness!$C$216,IF(Element_Stiffness!$C$215=6,IF(2=Element_Stiffness!$C$215,Element_Stiffness!Q236,IF(2=Element_Stiffness!$E$215,Element_Stiffness!W236,0)),IF(Element_Stiffness!$E$215=6,IF(2=Element_Stiffness!$C$215,Element_Stiffness!Q242,IF(2=Element_Stiffness!$E$215,Element_Stiffness!W242,0)),0)),0)</f>
        <v/>
      </c>
      <c r="Q41" s="21">
        <f>IF(Element_Stiffness!$C$6,IF(Element_Stiffness!$C$5=6,IF(2=Element_Stiffness!$C$5,Element_Stiffness!R26,IF(2=Element_Stiffness!$E$5,Element_Stiffness!X26,0)),IF(Element_Stiffness!$E$5=6,IF(2=Element_Stiffness!$C$5,Element_Stiffness!R32,IF(2=Element_Stiffness!$E$5,Element_Stiffness!X32,0)),0)),0)+IF(Element_Stiffness!$C$41,IF(Element_Stiffness!$C$40=6,IF(2=Element_Stiffness!$C$40,Element_Stiffness!R61,IF(2=Element_Stiffness!$E$40,Element_Stiffness!X61,0)),IF(Element_Stiffness!$E$40=6,IF(2=Element_Stiffness!$C$40,Element_Stiffness!R67,IF(2=Element_Stiffness!$E$40,Element_Stiffness!X67,0)),0)),0)+IF(Element_Stiffness!$C$76,IF(Element_Stiffness!$C$75=6,IF(2=Element_Stiffness!$C$75,Element_Stiffness!R96,IF(2=Element_Stiffness!$E$75,Element_Stiffness!X96,0)),IF(Element_Stiffness!$E$75=6,IF(2=Element_Stiffness!$C$75,Element_Stiffness!R102,IF(2=Element_Stiffness!$E$75,Element_Stiffness!X102,0)),0)),0)+IF(Element_Stiffness!$C$111,IF(Element_Stiffness!$C$110=6,IF(2=Element_Stiffness!$C$110,Element_Stiffness!R131,IF(2=Element_Stiffness!$E$110,Element_Stiffness!X131,0)),IF(Element_Stiffness!$E$110=6,IF(2=Element_Stiffness!$C$110,Element_Stiffness!R137,IF(2=Element_Stiffness!$E$110,Element_Stiffness!X137,0)),0)),0)+IF(Element_Stiffness!$C$146,IF(Element_Stiffness!$C$145=6,IF(2=Element_Stiffness!$C$145,Element_Stiffness!R166,IF(2=Element_Stiffness!$E$145,Element_Stiffness!X166,0)),IF(Element_Stiffness!$E$145=6,IF(2=Element_Stiffness!$C$145,Element_Stiffness!R172,IF(2=Element_Stiffness!$E$145,Element_Stiffness!X172,0)),0)),0)+IF(Element_Stiffness!$C$181,IF(Element_Stiffness!$C$180=6,IF(2=Element_Stiffness!$C$180,Element_Stiffness!R201,IF(2=Element_Stiffness!$E$180,Element_Stiffness!X201,0)),IF(Element_Stiffness!$E$180=6,IF(2=Element_Stiffness!$C$180,Element_Stiffness!R207,IF(2=Element_Stiffness!$E$180,Element_Stiffness!X207,0)),0)),0)+IF(Element_Stiffness!$C$216,IF(Element_Stiffness!$C$215=6,IF(2=Element_Stiffness!$C$215,Element_Stiffness!R236,IF(2=Element_Stiffness!$E$215,Element_Stiffness!X236,0)),IF(Element_Stiffness!$E$215=6,IF(2=Element_Stiffness!$C$215,Element_Stiffness!R242,IF(2=Element_Stiffness!$E$215,Element_Stiffness!X242,0)),0)),0)</f>
        <v/>
      </c>
      <c r="R41" s="21">
        <f>IF(Element_Stiffness!$C$6,IF(Element_Stiffness!$C$5=6,IF(2=Element_Stiffness!$C$5,Element_Stiffness!S26,IF(2=Element_Stiffness!$E$5,Element_Stiffness!Y26,0)),IF(Element_Stiffness!$E$5=6,IF(2=Element_Stiffness!$C$5,Element_Stiffness!S32,IF(2=Element_Stiffness!$E$5,Element_Stiffness!Y32,0)),0)),0)+IF(Element_Stiffness!$C$41,IF(Element_Stiffness!$C$40=6,IF(2=Element_Stiffness!$C$40,Element_Stiffness!S61,IF(2=Element_Stiffness!$E$40,Element_Stiffness!Y61,0)),IF(Element_Stiffness!$E$40=6,IF(2=Element_Stiffness!$C$40,Element_Stiffness!S67,IF(2=Element_Stiffness!$E$40,Element_Stiffness!Y67,0)),0)),0)+IF(Element_Stiffness!$C$76,IF(Element_Stiffness!$C$75=6,IF(2=Element_Stiffness!$C$75,Element_Stiffness!S96,IF(2=Element_Stiffness!$E$75,Element_Stiffness!Y96,0)),IF(Element_Stiffness!$E$75=6,IF(2=Element_Stiffness!$C$75,Element_Stiffness!S102,IF(2=Element_Stiffness!$E$75,Element_Stiffness!Y102,0)),0)),0)+IF(Element_Stiffness!$C$111,IF(Element_Stiffness!$C$110=6,IF(2=Element_Stiffness!$C$110,Element_Stiffness!S131,IF(2=Element_Stiffness!$E$110,Element_Stiffness!Y131,0)),IF(Element_Stiffness!$E$110=6,IF(2=Element_Stiffness!$C$110,Element_Stiffness!S137,IF(2=Element_Stiffness!$E$110,Element_Stiffness!Y137,0)),0)),0)+IF(Element_Stiffness!$C$146,IF(Element_Stiffness!$C$145=6,IF(2=Element_Stiffness!$C$145,Element_Stiffness!S166,IF(2=Element_Stiffness!$E$145,Element_Stiffness!Y166,0)),IF(Element_Stiffness!$E$145=6,IF(2=Element_Stiffness!$C$145,Element_Stiffness!S172,IF(2=Element_Stiffness!$E$145,Element_Stiffness!Y172,0)),0)),0)+IF(Element_Stiffness!$C$181,IF(Element_Stiffness!$C$180=6,IF(2=Element_Stiffness!$C$180,Element_Stiffness!S201,IF(2=Element_Stiffness!$E$180,Element_Stiffness!Y201,0)),IF(Element_Stiffness!$E$180=6,IF(2=Element_Stiffness!$C$180,Element_Stiffness!S207,IF(2=Element_Stiffness!$E$180,Element_Stiffness!Y207,0)),0)),0)+IF(Element_Stiffness!$C$216,IF(Element_Stiffness!$C$215=6,IF(2=Element_Stiffness!$C$215,Element_Stiffness!S236,IF(2=Element_Stiffness!$E$215,Element_Stiffness!Y236,0)),IF(Element_Stiffness!$E$215=6,IF(2=Element_Stiffness!$C$215,Element_Stiffness!S242,IF(2=Element_Stiffness!$E$215,Element_Stiffness!Y242,0)),0)),0)</f>
        <v/>
      </c>
      <c r="S41" s="21">
        <f>IF(Element_Stiffness!$C$6,IF(Element_Stiffness!$C$5=6,IF(2=Element_Stiffness!$C$5,Element_Stiffness!T26,IF(2=Element_Stiffness!$E$5,Element_Stiffness!Z26,0)),IF(Element_Stiffness!$E$5=6,IF(2=Element_Stiffness!$C$5,Element_Stiffness!T32,IF(2=Element_Stiffness!$E$5,Element_Stiffness!Z32,0)),0)),0)+IF(Element_Stiffness!$C$41,IF(Element_Stiffness!$C$40=6,IF(2=Element_Stiffness!$C$40,Element_Stiffness!T61,IF(2=Element_Stiffness!$E$40,Element_Stiffness!Z61,0)),IF(Element_Stiffness!$E$40=6,IF(2=Element_Stiffness!$C$40,Element_Stiffness!T67,IF(2=Element_Stiffness!$E$40,Element_Stiffness!Z67,0)),0)),0)+IF(Element_Stiffness!$C$76,IF(Element_Stiffness!$C$75=6,IF(2=Element_Stiffness!$C$75,Element_Stiffness!T96,IF(2=Element_Stiffness!$E$75,Element_Stiffness!Z96,0)),IF(Element_Stiffness!$E$75=6,IF(2=Element_Stiffness!$C$75,Element_Stiffness!T102,IF(2=Element_Stiffness!$E$75,Element_Stiffness!Z102,0)),0)),0)+IF(Element_Stiffness!$C$111,IF(Element_Stiffness!$C$110=6,IF(2=Element_Stiffness!$C$110,Element_Stiffness!T131,IF(2=Element_Stiffness!$E$110,Element_Stiffness!Z131,0)),IF(Element_Stiffness!$E$110=6,IF(2=Element_Stiffness!$C$110,Element_Stiffness!T137,IF(2=Element_Stiffness!$E$110,Element_Stiffness!Z137,0)),0)),0)+IF(Element_Stiffness!$C$146,IF(Element_Stiffness!$C$145=6,IF(2=Element_Stiffness!$C$145,Element_Stiffness!T166,IF(2=Element_Stiffness!$E$145,Element_Stiffness!Z166,0)),IF(Element_Stiffness!$E$145=6,IF(2=Element_Stiffness!$C$145,Element_Stiffness!T172,IF(2=Element_Stiffness!$E$145,Element_Stiffness!Z172,0)),0)),0)+IF(Element_Stiffness!$C$181,IF(Element_Stiffness!$C$180=6,IF(2=Element_Stiffness!$C$180,Element_Stiffness!T201,IF(2=Element_Stiffness!$E$180,Element_Stiffness!Z201,0)),IF(Element_Stiffness!$E$180=6,IF(2=Element_Stiffness!$C$180,Element_Stiffness!T207,IF(2=Element_Stiffness!$E$180,Element_Stiffness!Z207,0)),0)),0)+IF(Element_Stiffness!$C$216,IF(Element_Stiffness!$C$215=6,IF(2=Element_Stiffness!$C$215,Element_Stiffness!T236,IF(2=Element_Stiffness!$E$215,Element_Stiffness!Z236,0)),IF(Element_Stiffness!$E$215=6,IF(2=Element_Stiffness!$C$215,Element_Stiffness!T242,IF(2=Element_Stiffness!$E$215,Element_Stiffness!Z242,0)),0)),0)</f>
        <v/>
      </c>
      <c r="T41" s="21">
        <f>IF(Element_Stiffness!$C$6,IF(Element_Stiffness!$C$5=6,IF(2=Element_Stiffness!$C$5,Element_Stiffness!U26,IF(2=Element_Stiffness!$E$5,Element_Stiffness!AA26,0)),IF(Element_Stiffness!$E$5=6,IF(2=Element_Stiffness!$C$5,Element_Stiffness!U32,IF(2=Element_Stiffness!$E$5,Element_Stiffness!AA32,0)),0)),0)+IF(Element_Stiffness!$C$41,IF(Element_Stiffness!$C$40=6,IF(2=Element_Stiffness!$C$40,Element_Stiffness!U61,IF(2=Element_Stiffness!$E$40,Element_Stiffness!AA61,0)),IF(Element_Stiffness!$E$40=6,IF(2=Element_Stiffness!$C$40,Element_Stiffness!U67,IF(2=Element_Stiffness!$E$40,Element_Stiffness!AA67,0)),0)),0)+IF(Element_Stiffness!$C$76,IF(Element_Stiffness!$C$75=6,IF(2=Element_Stiffness!$C$75,Element_Stiffness!U96,IF(2=Element_Stiffness!$E$75,Element_Stiffness!AA96,0)),IF(Element_Stiffness!$E$75=6,IF(2=Element_Stiffness!$C$75,Element_Stiffness!U102,IF(2=Element_Stiffness!$E$75,Element_Stiffness!AA102,0)),0)),0)+IF(Element_Stiffness!$C$111,IF(Element_Stiffness!$C$110=6,IF(2=Element_Stiffness!$C$110,Element_Stiffness!U131,IF(2=Element_Stiffness!$E$110,Element_Stiffness!AA131,0)),IF(Element_Stiffness!$E$110=6,IF(2=Element_Stiffness!$C$110,Element_Stiffness!U137,IF(2=Element_Stiffness!$E$110,Element_Stiffness!AA137,0)),0)),0)+IF(Element_Stiffness!$C$146,IF(Element_Stiffness!$C$145=6,IF(2=Element_Stiffness!$C$145,Element_Stiffness!U166,IF(2=Element_Stiffness!$E$145,Element_Stiffness!AA166,0)),IF(Element_Stiffness!$E$145=6,IF(2=Element_Stiffness!$C$145,Element_Stiffness!U172,IF(2=Element_Stiffness!$E$145,Element_Stiffness!AA172,0)),0)),0)+IF(Element_Stiffness!$C$181,IF(Element_Stiffness!$C$180=6,IF(2=Element_Stiffness!$C$180,Element_Stiffness!U201,IF(2=Element_Stiffness!$E$180,Element_Stiffness!AA201,0)),IF(Element_Stiffness!$E$180=6,IF(2=Element_Stiffness!$C$180,Element_Stiffness!U207,IF(2=Element_Stiffness!$E$180,Element_Stiffness!AA207,0)),0)),0)+IF(Element_Stiffness!$C$216,IF(Element_Stiffness!$C$215=6,IF(2=Element_Stiffness!$C$215,Element_Stiffness!U236,IF(2=Element_Stiffness!$E$215,Element_Stiffness!AA236,0)),IF(Element_Stiffness!$E$215=6,IF(2=Element_Stiffness!$C$215,Element_Stiffness!U242,IF(2=Element_Stiffness!$E$215,Element_Stiffness!AA242,0)),0)),0)</f>
        <v/>
      </c>
      <c r="U41" s="21">
        <f>IF(Element_Stiffness!$C$6,IF(Element_Stiffness!$C$5=6,IF(3=Element_Stiffness!$C$5,Element_Stiffness!P26,IF(3=Element_Stiffness!$E$5,Element_Stiffness!V26,0)),IF(Element_Stiffness!$E$5=6,IF(3=Element_Stiffness!$C$5,Element_Stiffness!P32,IF(3=Element_Stiffness!$E$5,Element_Stiffness!V32,0)),0)),0)+IF(Element_Stiffness!$C$41,IF(Element_Stiffness!$C$40=6,IF(3=Element_Stiffness!$C$40,Element_Stiffness!P61,IF(3=Element_Stiffness!$E$40,Element_Stiffness!V61,0)),IF(Element_Stiffness!$E$40=6,IF(3=Element_Stiffness!$C$40,Element_Stiffness!P67,IF(3=Element_Stiffness!$E$40,Element_Stiffness!V67,0)),0)),0)+IF(Element_Stiffness!$C$76,IF(Element_Stiffness!$C$75=6,IF(3=Element_Stiffness!$C$75,Element_Stiffness!P96,IF(3=Element_Stiffness!$E$75,Element_Stiffness!V96,0)),IF(Element_Stiffness!$E$75=6,IF(3=Element_Stiffness!$C$75,Element_Stiffness!P102,IF(3=Element_Stiffness!$E$75,Element_Stiffness!V102,0)),0)),0)+IF(Element_Stiffness!$C$111,IF(Element_Stiffness!$C$110=6,IF(3=Element_Stiffness!$C$110,Element_Stiffness!P131,IF(3=Element_Stiffness!$E$110,Element_Stiffness!V131,0)),IF(Element_Stiffness!$E$110=6,IF(3=Element_Stiffness!$C$110,Element_Stiffness!P137,IF(3=Element_Stiffness!$E$110,Element_Stiffness!V137,0)),0)),0)+IF(Element_Stiffness!$C$146,IF(Element_Stiffness!$C$145=6,IF(3=Element_Stiffness!$C$145,Element_Stiffness!P166,IF(3=Element_Stiffness!$E$145,Element_Stiffness!V166,0)),IF(Element_Stiffness!$E$145=6,IF(3=Element_Stiffness!$C$145,Element_Stiffness!P172,IF(3=Element_Stiffness!$E$145,Element_Stiffness!V172,0)),0)),0)+IF(Element_Stiffness!$C$181,IF(Element_Stiffness!$C$180=6,IF(3=Element_Stiffness!$C$180,Element_Stiffness!P201,IF(3=Element_Stiffness!$E$180,Element_Stiffness!V201,0)),IF(Element_Stiffness!$E$180=6,IF(3=Element_Stiffness!$C$180,Element_Stiffness!P207,IF(3=Element_Stiffness!$E$180,Element_Stiffness!V207,0)),0)),0)+IF(Element_Stiffness!$C$216,IF(Element_Stiffness!$C$215=6,IF(3=Element_Stiffness!$C$215,Element_Stiffness!P236,IF(3=Element_Stiffness!$E$215,Element_Stiffness!V236,0)),IF(Element_Stiffness!$E$215=6,IF(3=Element_Stiffness!$C$215,Element_Stiffness!P242,IF(3=Element_Stiffness!$E$215,Element_Stiffness!V242,0)),0)),0)</f>
        <v/>
      </c>
      <c r="V41" s="21">
        <f>IF(Element_Stiffness!$C$6,IF(Element_Stiffness!$C$5=6,IF(3=Element_Stiffness!$C$5,Element_Stiffness!Q26,IF(3=Element_Stiffness!$E$5,Element_Stiffness!W26,0)),IF(Element_Stiffness!$E$5=6,IF(3=Element_Stiffness!$C$5,Element_Stiffness!Q32,IF(3=Element_Stiffness!$E$5,Element_Stiffness!W32,0)),0)),0)+IF(Element_Stiffness!$C$41,IF(Element_Stiffness!$C$40=6,IF(3=Element_Stiffness!$C$40,Element_Stiffness!Q61,IF(3=Element_Stiffness!$E$40,Element_Stiffness!W61,0)),IF(Element_Stiffness!$E$40=6,IF(3=Element_Stiffness!$C$40,Element_Stiffness!Q67,IF(3=Element_Stiffness!$E$40,Element_Stiffness!W67,0)),0)),0)+IF(Element_Stiffness!$C$76,IF(Element_Stiffness!$C$75=6,IF(3=Element_Stiffness!$C$75,Element_Stiffness!Q96,IF(3=Element_Stiffness!$E$75,Element_Stiffness!W96,0)),IF(Element_Stiffness!$E$75=6,IF(3=Element_Stiffness!$C$75,Element_Stiffness!Q102,IF(3=Element_Stiffness!$E$75,Element_Stiffness!W102,0)),0)),0)+IF(Element_Stiffness!$C$111,IF(Element_Stiffness!$C$110=6,IF(3=Element_Stiffness!$C$110,Element_Stiffness!Q131,IF(3=Element_Stiffness!$E$110,Element_Stiffness!W131,0)),IF(Element_Stiffness!$E$110=6,IF(3=Element_Stiffness!$C$110,Element_Stiffness!Q137,IF(3=Element_Stiffness!$E$110,Element_Stiffness!W137,0)),0)),0)+IF(Element_Stiffness!$C$146,IF(Element_Stiffness!$C$145=6,IF(3=Element_Stiffness!$C$145,Element_Stiffness!Q166,IF(3=Element_Stiffness!$E$145,Element_Stiffness!W166,0)),IF(Element_Stiffness!$E$145=6,IF(3=Element_Stiffness!$C$145,Element_Stiffness!Q172,IF(3=Element_Stiffness!$E$145,Element_Stiffness!W172,0)),0)),0)+IF(Element_Stiffness!$C$181,IF(Element_Stiffness!$C$180=6,IF(3=Element_Stiffness!$C$180,Element_Stiffness!Q201,IF(3=Element_Stiffness!$E$180,Element_Stiffness!W201,0)),IF(Element_Stiffness!$E$180=6,IF(3=Element_Stiffness!$C$180,Element_Stiffness!Q207,IF(3=Element_Stiffness!$E$180,Element_Stiffness!W207,0)),0)),0)+IF(Element_Stiffness!$C$216,IF(Element_Stiffness!$C$215=6,IF(3=Element_Stiffness!$C$215,Element_Stiffness!Q236,IF(3=Element_Stiffness!$E$215,Element_Stiffness!W236,0)),IF(Element_Stiffness!$E$215=6,IF(3=Element_Stiffness!$C$215,Element_Stiffness!Q242,IF(3=Element_Stiffness!$E$215,Element_Stiffness!W242,0)),0)),0)</f>
        <v/>
      </c>
      <c r="W41" s="21">
        <f>IF(Element_Stiffness!$C$6,IF(Element_Stiffness!$C$5=6,IF(3=Element_Stiffness!$C$5,Element_Stiffness!R26,IF(3=Element_Stiffness!$E$5,Element_Stiffness!X26,0)),IF(Element_Stiffness!$E$5=6,IF(3=Element_Stiffness!$C$5,Element_Stiffness!R32,IF(3=Element_Stiffness!$E$5,Element_Stiffness!X32,0)),0)),0)+IF(Element_Stiffness!$C$41,IF(Element_Stiffness!$C$40=6,IF(3=Element_Stiffness!$C$40,Element_Stiffness!R61,IF(3=Element_Stiffness!$E$40,Element_Stiffness!X61,0)),IF(Element_Stiffness!$E$40=6,IF(3=Element_Stiffness!$C$40,Element_Stiffness!R67,IF(3=Element_Stiffness!$E$40,Element_Stiffness!X67,0)),0)),0)+IF(Element_Stiffness!$C$76,IF(Element_Stiffness!$C$75=6,IF(3=Element_Stiffness!$C$75,Element_Stiffness!R96,IF(3=Element_Stiffness!$E$75,Element_Stiffness!X96,0)),IF(Element_Stiffness!$E$75=6,IF(3=Element_Stiffness!$C$75,Element_Stiffness!R102,IF(3=Element_Stiffness!$E$75,Element_Stiffness!X102,0)),0)),0)+IF(Element_Stiffness!$C$111,IF(Element_Stiffness!$C$110=6,IF(3=Element_Stiffness!$C$110,Element_Stiffness!R131,IF(3=Element_Stiffness!$E$110,Element_Stiffness!X131,0)),IF(Element_Stiffness!$E$110=6,IF(3=Element_Stiffness!$C$110,Element_Stiffness!R137,IF(3=Element_Stiffness!$E$110,Element_Stiffness!X137,0)),0)),0)+IF(Element_Stiffness!$C$146,IF(Element_Stiffness!$C$145=6,IF(3=Element_Stiffness!$C$145,Element_Stiffness!R166,IF(3=Element_Stiffness!$E$145,Element_Stiffness!X166,0)),IF(Element_Stiffness!$E$145=6,IF(3=Element_Stiffness!$C$145,Element_Stiffness!R172,IF(3=Element_Stiffness!$E$145,Element_Stiffness!X172,0)),0)),0)+IF(Element_Stiffness!$C$181,IF(Element_Stiffness!$C$180=6,IF(3=Element_Stiffness!$C$180,Element_Stiffness!R201,IF(3=Element_Stiffness!$E$180,Element_Stiffness!X201,0)),IF(Element_Stiffness!$E$180=6,IF(3=Element_Stiffness!$C$180,Element_Stiffness!R207,IF(3=Element_Stiffness!$E$180,Element_Stiffness!X207,0)),0)),0)+IF(Element_Stiffness!$C$216,IF(Element_Stiffness!$C$215=6,IF(3=Element_Stiffness!$C$215,Element_Stiffness!R236,IF(3=Element_Stiffness!$E$215,Element_Stiffness!X236,0)),IF(Element_Stiffness!$E$215=6,IF(3=Element_Stiffness!$C$215,Element_Stiffness!R242,IF(3=Element_Stiffness!$E$215,Element_Stiffness!X242,0)),0)),0)</f>
        <v/>
      </c>
      <c r="X41" s="21">
        <f>IF(Element_Stiffness!$C$6,IF(Element_Stiffness!$C$5=6,IF(3=Element_Stiffness!$C$5,Element_Stiffness!S26,IF(3=Element_Stiffness!$E$5,Element_Stiffness!Y26,0)),IF(Element_Stiffness!$E$5=6,IF(3=Element_Stiffness!$C$5,Element_Stiffness!S32,IF(3=Element_Stiffness!$E$5,Element_Stiffness!Y32,0)),0)),0)+IF(Element_Stiffness!$C$41,IF(Element_Stiffness!$C$40=6,IF(3=Element_Stiffness!$C$40,Element_Stiffness!S61,IF(3=Element_Stiffness!$E$40,Element_Stiffness!Y61,0)),IF(Element_Stiffness!$E$40=6,IF(3=Element_Stiffness!$C$40,Element_Stiffness!S67,IF(3=Element_Stiffness!$E$40,Element_Stiffness!Y67,0)),0)),0)+IF(Element_Stiffness!$C$76,IF(Element_Stiffness!$C$75=6,IF(3=Element_Stiffness!$C$75,Element_Stiffness!S96,IF(3=Element_Stiffness!$E$75,Element_Stiffness!Y96,0)),IF(Element_Stiffness!$E$75=6,IF(3=Element_Stiffness!$C$75,Element_Stiffness!S102,IF(3=Element_Stiffness!$E$75,Element_Stiffness!Y102,0)),0)),0)+IF(Element_Stiffness!$C$111,IF(Element_Stiffness!$C$110=6,IF(3=Element_Stiffness!$C$110,Element_Stiffness!S131,IF(3=Element_Stiffness!$E$110,Element_Stiffness!Y131,0)),IF(Element_Stiffness!$E$110=6,IF(3=Element_Stiffness!$C$110,Element_Stiffness!S137,IF(3=Element_Stiffness!$E$110,Element_Stiffness!Y137,0)),0)),0)+IF(Element_Stiffness!$C$146,IF(Element_Stiffness!$C$145=6,IF(3=Element_Stiffness!$C$145,Element_Stiffness!S166,IF(3=Element_Stiffness!$E$145,Element_Stiffness!Y166,0)),IF(Element_Stiffness!$E$145=6,IF(3=Element_Stiffness!$C$145,Element_Stiffness!S172,IF(3=Element_Stiffness!$E$145,Element_Stiffness!Y172,0)),0)),0)+IF(Element_Stiffness!$C$181,IF(Element_Stiffness!$C$180=6,IF(3=Element_Stiffness!$C$180,Element_Stiffness!S201,IF(3=Element_Stiffness!$E$180,Element_Stiffness!Y201,0)),IF(Element_Stiffness!$E$180=6,IF(3=Element_Stiffness!$C$180,Element_Stiffness!S207,IF(3=Element_Stiffness!$E$180,Element_Stiffness!Y207,0)),0)),0)+IF(Element_Stiffness!$C$216,IF(Element_Stiffness!$C$215=6,IF(3=Element_Stiffness!$C$215,Element_Stiffness!S236,IF(3=Element_Stiffness!$E$215,Element_Stiffness!Y236,0)),IF(Element_Stiffness!$E$215=6,IF(3=Element_Stiffness!$C$215,Element_Stiffness!S242,IF(3=Element_Stiffness!$E$215,Element_Stiffness!Y242,0)),0)),0)</f>
        <v/>
      </c>
      <c r="Y41" s="21">
        <f>IF(Element_Stiffness!$C$6,IF(Element_Stiffness!$C$5=6,IF(3=Element_Stiffness!$C$5,Element_Stiffness!T26,IF(3=Element_Stiffness!$E$5,Element_Stiffness!Z26,0)),IF(Element_Stiffness!$E$5=6,IF(3=Element_Stiffness!$C$5,Element_Stiffness!T32,IF(3=Element_Stiffness!$E$5,Element_Stiffness!Z32,0)),0)),0)+IF(Element_Stiffness!$C$41,IF(Element_Stiffness!$C$40=6,IF(3=Element_Stiffness!$C$40,Element_Stiffness!T61,IF(3=Element_Stiffness!$E$40,Element_Stiffness!Z61,0)),IF(Element_Stiffness!$E$40=6,IF(3=Element_Stiffness!$C$40,Element_Stiffness!T67,IF(3=Element_Stiffness!$E$40,Element_Stiffness!Z67,0)),0)),0)+IF(Element_Stiffness!$C$76,IF(Element_Stiffness!$C$75=6,IF(3=Element_Stiffness!$C$75,Element_Stiffness!T96,IF(3=Element_Stiffness!$E$75,Element_Stiffness!Z96,0)),IF(Element_Stiffness!$E$75=6,IF(3=Element_Stiffness!$C$75,Element_Stiffness!T102,IF(3=Element_Stiffness!$E$75,Element_Stiffness!Z102,0)),0)),0)+IF(Element_Stiffness!$C$111,IF(Element_Stiffness!$C$110=6,IF(3=Element_Stiffness!$C$110,Element_Stiffness!T131,IF(3=Element_Stiffness!$E$110,Element_Stiffness!Z131,0)),IF(Element_Stiffness!$E$110=6,IF(3=Element_Stiffness!$C$110,Element_Stiffness!T137,IF(3=Element_Stiffness!$E$110,Element_Stiffness!Z137,0)),0)),0)+IF(Element_Stiffness!$C$146,IF(Element_Stiffness!$C$145=6,IF(3=Element_Stiffness!$C$145,Element_Stiffness!T166,IF(3=Element_Stiffness!$E$145,Element_Stiffness!Z166,0)),IF(Element_Stiffness!$E$145=6,IF(3=Element_Stiffness!$C$145,Element_Stiffness!T172,IF(3=Element_Stiffness!$E$145,Element_Stiffness!Z172,0)),0)),0)+IF(Element_Stiffness!$C$181,IF(Element_Stiffness!$C$180=6,IF(3=Element_Stiffness!$C$180,Element_Stiffness!T201,IF(3=Element_Stiffness!$E$180,Element_Stiffness!Z201,0)),IF(Element_Stiffness!$E$180=6,IF(3=Element_Stiffness!$C$180,Element_Stiffness!T207,IF(3=Element_Stiffness!$E$180,Element_Stiffness!Z207,0)),0)),0)+IF(Element_Stiffness!$C$216,IF(Element_Stiffness!$C$215=6,IF(3=Element_Stiffness!$C$215,Element_Stiffness!T236,IF(3=Element_Stiffness!$E$215,Element_Stiffness!Z236,0)),IF(Element_Stiffness!$E$215=6,IF(3=Element_Stiffness!$C$215,Element_Stiffness!T242,IF(3=Element_Stiffness!$E$215,Element_Stiffness!Z242,0)),0)),0)</f>
        <v/>
      </c>
      <c r="Z41" s="21">
        <f>IF(Element_Stiffness!$C$6,IF(Element_Stiffness!$C$5=6,IF(3=Element_Stiffness!$C$5,Element_Stiffness!U26,IF(3=Element_Stiffness!$E$5,Element_Stiffness!AA26,0)),IF(Element_Stiffness!$E$5=6,IF(3=Element_Stiffness!$C$5,Element_Stiffness!U32,IF(3=Element_Stiffness!$E$5,Element_Stiffness!AA32,0)),0)),0)+IF(Element_Stiffness!$C$41,IF(Element_Stiffness!$C$40=6,IF(3=Element_Stiffness!$C$40,Element_Stiffness!U61,IF(3=Element_Stiffness!$E$40,Element_Stiffness!AA61,0)),IF(Element_Stiffness!$E$40=6,IF(3=Element_Stiffness!$C$40,Element_Stiffness!U67,IF(3=Element_Stiffness!$E$40,Element_Stiffness!AA67,0)),0)),0)+IF(Element_Stiffness!$C$76,IF(Element_Stiffness!$C$75=6,IF(3=Element_Stiffness!$C$75,Element_Stiffness!U96,IF(3=Element_Stiffness!$E$75,Element_Stiffness!AA96,0)),IF(Element_Stiffness!$E$75=6,IF(3=Element_Stiffness!$C$75,Element_Stiffness!U102,IF(3=Element_Stiffness!$E$75,Element_Stiffness!AA102,0)),0)),0)+IF(Element_Stiffness!$C$111,IF(Element_Stiffness!$C$110=6,IF(3=Element_Stiffness!$C$110,Element_Stiffness!U131,IF(3=Element_Stiffness!$E$110,Element_Stiffness!AA131,0)),IF(Element_Stiffness!$E$110=6,IF(3=Element_Stiffness!$C$110,Element_Stiffness!U137,IF(3=Element_Stiffness!$E$110,Element_Stiffness!AA137,0)),0)),0)+IF(Element_Stiffness!$C$146,IF(Element_Stiffness!$C$145=6,IF(3=Element_Stiffness!$C$145,Element_Stiffness!U166,IF(3=Element_Stiffness!$E$145,Element_Stiffness!AA166,0)),IF(Element_Stiffness!$E$145=6,IF(3=Element_Stiffness!$C$145,Element_Stiffness!U172,IF(3=Element_Stiffness!$E$145,Element_Stiffness!AA172,0)),0)),0)+IF(Element_Stiffness!$C$181,IF(Element_Stiffness!$C$180=6,IF(3=Element_Stiffness!$C$180,Element_Stiffness!U201,IF(3=Element_Stiffness!$E$180,Element_Stiffness!AA201,0)),IF(Element_Stiffness!$E$180=6,IF(3=Element_Stiffness!$C$180,Element_Stiffness!U207,IF(3=Element_Stiffness!$E$180,Element_Stiffness!AA207,0)),0)),0)+IF(Element_Stiffness!$C$216,IF(Element_Stiffness!$C$215=6,IF(3=Element_Stiffness!$C$215,Element_Stiffness!U236,IF(3=Element_Stiffness!$E$215,Element_Stiffness!AA236,0)),IF(Element_Stiffness!$E$215=6,IF(3=Element_Stiffness!$C$215,Element_Stiffness!U242,IF(3=Element_Stiffness!$E$215,Element_Stiffness!AA242,0)),0)),0)</f>
        <v/>
      </c>
      <c r="AA41" s="21">
        <f>IF(Element_Stiffness!$C$6,IF(Element_Stiffness!$C$5=6,IF(4=Element_Stiffness!$C$5,Element_Stiffness!P26,IF(4=Element_Stiffness!$E$5,Element_Stiffness!V26,0)),IF(Element_Stiffness!$E$5=6,IF(4=Element_Stiffness!$C$5,Element_Stiffness!P32,IF(4=Element_Stiffness!$E$5,Element_Stiffness!V32,0)),0)),0)+IF(Element_Stiffness!$C$41,IF(Element_Stiffness!$C$40=6,IF(4=Element_Stiffness!$C$40,Element_Stiffness!P61,IF(4=Element_Stiffness!$E$40,Element_Stiffness!V61,0)),IF(Element_Stiffness!$E$40=6,IF(4=Element_Stiffness!$C$40,Element_Stiffness!P67,IF(4=Element_Stiffness!$E$40,Element_Stiffness!V67,0)),0)),0)+IF(Element_Stiffness!$C$76,IF(Element_Stiffness!$C$75=6,IF(4=Element_Stiffness!$C$75,Element_Stiffness!P96,IF(4=Element_Stiffness!$E$75,Element_Stiffness!V96,0)),IF(Element_Stiffness!$E$75=6,IF(4=Element_Stiffness!$C$75,Element_Stiffness!P102,IF(4=Element_Stiffness!$E$75,Element_Stiffness!V102,0)),0)),0)+IF(Element_Stiffness!$C$111,IF(Element_Stiffness!$C$110=6,IF(4=Element_Stiffness!$C$110,Element_Stiffness!P131,IF(4=Element_Stiffness!$E$110,Element_Stiffness!V131,0)),IF(Element_Stiffness!$E$110=6,IF(4=Element_Stiffness!$C$110,Element_Stiffness!P137,IF(4=Element_Stiffness!$E$110,Element_Stiffness!V137,0)),0)),0)+IF(Element_Stiffness!$C$146,IF(Element_Stiffness!$C$145=6,IF(4=Element_Stiffness!$C$145,Element_Stiffness!P166,IF(4=Element_Stiffness!$E$145,Element_Stiffness!V166,0)),IF(Element_Stiffness!$E$145=6,IF(4=Element_Stiffness!$C$145,Element_Stiffness!P172,IF(4=Element_Stiffness!$E$145,Element_Stiffness!V172,0)),0)),0)+IF(Element_Stiffness!$C$181,IF(Element_Stiffness!$C$180=6,IF(4=Element_Stiffness!$C$180,Element_Stiffness!P201,IF(4=Element_Stiffness!$E$180,Element_Stiffness!V201,0)),IF(Element_Stiffness!$E$180=6,IF(4=Element_Stiffness!$C$180,Element_Stiffness!P207,IF(4=Element_Stiffness!$E$180,Element_Stiffness!V207,0)),0)),0)+IF(Element_Stiffness!$C$216,IF(Element_Stiffness!$C$215=6,IF(4=Element_Stiffness!$C$215,Element_Stiffness!P236,IF(4=Element_Stiffness!$E$215,Element_Stiffness!V236,0)),IF(Element_Stiffness!$E$215=6,IF(4=Element_Stiffness!$C$215,Element_Stiffness!P242,IF(4=Element_Stiffness!$E$215,Element_Stiffness!V242,0)),0)),0)</f>
        <v/>
      </c>
      <c r="AB41" s="21">
        <f>IF(Element_Stiffness!$C$6,IF(Element_Stiffness!$C$5=6,IF(4=Element_Stiffness!$C$5,Element_Stiffness!Q26,IF(4=Element_Stiffness!$E$5,Element_Stiffness!W26,0)),IF(Element_Stiffness!$E$5=6,IF(4=Element_Stiffness!$C$5,Element_Stiffness!Q32,IF(4=Element_Stiffness!$E$5,Element_Stiffness!W32,0)),0)),0)+IF(Element_Stiffness!$C$41,IF(Element_Stiffness!$C$40=6,IF(4=Element_Stiffness!$C$40,Element_Stiffness!Q61,IF(4=Element_Stiffness!$E$40,Element_Stiffness!W61,0)),IF(Element_Stiffness!$E$40=6,IF(4=Element_Stiffness!$C$40,Element_Stiffness!Q67,IF(4=Element_Stiffness!$E$40,Element_Stiffness!W67,0)),0)),0)+IF(Element_Stiffness!$C$76,IF(Element_Stiffness!$C$75=6,IF(4=Element_Stiffness!$C$75,Element_Stiffness!Q96,IF(4=Element_Stiffness!$E$75,Element_Stiffness!W96,0)),IF(Element_Stiffness!$E$75=6,IF(4=Element_Stiffness!$C$75,Element_Stiffness!Q102,IF(4=Element_Stiffness!$E$75,Element_Stiffness!W102,0)),0)),0)+IF(Element_Stiffness!$C$111,IF(Element_Stiffness!$C$110=6,IF(4=Element_Stiffness!$C$110,Element_Stiffness!Q131,IF(4=Element_Stiffness!$E$110,Element_Stiffness!W131,0)),IF(Element_Stiffness!$E$110=6,IF(4=Element_Stiffness!$C$110,Element_Stiffness!Q137,IF(4=Element_Stiffness!$E$110,Element_Stiffness!W137,0)),0)),0)+IF(Element_Stiffness!$C$146,IF(Element_Stiffness!$C$145=6,IF(4=Element_Stiffness!$C$145,Element_Stiffness!Q166,IF(4=Element_Stiffness!$E$145,Element_Stiffness!W166,0)),IF(Element_Stiffness!$E$145=6,IF(4=Element_Stiffness!$C$145,Element_Stiffness!Q172,IF(4=Element_Stiffness!$E$145,Element_Stiffness!W172,0)),0)),0)+IF(Element_Stiffness!$C$181,IF(Element_Stiffness!$C$180=6,IF(4=Element_Stiffness!$C$180,Element_Stiffness!Q201,IF(4=Element_Stiffness!$E$180,Element_Stiffness!W201,0)),IF(Element_Stiffness!$E$180=6,IF(4=Element_Stiffness!$C$180,Element_Stiffness!Q207,IF(4=Element_Stiffness!$E$180,Element_Stiffness!W207,0)),0)),0)+IF(Element_Stiffness!$C$216,IF(Element_Stiffness!$C$215=6,IF(4=Element_Stiffness!$C$215,Element_Stiffness!Q236,IF(4=Element_Stiffness!$E$215,Element_Stiffness!W236,0)),IF(Element_Stiffness!$E$215=6,IF(4=Element_Stiffness!$C$215,Element_Stiffness!Q242,IF(4=Element_Stiffness!$E$215,Element_Stiffness!W242,0)),0)),0)</f>
        <v/>
      </c>
      <c r="AC41" s="21">
        <f>IF(Element_Stiffness!$C$6,IF(Element_Stiffness!$C$5=6,IF(4=Element_Stiffness!$C$5,Element_Stiffness!R26,IF(4=Element_Stiffness!$E$5,Element_Stiffness!X26,0)),IF(Element_Stiffness!$E$5=6,IF(4=Element_Stiffness!$C$5,Element_Stiffness!R32,IF(4=Element_Stiffness!$E$5,Element_Stiffness!X32,0)),0)),0)+IF(Element_Stiffness!$C$41,IF(Element_Stiffness!$C$40=6,IF(4=Element_Stiffness!$C$40,Element_Stiffness!R61,IF(4=Element_Stiffness!$E$40,Element_Stiffness!X61,0)),IF(Element_Stiffness!$E$40=6,IF(4=Element_Stiffness!$C$40,Element_Stiffness!R67,IF(4=Element_Stiffness!$E$40,Element_Stiffness!X67,0)),0)),0)+IF(Element_Stiffness!$C$76,IF(Element_Stiffness!$C$75=6,IF(4=Element_Stiffness!$C$75,Element_Stiffness!R96,IF(4=Element_Stiffness!$E$75,Element_Stiffness!X96,0)),IF(Element_Stiffness!$E$75=6,IF(4=Element_Stiffness!$C$75,Element_Stiffness!R102,IF(4=Element_Stiffness!$E$75,Element_Stiffness!X102,0)),0)),0)+IF(Element_Stiffness!$C$111,IF(Element_Stiffness!$C$110=6,IF(4=Element_Stiffness!$C$110,Element_Stiffness!R131,IF(4=Element_Stiffness!$E$110,Element_Stiffness!X131,0)),IF(Element_Stiffness!$E$110=6,IF(4=Element_Stiffness!$C$110,Element_Stiffness!R137,IF(4=Element_Stiffness!$E$110,Element_Stiffness!X137,0)),0)),0)+IF(Element_Stiffness!$C$146,IF(Element_Stiffness!$C$145=6,IF(4=Element_Stiffness!$C$145,Element_Stiffness!R166,IF(4=Element_Stiffness!$E$145,Element_Stiffness!X166,0)),IF(Element_Stiffness!$E$145=6,IF(4=Element_Stiffness!$C$145,Element_Stiffness!R172,IF(4=Element_Stiffness!$E$145,Element_Stiffness!X172,0)),0)),0)+IF(Element_Stiffness!$C$181,IF(Element_Stiffness!$C$180=6,IF(4=Element_Stiffness!$C$180,Element_Stiffness!R201,IF(4=Element_Stiffness!$E$180,Element_Stiffness!X201,0)),IF(Element_Stiffness!$E$180=6,IF(4=Element_Stiffness!$C$180,Element_Stiffness!R207,IF(4=Element_Stiffness!$E$180,Element_Stiffness!X207,0)),0)),0)+IF(Element_Stiffness!$C$216,IF(Element_Stiffness!$C$215=6,IF(4=Element_Stiffness!$C$215,Element_Stiffness!R236,IF(4=Element_Stiffness!$E$215,Element_Stiffness!X236,0)),IF(Element_Stiffness!$E$215=6,IF(4=Element_Stiffness!$C$215,Element_Stiffness!R242,IF(4=Element_Stiffness!$E$215,Element_Stiffness!X242,0)),0)),0)</f>
        <v/>
      </c>
      <c r="AD41" s="21">
        <f>IF(Element_Stiffness!$C$6,IF(Element_Stiffness!$C$5=6,IF(4=Element_Stiffness!$C$5,Element_Stiffness!S26,IF(4=Element_Stiffness!$E$5,Element_Stiffness!Y26,0)),IF(Element_Stiffness!$E$5=6,IF(4=Element_Stiffness!$C$5,Element_Stiffness!S32,IF(4=Element_Stiffness!$E$5,Element_Stiffness!Y32,0)),0)),0)+IF(Element_Stiffness!$C$41,IF(Element_Stiffness!$C$40=6,IF(4=Element_Stiffness!$C$40,Element_Stiffness!S61,IF(4=Element_Stiffness!$E$40,Element_Stiffness!Y61,0)),IF(Element_Stiffness!$E$40=6,IF(4=Element_Stiffness!$C$40,Element_Stiffness!S67,IF(4=Element_Stiffness!$E$40,Element_Stiffness!Y67,0)),0)),0)+IF(Element_Stiffness!$C$76,IF(Element_Stiffness!$C$75=6,IF(4=Element_Stiffness!$C$75,Element_Stiffness!S96,IF(4=Element_Stiffness!$E$75,Element_Stiffness!Y96,0)),IF(Element_Stiffness!$E$75=6,IF(4=Element_Stiffness!$C$75,Element_Stiffness!S102,IF(4=Element_Stiffness!$E$75,Element_Stiffness!Y102,0)),0)),0)+IF(Element_Stiffness!$C$111,IF(Element_Stiffness!$C$110=6,IF(4=Element_Stiffness!$C$110,Element_Stiffness!S131,IF(4=Element_Stiffness!$E$110,Element_Stiffness!Y131,0)),IF(Element_Stiffness!$E$110=6,IF(4=Element_Stiffness!$C$110,Element_Stiffness!S137,IF(4=Element_Stiffness!$E$110,Element_Stiffness!Y137,0)),0)),0)+IF(Element_Stiffness!$C$146,IF(Element_Stiffness!$C$145=6,IF(4=Element_Stiffness!$C$145,Element_Stiffness!S166,IF(4=Element_Stiffness!$E$145,Element_Stiffness!Y166,0)),IF(Element_Stiffness!$E$145=6,IF(4=Element_Stiffness!$C$145,Element_Stiffness!S172,IF(4=Element_Stiffness!$E$145,Element_Stiffness!Y172,0)),0)),0)+IF(Element_Stiffness!$C$181,IF(Element_Stiffness!$C$180=6,IF(4=Element_Stiffness!$C$180,Element_Stiffness!S201,IF(4=Element_Stiffness!$E$180,Element_Stiffness!Y201,0)),IF(Element_Stiffness!$E$180=6,IF(4=Element_Stiffness!$C$180,Element_Stiffness!S207,IF(4=Element_Stiffness!$E$180,Element_Stiffness!Y207,0)),0)),0)+IF(Element_Stiffness!$C$216,IF(Element_Stiffness!$C$215=6,IF(4=Element_Stiffness!$C$215,Element_Stiffness!S236,IF(4=Element_Stiffness!$E$215,Element_Stiffness!Y236,0)),IF(Element_Stiffness!$E$215=6,IF(4=Element_Stiffness!$C$215,Element_Stiffness!S242,IF(4=Element_Stiffness!$E$215,Element_Stiffness!Y242,0)),0)),0)</f>
        <v/>
      </c>
      <c r="AE41" s="21">
        <f>IF(Element_Stiffness!$C$6,IF(Element_Stiffness!$C$5=6,IF(4=Element_Stiffness!$C$5,Element_Stiffness!T26,IF(4=Element_Stiffness!$E$5,Element_Stiffness!Z26,0)),IF(Element_Stiffness!$E$5=6,IF(4=Element_Stiffness!$C$5,Element_Stiffness!T32,IF(4=Element_Stiffness!$E$5,Element_Stiffness!Z32,0)),0)),0)+IF(Element_Stiffness!$C$41,IF(Element_Stiffness!$C$40=6,IF(4=Element_Stiffness!$C$40,Element_Stiffness!T61,IF(4=Element_Stiffness!$E$40,Element_Stiffness!Z61,0)),IF(Element_Stiffness!$E$40=6,IF(4=Element_Stiffness!$C$40,Element_Stiffness!T67,IF(4=Element_Stiffness!$E$40,Element_Stiffness!Z67,0)),0)),0)+IF(Element_Stiffness!$C$76,IF(Element_Stiffness!$C$75=6,IF(4=Element_Stiffness!$C$75,Element_Stiffness!T96,IF(4=Element_Stiffness!$E$75,Element_Stiffness!Z96,0)),IF(Element_Stiffness!$E$75=6,IF(4=Element_Stiffness!$C$75,Element_Stiffness!T102,IF(4=Element_Stiffness!$E$75,Element_Stiffness!Z102,0)),0)),0)+IF(Element_Stiffness!$C$111,IF(Element_Stiffness!$C$110=6,IF(4=Element_Stiffness!$C$110,Element_Stiffness!T131,IF(4=Element_Stiffness!$E$110,Element_Stiffness!Z131,0)),IF(Element_Stiffness!$E$110=6,IF(4=Element_Stiffness!$C$110,Element_Stiffness!T137,IF(4=Element_Stiffness!$E$110,Element_Stiffness!Z137,0)),0)),0)+IF(Element_Stiffness!$C$146,IF(Element_Stiffness!$C$145=6,IF(4=Element_Stiffness!$C$145,Element_Stiffness!T166,IF(4=Element_Stiffness!$E$145,Element_Stiffness!Z166,0)),IF(Element_Stiffness!$E$145=6,IF(4=Element_Stiffness!$C$145,Element_Stiffness!T172,IF(4=Element_Stiffness!$E$145,Element_Stiffness!Z172,0)),0)),0)+IF(Element_Stiffness!$C$181,IF(Element_Stiffness!$C$180=6,IF(4=Element_Stiffness!$C$180,Element_Stiffness!T201,IF(4=Element_Stiffness!$E$180,Element_Stiffness!Z201,0)),IF(Element_Stiffness!$E$180=6,IF(4=Element_Stiffness!$C$180,Element_Stiffness!T207,IF(4=Element_Stiffness!$E$180,Element_Stiffness!Z207,0)),0)),0)+IF(Element_Stiffness!$C$216,IF(Element_Stiffness!$C$215=6,IF(4=Element_Stiffness!$C$215,Element_Stiffness!T236,IF(4=Element_Stiffness!$E$215,Element_Stiffness!Z236,0)),IF(Element_Stiffness!$E$215=6,IF(4=Element_Stiffness!$C$215,Element_Stiffness!T242,IF(4=Element_Stiffness!$E$215,Element_Stiffness!Z242,0)),0)),0)</f>
        <v/>
      </c>
      <c r="AF41" s="21">
        <f>IF(Element_Stiffness!$C$6,IF(Element_Stiffness!$C$5=6,IF(4=Element_Stiffness!$C$5,Element_Stiffness!U26,IF(4=Element_Stiffness!$E$5,Element_Stiffness!AA26,0)),IF(Element_Stiffness!$E$5=6,IF(4=Element_Stiffness!$C$5,Element_Stiffness!U32,IF(4=Element_Stiffness!$E$5,Element_Stiffness!AA32,0)),0)),0)+IF(Element_Stiffness!$C$41,IF(Element_Stiffness!$C$40=6,IF(4=Element_Stiffness!$C$40,Element_Stiffness!U61,IF(4=Element_Stiffness!$E$40,Element_Stiffness!AA61,0)),IF(Element_Stiffness!$E$40=6,IF(4=Element_Stiffness!$C$40,Element_Stiffness!U67,IF(4=Element_Stiffness!$E$40,Element_Stiffness!AA67,0)),0)),0)+IF(Element_Stiffness!$C$76,IF(Element_Stiffness!$C$75=6,IF(4=Element_Stiffness!$C$75,Element_Stiffness!U96,IF(4=Element_Stiffness!$E$75,Element_Stiffness!AA96,0)),IF(Element_Stiffness!$E$75=6,IF(4=Element_Stiffness!$C$75,Element_Stiffness!U102,IF(4=Element_Stiffness!$E$75,Element_Stiffness!AA102,0)),0)),0)+IF(Element_Stiffness!$C$111,IF(Element_Stiffness!$C$110=6,IF(4=Element_Stiffness!$C$110,Element_Stiffness!U131,IF(4=Element_Stiffness!$E$110,Element_Stiffness!AA131,0)),IF(Element_Stiffness!$E$110=6,IF(4=Element_Stiffness!$C$110,Element_Stiffness!U137,IF(4=Element_Stiffness!$E$110,Element_Stiffness!AA137,0)),0)),0)+IF(Element_Stiffness!$C$146,IF(Element_Stiffness!$C$145=6,IF(4=Element_Stiffness!$C$145,Element_Stiffness!U166,IF(4=Element_Stiffness!$E$145,Element_Stiffness!AA166,0)),IF(Element_Stiffness!$E$145=6,IF(4=Element_Stiffness!$C$145,Element_Stiffness!U172,IF(4=Element_Stiffness!$E$145,Element_Stiffness!AA172,0)),0)),0)+IF(Element_Stiffness!$C$181,IF(Element_Stiffness!$C$180=6,IF(4=Element_Stiffness!$C$180,Element_Stiffness!U201,IF(4=Element_Stiffness!$E$180,Element_Stiffness!AA201,0)),IF(Element_Stiffness!$E$180=6,IF(4=Element_Stiffness!$C$180,Element_Stiffness!U207,IF(4=Element_Stiffness!$E$180,Element_Stiffness!AA207,0)),0)),0)+IF(Element_Stiffness!$C$216,IF(Element_Stiffness!$C$215=6,IF(4=Element_Stiffness!$C$215,Element_Stiffness!U236,IF(4=Element_Stiffness!$E$215,Element_Stiffness!AA236,0)),IF(Element_Stiffness!$E$215=6,IF(4=Element_Stiffness!$C$215,Element_Stiffness!U242,IF(4=Element_Stiffness!$E$215,Element_Stiffness!AA242,0)),0)),0)</f>
        <v/>
      </c>
      <c r="AG41" s="21">
        <f>IF(Element_Stiffness!$C$6,IF(Element_Stiffness!$C$5=6,IF(5=Element_Stiffness!$C$5,Element_Stiffness!P26,IF(5=Element_Stiffness!$E$5,Element_Stiffness!V26,0)),IF(Element_Stiffness!$E$5=6,IF(5=Element_Stiffness!$C$5,Element_Stiffness!P32,IF(5=Element_Stiffness!$E$5,Element_Stiffness!V32,0)),0)),0)+IF(Element_Stiffness!$C$41,IF(Element_Stiffness!$C$40=6,IF(5=Element_Stiffness!$C$40,Element_Stiffness!P61,IF(5=Element_Stiffness!$E$40,Element_Stiffness!V61,0)),IF(Element_Stiffness!$E$40=6,IF(5=Element_Stiffness!$C$40,Element_Stiffness!P67,IF(5=Element_Stiffness!$E$40,Element_Stiffness!V67,0)),0)),0)+IF(Element_Stiffness!$C$76,IF(Element_Stiffness!$C$75=6,IF(5=Element_Stiffness!$C$75,Element_Stiffness!P96,IF(5=Element_Stiffness!$E$75,Element_Stiffness!V96,0)),IF(Element_Stiffness!$E$75=6,IF(5=Element_Stiffness!$C$75,Element_Stiffness!P102,IF(5=Element_Stiffness!$E$75,Element_Stiffness!V102,0)),0)),0)+IF(Element_Stiffness!$C$111,IF(Element_Stiffness!$C$110=6,IF(5=Element_Stiffness!$C$110,Element_Stiffness!P131,IF(5=Element_Stiffness!$E$110,Element_Stiffness!V131,0)),IF(Element_Stiffness!$E$110=6,IF(5=Element_Stiffness!$C$110,Element_Stiffness!P137,IF(5=Element_Stiffness!$E$110,Element_Stiffness!V137,0)),0)),0)+IF(Element_Stiffness!$C$146,IF(Element_Stiffness!$C$145=6,IF(5=Element_Stiffness!$C$145,Element_Stiffness!P166,IF(5=Element_Stiffness!$E$145,Element_Stiffness!V166,0)),IF(Element_Stiffness!$E$145=6,IF(5=Element_Stiffness!$C$145,Element_Stiffness!P172,IF(5=Element_Stiffness!$E$145,Element_Stiffness!V172,0)),0)),0)+IF(Element_Stiffness!$C$181,IF(Element_Stiffness!$C$180=6,IF(5=Element_Stiffness!$C$180,Element_Stiffness!P201,IF(5=Element_Stiffness!$E$180,Element_Stiffness!V201,0)),IF(Element_Stiffness!$E$180=6,IF(5=Element_Stiffness!$C$180,Element_Stiffness!P207,IF(5=Element_Stiffness!$E$180,Element_Stiffness!V207,0)),0)),0)+IF(Element_Stiffness!$C$216,IF(Element_Stiffness!$C$215=6,IF(5=Element_Stiffness!$C$215,Element_Stiffness!P236,IF(5=Element_Stiffness!$E$215,Element_Stiffness!V236,0)),IF(Element_Stiffness!$E$215=6,IF(5=Element_Stiffness!$C$215,Element_Stiffness!P242,IF(5=Element_Stiffness!$E$215,Element_Stiffness!V242,0)),0)),0)</f>
        <v/>
      </c>
      <c r="AH41" s="21">
        <f>IF(Element_Stiffness!$C$6,IF(Element_Stiffness!$C$5=6,IF(5=Element_Stiffness!$C$5,Element_Stiffness!Q26,IF(5=Element_Stiffness!$E$5,Element_Stiffness!W26,0)),IF(Element_Stiffness!$E$5=6,IF(5=Element_Stiffness!$C$5,Element_Stiffness!Q32,IF(5=Element_Stiffness!$E$5,Element_Stiffness!W32,0)),0)),0)+IF(Element_Stiffness!$C$41,IF(Element_Stiffness!$C$40=6,IF(5=Element_Stiffness!$C$40,Element_Stiffness!Q61,IF(5=Element_Stiffness!$E$40,Element_Stiffness!W61,0)),IF(Element_Stiffness!$E$40=6,IF(5=Element_Stiffness!$C$40,Element_Stiffness!Q67,IF(5=Element_Stiffness!$E$40,Element_Stiffness!W67,0)),0)),0)+IF(Element_Stiffness!$C$76,IF(Element_Stiffness!$C$75=6,IF(5=Element_Stiffness!$C$75,Element_Stiffness!Q96,IF(5=Element_Stiffness!$E$75,Element_Stiffness!W96,0)),IF(Element_Stiffness!$E$75=6,IF(5=Element_Stiffness!$C$75,Element_Stiffness!Q102,IF(5=Element_Stiffness!$E$75,Element_Stiffness!W102,0)),0)),0)+IF(Element_Stiffness!$C$111,IF(Element_Stiffness!$C$110=6,IF(5=Element_Stiffness!$C$110,Element_Stiffness!Q131,IF(5=Element_Stiffness!$E$110,Element_Stiffness!W131,0)),IF(Element_Stiffness!$E$110=6,IF(5=Element_Stiffness!$C$110,Element_Stiffness!Q137,IF(5=Element_Stiffness!$E$110,Element_Stiffness!W137,0)),0)),0)+IF(Element_Stiffness!$C$146,IF(Element_Stiffness!$C$145=6,IF(5=Element_Stiffness!$C$145,Element_Stiffness!Q166,IF(5=Element_Stiffness!$E$145,Element_Stiffness!W166,0)),IF(Element_Stiffness!$E$145=6,IF(5=Element_Stiffness!$C$145,Element_Stiffness!Q172,IF(5=Element_Stiffness!$E$145,Element_Stiffness!W172,0)),0)),0)+IF(Element_Stiffness!$C$181,IF(Element_Stiffness!$C$180=6,IF(5=Element_Stiffness!$C$180,Element_Stiffness!Q201,IF(5=Element_Stiffness!$E$180,Element_Stiffness!W201,0)),IF(Element_Stiffness!$E$180=6,IF(5=Element_Stiffness!$C$180,Element_Stiffness!Q207,IF(5=Element_Stiffness!$E$180,Element_Stiffness!W207,0)),0)),0)+IF(Element_Stiffness!$C$216,IF(Element_Stiffness!$C$215=6,IF(5=Element_Stiffness!$C$215,Element_Stiffness!Q236,IF(5=Element_Stiffness!$E$215,Element_Stiffness!W236,0)),IF(Element_Stiffness!$E$215=6,IF(5=Element_Stiffness!$C$215,Element_Stiffness!Q242,IF(5=Element_Stiffness!$E$215,Element_Stiffness!W242,0)),0)),0)</f>
        <v/>
      </c>
      <c r="AI41" s="21">
        <f>IF(Element_Stiffness!$C$6,IF(Element_Stiffness!$C$5=6,IF(5=Element_Stiffness!$C$5,Element_Stiffness!R26,IF(5=Element_Stiffness!$E$5,Element_Stiffness!X26,0)),IF(Element_Stiffness!$E$5=6,IF(5=Element_Stiffness!$C$5,Element_Stiffness!R32,IF(5=Element_Stiffness!$E$5,Element_Stiffness!X32,0)),0)),0)+IF(Element_Stiffness!$C$41,IF(Element_Stiffness!$C$40=6,IF(5=Element_Stiffness!$C$40,Element_Stiffness!R61,IF(5=Element_Stiffness!$E$40,Element_Stiffness!X61,0)),IF(Element_Stiffness!$E$40=6,IF(5=Element_Stiffness!$C$40,Element_Stiffness!R67,IF(5=Element_Stiffness!$E$40,Element_Stiffness!X67,0)),0)),0)+IF(Element_Stiffness!$C$76,IF(Element_Stiffness!$C$75=6,IF(5=Element_Stiffness!$C$75,Element_Stiffness!R96,IF(5=Element_Stiffness!$E$75,Element_Stiffness!X96,0)),IF(Element_Stiffness!$E$75=6,IF(5=Element_Stiffness!$C$75,Element_Stiffness!R102,IF(5=Element_Stiffness!$E$75,Element_Stiffness!X102,0)),0)),0)+IF(Element_Stiffness!$C$111,IF(Element_Stiffness!$C$110=6,IF(5=Element_Stiffness!$C$110,Element_Stiffness!R131,IF(5=Element_Stiffness!$E$110,Element_Stiffness!X131,0)),IF(Element_Stiffness!$E$110=6,IF(5=Element_Stiffness!$C$110,Element_Stiffness!R137,IF(5=Element_Stiffness!$E$110,Element_Stiffness!X137,0)),0)),0)+IF(Element_Stiffness!$C$146,IF(Element_Stiffness!$C$145=6,IF(5=Element_Stiffness!$C$145,Element_Stiffness!R166,IF(5=Element_Stiffness!$E$145,Element_Stiffness!X166,0)),IF(Element_Stiffness!$E$145=6,IF(5=Element_Stiffness!$C$145,Element_Stiffness!R172,IF(5=Element_Stiffness!$E$145,Element_Stiffness!X172,0)),0)),0)+IF(Element_Stiffness!$C$181,IF(Element_Stiffness!$C$180=6,IF(5=Element_Stiffness!$C$180,Element_Stiffness!R201,IF(5=Element_Stiffness!$E$180,Element_Stiffness!X201,0)),IF(Element_Stiffness!$E$180=6,IF(5=Element_Stiffness!$C$180,Element_Stiffness!R207,IF(5=Element_Stiffness!$E$180,Element_Stiffness!X207,0)),0)),0)+IF(Element_Stiffness!$C$216,IF(Element_Stiffness!$C$215=6,IF(5=Element_Stiffness!$C$215,Element_Stiffness!R236,IF(5=Element_Stiffness!$E$215,Element_Stiffness!X236,0)),IF(Element_Stiffness!$E$215=6,IF(5=Element_Stiffness!$C$215,Element_Stiffness!R242,IF(5=Element_Stiffness!$E$215,Element_Stiffness!X242,0)),0)),0)</f>
        <v/>
      </c>
      <c r="AJ41" s="21">
        <f>IF(Element_Stiffness!$C$6,IF(Element_Stiffness!$C$5=6,IF(5=Element_Stiffness!$C$5,Element_Stiffness!S26,IF(5=Element_Stiffness!$E$5,Element_Stiffness!Y26,0)),IF(Element_Stiffness!$E$5=6,IF(5=Element_Stiffness!$C$5,Element_Stiffness!S32,IF(5=Element_Stiffness!$E$5,Element_Stiffness!Y32,0)),0)),0)+IF(Element_Stiffness!$C$41,IF(Element_Stiffness!$C$40=6,IF(5=Element_Stiffness!$C$40,Element_Stiffness!S61,IF(5=Element_Stiffness!$E$40,Element_Stiffness!Y61,0)),IF(Element_Stiffness!$E$40=6,IF(5=Element_Stiffness!$C$40,Element_Stiffness!S67,IF(5=Element_Stiffness!$E$40,Element_Stiffness!Y67,0)),0)),0)+IF(Element_Stiffness!$C$76,IF(Element_Stiffness!$C$75=6,IF(5=Element_Stiffness!$C$75,Element_Stiffness!S96,IF(5=Element_Stiffness!$E$75,Element_Stiffness!Y96,0)),IF(Element_Stiffness!$E$75=6,IF(5=Element_Stiffness!$C$75,Element_Stiffness!S102,IF(5=Element_Stiffness!$E$75,Element_Stiffness!Y102,0)),0)),0)+IF(Element_Stiffness!$C$111,IF(Element_Stiffness!$C$110=6,IF(5=Element_Stiffness!$C$110,Element_Stiffness!S131,IF(5=Element_Stiffness!$E$110,Element_Stiffness!Y131,0)),IF(Element_Stiffness!$E$110=6,IF(5=Element_Stiffness!$C$110,Element_Stiffness!S137,IF(5=Element_Stiffness!$E$110,Element_Stiffness!Y137,0)),0)),0)+IF(Element_Stiffness!$C$146,IF(Element_Stiffness!$C$145=6,IF(5=Element_Stiffness!$C$145,Element_Stiffness!S166,IF(5=Element_Stiffness!$E$145,Element_Stiffness!Y166,0)),IF(Element_Stiffness!$E$145=6,IF(5=Element_Stiffness!$C$145,Element_Stiffness!S172,IF(5=Element_Stiffness!$E$145,Element_Stiffness!Y172,0)),0)),0)+IF(Element_Stiffness!$C$181,IF(Element_Stiffness!$C$180=6,IF(5=Element_Stiffness!$C$180,Element_Stiffness!S201,IF(5=Element_Stiffness!$E$180,Element_Stiffness!Y201,0)),IF(Element_Stiffness!$E$180=6,IF(5=Element_Stiffness!$C$180,Element_Stiffness!S207,IF(5=Element_Stiffness!$E$180,Element_Stiffness!Y207,0)),0)),0)+IF(Element_Stiffness!$C$216,IF(Element_Stiffness!$C$215=6,IF(5=Element_Stiffness!$C$215,Element_Stiffness!S236,IF(5=Element_Stiffness!$E$215,Element_Stiffness!Y236,0)),IF(Element_Stiffness!$E$215=6,IF(5=Element_Stiffness!$C$215,Element_Stiffness!S242,IF(5=Element_Stiffness!$E$215,Element_Stiffness!Y242,0)),0)),0)</f>
        <v/>
      </c>
      <c r="AK41" s="21">
        <f>IF(Element_Stiffness!$C$6,IF(Element_Stiffness!$C$5=6,IF(5=Element_Stiffness!$C$5,Element_Stiffness!T26,IF(5=Element_Stiffness!$E$5,Element_Stiffness!Z26,0)),IF(Element_Stiffness!$E$5=6,IF(5=Element_Stiffness!$C$5,Element_Stiffness!T32,IF(5=Element_Stiffness!$E$5,Element_Stiffness!Z32,0)),0)),0)+IF(Element_Stiffness!$C$41,IF(Element_Stiffness!$C$40=6,IF(5=Element_Stiffness!$C$40,Element_Stiffness!T61,IF(5=Element_Stiffness!$E$40,Element_Stiffness!Z61,0)),IF(Element_Stiffness!$E$40=6,IF(5=Element_Stiffness!$C$40,Element_Stiffness!T67,IF(5=Element_Stiffness!$E$40,Element_Stiffness!Z67,0)),0)),0)+IF(Element_Stiffness!$C$76,IF(Element_Stiffness!$C$75=6,IF(5=Element_Stiffness!$C$75,Element_Stiffness!T96,IF(5=Element_Stiffness!$E$75,Element_Stiffness!Z96,0)),IF(Element_Stiffness!$E$75=6,IF(5=Element_Stiffness!$C$75,Element_Stiffness!T102,IF(5=Element_Stiffness!$E$75,Element_Stiffness!Z102,0)),0)),0)+IF(Element_Stiffness!$C$111,IF(Element_Stiffness!$C$110=6,IF(5=Element_Stiffness!$C$110,Element_Stiffness!T131,IF(5=Element_Stiffness!$E$110,Element_Stiffness!Z131,0)),IF(Element_Stiffness!$E$110=6,IF(5=Element_Stiffness!$C$110,Element_Stiffness!T137,IF(5=Element_Stiffness!$E$110,Element_Stiffness!Z137,0)),0)),0)+IF(Element_Stiffness!$C$146,IF(Element_Stiffness!$C$145=6,IF(5=Element_Stiffness!$C$145,Element_Stiffness!T166,IF(5=Element_Stiffness!$E$145,Element_Stiffness!Z166,0)),IF(Element_Stiffness!$E$145=6,IF(5=Element_Stiffness!$C$145,Element_Stiffness!T172,IF(5=Element_Stiffness!$E$145,Element_Stiffness!Z172,0)),0)),0)+IF(Element_Stiffness!$C$181,IF(Element_Stiffness!$C$180=6,IF(5=Element_Stiffness!$C$180,Element_Stiffness!T201,IF(5=Element_Stiffness!$E$180,Element_Stiffness!Z201,0)),IF(Element_Stiffness!$E$180=6,IF(5=Element_Stiffness!$C$180,Element_Stiffness!T207,IF(5=Element_Stiffness!$E$180,Element_Stiffness!Z207,0)),0)),0)+IF(Element_Stiffness!$C$216,IF(Element_Stiffness!$C$215=6,IF(5=Element_Stiffness!$C$215,Element_Stiffness!T236,IF(5=Element_Stiffness!$E$215,Element_Stiffness!Z236,0)),IF(Element_Stiffness!$E$215=6,IF(5=Element_Stiffness!$C$215,Element_Stiffness!T242,IF(5=Element_Stiffness!$E$215,Element_Stiffness!Z242,0)),0)),0)</f>
        <v/>
      </c>
      <c r="AL41" s="21">
        <f>IF(Element_Stiffness!$C$6,IF(Element_Stiffness!$C$5=6,IF(5=Element_Stiffness!$C$5,Element_Stiffness!U26,IF(5=Element_Stiffness!$E$5,Element_Stiffness!AA26,0)),IF(Element_Stiffness!$E$5=6,IF(5=Element_Stiffness!$C$5,Element_Stiffness!U32,IF(5=Element_Stiffness!$E$5,Element_Stiffness!AA32,0)),0)),0)+IF(Element_Stiffness!$C$41,IF(Element_Stiffness!$C$40=6,IF(5=Element_Stiffness!$C$40,Element_Stiffness!U61,IF(5=Element_Stiffness!$E$40,Element_Stiffness!AA61,0)),IF(Element_Stiffness!$E$40=6,IF(5=Element_Stiffness!$C$40,Element_Stiffness!U67,IF(5=Element_Stiffness!$E$40,Element_Stiffness!AA67,0)),0)),0)+IF(Element_Stiffness!$C$76,IF(Element_Stiffness!$C$75=6,IF(5=Element_Stiffness!$C$75,Element_Stiffness!U96,IF(5=Element_Stiffness!$E$75,Element_Stiffness!AA96,0)),IF(Element_Stiffness!$E$75=6,IF(5=Element_Stiffness!$C$75,Element_Stiffness!U102,IF(5=Element_Stiffness!$E$75,Element_Stiffness!AA102,0)),0)),0)+IF(Element_Stiffness!$C$111,IF(Element_Stiffness!$C$110=6,IF(5=Element_Stiffness!$C$110,Element_Stiffness!U131,IF(5=Element_Stiffness!$E$110,Element_Stiffness!AA131,0)),IF(Element_Stiffness!$E$110=6,IF(5=Element_Stiffness!$C$110,Element_Stiffness!U137,IF(5=Element_Stiffness!$E$110,Element_Stiffness!AA137,0)),0)),0)+IF(Element_Stiffness!$C$146,IF(Element_Stiffness!$C$145=6,IF(5=Element_Stiffness!$C$145,Element_Stiffness!U166,IF(5=Element_Stiffness!$E$145,Element_Stiffness!AA166,0)),IF(Element_Stiffness!$E$145=6,IF(5=Element_Stiffness!$C$145,Element_Stiffness!U172,IF(5=Element_Stiffness!$E$145,Element_Stiffness!AA172,0)),0)),0)+IF(Element_Stiffness!$C$181,IF(Element_Stiffness!$C$180=6,IF(5=Element_Stiffness!$C$180,Element_Stiffness!U201,IF(5=Element_Stiffness!$E$180,Element_Stiffness!AA201,0)),IF(Element_Stiffness!$E$180=6,IF(5=Element_Stiffness!$C$180,Element_Stiffness!U207,IF(5=Element_Stiffness!$E$180,Element_Stiffness!AA207,0)),0)),0)+IF(Element_Stiffness!$C$216,IF(Element_Stiffness!$C$215=6,IF(5=Element_Stiffness!$C$215,Element_Stiffness!U236,IF(5=Element_Stiffness!$E$215,Element_Stiffness!AA236,0)),IF(Element_Stiffness!$E$215=6,IF(5=Element_Stiffness!$C$215,Element_Stiffness!U242,IF(5=Element_Stiffness!$E$215,Element_Stiffness!AA242,0)),0)),0)</f>
        <v/>
      </c>
      <c r="AM41" s="21">
        <f>IF(Element_Stiffness!$C$6,IF(Element_Stiffness!$C$5=6,IF(6=Element_Stiffness!$C$5,Element_Stiffness!P26,IF(6=Element_Stiffness!$E$5,Element_Stiffness!V26,0)),IF(Element_Stiffness!$E$5=6,IF(6=Element_Stiffness!$C$5,Element_Stiffness!P32,IF(6=Element_Stiffness!$E$5,Element_Stiffness!V32,0)),0)),0)+IF(Element_Stiffness!$C$41,IF(Element_Stiffness!$C$40=6,IF(6=Element_Stiffness!$C$40,Element_Stiffness!P61,IF(6=Element_Stiffness!$E$40,Element_Stiffness!V61,0)),IF(Element_Stiffness!$E$40=6,IF(6=Element_Stiffness!$C$40,Element_Stiffness!P67,IF(6=Element_Stiffness!$E$40,Element_Stiffness!V67,0)),0)),0)+IF(Element_Stiffness!$C$76,IF(Element_Stiffness!$C$75=6,IF(6=Element_Stiffness!$C$75,Element_Stiffness!P96,IF(6=Element_Stiffness!$E$75,Element_Stiffness!V96,0)),IF(Element_Stiffness!$E$75=6,IF(6=Element_Stiffness!$C$75,Element_Stiffness!P102,IF(6=Element_Stiffness!$E$75,Element_Stiffness!V102,0)),0)),0)+IF(Element_Stiffness!$C$111,IF(Element_Stiffness!$C$110=6,IF(6=Element_Stiffness!$C$110,Element_Stiffness!P131,IF(6=Element_Stiffness!$E$110,Element_Stiffness!V131,0)),IF(Element_Stiffness!$E$110=6,IF(6=Element_Stiffness!$C$110,Element_Stiffness!P137,IF(6=Element_Stiffness!$E$110,Element_Stiffness!V137,0)),0)),0)+IF(Element_Stiffness!$C$146,IF(Element_Stiffness!$C$145=6,IF(6=Element_Stiffness!$C$145,Element_Stiffness!P166,IF(6=Element_Stiffness!$E$145,Element_Stiffness!V166,0)),IF(Element_Stiffness!$E$145=6,IF(6=Element_Stiffness!$C$145,Element_Stiffness!P172,IF(6=Element_Stiffness!$E$145,Element_Stiffness!V172,0)),0)),0)+IF(Element_Stiffness!$C$181,IF(Element_Stiffness!$C$180=6,IF(6=Element_Stiffness!$C$180,Element_Stiffness!P201,IF(6=Element_Stiffness!$E$180,Element_Stiffness!V201,0)),IF(Element_Stiffness!$E$180=6,IF(6=Element_Stiffness!$C$180,Element_Stiffness!P207,IF(6=Element_Stiffness!$E$180,Element_Stiffness!V207,0)),0)),0)+IF(Element_Stiffness!$C$216,IF(Element_Stiffness!$C$215=6,IF(6=Element_Stiffness!$C$215,Element_Stiffness!P236,IF(6=Element_Stiffness!$E$215,Element_Stiffness!V236,0)),IF(Element_Stiffness!$E$215=6,IF(6=Element_Stiffness!$C$215,Element_Stiffness!P242,IF(6=Element_Stiffness!$E$215,Element_Stiffness!V242,0)),0)),0)+IF(Inputs!C46=TRUE,1E15,IF(ISNUMBER(Inputs!C46),Inputs!C46,0))</f>
        <v/>
      </c>
      <c r="AN41" s="21">
        <f>IF(Element_Stiffness!$C$6,IF(Element_Stiffness!$C$5=6,IF(6=Element_Stiffness!$C$5,Element_Stiffness!Q26,IF(6=Element_Stiffness!$E$5,Element_Stiffness!W26,0)),IF(Element_Stiffness!$E$5=6,IF(6=Element_Stiffness!$C$5,Element_Stiffness!Q32,IF(6=Element_Stiffness!$E$5,Element_Stiffness!W32,0)),0)),0)+IF(Element_Stiffness!$C$41,IF(Element_Stiffness!$C$40=6,IF(6=Element_Stiffness!$C$40,Element_Stiffness!Q61,IF(6=Element_Stiffness!$E$40,Element_Stiffness!W61,0)),IF(Element_Stiffness!$E$40=6,IF(6=Element_Stiffness!$C$40,Element_Stiffness!Q67,IF(6=Element_Stiffness!$E$40,Element_Stiffness!W67,0)),0)),0)+IF(Element_Stiffness!$C$76,IF(Element_Stiffness!$C$75=6,IF(6=Element_Stiffness!$C$75,Element_Stiffness!Q96,IF(6=Element_Stiffness!$E$75,Element_Stiffness!W96,0)),IF(Element_Stiffness!$E$75=6,IF(6=Element_Stiffness!$C$75,Element_Stiffness!Q102,IF(6=Element_Stiffness!$E$75,Element_Stiffness!W102,0)),0)),0)+IF(Element_Stiffness!$C$111,IF(Element_Stiffness!$C$110=6,IF(6=Element_Stiffness!$C$110,Element_Stiffness!Q131,IF(6=Element_Stiffness!$E$110,Element_Stiffness!W131,0)),IF(Element_Stiffness!$E$110=6,IF(6=Element_Stiffness!$C$110,Element_Stiffness!Q137,IF(6=Element_Stiffness!$E$110,Element_Stiffness!W137,0)),0)),0)+IF(Element_Stiffness!$C$146,IF(Element_Stiffness!$C$145=6,IF(6=Element_Stiffness!$C$145,Element_Stiffness!Q166,IF(6=Element_Stiffness!$E$145,Element_Stiffness!W166,0)),IF(Element_Stiffness!$E$145=6,IF(6=Element_Stiffness!$C$145,Element_Stiffness!Q172,IF(6=Element_Stiffness!$E$145,Element_Stiffness!W172,0)),0)),0)+IF(Element_Stiffness!$C$181,IF(Element_Stiffness!$C$180=6,IF(6=Element_Stiffness!$C$180,Element_Stiffness!Q201,IF(6=Element_Stiffness!$E$180,Element_Stiffness!W201,0)),IF(Element_Stiffness!$E$180=6,IF(6=Element_Stiffness!$C$180,Element_Stiffness!Q207,IF(6=Element_Stiffness!$E$180,Element_Stiffness!W207,0)),0)),0)+IF(Element_Stiffness!$C$216,IF(Element_Stiffness!$C$215=6,IF(6=Element_Stiffness!$C$215,Element_Stiffness!Q236,IF(6=Element_Stiffness!$E$215,Element_Stiffness!W236,0)),IF(Element_Stiffness!$E$215=6,IF(6=Element_Stiffness!$C$215,Element_Stiffness!Q242,IF(6=Element_Stiffness!$E$215,Element_Stiffness!W242,0)),0)),0)</f>
        <v/>
      </c>
      <c r="AO41" s="21">
        <f>IF(Element_Stiffness!$C$6,IF(Element_Stiffness!$C$5=6,IF(6=Element_Stiffness!$C$5,Element_Stiffness!R26,IF(6=Element_Stiffness!$E$5,Element_Stiffness!X26,0)),IF(Element_Stiffness!$E$5=6,IF(6=Element_Stiffness!$C$5,Element_Stiffness!R32,IF(6=Element_Stiffness!$E$5,Element_Stiffness!X32,0)),0)),0)+IF(Element_Stiffness!$C$41,IF(Element_Stiffness!$C$40=6,IF(6=Element_Stiffness!$C$40,Element_Stiffness!R61,IF(6=Element_Stiffness!$E$40,Element_Stiffness!X61,0)),IF(Element_Stiffness!$E$40=6,IF(6=Element_Stiffness!$C$40,Element_Stiffness!R67,IF(6=Element_Stiffness!$E$40,Element_Stiffness!X67,0)),0)),0)+IF(Element_Stiffness!$C$76,IF(Element_Stiffness!$C$75=6,IF(6=Element_Stiffness!$C$75,Element_Stiffness!R96,IF(6=Element_Stiffness!$E$75,Element_Stiffness!X96,0)),IF(Element_Stiffness!$E$75=6,IF(6=Element_Stiffness!$C$75,Element_Stiffness!R102,IF(6=Element_Stiffness!$E$75,Element_Stiffness!X102,0)),0)),0)+IF(Element_Stiffness!$C$111,IF(Element_Stiffness!$C$110=6,IF(6=Element_Stiffness!$C$110,Element_Stiffness!R131,IF(6=Element_Stiffness!$E$110,Element_Stiffness!X131,0)),IF(Element_Stiffness!$E$110=6,IF(6=Element_Stiffness!$C$110,Element_Stiffness!R137,IF(6=Element_Stiffness!$E$110,Element_Stiffness!X137,0)),0)),0)+IF(Element_Stiffness!$C$146,IF(Element_Stiffness!$C$145=6,IF(6=Element_Stiffness!$C$145,Element_Stiffness!R166,IF(6=Element_Stiffness!$E$145,Element_Stiffness!X166,0)),IF(Element_Stiffness!$E$145=6,IF(6=Element_Stiffness!$C$145,Element_Stiffness!R172,IF(6=Element_Stiffness!$E$145,Element_Stiffness!X172,0)),0)),0)+IF(Element_Stiffness!$C$181,IF(Element_Stiffness!$C$180=6,IF(6=Element_Stiffness!$C$180,Element_Stiffness!R201,IF(6=Element_Stiffness!$E$180,Element_Stiffness!X201,0)),IF(Element_Stiffness!$E$180=6,IF(6=Element_Stiffness!$C$180,Element_Stiffness!R207,IF(6=Element_Stiffness!$E$180,Element_Stiffness!X207,0)),0)),0)+IF(Element_Stiffness!$C$216,IF(Element_Stiffness!$C$215=6,IF(6=Element_Stiffness!$C$215,Element_Stiffness!R236,IF(6=Element_Stiffness!$E$215,Element_Stiffness!X236,0)),IF(Element_Stiffness!$E$215=6,IF(6=Element_Stiffness!$C$215,Element_Stiffness!R242,IF(6=Element_Stiffness!$E$215,Element_Stiffness!X242,0)),0)),0)</f>
        <v/>
      </c>
      <c r="AP41" s="21">
        <f>IF(Element_Stiffness!$C$6,IF(Element_Stiffness!$C$5=6,IF(6=Element_Stiffness!$C$5,Element_Stiffness!S26,IF(6=Element_Stiffness!$E$5,Element_Stiffness!Y26,0)),IF(Element_Stiffness!$E$5=6,IF(6=Element_Stiffness!$C$5,Element_Stiffness!S32,IF(6=Element_Stiffness!$E$5,Element_Stiffness!Y32,0)),0)),0)+IF(Element_Stiffness!$C$41,IF(Element_Stiffness!$C$40=6,IF(6=Element_Stiffness!$C$40,Element_Stiffness!S61,IF(6=Element_Stiffness!$E$40,Element_Stiffness!Y61,0)),IF(Element_Stiffness!$E$40=6,IF(6=Element_Stiffness!$C$40,Element_Stiffness!S67,IF(6=Element_Stiffness!$E$40,Element_Stiffness!Y67,0)),0)),0)+IF(Element_Stiffness!$C$76,IF(Element_Stiffness!$C$75=6,IF(6=Element_Stiffness!$C$75,Element_Stiffness!S96,IF(6=Element_Stiffness!$E$75,Element_Stiffness!Y96,0)),IF(Element_Stiffness!$E$75=6,IF(6=Element_Stiffness!$C$75,Element_Stiffness!S102,IF(6=Element_Stiffness!$E$75,Element_Stiffness!Y102,0)),0)),0)+IF(Element_Stiffness!$C$111,IF(Element_Stiffness!$C$110=6,IF(6=Element_Stiffness!$C$110,Element_Stiffness!S131,IF(6=Element_Stiffness!$E$110,Element_Stiffness!Y131,0)),IF(Element_Stiffness!$E$110=6,IF(6=Element_Stiffness!$C$110,Element_Stiffness!S137,IF(6=Element_Stiffness!$E$110,Element_Stiffness!Y137,0)),0)),0)+IF(Element_Stiffness!$C$146,IF(Element_Stiffness!$C$145=6,IF(6=Element_Stiffness!$C$145,Element_Stiffness!S166,IF(6=Element_Stiffness!$E$145,Element_Stiffness!Y166,0)),IF(Element_Stiffness!$E$145=6,IF(6=Element_Stiffness!$C$145,Element_Stiffness!S172,IF(6=Element_Stiffness!$E$145,Element_Stiffness!Y172,0)),0)),0)+IF(Element_Stiffness!$C$181,IF(Element_Stiffness!$C$180=6,IF(6=Element_Stiffness!$C$180,Element_Stiffness!S201,IF(6=Element_Stiffness!$E$180,Element_Stiffness!Y201,0)),IF(Element_Stiffness!$E$180=6,IF(6=Element_Stiffness!$C$180,Element_Stiffness!S207,IF(6=Element_Stiffness!$E$180,Element_Stiffness!Y207,0)),0)),0)+IF(Element_Stiffness!$C$216,IF(Element_Stiffness!$C$215=6,IF(6=Element_Stiffness!$C$215,Element_Stiffness!S236,IF(6=Element_Stiffness!$E$215,Element_Stiffness!Y236,0)),IF(Element_Stiffness!$E$215=6,IF(6=Element_Stiffness!$C$215,Element_Stiffness!S242,IF(6=Element_Stiffness!$E$215,Element_Stiffness!Y242,0)),0)),0)</f>
        <v/>
      </c>
      <c r="AQ41" s="21">
        <f>IF(Element_Stiffness!$C$6,IF(Element_Stiffness!$C$5=6,IF(6=Element_Stiffness!$C$5,Element_Stiffness!T26,IF(6=Element_Stiffness!$E$5,Element_Stiffness!Z26,0)),IF(Element_Stiffness!$E$5=6,IF(6=Element_Stiffness!$C$5,Element_Stiffness!T32,IF(6=Element_Stiffness!$E$5,Element_Stiffness!Z32,0)),0)),0)+IF(Element_Stiffness!$C$41,IF(Element_Stiffness!$C$40=6,IF(6=Element_Stiffness!$C$40,Element_Stiffness!T61,IF(6=Element_Stiffness!$E$40,Element_Stiffness!Z61,0)),IF(Element_Stiffness!$E$40=6,IF(6=Element_Stiffness!$C$40,Element_Stiffness!T67,IF(6=Element_Stiffness!$E$40,Element_Stiffness!Z67,0)),0)),0)+IF(Element_Stiffness!$C$76,IF(Element_Stiffness!$C$75=6,IF(6=Element_Stiffness!$C$75,Element_Stiffness!T96,IF(6=Element_Stiffness!$E$75,Element_Stiffness!Z96,0)),IF(Element_Stiffness!$E$75=6,IF(6=Element_Stiffness!$C$75,Element_Stiffness!T102,IF(6=Element_Stiffness!$E$75,Element_Stiffness!Z102,0)),0)),0)+IF(Element_Stiffness!$C$111,IF(Element_Stiffness!$C$110=6,IF(6=Element_Stiffness!$C$110,Element_Stiffness!T131,IF(6=Element_Stiffness!$E$110,Element_Stiffness!Z131,0)),IF(Element_Stiffness!$E$110=6,IF(6=Element_Stiffness!$C$110,Element_Stiffness!T137,IF(6=Element_Stiffness!$E$110,Element_Stiffness!Z137,0)),0)),0)+IF(Element_Stiffness!$C$146,IF(Element_Stiffness!$C$145=6,IF(6=Element_Stiffness!$C$145,Element_Stiffness!T166,IF(6=Element_Stiffness!$E$145,Element_Stiffness!Z166,0)),IF(Element_Stiffness!$E$145=6,IF(6=Element_Stiffness!$C$145,Element_Stiffness!T172,IF(6=Element_Stiffness!$E$145,Element_Stiffness!Z172,0)),0)),0)+IF(Element_Stiffness!$C$181,IF(Element_Stiffness!$C$180=6,IF(6=Element_Stiffness!$C$180,Element_Stiffness!T201,IF(6=Element_Stiffness!$E$180,Element_Stiffness!Z201,0)),IF(Element_Stiffness!$E$180=6,IF(6=Element_Stiffness!$C$180,Element_Stiffness!T207,IF(6=Element_Stiffness!$E$180,Element_Stiffness!Z207,0)),0)),0)+IF(Element_Stiffness!$C$216,IF(Element_Stiffness!$C$215=6,IF(6=Element_Stiffness!$C$215,Element_Stiffness!T236,IF(6=Element_Stiffness!$E$215,Element_Stiffness!Z236,0)),IF(Element_Stiffness!$E$215=6,IF(6=Element_Stiffness!$C$215,Element_Stiffness!T242,IF(6=Element_Stiffness!$E$215,Element_Stiffness!Z242,0)),0)),0)</f>
        <v/>
      </c>
      <c r="AR41" s="21">
        <f>IF(Element_Stiffness!$C$6,IF(Element_Stiffness!$C$5=6,IF(6=Element_Stiffness!$C$5,Element_Stiffness!U26,IF(6=Element_Stiffness!$E$5,Element_Stiffness!AA26,0)),IF(Element_Stiffness!$E$5=6,IF(6=Element_Stiffness!$C$5,Element_Stiffness!U32,IF(6=Element_Stiffness!$E$5,Element_Stiffness!AA32,0)),0)),0)+IF(Element_Stiffness!$C$41,IF(Element_Stiffness!$C$40=6,IF(6=Element_Stiffness!$C$40,Element_Stiffness!U61,IF(6=Element_Stiffness!$E$40,Element_Stiffness!AA61,0)),IF(Element_Stiffness!$E$40=6,IF(6=Element_Stiffness!$C$40,Element_Stiffness!U67,IF(6=Element_Stiffness!$E$40,Element_Stiffness!AA67,0)),0)),0)+IF(Element_Stiffness!$C$76,IF(Element_Stiffness!$C$75=6,IF(6=Element_Stiffness!$C$75,Element_Stiffness!U96,IF(6=Element_Stiffness!$E$75,Element_Stiffness!AA96,0)),IF(Element_Stiffness!$E$75=6,IF(6=Element_Stiffness!$C$75,Element_Stiffness!U102,IF(6=Element_Stiffness!$E$75,Element_Stiffness!AA102,0)),0)),0)+IF(Element_Stiffness!$C$111,IF(Element_Stiffness!$C$110=6,IF(6=Element_Stiffness!$C$110,Element_Stiffness!U131,IF(6=Element_Stiffness!$E$110,Element_Stiffness!AA131,0)),IF(Element_Stiffness!$E$110=6,IF(6=Element_Stiffness!$C$110,Element_Stiffness!U137,IF(6=Element_Stiffness!$E$110,Element_Stiffness!AA137,0)),0)),0)+IF(Element_Stiffness!$C$146,IF(Element_Stiffness!$C$145=6,IF(6=Element_Stiffness!$C$145,Element_Stiffness!U166,IF(6=Element_Stiffness!$E$145,Element_Stiffness!AA166,0)),IF(Element_Stiffness!$E$145=6,IF(6=Element_Stiffness!$C$145,Element_Stiffness!U172,IF(6=Element_Stiffness!$E$145,Element_Stiffness!AA172,0)),0)),0)+IF(Element_Stiffness!$C$181,IF(Element_Stiffness!$C$180=6,IF(6=Element_Stiffness!$C$180,Element_Stiffness!U201,IF(6=Element_Stiffness!$E$180,Element_Stiffness!AA201,0)),IF(Element_Stiffness!$E$180=6,IF(6=Element_Stiffness!$C$180,Element_Stiffness!U207,IF(6=Element_Stiffness!$E$180,Element_Stiffness!AA207,0)),0)),0)+IF(Element_Stiffness!$C$216,IF(Element_Stiffness!$C$215=6,IF(6=Element_Stiffness!$C$215,Element_Stiffness!U236,IF(6=Element_Stiffness!$E$215,Element_Stiffness!AA236,0)),IF(Element_Stiffness!$E$215=6,IF(6=Element_Stiffness!$C$215,Element_Stiffness!U242,IF(6=Element_Stiffness!$E$215,Element_Stiffness!AA242,0)),0)),0)</f>
        <v/>
      </c>
      <c r="AS41" s="21">
        <f>IF(Element_Stiffness!$C$6,IF(Element_Stiffness!$C$5=6,IF(7=Element_Stiffness!$C$5,Element_Stiffness!P26,IF(7=Element_Stiffness!$E$5,Element_Stiffness!V26,0)),IF(Element_Stiffness!$E$5=6,IF(7=Element_Stiffness!$C$5,Element_Stiffness!P32,IF(7=Element_Stiffness!$E$5,Element_Stiffness!V32,0)),0)),0)+IF(Element_Stiffness!$C$41,IF(Element_Stiffness!$C$40=6,IF(7=Element_Stiffness!$C$40,Element_Stiffness!P61,IF(7=Element_Stiffness!$E$40,Element_Stiffness!V61,0)),IF(Element_Stiffness!$E$40=6,IF(7=Element_Stiffness!$C$40,Element_Stiffness!P67,IF(7=Element_Stiffness!$E$40,Element_Stiffness!V67,0)),0)),0)+IF(Element_Stiffness!$C$76,IF(Element_Stiffness!$C$75=6,IF(7=Element_Stiffness!$C$75,Element_Stiffness!P96,IF(7=Element_Stiffness!$E$75,Element_Stiffness!V96,0)),IF(Element_Stiffness!$E$75=6,IF(7=Element_Stiffness!$C$75,Element_Stiffness!P102,IF(7=Element_Stiffness!$E$75,Element_Stiffness!V102,0)),0)),0)+IF(Element_Stiffness!$C$111,IF(Element_Stiffness!$C$110=6,IF(7=Element_Stiffness!$C$110,Element_Stiffness!P131,IF(7=Element_Stiffness!$E$110,Element_Stiffness!V131,0)),IF(Element_Stiffness!$E$110=6,IF(7=Element_Stiffness!$C$110,Element_Stiffness!P137,IF(7=Element_Stiffness!$E$110,Element_Stiffness!V137,0)),0)),0)+IF(Element_Stiffness!$C$146,IF(Element_Stiffness!$C$145=6,IF(7=Element_Stiffness!$C$145,Element_Stiffness!P166,IF(7=Element_Stiffness!$E$145,Element_Stiffness!V166,0)),IF(Element_Stiffness!$E$145=6,IF(7=Element_Stiffness!$C$145,Element_Stiffness!P172,IF(7=Element_Stiffness!$E$145,Element_Stiffness!V172,0)),0)),0)+IF(Element_Stiffness!$C$181,IF(Element_Stiffness!$C$180=6,IF(7=Element_Stiffness!$C$180,Element_Stiffness!P201,IF(7=Element_Stiffness!$E$180,Element_Stiffness!V201,0)),IF(Element_Stiffness!$E$180=6,IF(7=Element_Stiffness!$C$180,Element_Stiffness!P207,IF(7=Element_Stiffness!$E$180,Element_Stiffness!V207,0)),0)),0)+IF(Element_Stiffness!$C$216,IF(Element_Stiffness!$C$215=6,IF(7=Element_Stiffness!$C$215,Element_Stiffness!P236,IF(7=Element_Stiffness!$E$215,Element_Stiffness!V236,0)),IF(Element_Stiffness!$E$215=6,IF(7=Element_Stiffness!$C$215,Element_Stiffness!P242,IF(7=Element_Stiffness!$E$215,Element_Stiffness!V242,0)),0)),0)</f>
        <v/>
      </c>
      <c r="AT41" s="21">
        <f>IF(Element_Stiffness!$C$6,IF(Element_Stiffness!$C$5=6,IF(7=Element_Stiffness!$C$5,Element_Stiffness!Q26,IF(7=Element_Stiffness!$E$5,Element_Stiffness!W26,0)),IF(Element_Stiffness!$E$5=6,IF(7=Element_Stiffness!$C$5,Element_Stiffness!Q32,IF(7=Element_Stiffness!$E$5,Element_Stiffness!W32,0)),0)),0)+IF(Element_Stiffness!$C$41,IF(Element_Stiffness!$C$40=6,IF(7=Element_Stiffness!$C$40,Element_Stiffness!Q61,IF(7=Element_Stiffness!$E$40,Element_Stiffness!W61,0)),IF(Element_Stiffness!$E$40=6,IF(7=Element_Stiffness!$C$40,Element_Stiffness!Q67,IF(7=Element_Stiffness!$E$40,Element_Stiffness!W67,0)),0)),0)+IF(Element_Stiffness!$C$76,IF(Element_Stiffness!$C$75=6,IF(7=Element_Stiffness!$C$75,Element_Stiffness!Q96,IF(7=Element_Stiffness!$E$75,Element_Stiffness!W96,0)),IF(Element_Stiffness!$E$75=6,IF(7=Element_Stiffness!$C$75,Element_Stiffness!Q102,IF(7=Element_Stiffness!$E$75,Element_Stiffness!W102,0)),0)),0)+IF(Element_Stiffness!$C$111,IF(Element_Stiffness!$C$110=6,IF(7=Element_Stiffness!$C$110,Element_Stiffness!Q131,IF(7=Element_Stiffness!$E$110,Element_Stiffness!W131,0)),IF(Element_Stiffness!$E$110=6,IF(7=Element_Stiffness!$C$110,Element_Stiffness!Q137,IF(7=Element_Stiffness!$E$110,Element_Stiffness!W137,0)),0)),0)+IF(Element_Stiffness!$C$146,IF(Element_Stiffness!$C$145=6,IF(7=Element_Stiffness!$C$145,Element_Stiffness!Q166,IF(7=Element_Stiffness!$E$145,Element_Stiffness!W166,0)),IF(Element_Stiffness!$E$145=6,IF(7=Element_Stiffness!$C$145,Element_Stiffness!Q172,IF(7=Element_Stiffness!$E$145,Element_Stiffness!W172,0)),0)),0)+IF(Element_Stiffness!$C$181,IF(Element_Stiffness!$C$180=6,IF(7=Element_Stiffness!$C$180,Element_Stiffness!Q201,IF(7=Element_Stiffness!$E$180,Element_Stiffness!W201,0)),IF(Element_Stiffness!$E$180=6,IF(7=Element_Stiffness!$C$180,Element_Stiffness!Q207,IF(7=Element_Stiffness!$E$180,Element_Stiffness!W207,0)),0)),0)+IF(Element_Stiffness!$C$216,IF(Element_Stiffness!$C$215=6,IF(7=Element_Stiffness!$C$215,Element_Stiffness!Q236,IF(7=Element_Stiffness!$E$215,Element_Stiffness!W236,0)),IF(Element_Stiffness!$E$215=6,IF(7=Element_Stiffness!$C$215,Element_Stiffness!Q242,IF(7=Element_Stiffness!$E$215,Element_Stiffness!W242,0)),0)),0)</f>
        <v/>
      </c>
      <c r="AU41" s="21">
        <f>IF(Element_Stiffness!$C$6,IF(Element_Stiffness!$C$5=6,IF(7=Element_Stiffness!$C$5,Element_Stiffness!R26,IF(7=Element_Stiffness!$E$5,Element_Stiffness!X26,0)),IF(Element_Stiffness!$E$5=6,IF(7=Element_Stiffness!$C$5,Element_Stiffness!R32,IF(7=Element_Stiffness!$E$5,Element_Stiffness!X32,0)),0)),0)+IF(Element_Stiffness!$C$41,IF(Element_Stiffness!$C$40=6,IF(7=Element_Stiffness!$C$40,Element_Stiffness!R61,IF(7=Element_Stiffness!$E$40,Element_Stiffness!X61,0)),IF(Element_Stiffness!$E$40=6,IF(7=Element_Stiffness!$C$40,Element_Stiffness!R67,IF(7=Element_Stiffness!$E$40,Element_Stiffness!X67,0)),0)),0)+IF(Element_Stiffness!$C$76,IF(Element_Stiffness!$C$75=6,IF(7=Element_Stiffness!$C$75,Element_Stiffness!R96,IF(7=Element_Stiffness!$E$75,Element_Stiffness!X96,0)),IF(Element_Stiffness!$E$75=6,IF(7=Element_Stiffness!$C$75,Element_Stiffness!R102,IF(7=Element_Stiffness!$E$75,Element_Stiffness!X102,0)),0)),0)+IF(Element_Stiffness!$C$111,IF(Element_Stiffness!$C$110=6,IF(7=Element_Stiffness!$C$110,Element_Stiffness!R131,IF(7=Element_Stiffness!$E$110,Element_Stiffness!X131,0)),IF(Element_Stiffness!$E$110=6,IF(7=Element_Stiffness!$C$110,Element_Stiffness!R137,IF(7=Element_Stiffness!$E$110,Element_Stiffness!X137,0)),0)),0)+IF(Element_Stiffness!$C$146,IF(Element_Stiffness!$C$145=6,IF(7=Element_Stiffness!$C$145,Element_Stiffness!R166,IF(7=Element_Stiffness!$E$145,Element_Stiffness!X166,0)),IF(Element_Stiffness!$E$145=6,IF(7=Element_Stiffness!$C$145,Element_Stiffness!R172,IF(7=Element_Stiffness!$E$145,Element_Stiffness!X172,0)),0)),0)+IF(Element_Stiffness!$C$181,IF(Element_Stiffness!$C$180=6,IF(7=Element_Stiffness!$C$180,Element_Stiffness!R201,IF(7=Element_Stiffness!$E$180,Element_Stiffness!X201,0)),IF(Element_Stiffness!$E$180=6,IF(7=Element_Stiffness!$C$180,Element_Stiffness!R207,IF(7=Element_Stiffness!$E$180,Element_Stiffness!X207,0)),0)),0)+IF(Element_Stiffness!$C$216,IF(Element_Stiffness!$C$215=6,IF(7=Element_Stiffness!$C$215,Element_Stiffness!R236,IF(7=Element_Stiffness!$E$215,Element_Stiffness!X236,0)),IF(Element_Stiffness!$E$215=6,IF(7=Element_Stiffness!$C$215,Element_Stiffness!R242,IF(7=Element_Stiffness!$E$215,Element_Stiffness!X242,0)),0)),0)</f>
        <v/>
      </c>
      <c r="AV41" s="21">
        <f>IF(Element_Stiffness!$C$6,IF(Element_Stiffness!$C$5=6,IF(7=Element_Stiffness!$C$5,Element_Stiffness!S26,IF(7=Element_Stiffness!$E$5,Element_Stiffness!Y26,0)),IF(Element_Stiffness!$E$5=6,IF(7=Element_Stiffness!$C$5,Element_Stiffness!S32,IF(7=Element_Stiffness!$E$5,Element_Stiffness!Y32,0)),0)),0)+IF(Element_Stiffness!$C$41,IF(Element_Stiffness!$C$40=6,IF(7=Element_Stiffness!$C$40,Element_Stiffness!S61,IF(7=Element_Stiffness!$E$40,Element_Stiffness!Y61,0)),IF(Element_Stiffness!$E$40=6,IF(7=Element_Stiffness!$C$40,Element_Stiffness!S67,IF(7=Element_Stiffness!$E$40,Element_Stiffness!Y67,0)),0)),0)+IF(Element_Stiffness!$C$76,IF(Element_Stiffness!$C$75=6,IF(7=Element_Stiffness!$C$75,Element_Stiffness!S96,IF(7=Element_Stiffness!$E$75,Element_Stiffness!Y96,0)),IF(Element_Stiffness!$E$75=6,IF(7=Element_Stiffness!$C$75,Element_Stiffness!S102,IF(7=Element_Stiffness!$E$75,Element_Stiffness!Y102,0)),0)),0)+IF(Element_Stiffness!$C$111,IF(Element_Stiffness!$C$110=6,IF(7=Element_Stiffness!$C$110,Element_Stiffness!S131,IF(7=Element_Stiffness!$E$110,Element_Stiffness!Y131,0)),IF(Element_Stiffness!$E$110=6,IF(7=Element_Stiffness!$C$110,Element_Stiffness!S137,IF(7=Element_Stiffness!$E$110,Element_Stiffness!Y137,0)),0)),0)+IF(Element_Stiffness!$C$146,IF(Element_Stiffness!$C$145=6,IF(7=Element_Stiffness!$C$145,Element_Stiffness!S166,IF(7=Element_Stiffness!$E$145,Element_Stiffness!Y166,0)),IF(Element_Stiffness!$E$145=6,IF(7=Element_Stiffness!$C$145,Element_Stiffness!S172,IF(7=Element_Stiffness!$E$145,Element_Stiffness!Y172,0)),0)),0)+IF(Element_Stiffness!$C$181,IF(Element_Stiffness!$C$180=6,IF(7=Element_Stiffness!$C$180,Element_Stiffness!S201,IF(7=Element_Stiffness!$E$180,Element_Stiffness!Y201,0)),IF(Element_Stiffness!$E$180=6,IF(7=Element_Stiffness!$C$180,Element_Stiffness!S207,IF(7=Element_Stiffness!$E$180,Element_Stiffness!Y207,0)),0)),0)+IF(Element_Stiffness!$C$216,IF(Element_Stiffness!$C$215=6,IF(7=Element_Stiffness!$C$215,Element_Stiffness!S236,IF(7=Element_Stiffness!$E$215,Element_Stiffness!Y236,0)),IF(Element_Stiffness!$E$215=6,IF(7=Element_Stiffness!$C$215,Element_Stiffness!S242,IF(7=Element_Stiffness!$E$215,Element_Stiffness!Y242,0)),0)),0)</f>
        <v/>
      </c>
      <c r="AW41" s="21">
        <f>IF(Element_Stiffness!$C$6,IF(Element_Stiffness!$C$5=6,IF(7=Element_Stiffness!$C$5,Element_Stiffness!T26,IF(7=Element_Stiffness!$E$5,Element_Stiffness!Z26,0)),IF(Element_Stiffness!$E$5=6,IF(7=Element_Stiffness!$C$5,Element_Stiffness!T32,IF(7=Element_Stiffness!$E$5,Element_Stiffness!Z32,0)),0)),0)+IF(Element_Stiffness!$C$41,IF(Element_Stiffness!$C$40=6,IF(7=Element_Stiffness!$C$40,Element_Stiffness!T61,IF(7=Element_Stiffness!$E$40,Element_Stiffness!Z61,0)),IF(Element_Stiffness!$E$40=6,IF(7=Element_Stiffness!$C$40,Element_Stiffness!T67,IF(7=Element_Stiffness!$E$40,Element_Stiffness!Z67,0)),0)),0)+IF(Element_Stiffness!$C$76,IF(Element_Stiffness!$C$75=6,IF(7=Element_Stiffness!$C$75,Element_Stiffness!T96,IF(7=Element_Stiffness!$E$75,Element_Stiffness!Z96,0)),IF(Element_Stiffness!$E$75=6,IF(7=Element_Stiffness!$C$75,Element_Stiffness!T102,IF(7=Element_Stiffness!$E$75,Element_Stiffness!Z102,0)),0)),0)+IF(Element_Stiffness!$C$111,IF(Element_Stiffness!$C$110=6,IF(7=Element_Stiffness!$C$110,Element_Stiffness!T131,IF(7=Element_Stiffness!$E$110,Element_Stiffness!Z131,0)),IF(Element_Stiffness!$E$110=6,IF(7=Element_Stiffness!$C$110,Element_Stiffness!T137,IF(7=Element_Stiffness!$E$110,Element_Stiffness!Z137,0)),0)),0)+IF(Element_Stiffness!$C$146,IF(Element_Stiffness!$C$145=6,IF(7=Element_Stiffness!$C$145,Element_Stiffness!T166,IF(7=Element_Stiffness!$E$145,Element_Stiffness!Z166,0)),IF(Element_Stiffness!$E$145=6,IF(7=Element_Stiffness!$C$145,Element_Stiffness!T172,IF(7=Element_Stiffness!$E$145,Element_Stiffness!Z172,0)),0)),0)+IF(Element_Stiffness!$C$181,IF(Element_Stiffness!$C$180=6,IF(7=Element_Stiffness!$C$180,Element_Stiffness!T201,IF(7=Element_Stiffness!$E$180,Element_Stiffness!Z201,0)),IF(Element_Stiffness!$E$180=6,IF(7=Element_Stiffness!$C$180,Element_Stiffness!T207,IF(7=Element_Stiffness!$E$180,Element_Stiffness!Z207,0)),0)),0)+IF(Element_Stiffness!$C$216,IF(Element_Stiffness!$C$215=6,IF(7=Element_Stiffness!$C$215,Element_Stiffness!T236,IF(7=Element_Stiffness!$E$215,Element_Stiffness!Z236,0)),IF(Element_Stiffness!$E$215=6,IF(7=Element_Stiffness!$C$215,Element_Stiffness!T242,IF(7=Element_Stiffness!$E$215,Element_Stiffness!Z242,0)),0)),0)</f>
        <v/>
      </c>
      <c r="AX41" s="21">
        <f>IF(Element_Stiffness!$C$6,IF(Element_Stiffness!$C$5=6,IF(7=Element_Stiffness!$C$5,Element_Stiffness!U26,IF(7=Element_Stiffness!$E$5,Element_Stiffness!AA26,0)),IF(Element_Stiffness!$E$5=6,IF(7=Element_Stiffness!$C$5,Element_Stiffness!U32,IF(7=Element_Stiffness!$E$5,Element_Stiffness!AA32,0)),0)),0)+IF(Element_Stiffness!$C$41,IF(Element_Stiffness!$C$40=6,IF(7=Element_Stiffness!$C$40,Element_Stiffness!U61,IF(7=Element_Stiffness!$E$40,Element_Stiffness!AA61,0)),IF(Element_Stiffness!$E$40=6,IF(7=Element_Stiffness!$C$40,Element_Stiffness!U67,IF(7=Element_Stiffness!$E$40,Element_Stiffness!AA67,0)),0)),0)+IF(Element_Stiffness!$C$76,IF(Element_Stiffness!$C$75=6,IF(7=Element_Stiffness!$C$75,Element_Stiffness!U96,IF(7=Element_Stiffness!$E$75,Element_Stiffness!AA96,0)),IF(Element_Stiffness!$E$75=6,IF(7=Element_Stiffness!$C$75,Element_Stiffness!U102,IF(7=Element_Stiffness!$E$75,Element_Stiffness!AA102,0)),0)),0)+IF(Element_Stiffness!$C$111,IF(Element_Stiffness!$C$110=6,IF(7=Element_Stiffness!$C$110,Element_Stiffness!U131,IF(7=Element_Stiffness!$E$110,Element_Stiffness!AA131,0)),IF(Element_Stiffness!$E$110=6,IF(7=Element_Stiffness!$C$110,Element_Stiffness!U137,IF(7=Element_Stiffness!$E$110,Element_Stiffness!AA137,0)),0)),0)+IF(Element_Stiffness!$C$146,IF(Element_Stiffness!$C$145=6,IF(7=Element_Stiffness!$C$145,Element_Stiffness!U166,IF(7=Element_Stiffness!$E$145,Element_Stiffness!AA166,0)),IF(Element_Stiffness!$E$145=6,IF(7=Element_Stiffness!$C$145,Element_Stiffness!U172,IF(7=Element_Stiffness!$E$145,Element_Stiffness!AA172,0)),0)),0)+IF(Element_Stiffness!$C$181,IF(Element_Stiffness!$C$180=6,IF(7=Element_Stiffness!$C$180,Element_Stiffness!U201,IF(7=Element_Stiffness!$E$180,Element_Stiffness!AA201,0)),IF(Element_Stiffness!$E$180=6,IF(7=Element_Stiffness!$C$180,Element_Stiffness!U207,IF(7=Element_Stiffness!$E$180,Element_Stiffness!AA207,0)),0)),0)+IF(Element_Stiffness!$C$216,IF(Element_Stiffness!$C$215=6,IF(7=Element_Stiffness!$C$215,Element_Stiffness!U236,IF(7=Element_Stiffness!$E$215,Element_Stiffness!AA236,0)),IF(Element_Stiffness!$E$215=6,IF(7=Element_Stiffness!$C$215,Element_Stiffness!U242,IF(7=Element_Stiffness!$E$215,Element_Stiffness!AA242,0)),0)),0)</f>
        <v/>
      </c>
      <c r="AY41" s="21" t="n">
        <v>0</v>
      </c>
      <c r="AZ41" s="21">
        <f>IF(Element_Stiffness!$C$6,IF(Element_Stiffness!$C$5=6,Element_Stiffness!C26,IF(Element_Stiffness!$E$5=6,Element_Stiffness!C32,0)),0)+IF(Element_Stiffness!$C$41,IF(Element_Stiffness!$C$40=6,Element_Stiffness!C61,IF(Element_Stiffness!$E$40=6,Element_Stiffness!C67,0)),0)+IF(Element_Stiffness!$C$76,IF(Element_Stiffness!$C$75=6,Element_Stiffness!C96,IF(Element_Stiffness!$E$75=6,Element_Stiffness!C102,0)),0)+IF(Element_Stiffness!$C$111,IF(Element_Stiffness!$C$110=6,Element_Stiffness!C131,IF(Element_Stiffness!$E$110=6,Element_Stiffness!C137,0)),0)+IF(Element_Stiffness!$C$146,IF(Element_Stiffness!$C$145=6,Element_Stiffness!C166,IF(Element_Stiffness!$E$145=6,Element_Stiffness!C172,0)),0)+IF(Element_Stiffness!$C$181,IF(Element_Stiffness!$C$180=6,Element_Stiffness!C201,IF(Element_Stiffness!$E$180=6,Element_Stiffness!C207,0)),0)+IF(Element_Stiffness!$C$216,IF(Element_Stiffness!$C$215=6,Element_Stiffness!C236,IF(Element_Stiffness!$E$215=6,Element_Stiffness!C242,0)),0)</f>
        <v/>
      </c>
      <c r="BB41" s="28">
        <f>INDEX(MMULT(MINVERSE(C5:AX52), AY5:AY52), 37, 1)</f>
        <v/>
      </c>
      <c r="BC41" s="28">
        <f>INDEX(MMULT(MINVERSE(C5:AX52), AZ5:AZ52), 37, 1)</f>
        <v/>
      </c>
    </row>
    <row r="42">
      <c r="B42" s="27" t="inlineStr">
        <is>
          <t>N6_ty</t>
        </is>
      </c>
      <c r="C42" s="21">
        <f>IF(Element_Stiffness!$C$6,IF(Element_Stiffness!$C$5=6,IF(0=Element_Stiffness!$C$5,Element_Stiffness!P27,IF(0=Element_Stiffness!$E$5,Element_Stiffness!V27,0)),IF(Element_Stiffness!$E$5=6,IF(0=Element_Stiffness!$C$5,Element_Stiffness!P33,IF(0=Element_Stiffness!$E$5,Element_Stiffness!V33,0)),0)),0)+IF(Element_Stiffness!$C$41,IF(Element_Stiffness!$C$40=6,IF(0=Element_Stiffness!$C$40,Element_Stiffness!P62,IF(0=Element_Stiffness!$E$40,Element_Stiffness!V62,0)),IF(Element_Stiffness!$E$40=6,IF(0=Element_Stiffness!$C$40,Element_Stiffness!P68,IF(0=Element_Stiffness!$E$40,Element_Stiffness!V68,0)),0)),0)+IF(Element_Stiffness!$C$76,IF(Element_Stiffness!$C$75=6,IF(0=Element_Stiffness!$C$75,Element_Stiffness!P97,IF(0=Element_Stiffness!$E$75,Element_Stiffness!V97,0)),IF(Element_Stiffness!$E$75=6,IF(0=Element_Stiffness!$C$75,Element_Stiffness!P103,IF(0=Element_Stiffness!$E$75,Element_Stiffness!V103,0)),0)),0)+IF(Element_Stiffness!$C$111,IF(Element_Stiffness!$C$110=6,IF(0=Element_Stiffness!$C$110,Element_Stiffness!P132,IF(0=Element_Stiffness!$E$110,Element_Stiffness!V132,0)),IF(Element_Stiffness!$E$110=6,IF(0=Element_Stiffness!$C$110,Element_Stiffness!P138,IF(0=Element_Stiffness!$E$110,Element_Stiffness!V138,0)),0)),0)+IF(Element_Stiffness!$C$146,IF(Element_Stiffness!$C$145=6,IF(0=Element_Stiffness!$C$145,Element_Stiffness!P167,IF(0=Element_Stiffness!$E$145,Element_Stiffness!V167,0)),IF(Element_Stiffness!$E$145=6,IF(0=Element_Stiffness!$C$145,Element_Stiffness!P173,IF(0=Element_Stiffness!$E$145,Element_Stiffness!V173,0)),0)),0)+IF(Element_Stiffness!$C$181,IF(Element_Stiffness!$C$180=6,IF(0=Element_Stiffness!$C$180,Element_Stiffness!P202,IF(0=Element_Stiffness!$E$180,Element_Stiffness!V202,0)),IF(Element_Stiffness!$E$180=6,IF(0=Element_Stiffness!$C$180,Element_Stiffness!P208,IF(0=Element_Stiffness!$E$180,Element_Stiffness!V208,0)),0)),0)+IF(Element_Stiffness!$C$216,IF(Element_Stiffness!$C$215=6,IF(0=Element_Stiffness!$C$215,Element_Stiffness!P237,IF(0=Element_Stiffness!$E$215,Element_Stiffness!V237,0)),IF(Element_Stiffness!$E$215=6,IF(0=Element_Stiffness!$C$215,Element_Stiffness!P243,IF(0=Element_Stiffness!$E$215,Element_Stiffness!V243,0)),0)),0)</f>
        <v/>
      </c>
      <c r="D42" s="21">
        <f>IF(Element_Stiffness!$C$6,IF(Element_Stiffness!$C$5=6,IF(0=Element_Stiffness!$C$5,Element_Stiffness!Q27,IF(0=Element_Stiffness!$E$5,Element_Stiffness!W27,0)),IF(Element_Stiffness!$E$5=6,IF(0=Element_Stiffness!$C$5,Element_Stiffness!Q33,IF(0=Element_Stiffness!$E$5,Element_Stiffness!W33,0)),0)),0)+IF(Element_Stiffness!$C$41,IF(Element_Stiffness!$C$40=6,IF(0=Element_Stiffness!$C$40,Element_Stiffness!Q62,IF(0=Element_Stiffness!$E$40,Element_Stiffness!W62,0)),IF(Element_Stiffness!$E$40=6,IF(0=Element_Stiffness!$C$40,Element_Stiffness!Q68,IF(0=Element_Stiffness!$E$40,Element_Stiffness!W68,0)),0)),0)+IF(Element_Stiffness!$C$76,IF(Element_Stiffness!$C$75=6,IF(0=Element_Stiffness!$C$75,Element_Stiffness!Q97,IF(0=Element_Stiffness!$E$75,Element_Stiffness!W97,0)),IF(Element_Stiffness!$E$75=6,IF(0=Element_Stiffness!$C$75,Element_Stiffness!Q103,IF(0=Element_Stiffness!$E$75,Element_Stiffness!W103,0)),0)),0)+IF(Element_Stiffness!$C$111,IF(Element_Stiffness!$C$110=6,IF(0=Element_Stiffness!$C$110,Element_Stiffness!Q132,IF(0=Element_Stiffness!$E$110,Element_Stiffness!W132,0)),IF(Element_Stiffness!$E$110=6,IF(0=Element_Stiffness!$C$110,Element_Stiffness!Q138,IF(0=Element_Stiffness!$E$110,Element_Stiffness!W138,0)),0)),0)+IF(Element_Stiffness!$C$146,IF(Element_Stiffness!$C$145=6,IF(0=Element_Stiffness!$C$145,Element_Stiffness!Q167,IF(0=Element_Stiffness!$E$145,Element_Stiffness!W167,0)),IF(Element_Stiffness!$E$145=6,IF(0=Element_Stiffness!$C$145,Element_Stiffness!Q173,IF(0=Element_Stiffness!$E$145,Element_Stiffness!W173,0)),0)),0)+IF(Element_Stiffness!$C$181,IF(Element_Stiffness!$C$180=6,IF(0=Element_Stiffness!$C$180,Element_Stiffness!Q202,IF(0=Element_Stiffness!$E$180,Element_Stiffness!W202,0)),IF(Element_Stiffness!$E$180=6,IF(0=Element_Stiffness!$C$180,Element_Stiffness!Q208,IF(0=Element_Stiffness!$E$180,Element_Stiffness!W208,0)),0)),0)+IF(Element_Stiffness!$C$216,IF(Element_Stiffness!$C$215=6,IF(0=Element_Stiffness!$C$215,Element_Stiffness!Q237,IF(0=Element_Stiffness!$E$215,Element_Stiffness!W237,0)),IF(Element_Stiffness!$E$215=6,IF(0=Element_Stiffness!$C$215,Element_Stiffness!Q243,IF(0=Element_Stiffness!$E$215,Element_Stiffness!W243,0)),0)),0)</f>
        <v/>
      </c>
      <c r="E42" s="21">
        <f>IF(Element_Stiffness!$C$6,IF(Element_Stiffness!$C$5=6,IF(0=Element_Stiffness!$C$5,Element_Stiffness!R27,IF(0=Element_Stiffness!$E$5,Element_Stiffness!X27,0)),IF(Element_Stiffness!$E$5=6,IF(0=Element_Stiffness!$C$5,Element_Stiffness!R33,IF(0=Element_Stiffness!$E$5,Element_Stiffness!X33,0)),0)),0)+IF(Element_Stiffness!$C$41,IF(Element_Stiffness!$C$40=6,IF(0=Element_Stiffness!$C$40,Element_Stiffness!R62,IF(0=Element_Stiffness!$E$40,Element_Stiffness!X62,0)),IF(Element_Stiffness!$E$40=6,IF(0=Element_Stiffness!$C$40,Element_Stiffness!R68,IF(0=Element_Stiffness!$E$40,Element_Stiffness!X68,0)),0)),0)+IF(Element_Stiffness!$C$76,IF(Element_Stiffness!$C$75=6,IF(0=Element_Stiffness!$C$75,Element_Stiffness!R97,IF(0=Element_Stiffness!$E$75,Element_Stiffness!X97,0)),IF(Element_Stiffness!$E$75=6,IF(0=Element_Stiffness!$C$75,Element_Stiffness!R103,IF(0=Element_Stiffness!$E$75,Element_Stiffness!X103,0)),0)),0)+IF(Element_Stiffness!$C$111,IF(Element_Stiffness!$C$110=6,IF(0=Element_Stiffness!$C$110,Element_Stiffness!R132,IF(0=Element_Stiffness!$E$110,Element_Stiffness!X132,0)),IF(Element_Stiffness!$E$110=6,IF(0=Element_Stiffness!$C$110,Element_Stiffness!R138,IF(0=Element_Stiffness!$E$110,Element_Stiffness!X138,0)),0)),0)+IF(Element_Stiffness!$C$146,IF(Element_Stiffness!$C$145=6,IF(0=Element_Stiffness!$C$145,Element_Stiffness!R167,IF(0=Element_Stiffness!$E$145,Element_Stiffness!X167,0)),IF(Element_Stiffness!$E$145=6,IF(0=Element_Stiffness!$C$145,Element_Stiffness!R173,IF(0=Element_Stiffness!$E$145,Element_Stiffness!X173,0)),0)),0)+IF(Element_Stiffness!$C$181,IF(Element_Stiffness!$C$180=6,IF(0=Element_Stiffness!$C$180,Element_Stiffness!R202,IF(0=Element_Stiffness!$E$180,Element_Stiffness!X202,0)),IF(Element_Stiffness!$E$180=6,IF(0=Element_Stiffness!$C$180,Element_Stiffness!R208,IF(0=Element_Stiffness!$E$180,Element_Stiffness!X208,0)),0)),0)+IF(Element_Stiffness!$C$216,IF(Element_Stiffness!$C$215=6,IF(0=Element_Stiffness!$C$215,Element_Stiffness!R237,IF(0=Element_Stiffness!$E$215,Element_Stiffness!X237,0)),IF(Element_Stiffness!$E$215=6,IF(0=Element_Stiffness!$C$215,Element_Stiffness!R243,IF(0=Element_Stiffness!$E$215,Element_Stiffness!X243,0)),0)),0)</f>
        <v/>
      </c>
      <c r="F42" s="21">
        <f>IF(Element_Stiffness!$C$6,IF(Element_Stiffness!$C$5=6,IF(0=Element_Stiffness!$C$5,Element_Stiffness!S27,IF(0=Element_Stiffness!$E$5,Element_Stiffness!Y27,0)),IF(Element_Stiffness!$E$5=6,IF(0=Element_Stiffness!$C$5,Element_Stiffness!S33,IF(0=Element_Stiffness!$E$5,Element_Stiffness!Y33,0)),0)),0)+IF(Element_Stiffness!$C$41,IF(Element_Stiffness!$C$40=6,IF(0=Element_Stiffness!$C$40,Element_Stiffness!S62,IF(0=Element_Stiffness!$E$40,Element_Stiffness!Y62,0)),IF(Element_Stiffness!$E$40=6,IF(0=Element_Stiffness!$C$40,Element_Stiffness!S68,IF(0=Element_Stiffness!$E$40,Element_Stiffness!Y68,0)),0)),0)+IF(Element_Stiffness!$C$76,IF(Element_Stiffness!$C$75=6,IF(0=Element_Stiffness!$C$75,Element_Stiffness!S97,IF(0=Element_Stiffness!$E$75,Element_Stiffness!Y97,0)),IF(Element_Stiffness!$E$75=6,IF(0=Element_Stiffness!$C$75,Element_Stiffness!S103,IF(0=Element_Stiffness!$E$75,Element_Stiffness!Y103,0)),0)),0)+IF(Element_Stiffness!$C$111,IF(Element_Stiffness!$C$110=6,IF(0=Element_Stiffness!$C$110,Element_Stiffness!S132,IF(0=Element_Stiffness!$E$110,Element_Stiffness!Y132,0)),IF(Element_Stiffness!$E$110=6,IF(0=Element_Stiffness!$C$110,Element_Stiffness!S138,IF(0=Element_Stiffness!$E$110,Element_Stiffness!Y138,0)),0)),0)+IF(Element_Stiffness!$C$146,IF(Element_Stiffness!$C$145=6,IF(0=Element_Stiffness!$C$145,Element_Stiffness!S167,IF(0=Element_Stiffness!$E$145,Element_Stiffness!Y167,0)),IF(Element_Stiffness!$E$145=6,IF(0=Element_Stiffness!$C$145,Element_Stiffness!S173,IF(0=Element_Stiffness!$E$145,Element_Stiffness!Y173,0)),0)),0)+IF(Element_Stiffness!$C$181,IF(Element_Stiffness!$C$180=6,IF(0=Element_Stiffness!$C$180,Element_Stiffness!S202,IF(0=Element_Stiffness!$E$180,Element_Stiffness!Y202,0)),IF(Element_Stiffness!$E$180=6,IF(0=Element_Stiffness!$C$180,Element_Stiffness!S208,IF(0=Element_Stiffness!$E$180,Element_Stiffness!Y208,0)),0)),0)+IF(Element_Stiffness!$C$216,IF(Element_Stiffness!$C$215=6,IF(0=Element_Stiffness!$C$215,Element_Stiffness!S237,IF(0=Element_Stiffness!$E$215,Element_Stiffness!Y237,0)),IF(Element_Stiffness!$E$215=6,IF(0=Element_Stiffness!$C$215,Element_Stiffness!S243,IF(0=Element_Stiffness!$E$215,Element_Stiffness!Y243,0)),0)),0)</f>
        <v/>
      </c>
      <c r="G42" s="21">
        <f>IF(Element_Stiffness!$C$6,IF(Element_Stiffness!$C$5=6,IF(0=Element_Stiffness!$C$5,Element_Stiffness!T27,IF(0=Element_Stiffness!$E$5,Element_Stiffness!Z27,0)),IF(Element_Stiffness!$E$5=6,IF(0=Element_Stiffness!$C$5,Element_Stiffness!T33,IF(0=Element_Stiffness!$E$5,Element_Stiffness!Z33,0)),0)),0)+IF(Element_Stiffness!$C$41,IF(Element_Stiffness!$C$40=6,IF(0=Element_Stiffness!$C$40,Element_Stiffness!T62,IF(0=Element_Stiffness!$E$40,Element_Stiffness!Z62,0)),IF(Element_Stiffness!$E$40=6,IF(0=Element_Stiffness!$C$40,Element_Stiffness!T68,IF(0=Element_Stiffness!$E$40,Element_Stiffness!Z68,0)),0)),0)+IF(Element_Stiffness!$C$76,IF(Element_Stiffness!$C$75=6,IF(0=Element_Stiffness!$C$75,Element_Stiffness!T97,IF(0=Element_Stiffness!$E$75,Element_Stiffness!Z97,0)),IF(Element_Stiffness!$E$75=6,IF(0=Element_Stiffness!$C$75,Element_Stiffness!T103,IF(0=Element_Stiffness!$E$75,Element_Stiffness!Z103,0)),0)),0)+IF(Element_Stiffness!$C$111,IF(Element_Stiffness!$C$110=6,IF(0=Element_Stiffness!$C$110,Element_Stiffness!T132,IF(0=Element_Stiffness!$E$110,Element_Stiffness!Z132,0)),IF(Element_Stiffness!$E$110=6,IF(0=Element_Stiffness!$C$110,Element_Stiffness!T138,IF(0=Element_Stiffness!$E$110,Element_Stiffness!Z138,0)),0)),0)+IF(Element_Stiffness!$C$146,IF(Element_Stiffness!$C$145=6,IF(0=Element_Stiffness!$C$145,Element_Stiffness!T167,IF(0=Element_Stiffness!$E$145,Element_Stiffness!Z167,0)),IF(Element_Stiffness!$E$145=6,IF(0=Element_Stiffness!$C$145,Element_Stiffness!T173,IF(0=Element_Stiffness!$E$145,Element_Stiffness!Z173,0)),0)),0)+IF(Element_Stiffness!$C$181,IF(Element_Stiffness!$C$180=6,IF(0=Element_Stiffness!$C$180,Element_Stiffness!T202,IF(0=Element_Stiffness!$E$180,Element_Stiffness!Z202,0)),IF(Element_Stiffness!$E$180=6,IF(0=Element_Stiffness!$C$180,Element_Stiffness!T208,IF(0=Element_Stiffness!$E$180,Element_Stiffness!Z208,0)),0)),0)+IF(Element_Stiffness!$C$216,IF(Element_Stiffness!$C$215=6,IF(0=Element_Stiffness!$C$215,Element_Stiffness!T237,IF(0=Element_Stiffness!$E$215,Element_Stiffness!Z237,0)),IF(Element_Stiffness!$E$215=6,IF(0=Element_Stiffness!$C$215,Element_Stiffness!T243,IF(0=Element_Stiffness!$E$215,Element_Stiffness!Z243,0)),0)),0)</f>
        <v/>
      </c>
      <c r="H42" s="21">
        <f>IF(Element_Stiffness!$C$6,IF(Element_Stiffness!$C$5=6,IF(0=Element_Stiffness!$C$5,Element_Stiffness!U27,IF(0=Element_Stiffness!$E$5,Element_Stiffness!AA27,0)),IF(Element_Stiffness!$E$5=6,IF(0=Element_Stiffness!$C$5,Element_Stiffness!U33,IF(0=Element_Stiffness!$E$5,Element_Stiffness!AA33,0)),0)),0)+IF(Element_Stiffness!$C$41,IF(Element_Stiffness!$C$40=6,IF(0=Element_Stiffness!$C$40,Element_Stiffness!U62,IF(0=Element_Stiffness!$E$40,Element_Stiffness!AA62,0)),IF(Element_Stiffness!$E$40=6,IF(0=Element_Stiffness!$C$40,Element_Stiffness!U68,IF(0=Element_Stiffness!$E$40,Element_Stiffness!AA68,0)),0)),0)+IF(Element_Stiffness!$C$76,IF(Element_Stiffness!$C$75=6,IF(0=Element_Stiffness!$C$75,Element_Stiffness!U97,IF(0=Element_Stiffness!$E$75,Element_Stiffness!AA97,0)),IF(Element_Stiffness!$E$75=6,IF(0=Element_Stiffness!$C$75,Element_Stiffness!U103,IF(0=Element_Stiffness!$E$75,Element_Stiffness!AA103,0)),0)),0)+IF(Element_Stiffness!$C$111,IF(Element_Stiffness!$C$110=6,IF(0=Element_Stiffness!$C$110,Element_Stiffness!U132,IF(0=Element_Stiffness!$E$110,Element_Stiffness!AA132,0)),IF(Element_Stiffness!$E$110=6,IF(0=Element_Stiffness!$C$110,Element_Stiffness!U138,IF(0=Element_Stiffness!$E$110,Element_Stiffness!AA138,0)),0)),0)+IF(Element_Stiffness!$C$146,IF(Element_Stiffness!$C$145=6,IF(0=Element_Stiffness!$C$145,Element_Stiffness!U167,IF(0=Element_Stiffness!$E$145,Element_Stiffness!AA167,0)),IF(Element_Stiffness!$E$145=6,IF(0=Element_Stiffness!$C$145,Element_Stiffness!U173,IF(0=Element_Stiffness!$E$145,Element_Stiffness!AA173,0)),0)),0)+IF(Element_Stiffness!$C$181,IF(Element_Stiffness!$C$180=6,IF(0=Element_Stiffness!$C$180,Element_Stiffness!U202,IF(0=Element_Stiffness!$E$180,Element_Stiffness!AA202,0)),IF(Element_Stiffness!$E$180=6,IF(0=Element_Stiffness!$C$180,Element_Stiffness!U208,IF(0=Element_Stiffness!$E$180,Element_Stiffness!AA208,0)),0)),0)+IF(Element_Stiffness!$C$216,IF(Element_Stiffness!$C$215=6,IF(0=Element_Stiffness!$C$215,Element_Stiffness!U237,IF(0=Element_Stiffness!$E$215,Element_Stiffness!AA237,0)),IF(Element_Stiffness!$E$215=6,IF(0=Element_Stiffness!$C$215,Element_Stiffness!U243,IF(0=Element_Stiffness!$E$215,Element_Stiffness!AA243,0)),0)),0)</f>
        <v/>
      </c>
      <c r="I42" s="21">
        <f>IF(Element_Stiffness!$C$6,IF(Element_Stiffness!$C$5=6,IF(1=Element_Stiffness!$C$5,Element_Stiffness!P27,IF(1=Element_Stiffness!$E$5,Element_Stiffness!V27,0)),IF(Element_Stiffness!$E$5=6,IF(1=Element_Stiffness!$C$5,Element_Stiffness!P33,IF(1=Element_Stiffness!$E$5,Element_Stiffness!V33,0)),0)),0)+IF(Element_Stiffness!$C$41,IF(Element_Stiffness!$C$40=6,IF(1=Element_Stiffness!$C$40,Element_Stiffness!P62,IF(1=Element_Stiffness!$E$40,Element_Stiffness!V62,0)),IF(Element_Stiffness!$E$40=6,IF(1=Element_Stiffness!$C$40,Element_Stiffness!P68,IF(1=Element_Stiffness!$E$40,Element_Stiffness!V68,0)),0)),0)+IF(Element_Stiffness!$C$76,IF(Element_Stiffness!$C$75=6,IF(1=Element_Stiffness!$C$75,Element_Stiffness!P97,IF(1=Element_Stiffness!$E$75,Element_Stiffness!V97,0)),IF(Element_Stiffness!$E$75=6,IF(1=Element_Stiffness!$C$75,Element_Stiffness!P103,IF(1=Element_Stiffness!$E$75,Element_Stiffness!V103,0)),0)),0)+IF(Element_Stiffness!$C$111,IF(Element_Stiffness!$C$110=6,IF(1=Element_Stiffness!$C$110,Element_Stiffness!P132,IF(1=Element_Stiffness!$E$110,Element_Stiffness!V132,0)),IF(Element_Stiffness!$E$110=6,IF(1=Element_Stiffness!$C$110,Element_Stiffness!P138,IF(1=Element_Stiffness!$E$110,Element_Stiffness!V138,0)),0)),0)+IF(Element_Stiffness!$C$146,IF(Element_Stiffness!$C$145=6,IF(1=Element_Stiffness!$C$145,Element_Stiffness!P167,IF(1=Element_Stiffness!$E$145,Element_Stiffness!V167,0)),IF(Element_Stiffness!$E$145=6,IF(1=Element_Stiffness!$C$145,Element_Stiffness!P173,IF(1=Element_Stiffness!$E$145,Element_Stiffness!V173,0)),0)),0)+IF(Element_Stiffness!$C$181,IF(Element_Stiffness!$C$180=6,IF(1=Element_Stiffness!$C$180,Element_Stiffness!P202,IF(1=Element_Stiffness!$E$180,Element_Stiffness!V202,0)),IF(Element_Stiffness!$E$180=6,IF(1=Element_Stiffness!$C$180,Element_Stiffness!P208,IF(1=Element_Stiffness!$E$180,Element_Stiffness!V208,0)),0)),0)+IF(Element_Stiffness!$C$216,IF(Element_Stiffness!$C$215=6,IF(1=Element_Stiffness!$C$215,Element_Stiffness!P237,IF(1=Element_Stiffness!$E$215,Element_Stiffness!V237,0)),IF(Element_Stiffness!$E$215=6,IF(1=Element_Stiffness!$C$215,Element_Stiffness!P243,IF(1=Element_Stiffness!$E$215,Element_Stiffness!V243,0)),0)),0)</f>
        <v/>
      </c>
      <c r="J42" s="21">
        <f>IF(Element_Stiffness!$C$6,IF(Element_Stiffness!$C$5=6,IF(1=Element_Stiffness!$C$5,Element_Stiffness!Q27,IF(1=Element_Stiffness!$E$5,Element_Stiffness!W27,0)),IF(Element_Stiffness!$E$5=6,IF(1=Element_Stiffness!$C$5,Element_Stiffness!Q33,IF(1=Element_Stiffness!$E$5,Element_Stiffness!W33,0)),0)),0)+IF(Element_Stiffness!$C$41,IF(Element_Stiffness!$C$40=6,IF(1=Element_Stiffness!$C$40,Element_Stiffness!Q62,IF(1=Element_Stiffness!$E$40,Element_Stiffness!W62,0)),IF(Element_Stiffness!$E$40=6,IF(1=Element_Stiffness!$C$40,Element_Stiffness!Q68,IF(1=Element_Stiffness!$E$40,Element_Stiffness!W68,0)),0)),0)+IF(Element_Stiffness!$C$76,IF(Element_Stiffness!$C$75=6,IF(1=Element_Stiffness!$C$75,Element_Stiffness!Q97,IF(1=Element_Stiffness!$E$75,Element_Stiffness!W97,0)),IF(Element_Stiffness!$E$75=6,IF(1=Element_Stiffness!$C$75,Element_Stiffness!Q103,IF(1=Element_Stiffness!$E$75,Element_Stiffness!W103,0)),0)),0)+IF(Element_Stiffness!$C$111,IF(Element_Stiffness!$C$110=6,IF(1=Element_Stiffness!$C$110,Element_Stiffness!Q132,IF(1=Element_Stiffness!$E$110,Element_Stiffness!W132,0)),IF(Element_Stiffness!$E$110=6,IF(1=Element_Stiffness!$C$110,Element_Stiffness!Q138,IF(1=Element_Stiffness!$E$110,Element_Stiffness!W138,0)),0)),0)+IF(Element_Stiffness!$C$146,IF(Element_Stiffness!$C$145=6,IF(1=Element_Stiffness!$C$145,Element_Stiffness!Q167,IF(1=Element_Stiffness!$E$145,Element_Stiffness!W167,0)),IF(Element_Stiffness!$E$145=6,IF(1=Element_Stiffness!$C$145,Element_Stiffness!Q173,IF(1=Element_Stiffness!$E$145,Element_Stiffness!W173,0)),0)),0)+IF(Element_Stiffness!$C$181,IF(Element_Stiffness!$C$180=6,IF(1=Element_Stiffness!$C$180,Element_Stiffness!Q202,IF(1=Element_Stiffness!$E$180,Element_Stiffness!W202,0)),IF(Element_Stiffness!$E$180=6,IF(1=Element_Stiffness!$C$180,Element_Stiffness!Q208,IF(1=Element_Stiffness!$E$180,Element_Stiffness!W208,0)),0)),0)+IF(Element_Stiffness!$C$216,IF(Element_Stiffness!$C$215=6,IF(1=Element_Stiffness!$C$215,Element_Stiffness!Q237,IF(1=Element_Stiffness!$E$215,Element_Stiffness!W237,0)),IF(Element_Stiffness!$E$215=6,IF(1=Element_Stiffness!$C$215,Element_Stiffness!Q243,IF(1=Element_Stiffness!$E$215,Element_Stiffness!W243,0)),0)),0)</f>
        <v/>
      </c>
      <c r="K42" s="21">
        <f>IF(Element_Stiffness!$C$6,IF(Element_Stiffness!$C$5=6,IF(1=Element_Stiffness!$C$5,Element_Stiffness!R27,IF(1=Element_Stiffness!$E$5,Element_Stiffness!X27,0)),IF(Element_Stiffness!$E$5=6,IF(1=Element_Stiffness!$C$5,Element_Stiffness!R33,IF(1=Element_Stiffness!$E$5,Element_Stiffness!X33,0)),0)),0)+IF(Element_Stiffness!$C$41,IF(Element_Stiffness!$C$40=6,IF(1=Element_Stiffness!$C$40,Element_Stiffness!R62,IF(1=Element_Stiffness!$E$40,Element_Stiffness!X62,0)),IF(Element_Stiffness!$E$40=6,IF(1=Element_Stiffness!$C$40,Element_Stiffness!R68,IF(1=Element_Stiffness!$E$40,Element_Stiffness!X68,0)),0)),0)+IF(Element_Stiffness!$C$76,IF(Element_Stiffness!$C$75=6,IF(1=Element_Stiffness!$C$75,Element_Stiffness!R97,IF(1=Element_Stiffness!$E$75,Element_Stiffness!X97,0)),IF(Element_Stiffness!$E$75=6,IF(1=Element_Stiffness!$C$75,Element_Stiffness!R103,IF(1=Element_Stiffness!$E$75,Element_Stiffness!X103,0)),0)),0)+IF(Element_Stiffness!$C$111,IF(Element_Stiffness!$C$110=6,IF(1=Element_Stiffness!$C$110,Element_Stiffness!R132,IF(1=Element_Stiffness!$E$110,Element_Stiffness!X132,0)),IF(Element_Stiffness!$E$110=6,IF(1=Element_Stiffness!$C$110,Element_Stiffness!R138,IF(1=Element_Stiffness!$E$110,Element_Stiffness!X138,0)),0)),0)+IF(Element_Stiffness!$C$146,IF(Element_Stiffness!$C$145=6,IF(1=Element_Stiffness!$C$145,Element_Stiffness!R167,IF(1=Element_Stiffness!$E$145,Element_Stiffness!X167,0)),IF(Element_Stiffness!$E$145=6,IF(1=Element_Stiffness!$C$145,Element_Stiffness!R173,IF(1=Element_Stiffness!$E$145,Element_Stiffness!X173,0)),0)),0)+IF(Element_Stiffness!$C$181,IF(Element_Stiffness!$C$180=6,IF(1=Element_Stiffness!$C$180,Element_Stiffness!R202,IF(1=Element_Stiffness!$E$180,Element_Stiffness!X202,0)),IF(Element_Stiffness!$E$180=6,IF(1=Element_Stiffness!$C$180,Element_Stiffness!R208,IF(1=Element_Stiffness!$E$180,Element_Stiffness!X208,0)),0)),0)+IF(Element_Stiffness!$C$216,IF(Element_Stiffness!$C$215=6,IF(1=Element_Stiffness!$C$215,Element_Stiffness!R237,IF(1=Element_Stiffness!$E$215,Element_Stiffness!X237,0)),IF(Element_Stiffness!$E$215=6,IF(1=Element_Stiffness!$C$215,Element_Stiffness!R243,IF(1=Element_Stiffness!$E$215,Element_Stiffness!X243,0)),0)),0)</f>
        <v/>
      </c>
      <c r="L42" s="21">
        <f>IF(Element_Stiffness!$C$6,IF(Element_Stiffness!$C$5=6,IF(1=Element_Stiffness!$C$5,Element_Stiffness!S27,IF(1=Element_Stiffness!$E$5,Element_Stiffness!Y27,0)),IF(Element_Stiffness!$E$5=6,IF(1=Element_Stiffness!$C$5,Element_Stiffness!S33,IF(1=Element_Stiffness!$E$5,Element_Stiffness!Y33,0)),0)),0)+IF(Element_Stiffness!$C$41,IF(Element_Stiffness!$C$40=6,IF(1=Element_Stiffness!$C$40,Element_Stiffness!S62,IF(1=Element_Stiffness!$E$40,Element_Stiffness!Y62,0)),IF(Element_Stiffness!$E$40=6,IF(1=Element_Stiffness!$C$40,Element_Stiffness!S68,IF(1=Element_Stiffness!$E$40,Element_Stiffness!Y68,0)),0)),0)+IF(Element_Stiffness!$C$76,IF(Element_Stiffness!$C$75=6,IF(1=Element_Stiffness!$C$75,Element_Stiffness!S97,IF(1=Element_Stiffness!$E$75,Element_Stiffness!Y97,0)),IF(Element_Stiffness!$E$75=6,IF(1=Element_Stiffness!$C$75,Element_Stiffness!S103,IF(1=Element_Stiffness!$E$75,Element_Stiffness!Y103,0)),0)),0)+IF(Element_Stiffness!$C$111,IF(Element_Stiffness!$C$110=6,IF(1=Element_Stiffness!$C$110,Element_Stiffness!S132,IF(1=Element_Stiffness!$E$110,Element_Stiffness!Y132,0)),IF(Element_Stiffness!$E$110=6,IF(1=Element_Stiffness!$C$110,Element_Stiffness!S138,IF(1=Element_Stiffness!$E$110,Element_Stiffness!Y138,0)),0)),0)+IF(Element_Stiffness!$C$146,IF(Element_Stiffness!$C$145=6,IF(1=Element_Stiffness!$C$145,Element_Stiffness!S167,IF(1=Element_Stiffness!$E$145,Element_Stiffness!Y167,0)),IF(Element_Stiffness!$E$145=6,IF(1=Element_Stiffness!$C$145,Element_Stiffness!S173,IF(1=Element_Stiffness!$E$145,Element_Stiffness!Y173,0)),0)),0)+IF(Element_Stiffness!$C$181,IF(Element_Stiffness!$C$180=6,IF(1=Element_Stiffness!$C$180,Element_Stiffness!S202,IF(1=Element_Stiffness!$E$180,Element_Stiffness!Y202,0)),IF(Element_Stiffness!$E$180=6,IF(1=Element_Stiffness!$C$180,Element_Stiffness!S208,IF(1=Element_Stiffness!$E$180,Element_Stiffness!Y208,0)),0)),0)+IF(Element_Stiffness!$C$216,IF(Element_Stiffness!$C$215=6,IF(1=Element_Stiffness!$C$215,Element_Stiffness!S237,IF(1=Element_Stiffness!$E$215,Element_Stiffness!Y237,0)),IF(Element_Stiffness!$E$215=6,IF(1=Element_Stiffness!$C$215,Element_Stiffness!S243,IF(1=Element_Stiffness!$E$215,Element_Stiffness!Y243,0)),0)),0)</f>
        <v/>
      </c>
      <c r="M42" s="21">
        <f>IF(Element_Stiffness!$C$6,IF(Element_Stiffness!$C$5=6,IF(1=Element_Stiffness!$C$5,Element_Stiffness!T27,IF(1=Element_Stiffness!$E$5,Element_Stiffness!Z27,0)),IF(Element_Stiffness!$E$5=6,IF(1=Element_Stiffness!$C$5,Element_Stiffness!T33,IF(1=Element_Stiffness!$E$5,Element_Stiffness!Z33,0)),0)),0)+IF(Element_Stiffness!$C$41,IF(Element_Stiffness!$C$40=6,IF(1=Element_Stiffness!$C$40,Element_Stiffness!T62,IF(1=Element_Stiffness!$E$40,Element_Stiffness!Z62,0)),IF(Element_Stiffness!$E$40=6,IF(1=Element_Stiffness!$C$40,Element_Stiffness!T68,IF(1=Element_Stiffness!$E$40,Element_Stiffness!Z68,0)),0)),0)+IF(Element_Stiffness!$C$76,IF(Element_Stiffness!$C$75=6,IF(1=Element_Stiffness!$C$75,Element_Stiffness!T97,IF(1=Element_Stiffness!$E$75,Element_Stiffness!Z97,0)),IF(Element_Stiffness!$E$75=6,IF(1=Element_Stiffness!$C$75,Element_Stiffness!T103,IF(1=Element_Stiffness!$E$75,Element_Stiffness!Z103,0)),0)),0)+IF(Element_Stiffness!$C$111,IF(Element_Stiffness!$C$110=6,IF(1=Element_Stiffness!$C$110,Element_Stiffness!T132,IF(1=Element_Stiffness!$E$110,Element_Stiffness!Z132,0)),IF(Element_Stiffness!$E$110=6,IF(1=Element_Stiffness!$C$110,Element_Stiffness!T138,IF(1=Element_Stiffness!$E$110,Element_Stiffness!Z138,0)),0)),0)+IF(Element_Stiffness!$C$146,IF(Element_Stiffness!$C$145=6,IF(1=Element_Stiffness!$C$145,Element_Stiffness!T167,IF(1=Element_Stiffness!$E$145,Element_Stiffness!Z167,0)),IF(Element_Stiffness!$E$145=6,IF(1=Element_Stiffness!$C$145,Element_Stiffness!T173,IF(1=Element_Stiffness!$E$145,Element_Stiffness!Z173,0)),0)),0)+IF(Element_Stiffness!$C$181,IF(Element_Stiffness!$C$180=6,IF(1=Element_Stiffness!$C$180,Element_Stiffness!T202,IF(1=Element_Stiffness!$E$180,Element_Stiffness!Z202,0)),IF(Element_Stiffness!$E$180=6,IF(1=Element_Stiffness!$C$180,Element_Stiffness!T208,IF(1=Element_Stiffness!$E$180,Element_Stiffness!Z208,0)),0)),0)+IF(Element_Stiffness!$C$216,IF(Element_Stiffness!$C$215=6,IF(1=Element_Stiffness!$C$215,Element_Stiffness!T237,IF(1=Element_Stiffness!$E$215,Element_Stiffness!Z237,0)),IF(Element_Stiffness!$E$215=6,IF(1=Element_Stiffness!$C$215,Element_Stiffness!T243,IF(1=Element_Stiffness!$E$215,Element_Stiffness!Z243,0)),0)),0)</f>
        <v/>
      </c>
      <c r="N42" s="21">
        <f>IF(Element_Stiffness!$C$6,IF(Element_Stiffness!$C$5=6,IF(1=Element_Stiffness!$C$5,Element_Stiffness!U27,IF(1=Element_Stiffness!$E$5,Element_Stiffness!AA27,0)),IF(Element_Stiffness!$E$5=6,IF(1=Element_Stiffness!$C$5,Element_Stiffness!U33,IF(1=Element_Stiffness!$E$5,Element_Stiffness!AA33,0)),0)),0)+IF(Element_Stiffness!$C$41,IF(Element_Stiffness!$C$40=6,IF(1=Element_Stiffness!$C$40,Element_Stiffness!U62,IF(1=Element_Stiffness!$E$40,Element_Stiffness!AA62,0)),IF(Element_Stiffness!$E$40=6,IF(1=Element_Stiffness!$C$40,Element_Stiffness!U68,IF(1=Element_Stiffness!$E$40,Element_Stiffness!AA68,0)),0)),0)+IF(Element_Stiffness!$C$76,IF(Element_Stiffness!$C$75=6,IF(1=Element_Stiffness!$C$75,Element_Stiffness!U97,IF(1=Element_Stiffness!$E$75,Element_Stiffness!AA97,0)),IF(Element_Stiffness!$E$75=6,IF(1=Element_Stiffness!$C$75,Element_Stiffness!U103,IF(1=Element_Stiffness!$E$75,Element_Stiffness!AA103,0)),0)),0)+IF(Element_Stiffness!$C$111,IF(Element_Stiffness!$C$110=6,IF(1=Element_Stiffness!$C$110,Element_Stiffness!U132,IF(1=Element_Stiffness!$E$110,Element_Stiffness!AA132,0)),IF(Element_Stiffness!$E$110=6,IF(1=Element_Stiffness!$C$110,Element_Stiffness!U138,IF(1=Element_Stiffness!$E$110,Element_Stiffness!AA138,0)),0)),0)+IF(Element_Stiffness!$C$146,IF(Element_Stiffness!$C$145=6,IF(1=Element_Stiffness!$C$145,Element_Stiffness!U167,IF(1=Element_Stiffness!$E$145,Element_Stiffness!AA167,0)),IF(Element_Stiffness!$E$145=6,IF(1=Element_Stiffness!$C$145,Element_Stiffness!U173,IF(1=Element_Stiffness!$E$145,Element_Stiffness!AA173,0)),0)),0)+IF(Element_Stiffness!$C$181,IF(Element_Stiffness!$C$180=6,IF(1=Element_Stiffness!$C$180,Element_Stiffness!U202,IF(1=Element_Stiffness!$E$180,Element_Stiffness!AA202,0)),IF(Element_Stiffness!$E$180=6,IF(1=Element_Stiffness!$C$180,Element_Stiffness!U208,IF(1=Element_Stiffness!$E$180,Element_Stiffness!AA208,0)),0)),0)+IF(Element_Stiffness!$C$216,IF(Element_Stiffness!$C$215=6,IF(1=Element_Stiffness!$C$215,Element_Stiffness!U237,IF(1=Element_Stiffness!$E$215,Element_Stiffness!AA237,0)),IF(Element_Stiffness!$E$215=6,IF(1=Element_Stiffness!$C$215,Element_Stiffness!U243,IF(1=Element_Stiffness!$E$215,Element_Stiffness!AA243,0)),0)),0)</f>
        <v/>
      </c>
      <c r="O42" s="21">
        <f>IF(Element_Stiffness!$C$6,IF(Element_Stiffness!$C$5=6,IF(2=Element_Stiffness!$C$5,Element_Stiffness!P27,IF(2=Element_Stiffness!$E$5,Element_Stiffness!V27,0)),IF(Element_Stiffness!$E$5=6,IF(2=Element_Stiffness!$C$5,Element_Stiffness!P33,IF(2=Element_Stiffness!$E$5,Element_Stiffness!V33,0)),0)),0)+IF(Element_Stiffness!$C$41,IF(Element_Stiffness!$C$40=6,IF(2=Element_Stiffness!$C$40,Element_Stiffness!P62,IF(2=Element_Stiffness!$E$40,Element_Stiffness!V62,0)),IF(Element_Stiffness!$E$40=6,IF(2=Element_Stiffness!$C$40,Element_Stiffness!P68,IF(2=Element_Stiffness!$E$40,Element_Stiffness!V68,0)),0)),0)+IF(Element_Stiffness!$C$76,IF(Element_Stiffness!$C$75=6,IF(2=Element_Stiffness!$C$75,Element_Stiffness!P97,IF(2=Element_Stiffness!$E$75,Element_Stiffness!V97,0)),IF(Element_Stiffness!$E$75=6,IF(2=Element_Stiffness!$C$75,Element_Stiffness!P103,IF(2=Element_Stiffness!$E$75,Element_Stiffness!V103,0)),0)),0)+IF(Element_Stiffness!$C$111,IF(Element_Stiffness!$C$110=6,IF(2=Element_Stiffness!$C$110,Element_Stiffness!P132,IF(2=Element_Stiffness!$E$110,Element_Stiffness!V132,0)),IF(Element_Stiffness!$E$110=6,IF(2=Element_Stiffness!$C$110,Element_Stiffness!P138,IF(2=Element_Stiffness!$E$110,Element_Stiffness!V138,0)),0)),0)+IF(Element_Stiffness!$C$146,IF(Element_Stiffness!$C$145=6,IF(2=Element_Stiffness!$C$145,Element_Stiffness!P167,IF(2=Element_Stiffness!$E$145,Element_Stiffness!V167,0)),IF(Element_Stiffness!$E$145=6,IF(2=Element_Stiffness!$C$145,Element_Stiffness!P173,IF(2=Element_Stiffness!$E$145,Element_Stiffness!V173,0)),0)),0)+IF(Element_Stiffness!$C$181,IF(Element_Stiffness!$C$180=6,IF(2=Element_Stiffness!$C$180,Element_Stiffness!P202,IF(2=Element_Stiffness!$E$180,Element_Stiffness!V202,0)),IF(Element_Stiffness!$E$180=6,IF(2=Element_Stiffness!$C$180,Element_Stiffness!P208,IF(2=Element_Stiffness!$E$180,Element_Stiffness!V208,0)),0)),0)+IF(Element_Stiffness!$C$216,IF(Element_Stiffness!$C$215=6,IF(2=Element_Stiffness!$C$215,Element_Stiffness!P237,IF(2=Element_Stiffness!$E$215,Element_Stiffness!V237,0)),IF(Element_Stiffness!$E$215=6,IF(2=Element_Stiffness!$C$215,Element_Stiffness!P243,IF(2=Element_Stiffness!$E$215,Element_Stiffness!V243,0)),0)),0)</f>
        <v/>
      </c>
      <c r="P42" s="21">
        <f>IF(Element_Stiffness!$C$6,IF(Element_Stiffness!$C$5=6,IF(2=Element_Stiffness!$C$5,Element_Stiffness!Q27,IF(2=Element_Stiffness!$E$5,Element_Stiffness!W27,0)),IF(Element_Stiffness!$E$5=6,IF(2=Element_Stiffness!$C$5,Element_Stiffness!Q33,IF(2=Element_Stiffness!$E$5,Element_Stiffness!W33,0)),0)),0)+IF(Element_Stiffness!$C$41,IF(Element_Stiffness!$C$40=6,IF(2=Element_Stiffness!$C$40,Element_Stiffness!Q62,IF(2=Element_Stiffness!$E$40,Element_Stiffness!W62,0)),IF(Element_Stiffness!$E$40=6,IF(2=Element_Stiffness!$C$40,Element_Stiffness!Q68,IF(2=Element_Stiffness!$E$40,Element_Stiffness!W68,0)),0)),0)+IF(Element_Stiffness!$C$76,IF(Element_Stiffness!$C$75=6,IF(2=Element_Stiffness!$C$75,Element_Stiffness!Q97,IF(2=Element_Stiffness!$E$75,Element_Stiffness!W97,0)),IF(Element_Stiffness!$E$75=6,IF(2=Element_Stiffness!$C$75,Element_Stiffness!Q103,IF(2=Element_Stiffness!$E$75,Element_Stiffness!W103,0)),0)),0)+IF(Element_Stiffness!$C$111,IF(Element_Stiffness!$C$110=6,IF(2=Element_Stiffness!$C$110,Element_Stiffness!Q132,IF(2=Element_Stiffness!$E$110,Element_Stiffness!W132,0)),IF(Element_Stiffness!$E$110=6,IF(2=Element_Stiffness!$C$110,Element_Stiffness!Q138,IF(2=Element_Stiffness!$E$110,Element_Stiffness!W138,0)),0)),0)+IF(Element_Stiffness!$C$146,IF(Element_Stiffness!$C$145=6,IF(2=Element_Stiffness!$C$145,Element_Stiffness!Q167,IF(2=Element_Stiffness!$E$145,Element_Stiffness!W167,0)),IF(Element_Stiffness!$E$145=6,IF(2=Element_Stiffness!$C$145,Element_Stiffness!Q173,IF(2=Element_Stiffness!$E$145,Element_Stiffness!W173,0)),0)),0)+IF(Element_Stiffness!$C$181,IF(Element_Stiffness!$C$180=6,IF(2=Element_Stiffness!$C$180,Element_Stiffness!Q202,IF(2=Element_Stiffness!$E$180,Element_Stiffness!W202,0)),IF(Element_Stiffness!$E$180=6,IF(2=Element_Stiffness!$C$180,Element_Stiffness!Q208,IF(2=Element_Stiffness!$E$180,Element_Stiffness!W208,0)),0)),0)+IF(Element_Stiffness!$C$216,IF(Element_Stiffness!$C$215=6,IF(2=Element_Stiffness!$C$215,Element_Stiffness!Q237,IF(2=Element_Stiffness!$E$215,Element_Stiffness!W237,0)),IF(Element_Stiffness!$E$215=6,IF(2=Element_Stiffness!$C$215,Element_Stiffness!Q243,IF(2=Element_Stiffness!$E$215,Element_Stiffness!W243,0)),0)),0)</f>
        <v/>
      </c>
      <c r="Q42" s="21">
        <f>IF(Element_Stiffness!$C$6,IF(Element_Stiffness!$C$5=6,IF(2=Element_Stiffness!$C$5,Element_Stiffness!R27,IF(2=Element_Stiffness!$E$5,Element_Stiffness!X27,0)),IF(Element_Stiffness!$E$5=6,IF(2=Element_Stiffness!$C$5,Element_Stiffness!R33,IF(2=Element_Stiffness!$E$5,Element_Stiffness!X33,0)),0)),0)+IF(Element_Stiffness!$C$41,IF(Element_Stiffness!$C$40=6,IF(2=Element_Stiffness!$C$40,Element_Stiffness!R62,IF(2=Element_Stiffness!$E$40,Element_Stiffness!X62,0)),IF(Element_Stiffness!$E$40=6,IF(2=Element_Stiffness!$C$40,Element_Stiffness!R68,IF(2=Element_Stiffness!$E$40,Element_Stiffness!X68,0)),0)),0)+IF(Element_Stiffness!$C$76,IF(Element_Stiffness!$C$75=6,IF(2=Element_Stiffness!$C$75,Element_Stiffness!R97,IF(2=Element_Stiffness!$E$75,Element_Stiffness!X97,0)),IF(Element_Stiffness!$E$75=6,IF(2=Element_Stiffness!$C$75,Element_Stiffness!R103,IF(2=Element_Stiffness!$E$75,Element_Stiffness!X103,0)),0)),0)+IF(Element_Stiffness!$C$111,IF(Element_Stiffness!$C$110=6,IF(2=Element_Stiffness!$C$110,Element_Stiffness!R132,IF(2=Element_Stiffness!$E$110,Element_Stiffness!X132,0)),IF(Element_Stiffness!$E$110=6,IF(2=Element_Stiffness!$C$110,Element_Stiffness!R138,IF(2=Element_Stiffness!$E$110,Element_Stiffness!X138,0)),0)),0)+IF(Element_Stiffness!$C$146,IF(Element_Stiffness!$C$145=6,IF(2=Element_Stiffness!$C$145,Element_Stiffness!R167,IF(2=Element_Stiffness!$E$145,Element_Stiffness!X167,0)),IF(Element_Stiffness!$E$145=6,IF(2=Element_Stiffness!$C$145,Element_Stiffness!R173,IF(2=Element_Stiffness!$E$145,Element_Stiffness!X173,0)),0)),0)+IF(Element_Stiffness!$C$181,IF(Element_Stiffness!$C$180=6,IF(2=Element_Stiffness!$C$180,Element_Stiffness!R202,IF(2=Element_Stiffness!$E$180,Element_Stiffness!X202,0)),IF(Element_Stiffness!$E$180=6,IF(2=Element_Stiffness!$C$180,Element_Stiffness!R208,IF(2=Element_Stiffness!$E$180,Element_Stiffness!X208,0)),0)),0)+IF(Element_Stiffness!$C$216,IF(Element_Stiffness!$C$215=6,IF(2=Element_Stiffness!$C$215,Element_Stiffness!R237,IF(2=Element_Stiffness!$E$215,Element_Stiffness!X237,0)),IF(Element_Stiffness!$E$215=6,IF(2=Element_Stiffness!$C$215,Element_Stiffness!R243,IF(2=Element_Stiffness!$E$215,Element_Stiffness!X243,0)),0)),0)</f>
        <v/>
      </c>
      <c r="R42" s="21">
        <f>IF(Element_Stiffness!$C$6,IF(Element_Stiffness!$C$5=6,IF(2=Element_Stiffness!$C$5,Element_Stiffness!S27,IF(2=Element_Stiffness!$E$5,Element_Stiffness!Y27,0)),IF(Element_Stiffness!$E$5=6,IF(2=Element_Stiffness!$C$5,Element_Stiffness!S33,IF(2=Element_Stiffness!$E$5,Element_Stiffness!Y33,0)),0)),0)+IF(Element_Stiffness!$C$41,IF(Element_Stiffness!$C$40=6,IF(2=Element_Stiffness!$C$40,Element_Stiffness!S62,IF(2=Element_Stiffness!$E$40,Element_Stiffness!Y62,0)),IF(Element_Stiffness!$E$40=6,IF(2=Element_Stiffness!$C$40,Element_Stiffness!S68,IF(2=Element_Stiffness!$E$40,Element_Stiffness!Y68,0)),0)),0)+IF(Element_Stiffness!$C$76,IF(Element_Stiffness!$C$75=6,IF(2=Element_Stiffness!$C$75,Element_Stiffness!S97,IF(2=Element_Stiffness!$E$75,Element_Stiffness!Y97,0)),IF(Element_Stiffness!$E$75=6,IF(2=Element_Stiffness!$C$75,Element_Stiffness!S103,IF(2=Element_Stiffness!$E$75,Element_Stiffness!Y103,0)),0)),0)+IF(Element_Stiffness!$C$111,IF(Element_Stiffness!$C$110=6,IF(2=Element_Stiffness!$C$110,Element_Stiffness!S132,IF(2=Element_Stiffness!$E$110,Element_Stiffness!Y132,0)),IF(Element_Stiffness!$E$110=6,IF(2=Element_Stiffness!$C$110,Element_Stiffness!S138,IF(2=Element_Stiffness!$E$110,Element_Stiffness!Y138,0)),0)),0)+IF(Element_Stiffness!$C$146,IF(Element_Stiffness!$C$145=6,IF(2=Element_Stiffness!$C$145,Element_Stiffness!S167,IF(2=Element_Stiffness!$E$145,Element_Stiffness!Y167,0)),IF(Element_Stiffness!$E$145=6,IF(2=Element_Stiffness!$C$145,Element_Stiffness!S173,IF(2=Element_Stiffness!$E$145,Element_Stiffness!Y173,0)),0)),0)+IF(Element_Stiffness!$C$181,IF(Element_Stiffness!$C$180=6,IF(2=Element_Stiffness!$C$180,Element_Stiffness!S202,IF(2=Element_Stiffness!$E$180,Element_Stiffness!Y202,0)),IF(Element_Stiffness!$E$180=6,IF(2=Element_Stiffness!$C$180,Element_Stiffness!S208,IF(2=Element_Stiffness!$E$180,Element_Stiffness!Y208,0)),0)),0)+IF(Element_Stiffness!$C$216,IF(Element_Stiffness!$C$215=6,IF(2=Element_Stiffness!$C$215,Element_Stiffness!S237,IF(2=Element_Stiffness!$E$215,Element_Stiffness!Y237,0)),IF(Element_Stiffness!$E$215=6,IF(2=Element_Stiffness!$C$215,Element_Stiffness!S243,IF(2=Element_Stiffness!$E$215,Element_Stiffness!Y243,0)),0)),0)</f>
        <v/>
      </c>
      <c r="S42" s="21">
        <f>IF(Element_Stiffness!$C$6,IF(Element_Stiffness!$C$5=6,IF(2=Element_Stiffness!$C$5,Element_Stiffness!T27,IF(2=Element_Stiffness!$E$5,Element_Stiffness!Z27,0)),IF(Element_Stiffness!$E$5=6,IF(2=Element_Stiffness!$C$5,Element_Stiffness!T33,IF(2=Element_Stiffness!$E$5,Element_Stiffness!Z33,0)),0)),0)+IF(Element_Stiffness!$C$41,IF(Element_Stiffness!$C$40=6,IF(2=Element_Stiffness!$C$40,Element_Stiffness!T62,IF(2=Element_Stiffness!$E$40,Element_Stiffness!Z62,0)),IF(Element_Stiffness!$E$40=6,IF(2=Element_Stiffness!$C$40,Element_Stiffness!T68,IF(2=Element_Stiffness!$E$40,Element_Stiffness!Z68,0)),0)),0)+IF(Element_Stiffness!$C$76,IF(Element_Stiffness!$C$75=6,IF(2=Element_Stiffness!$C$75,Element_Stiffness!T97,IF(2=Element_Stiffness!$E$75,Element_Stiffness!Z97,0)),IF(Element_Stiffness!$E$75=6,IF(2=Element_Stiffness!$C$75,Element_Stiffness!T103,IF(2=Element_Stiffness!$E$75,Element_Stiffness!Z103,0)),0)),0)+IF(Element_Stiffness!$C$111,IF(Element_Stiffness!$C$110=6,IF(2=Element_Stiffness!$C$110,Element_Stiffness!T132,IF(2=Element_Stiffness!$E$110,Element_Stiffness!Z132,0)),IF(Element_Stiffness!$E$110=6,IF(2=Element_Stiffness!$C$110,Element_Stiffness!T138,IF(2=Element_Stiffness!$E$110,Element_Stiffness!Z138,0)),0)),0)+IF(Element_Stiffness!$C$146,IF(Element_Stiffness!$C$145=6,IF(2=Element_Stiffness!$C$145,Element_Stiffness!T167,IF(2=Element_Stiffness!$E$145,Element_Stiffness!Z167,0)),IF(Element_Stiffness!$E$145=6,IF(2=Element_Stiffness!$C$145,Element_Stiffness!T173,IF(2=Element_Stiffness!$E$145,Element_Stiffness!Z173,0)),0)),0)+IF(Element_Stiffness!$C$181,IF(Element_Stiffness!$C$180=6,IF(2=Element_Stiffness!$C$180,Element_Stiffness!T202,IF(2=Element_Stiffness!$E$180,Element_Stiffness!Z202,0)),IF(Element_Stiffness!$E$180=6,IF(2=Element_Stiffness!$C$180,Element_Stiffness!T208,IF(2=Element_Stiffness!$E$180,Element_Stiffness!Z208,0)),0)),0)+IF(Element_Stiffness!$C$216,IF(Element_Stiffness!$C$215=6,IF(2=Element_Stiffness!$C$215,Element_Stiffness!T237,IF(2=Element_Stiffness!$E$215,Element_Stiffness!Z237,0)),IF(Element_Stiffness!$E$215=6,IF(2=Element_Stiffness!$C$215,Element_Stiffness!T243,IF(2=Element_Stiffness!$E$215,Element_Stiffness!Z243,0)),0)),0)</f>
        <v/>
      </c>
      <c r="T42" s="21">
        <f>IF(Element_Stiffness!$C$6,IF(Element_Stiffness!$C$5=6,IF(2=Element_Stiffness!$C$5,Element_Stiffness!U27,IF(2=Element_Stiffness!$E$5,Element_Stiffness!AA27,0)),IF(Element_Stiffness!$E$5=6,IF(2=Element_Stiffness!$C$5,Element_Stiffness!U33,IF(2=Element_Stiffness!$E$5,Element_Stiffness!AA33,0)),0)),0)+IF(Element_Stiffness!$C$41,IF(Element_Stiffness!$C$40=6,IF(2=Element_Stiffness!$C$40,Element_Stiffness!U62,IF(2=Element_Stiffness!$E$40,Element_Stiffness!AA62,0)),IF(Element_Stiffness!$E$40=6,IF(2=Element_Stiffness!$C$40,Element_Stiffness!U68,IF(2=Element_Stiffness!$E$40,Element_Stiffness!AA68,0)),0)),0)+IF(Element_Stiffness!$C$76,IF(Element_Stiffness!$C$75=6,IF(2=Element_Stiffness!$C$75,Element_Stiffness!U97,IF(2=Element_Stiffness!$E$75,Element_Stiffness!AA97,0)),IF(Element_Stiffness!$E$75=6,IF(2=Element_Stiffness!$C$75,Element_Stiffness!U103,IF(2=Element_Stiffness!$E$75,Element_Stiffness!AA103,0)),0)),0)+IF(Element_Stiffness!$C$111,IF(Element_Stiffness!$C$110=6,IF(2=Element_Stiffness!$C$110,Element_Stiffness!U132,IF(2=Element_Stiffness!$E$110,Element_Stiffness!AA132,0)),IF(Element_Stiffness!$E$110=6,IF(2=Element_Stiffness!$C$110,Element_Stiffness!U138,IF(2=Element_Stiffness!$E$110,Element_Stiffness!AA138,0)),0)),0)+IF(Element_Stiffness!$C$146,IF(Element_Stiffness!$C$145=6,IF(2=Element_Stiffness!$C$145,Element_Stiffness!U167,IF(2=Element_Stiffness!$E$145,Element_Stiffness!AA167,0)),IF(Element_Stiffness!$E$145=6,IF(2=Element_Stiffness!$C$145,Element_Stiffness!U173,IF(2=Element_Stiffness!$E$145,Element_Stiffness!AA173,0)),0)),0)+IF(Element_Stiffness!$C$181,IF(Element_Stiffness!$C$180=6,IF(2=Element_Stiffness!$C$180,Element_Stiffness!U202,IF(2=Element_Stiffness!$E$180,Element_Stiffness!AA202,0)),IF(Element_Stiffness!$E$180=6,IF(2=Element_Stiffness!$C$180,Element_Stiffness!U208,IF(2=Element_Stiffness!$E$180,Element_Stiffness!AA208,0)),0)),0)+IF(Element_Stiffness!$C$216,IF(Element_Stiffness!$C$215=6,IF(2=Element_Stiffness!$C$215,Element_Stiffness!U237,IF(2=Element_Stiffness!$E$215,Element_Stiffness!AA237,0)),IF(Element_Stiffness!$E$215=6,IF(2=Element_Stiffness!$C$215,Element_Stiffness!U243,IF(2=Element_Stiffness!$E$215,Element_Stiffness!AA243,0)),0)),0)</f>
        <v/>
      </c>
      <c r="U42" s="21">
        <f>IF(Element_Stiffness!$C$6,IF(Element_Stiffness!$C$5=6,IF(3=Element_Stiffness!$C$5,Element_Stiffness!P27,IF(3=Element_Stiffness!$E$5,Element_Stiffness!V27,0)),IF(Element_Stiffness!$E$5=6,IF(3=Element_Stiffness!$C$5,Element_Stiffness!P33,IF(3=Element_Stiffness!$E$5,Element_Stiffness!V33,0)),0)),0)+IF(Element_Stiffness!$C$41,IF(Element_Stiffness!$C$40=6,IF(3=Element_Stiffness!$C$40,Element_Stiffness!P62,IF(3=Element_Stiffness!$E$40,Element_Stiffness!V62,0)),IF(Element_Stiffness!$E$40=6,IF(3=Element_Stiffness!$C$40,Element_Stiffness!P68,IF(3=Element_Stiffness!$E$40,Element_Stiffness!V68,0)),0)),0)+IF(Element_Stiffness!$C$76,IF(Element_Stiffness!$C$75=6,IF(3=Element_Stiffness!$C$75,Element_Stiffness!P97,IF(3=Element_Stiffness!$E$75,Element_Stiffness!V97,0)),IF(Element_Stiffness!$E$75=6,IF(3=Element_Stiffness!$C$75,Element_Stiffness!P103,IF(3=Element_Stiffness!$E$75,Element_Stiffness!V103,0)),0)),0)+IF(Element_Stiffness!$C$111,IF(Element_Stiffness!$C$110=6,IF(3=Element_Stiffness!$C$110,Element_Stiffness!P132,IF(3=Element_Stiffness!$E$110,Element_Stiffness!V132,0)),IF(Element_Stiffness!$E$110=6,IF(3=Element_Stiffness!$C$110,Element_Stiffness!P138,IF(3=Element_Stiffness!$E$110,Element_Stiffness!V138,0)),0)),0)+IF(Element_Stiffness!$C$146,IF(Element_Stiffness!$C$145=6,IF(3=Element_Stiffness!$C$145,Element_Stiffness!P167,IF(3=Element_Stiffness!$E$145,Element_Stiffness!V167,0)),IF(Element_Stiffness!$E$145=6,IF(3=Element_Stiffness!$C$145,Element_Stiffness!P173,IF(3=Element_Stiffness!$E$145,Element_Stiffness!V173,0)),0)),0)+IF(Element_Stiffness!$C$181,IF(Element_Stiffness!$C$180=6,IF(3=Element_Stiffness!$C$180,Element_Stiffness!P202,IF(3=Element_Stiffness!$E$180,Element_Stiffness!V202,0)),IF(Element_Stiffness!$E$180=6,IF(3=Element_Stiffness!$C$180,Element_Stiffness!P208,IF(3=Element_Stiffness!$E$180,Element_Stiffness!V208,0)),0)),0)+IF(Element_Stiffness!$C$216,IF(Element_Stiffness!$C$215=6,IF(3=Element_Stiffness!$C$215,Element_Stiffness!P237,IF(3=Element_Stiffness!$E$215,Element_Stiffness!V237,0)),IF(Element_Stiffness!$E$215=6,IF(3=Element_Stiffness!$C$215,Element_Stiffness!P243,IF(3=Element_Stiffness!$E$215,Element_Stiffness!V243,0)),0)),0)</f>
        <v/>
      </c>
      <c r="V42" s="21">
        <f>IF(Element_Stiffness!$C$6,IF(Element_Stiffness!$C$5=6,IF(3=Element_Stiffness!$C$5,Element_Stiffness!Q27,IF(3=Element_Stiffness!$E$5,Element_Stiffness!W27,0)),IF(Element_Stiffness!$E$5=6,IF(3=Element_Stiffness!$C$5,Element_Stiffness!Q33,IF(3=Element_Stiffness!$E$5,Element_Stiffness!W33,0)),0)),0)+IF(Element_Stiffness!$C$41,IF(Element_Stiffness!$C$40=6,IF(3=Element_Stiffness!$C$40,Element_Stiffness!Q62,IF(3=Element_Stiffness!$E$40,Element_Stiffness!W62,0)),IF(Element_Stiffness!$E$40=6,IF(3=Element_Stiffness!$C$40,Element_Stiffness!Q68,IF(3=Element_Stiffness!$E$40,Element_Stiffness!W68,0)),0)),0)+IF(Element_Stiffness!$C$76,IF(Element_Stiffness!$C$75=6,IF(3=Element_Stiffness!$C$75,Element_Stiffness!Q97,IF(3=Element_Stiffness!$E$75,Element_Stiffness!W97,0)),IF(Element_Stiffness!$E$75=6,IF(3=Element_Stiffness!$C$75,Element_Stiffness!Q103,IF(3=Element_Stiffness!$E$75,Element_Stiffness!W103,0)),0)),0)+IF(Element_Stiffness!$C$111,IF(Element_Stiffness!$C$110=6,IF(3=Element_Stiffness!$C$110,Element_Stiffness!Q132,IF(3=Element_Stiffness!$E$110,Element_Stiffness!W132,0)),IF(Element_Stiffness!$E$110=6,IF(3=Element_Stiffness!$C$110,Element_Stiffness!Q138,IF(3=Element_Stiffness!$E$110,Element_Stiffness!W138,0)),0)),0)+IF(Element_Stiffness!$C$146,IF(Element_Stiffness!$C$145=6,IF(3=Element_Stiffness!$C$145,Element_Stiffness!Q167,IF(3=Element_Stiffness!$E$145,Element_Stiffness!W167,0)),IF(Element_Stiffness!$E$145=6,IF(3=Element_Stiffness!$C$145,Element_Stiffness!Q173,IF(3=Element_Stiffness!$E$145,Element_Stiffness!W173,0)),0)),0)+IF(Element_Stiffness!$C$181,IF(Element_Stiffness!$C$180=6,IF(3=Element_Stiffness!$C$180,Element_Stiffness!Q202,IF(3=Element_Stiffness!$E$180,Element_Stiffness!W202,0)),IF(Element_Stiffness!$E$180=6,IF(3=Element_Stiffness!$C$180,Element_Stiffness!Q208,IF(3=Element_Stiffness!$E$180,Element_Stiffness!W208,0)),0)),0)+IF(Element_Stiffness!$C$216,IF(Element_Stiffness!$C$215=6,IF(3=Element_Stiffness!$C$215,Element_Stiffness!Q237,IF(3=Element_Stiffness!$E$215,Element_Stiffness!W237,0)),IF(Element_Stiffness!$E$215=6,IF(3=Element_Stiffness!$C$215,Element_Stiffness!Q243,IF(3=Element_Stiffness!$E$215,Element_Stiffness!W243,0)),0)),0)</f>
        <v/>
      </c>
      <c r="W42" s="21">
        <f>IF(Element_Stiffness!$C$6,IF(Element_Stiffness!$C$5=6,IF(3=Element_Stiffness!$C$5,Element_Stiffness!R27,IF(3=Element_Stiffness!$E$5,Element_Stiffness!X27,0)),IF(Element_Stiffness!$E$5=6,IF(3=Element_Stiffness!$C$5,Element_Stiffness!R33,IF(3=Element_Stiffness!$E$5,Element_Stiffness!X33,0)),0)),0)+IF(Element_Stiffness!$C$41,IF(Element_Stiffness!$C$40=6,IF(3=Element_Stiffness!$C$40,Element_Stiffness!R62,IF(3=Element_Stiffness!$E$40,Element_Stiffness!X62,0)),IF(Element_Stiffness!$E$40=6,IF(3=Element_Stiffness!$C$40,Element_Stiffness!R68,IF(3=Element_Stiffness!$E$40,Element_Stiffness!X68,0)),0)),0)+IF(Element_Stiffness!$C$76,IF(Element_Stiffness!$C$75=6,IF(3=Element_Stiffness!$C$75,Element_Stiffness!R97,IF(3=Element_Stiffness!$E$75,Element_Stiffness!X97,0)),IF(Element_Stiffness!$E$75=6,IF(3=Element_Stiffness!$C$75,Element_Stiffness!R103,IF(3=Element_Stiffness!$E$75,Element_Stiffness!X103,0)),0)),0)+IF(Element_Stiffness!$C$111,IF(Element_Stiffness!$C$110=6,IF(3=Element_Stiffness!$C$110,Element_Stiffness!R132,IF(3=Element_Stiffness!$E$110,Element_Stiffness!X132,0)),IF(Element_Stiffness!$E$110=6,IF(3=Element_Stiffness!$C$110,Element_Stiffness!R138,IF(3=Element_Stiffness!$E$110,Element_Stiffness!X138,0)),0)),0)+IF(Element_Stiffness!$C$146,IF(Element_Stiffness!$C$145=6,IF(3=Element_Stiffness!$C$145,Element_Stiffness!R167,IF(3=Element_Stiffness!$E$145,Element_Stiffness!X167,0)),IF(Element_Stiffness!$E$145=6,IF(3=Element_Stiffness!$C$145,Element_Stiffness!R173,IF(3=Element_Stiffness!$E$145,Element_Stiffness!X173,0)),0)),0)+IF(Element_Stiffness!$C$181,IF(Element_Stiffness!$C$180=6,IF(3=Element_Stiffness!$C$180,Element_Stiffness!R202,IF(3=Element_Stiffness!$E$180,Element_Stiffness!X202,0)),IF(Element_Stiffness!$E$180=6,IF(3=Element_Stiffness!$C$180,Element_Stiffness!R208,IF(3=Element_Stiffness!$E$180,Element_Stiffness!X208,0)),0)),0)+IF(Element_Stiffness!$C$216,IF(Element_Stiffness!$C$215=6,IF(3=Element_Stiffness!$C$215,Element_Stiffness!R237,IF(3=Element_Stiffness!$E$215,Element_Stiffness!X237,0)),IF(Element_Stiffness!$E$215=6,IF(3=Element_Stiffness!$C$215,Element_Stiffness!R243,IF(3=Element_Stiffness!$E$215,Element_Stiffness!X243,0)),0)),0)</f>
        <v/>
      </c>
      <c r="X42" s="21">
        <f>IF(Element_Stiffness!$C$6,IF(Element_Stiffness!$C$5=6,IF(3=Element_Stiffness!$C$5,Element_Stiffness!S27,IF(3=Element_Stiffness!$E$5,Element_Stiffness!Y27,0)),IF(Element_Stiffness!$E$5=6,IF(3=Element_Stiffness!$C$5,Element_Stiffness!S33,IF(3=Element_Stiffness!$E$5,Element_Stiffness!Y33,0)),0)),0)+IF(Element_Stiffness!$C$41,IF(Element_Stiffness!$C$40=6,IF(3=Element_Stiffness!$C$40,Element_Stiffness!S62,IF(3=Element_Stiffness!$E$40,Element_Stiffness!Y62,0)),IF(Element_Stiffness!$E$40=6,IF(3=Element_Stiffness!$C$40,Element_Stiffness!S68,IF(3=Element_Stiffness!$E$40,Element_Stiffness!Y68,0)),0)),0)+IF(Element_Stiffness!$C$76,IF(Element_Stiffness!$C$75=6,IF(3=Element_Stiffness!$C$75,Element_Stiffness!S97,IF(3=Element_Stiffness!$E$75,Element_Stiffness!Y97,0)),IF(Element_Stiffness!$E$75=6,IF(3=Element_Stiffness!$C$75,Element_Stiffness!S103,IF(3=Element_Stiffness!$E$75,Element_Stiffness!Y103,0)),0)),0)+IF(Element_Stiffness!$C$111,IF(Element_Stiffness!$C$110=6,IF(3=Element_Stiffness!$C$110,Element_Stiffness!S132,IF(3=Element_Stiffness!$E$110,Element_Stiffness!Y132,0)),IF(Element_Stiffness!$E$110=6,IF(3=Element_Stiffness!$C$110,Element_Stiffness!S138,IF(3=Element_Stiffness!$E$110,Element_Stiffness!Y138,0)),0)),0)+IF(Element_Stiffness!$C$146,IF(Element_Stiffness!$C$145=6,IF(3=Element_Stiffness!$C$145,Element_Stiffness!S167,IF(3=Element_Stiffness!$E$145,Element_Stiffness!Y167,0)),IF(Element_Stiffness!$E$145=6,IF(3=Element_Stiffness!$C$145,Element_Stiffness!S173,IF(3=Element_Stiffness!$E$145,Element_Stiffness!Y173,0)),0)),0)+IF(Element_Stiffness!$C$181,IF(Element_Stiffness!$C$180=6,IF(3=Element_Stiffness!$C$180,Element_Stiffness!S202,IF(3=Element_Stiffness!$E$180,Element_Stiffness!Y202,0)),IF(Element_Stiffness!$E$180=6,IF(3=Element_Stiffness!$C$180,Element_Stiffness!S208,IF(3=Element_Stiffness!$E$180,Element_Stiffness!Y208,0)),0)),0)+IF(Element_Stiffness!$C$216,IF(Element_Stiffness!$C$215=6,IF(3=Element_Stiffness!$C$215,Element_Stiffness!S237,IF(3=Element_Stiffness!$E$215,Element_Stiffness!Y237,0)),IF(Element_Stiffness!$E$215=6,IF(3=Element_Stiffness!$C$215,Element_Stiffness!S243,IF(3=Element_Stiffness!$E$215,Element_Stiffness!Y243,0)),0)),0)</f>
        <v/>
      </c>
      <c r="Y42" s="21">
        <f>IF(Element_Stiffness!$C$6,IF(Element_Stiffness!$C$5=6,IF(3=Element_Stiffness!$C$5,Element_Stiffness!T27,IF(3=Element_Stiffness!$E$5,Element_Stiffness!Z27,0)),IF(Element_Stiffness!$E$5=6,IF(3=Element_Stiffness!$C$5,Element_Stiffness!T33,IF(3=Element_Stiffness!$E$5,Element_Stiffness!Z33,0)),0)),0)+IF(Element_Stiffness!$C$41,IF(Element_Stiffness!$C$40=6,IF(3=Element_Stiffness!$C$40,Element_Stiffness!T62,IF(3=Element_Stiffness!$E$40,Element_Stiffness!Z62,0)),IF(Element_Stiffness!$E$40=6,IF(3=Element_Stiffness!$C$40,Element_Stiffness!T68,IF(3=Element_Stiffness!$E$40,Element_Stiffness!Z68,0)),0)),0)+IF(Element_Stiffness!$C$76,IF(Element_Stiffness!$C$75=6,IF(3=Element_Stiffness!$C$75,Element_Stiffness!T97,IF(3=Element_Stiffness!$E$75,Element_Stiffness!Z97,0)),IF(Element_Stiffness!$E$75=6,IF(3=Element_Stiffness!$C$75,Element_Stiffness!T103,IF(3=Element_Stiffness!$E$75,Element_Stiffness!Z103,0)),0)),0)+IF(Element_Stiffness!$C$111,IF(Element_Stiffness!$C$110=6,IF(3=Element_Stiffness!$C$110,Element_Stiffness!T132,IF(3=Element_Stiffness!$E$110,Element_Stiffness!Z132,0)),IF(Element_Stiffness!$E$110=6,IF(3=Element_Stiffness!$C$110,Element_Stiffness!T138,IF(3=Element_Stiffness!$E$110,Element_Stiffness!Z138,0)),0)),0)+IF(Element_Stiffness!$C$146,IF(Element_Stiffness!$C$145=6,IF(3=Element_Stiffness!$C$145,Element_Stiffness!T167,IF(3=Element_Stiffness!$E$145,Element_Stiffness!Z167,0)),IF(Element_Stiffness!$E$145=6,IF(3=Element_Stiffness!$C$145,Element_Stiffness!T173,IF(3=Element_Stiffness!$E$145,Element_Stiffness!Z173,0)),0)),0)+IF(Element_Stiffness!$C$181,IF(Element_Stiffness!$C$180=6,IF(3=Element_Stiffness!$C$180,Element_Stiffness!T202,IF(3=Element_Stiffness!$E$180,Element_Stiffness!Z202,0)),IF(Element_Stiffness!$E$180=6,IF(3=Element_Stiffness!$C$180,Element_Stiffness!T208,IF(3=Element_Stiffness!$E$180,Element_Stiffness!Z208,0)),0)),0)+IF(Element_Stiffness!$C$216,IF(Element_Stiffness!$C$215=6,IF(3=Element_Stiffness!$C$215,Element_Stiffness!T237,IF(3=Element_Stiffness!$E$215,Element_Stiffness!Z237,0)),IF(Element_Stiffness!$E$215=6,IF(3=Element_Stiffness!$C$215,Element_Stiffness!T243,IF(3=Element_Stiffness!$E$215,Element_Stiffness!Z243,0)),0)),0)</f>
        <v/>
      </c>
      <c r="Z42" s="21">
        <f>IF(Element_Stiffness!$C$6,IF(Element_Stiffness!$C$5=6,IF(3=Element_Stiffness!$C$5,Element_Stiffness!U27,IF(3=Element_Stiffness!$E$5,Element_Stiffness!AA27,0)),IF(Element_Stiffness!$E$5=6,IF(3=Element_Stiffness!$C$5,Element_Stiffness!U33,IF(3=Element_Stiffness!$E$5,Element_Stiffness!AA33,0)),0)),0)+IF(Element_Stiffness!$C$41,IF(Element_Stiffness!$C$40=6,IF(3=Element_Stiffness!$C$40,Element_Stiffness!U62,IF(3=Element_Stiffness!$E$40,Element_Stiffness!AA62,0)),IF(Element_Stiffness!$E$40=6,IF(3=Element_Stiffness!$C$40,Element_Stiffness!U68,IF(3=Element_Stiffness!$E$40,Element_Stiffness!AA68,0)),0)),0)+IF(Element_Stiffness!$C$76,IF(Element_Stiffness!$C$75=6,IF(3=Element_Stiffness!$C$75,Element_Stiffness!U97,IF(3=Element_Stiffness!$E$75,Element_Stiffness!AA97,0)),IF(Element_Stiffness!$E$75=6,IF(3=Element_Stiffness!$C$75,Element_Stiffness!U103,IF(3=Element_Stiffness!$E$75,Element_Stiffness!AA103,0)),0)),0)+IF(Element_Stiffness!$C$111,IF(Element_Stiffness!$C$110=6,IF(3=Element_Stiffness!$C$110,Element_Stiffness!U132,IF(3=Element_Stiffness!$E$110,Element_Stiffness!AA132,0)),IF(Element_Stiffness!$E$110=6,IF(3=Element_Stiffness!$C$110,Element_Stiffness!U138,IF(3=Element_Stiffness!$E$110,Element_Stiffness!AA138,0)),0)),0)+IF(Element_Stiffness!$C$146,IF(Element_Stiffness!$C$145=6,IF(3=Element_Stiffness!$C$145,Element_Stiffness!U167,IF(3=Element_Stiffness!$E$145,Element_Stiffness!AA167,0)),IF(Element_Stiffness!$E$145=6,IF(3=Element_Stiffness!$C$145,Element_Stiffness!U173,IF(3=Element_Stiffness!$E$145,Element_Stiffness!AA173,0)),0)),0)+IF(Element_Stiffness!$C$181,IF(Element_Stiffness!$C$180=6,IF(3=Element_Stiffness!$C$180,Element_Stiffness!U202,IF(3=Element_Stiffness!$E$180,Element_Stiffness!AA202,0)),IF(Element_Stiffness!$E$180=6,IF(3=Element_Stiffness!$C$180,Element_Stiffness!U208,IF(3=Element_Stiffness!$E$180,Element_Stiffness!AA208,0)),0)),0)+IF(Element_Stiffness!$C$216,IF(Element_Stiffness!$C$215=6,IF(3=Element_Stiffness!$C$215,Element_Stiffness!U237,IF(3=Element_Stiffness!$E$215,Element_Stiffness!AA237,0)),IF(Element_Stiffness!$E$215=6,IF(3=Element_Stiffness!$C$215,Element_Stiffness!U243,IF(3=Element_Stiffness!$E$215,Element_Stiffness!AA243,0)),0)),0)</f>
        <v/>
      </c>
      <c r="AA42" s="21">
        <f>IF(Element_Stiffness!$C$6,IF(Element_Stiffness!$C$5=6,IF(4=Element_Stiffness!$C$5,Element_Stiffness!P27,IF(4=Element_Stiffness!$E$5,Element_Stiffness!V27,0)),IF(Element_Stiffness!$E$5=6,IF(4=Element_Stiffness!$C$5,Element_Stiffness!P33,IF(4=Element_Stiffness!$E$5,Element_Stiffness!V33,0)),0)),0)+IF(Element_Stiffness!$C$41,IF(Element_Stiffness!$C$40=6,IF(4=Element_Stiffness!$C$40,Element_Stiffness!P62,IF(4=Element_Stiffness!$E$40,Element_Stiffness!V62,0)),IF(Element_Stiffness!$E$40=6,IF(4=Element_Stiffness!$C$40,Element_Stiffness!P68,IF(4=Element_Stiffness!$E$40,Element_Stiffness!V68,0)),0)),0)+IF(Element_Stiffness!$C$76,IF(Element_Stiffness!$C$75=6,IF(4=Element_Stiffness!$C$75,Element_Stiffness!P97,IF(4=Element_Stiffness!$E$75,Element_Stiffness!V97,0)),IF(Element_Stiffness!$E$75=6,IF(4=Element_Stiffness!$C$75,Element_Stiffness!P103,IF(4=Element_Stiffness!$E$75,Element_Stiffness!V103,0)),0)),0)+IF(Element_Stiffness!$C$111,IF(Element_Stiffness!$C$110=6,IF(4=Element_Stiffness!$C$110,Element_Stiffness!P132,IF(4=Element_Stiffness!$E$110,Element_Stiffness!V132,0)),IF(Element_Stiffness!$E$110=6,IF(4=Element_Stiffness!$C$110,Element_Stiffness!P138,IF(4=Element_Stiffness!$E$110,Element_Stiffness!V138,0)),0)),0)+IF(Element_Stiffness!$C$146,IF(Element_Stiffness!$C$145=6,IF(4=Element_Stiffness!$C$145,Element_Stiffness!P167,IF(4=Element_Stiffness!$E$145,Element_Stiffness!V167,0)),IF(Element_Stiffness!$E$145=6,IF(4=Element_Stiffness!$C$145,Element_Stiffness!P173,IF(4=Element_Stiffness!$E$145,Element_Stiffness!V173,0)),0)),0)+IF(Element_Stiffness!$C$181,IF(Element_Stiffness!$C$180=6,IF(4=Element_Stiffness!$C$180,Element_Stiffness!P202,IF(4=Element_Stiffness!$E$180,Element_Stiffness!V202,0)),IF(Element_Stiffness!$E$180=6,IF(4=Element_Stiffness!$C$180,Element_Stiffness!P208,IF(4=Element_Stiffness!$E$180,Element_Stiffness!V208,0)),0)),0)+IF(Element_Stiffness!$C$216,IF(Element_Stiffness!$C$215=6,IF(4=Element_Stiffness!$C$215,Element_Stiffness!P237,IF(4=Element_Stiffness!$E$215,Element_Stiffness!V237,0)),IF(Element_Stiffness!$E$215=6,IF(4=Element_Stiffness!$C$215,Element_Stiffness!P243,IF(4=Element_Stiffness!$E$215,Element_Stiffness!V243,0)),0)),0)</f>
        <v/>
      </c>
      <c r="AB42" s="21">
        <f>IF(Element_Stiffness!$C$6,IF(Element_Stiffness!$C$5=6,IF(4=Element_Stiffness!$C$5,Element_Stiffness!Q27,IF(4=Element_Stiffness!$E$5,Element_Stiffness!W27,0)),IF(Element_Stiffness!$E$5=6,IF(4=Element_Stiffness!$C$5,Element_Stiffness!Q33,IF(4=Element_Stiffness!$E$5,Element_Stiffness!W33,0)),0)),0)+IF(Element_Stiffness!$C$41,IF(Element_Stiffness!$C$40=6,IF(4=Element_Stiffness!$C$40,Element_Stiffness!Q62,IF(4=Element_Stiffness!$E$40,Element_Stiffness!W62,0)),IF(Element_Stiffness!$E$40=6,IF(4=Element_Stiffness!$C$40,Element_Stiffness!Q68,IF(4=Element_Stiffness!$E$40,Element_Stiffness!W68,0)),0)),0)+IF(Element_Stiffness!$C$76,IF(Element_Stiffness!$C$75=6,IF(4=Element_Stiffness!$C$75,Element_Stiffness!Q97,IF(4=Element_Stiffness!$E$75,Element_Stiffness!W97,0)),IF(Element_Stiffness!$E$75=6,IF(4=Element_Stiffness!$C$75,Element_Stiffness!Q103,IF(4=Element_Stiffness!$E$75,Element_Stiffness!W103,0)),0)),0)+IF(Element_Stiffness!$C$111,IF(Element_Stiffness!$C$110=6,IF(4=Element_Stiffness!$C$110,Element_Stiffness!Q132,IF(4=Element_Stiffness!$E$110,Element_Stiffness!W132,0)),IF(Element_Stiffness!$E$110=6,IF(4=Element_Stiffness!$C$110,Element_Stiffness!Q138,IF(4=Element_Stiffness!$E$110,Element_Stiffness!W138,0)),0)),0)+IF(Element_Stiffness!$C$146,IF(Element_Stiffness!$C$145=6,IF(4=Element_Stiffness!$C$145,Element_Stiffness!Q167,IF(4=Element_Stiffness!$E$145,Element_Stiffness!W167,0)),IF(Element_Stiffness!$E$145=6,IF(4=Element_Stiffness!$C$145,Element_Stiffness!Q173,IF(4=Element_Stiffness!$E$145,Element_Stiffness!W173,0)),0)),0)+IF(Element_Stiffness!$C$181,IF(Element_Stiffness!$C$180=6,IF(4=Element_Stiffness!$C$180,Element_Stiffness!Q202,IF(4=Element_Stiffness!$E$180,Element_Stiffness!W202,0)),IF(Element_Stiffness!$E$180=6,IF(4=Element_Stiffness!$C$180,Element_Stiffness!Q208,IF(4=Element_Stiffness!$E$180,Element_Stiffness!W208,0)),0)),0)+IF(Element_Stiffness!$C$216,IF(Element_Stiffness!$C$215=6,IF(4=Element_Stiffness!$C$215,Element_Stiffness!Q237,IF(4=Element_Stiffness!$E$215,Element_Stiffness!W237,0)),IF(Element_Stiffness!$E$215=6,IF(4=Element_Stiffness!$C$215,Element_Stiffness!Q243,IF(4=Element_Stiffness!$E$215,Element_Stiffness!W243,0)),0)),0)</f>
        <v/>
      </c>
      <c r="AC42" s="21">
        <f>IF(Element_Stiffness!$C$6,IF(Element_Stiffness!$C$5=6,IF(4=Element_Stiffness!$C$5,Element_Stiffness!R27,IF(4=Element_Stiffness!$E$5,Element_Stiffness!X27,0)),IF(Element_Stiffness!$E$5=6,IF(4=Element_Stiffness!$C$5,Element_Stiffness!R33,IF(4=Element_Stiffness!$E$5,Element_Stiffness!X33,0)),0)),0)+IF(Element_Stiffness!$C$41,IF(Element_Stiffness!$C$40=6,IF(4=Element_Stiffness!$C$40,Element_Stiffness!R62,IF(4=Element_Stiffness!$E$40,Element_Stiffness!X62,0)),IF(Element_Stiffness!$E$40=6,IF(4=Element_Stiffness!$C$40,Element_Stiffness!R68,IF(4=Element_Stiffness!$E$40,Element_Stiffness!X68,0)),0)),0)+IF(Element_Stiffness!$C$76,IF(Element_Stiffness!$C$75=6,IF(4=Element_Stiffness!$C$75,Element_Stiffness!R97,IF(4=Element_Stiffness!$E$75,Element_Stiffness!X97,0)),IF(Element_Stiffness!$E$75=6,IF(4=Element_Stiffness!$C$75,Element_Stiffness!R103,IF(4=Element_Stiffness!$E$75,Element_Stiffness!X103,0)),0)),0)+IF(Element_Stiffness!$C$111,IF(Element_Stiffness!$C$110=6,IF(4=Element_Stiffness!$C$110,Element_Stiffness!R132,IF(4=Element_Stiffness!$E$110,Element_Stiffness!X132,0)),IF(Element_Stiffness!$E$110=6,IF(4=Element_Stiffness!$C$110,Element_Stiffness!R138,IF(4=Element_Stiffness!$E$110,Element_Stiffness!X138,0)),0)),0)+IF(Element_Stiffness!$C$146,IF(Element_Stiffness!$C$145=6,IF(4=Element_Stiffness!$C$145,Element_Stiffness!R167,IF(4=Element_Stiffness!$E$145,Element_Stiffness!X167,0)),IF(Element_Stiffness!$E$145=6,IF(4=Element_Stiffness!$C$145,Element_Stiffness!R173,IF(4=Element_Stiffness!$E$145,Element_Stiffness!X173,0)),0)),0)+IF(Element_Stiffness!$C$181,IF(Element_Stiffness!$C$180=6,IF(4=Element_Stiffness!$C$180,Element_Stiffness!R202,IF(4=Element_Stiffness!$E$180,Element_Stiffness!X202,0)),IF(Element_Stiffness!$E$180=6,IF(4=Element_Stiffness!$C$180,Element_Stiffness!R208,IF(4=Element_Stiffness!$E$180,Element_Stiffness!X208,0)),0)),0)+IF(Element_Stiffness!$C$216,IF(Element_Stiffness!$C$215=6,IF(4=Element_Stiffness!$C$215,Element_Stiffness!R237,IF(4=Element_Stiffness!$E$215,Element_Stiffness!X237,0)),IF(Element_Stiffness!$E$215=6,IF(4=Element_Stiffness!$C$215,Element_Stiffness!R243,IF(4=Element_Stiffness!$E$215,Element_Stiffness!X243,0)),0)),0)</f>
        <v/>
      </c>
      <c r="AD42" s="21">
        <f>IF(Element_Stiffness!$C$6,IF(Element_Stiffness!$C$5=6,IF(4=Element_Stiffness!$C$5,Element_Stiffness!S27,IF(4=Element_Stiffness!$E$5,Element_Stiffness!Y27,0)),IF(Element_Stiffness!$E$5=6,IF(4=Element_Stiffness!$C$5,Element_Stiffness!S33,IF(4=Element_Stiffness!$E$5,Element_Stiffness!Y33,0)),0)),0)+IF(Element_Stiffness!$C$41,IF(Element_Stiffness!$C$40=6,IF(4=Element_Stiffness!$C$40,Element_Stiffness!S62,IF(4=Element_Stiffness!$E$40,Element_Stiffness!Y62,0)),IF(Element_Stiffness!$E$40=6,IF(4=Element_Stiffness!$C$40,Element_Stiffness!S68,IF(4=Element_Stiffness!$E$40,Element_Stiffness!Y68,0)),0)),0)+IF(Element_Stiffness!$C$76,IF(Element_Stiffness!$C$75=6,IF(4=Element_Stiffness!$C$75,Element_Stiffness!S97,IF(4=Element_Stiffness!$E$75,Element_Stiffness!Y97,0)),IF(Element_Stiffness!$E$75=6,IF(4=Element_Stiffness!$C$75,Element_Stiffness!S103,IF(4=Element_Stiffness!$E$75,Element_Stiffness!Y103,0)),0)),0)+IF(Element_Stiffness!$C$111,IF(Element_Stiffness!$C$110=6,IF(4=Element_Stiffness!$C$110,Element_Stiffness!S132,IF(4=Element_Stiffness!$E$110,Element_Stiffness!Y132,0)),IF(Element_Stiffness!$E$110=6,IF(4=Element_Stiffness!$C$110,Element_Stiffness!S138,IF(4=Element_Stiffness!$E$110,Element_Stiffness!Y138,0)),0)),0)+IF(Element_Stiffness!$C$146,IF(Element_Stiffness!$C$145=6,IF(4=Element_Stiffness!$C$145,Element_Stiffness!S167,IF(4=Element_Stiffness!$E$145,Element_Stiffness!Y167,0)),IF(Element_Stiffness!$E$145=6,IF(4=Element_Stiffness!$C$145,Element_Stiffness!S173,IF(4=Element_Stiffness!$E$145,Element_Stiffness!Y173,0)),0)),0)+IF(Element_Stiffness!$C$181,IF(Element_Stiffness!$C$180=6,IF(4=Element_Stiffness!$C$180,Element_Stiffness!S202,IF(4=Element_Stiffness!$E$180,Element_Stiffness!Y202,0)),IF(Element_Stiffness!$E$180=6,IF(4=Element_Stiffness!$C$180,Element_Stiffness!S208,IF(4=Element_Stiffness!$E$180,Element_Stiffness!Y208,0)),0)),0)+IF(Element_Stiffness!$C$216,IF(Element_Stiffness!$C$215=6,IF(4=Element_Stiffness!$C$215,Element_Stiffness!S237,IF(4=Element_Stiffness!$E$215,Element_Stiffness!Y237,0)),IF(Element_Stiffness!$E$215=6,IF(4=Element_Stiffness!$C$215,Element_Stiffness!S243,IF(4=Element_Stiffness!$E$215,Element_Stiffness!Y243,0)),0)),0)</f>
        <v/>
      </c>
      <c r="AE42" s="21">
        <f>IF(Element_Stiffness!$C$6,IF(Element_Stiffness!$C$5=6,IF(4=Element_Stiffness!$C$5,Element_Stiffness!T27,IF(4=Element_Stiffness!$E$5,Element_Stiffness!Z27,0)),IF(Element_Stiffness!$E$5=6,IF(4=Element_Stiffness!$C$5,Element_Stiffness!T33,IF(4=Element_Stiffness!$E$5,Element_Stiffness!Z33,0)),0)),0)+IF(Element_Stiffness!$C$41,IF(Element_Stiffness!$C$40=6,IF(4=Element_Stiffness!$C$40,Element_Stiffness!T62,IF(4=Element_Stiffness!$E$40,Element_Stiffness!Z62,0)),IF(Element_Stiffness!$E$40=6,IF(4=Element_Stiffness!$C$40,Element_Stiffness!T68,IF(4=Element_Stiffness!$E$40,Element_Stiffness!Z68,0)),0)),0)+IF(Element_Stiffness!$C$76,IF(Element_Stiffness!$C$75=6,IF(4=Element_Stiffness!$C$75,Element_Stiffness!T97,IF(4=Element_Stiffness!$E$75,Element_Stiffness!Z97,0)),IF(Element_Stiffness!$E$75=6,IF(4=Element_Stiffness!$C$75,Element_Stiffness!T103,IF(4=Element_Stiffness!$E$75,Element_Stiffness!Z103,0)),0)),0)+IF(Element_Stiffness!$C$111,IF(Element_Stiffness!$C$110=6,IF(4=Element_Stiffness!$C$110,Element_Stiffness!T132,IF(4=Element_Stiffness!$E$110,Element_Stiffness!Z132,0)),IF(Element_Stiffness!$E$110=6,IF(4=Element_Stiffness!$C$110,Element_Stiffness!T138,IF(4=Element_Stiffness!$E$110,Element_Stiffness!Z138,0)),0)),0)+IF(Element_Stiffness!$C$146,IF(Element_Stiffness!$C$145=6,IF(4=Element_Stiffness!$C$145,Element_Stiffness!T167,IF(4=Element_Stiffness!$E$145,Element_Stiffness!Z167,0)),IF(Element_Stiffness!$E$145=6,IF(4=Element_Stiffness!$C$145,Element_Stiffness!T173,IF(4=Element_Stiffness!$E$145,Element_Stiffness!Z173,0)),0)),0)+IF(Element_Stiffness!$C$181,IF(Element_Stiffness!$C$180=6,IF(4=Element_Stiffness!$C$180,Element_Stiffness!T202,IF(4=Element_Stiffness!$E$180,Element_Stiffness!Z202,0)),IF(Element_Stiffness!$E$180=6,IF(4=Element_Stiffness!$C$180,Element_Stiffness!T208,IF(4=Element_Stiffness!$E$180,Element_Stiffness!Z208,0)),0)),0)+IF(Element_Stiffness!$C$216,IF(Element_Stiffness!$C$215=6,IF(4=Element_Stiffness!$C$215,Element_Stiffness!T237,IF(4=Element_Stiffness!$E$215,Element_Stiffness!Z237,0)),IF(Element_Stiffness!$E$215=6,IF(4=Element_Stiffness!$C$215,Element_Stiffness!T243,IF(4=Element_Stiffness!$E$215,Element_Stiffness!Z243,0)),0)),0)</f>
        <v/>
      </c>
      <c r="AF42" s="21">
        <f>IF(Element_Stiffness!$C$6,IF(Element_Stiffness!$C$5=6,IF(4=Element_Stiffness!$C$5,Element_Stiffness!U27,IF(4=Element_Stiffness!$E$5,Element_Stiffness!AA27,0)),IF(Element_Stiffness!$E$5=6,IF(4=Element_Stiffness!$C$5,Element_Stiffness!U33,IF(4=Element_Stiffness!$E$5,Element_Stiffness!AA33,0)),0)),0)+IF(Element_Stiffness!$C$41,IF(Element_Stiffness!$C$40=6,IF(4=Element_Stiffness!$C$40,Element_Stiffness!U62,IF(4=Element_Stiffness!$E$40,Element_Stiffness!AA62,0)),IF(Element_Stiffness!$E$40=6,IF(4=Element_Stiffness!$C$40,Element_Stiffness!U68,IF(4=Element_Stiffness!$E$40,Element_Stiffness!AA68,0)),0)),0)+IF(Element_Stiffness!$C$76,IF(Element_Stiffness!$C$75=6,IF(4=Element_Stiffness!$C$75,Element_Stiffness!U97,IF(4=Element_Stiffness!$E$75,Element_Stiffness!AA97,0)),IF(Element_Stiffness!$E$75=6,IF(4=Element_Stiffness!$C$75,Element_Stiffness!U103,IF(4=Element_Stiffness!$E$75,Element_Stiffness!AA103,0)),0)),0)+IF(Element_Stiffness!$C$111,IF(Element_Stiffness!$C$110=6,IF(4=Element_Stiffness!$C$110,Element_Stiffness!U132,IF(4=Element_Stiffness!$E$110,Element_Stiffness!AA132,0)),IF(Element_Stiffness!$E$110=6,IF(4=Element_Stiffness!$C$110,Element_Stiffness!U138,IF(4=Element_Stiffness!$E$110,Element_Stiffness!AA138,0)),0)),0)+IF(Element_Stiffness!$C$146,IF(Element_Stiffness!$C$145=6,IF(4=Element_Stiffness!$C$145,Element_Stiffness!U167,IF(4=Element_Stiffness!$E$145,Element_Stiffness!AA167,0)),IF(Element_Stiffness!$E$145=6,IF(4=Element_Stiffness!$C$145,Element_Stiffness!U173,IF(4=Element_Stiffness!$E$145,Element_Stiffness!AA173,0)),0)),0)+IF(Element_Stiffness!$C$181,IF(Element_Stiffness!$C$180=6,IF(4=Element_Stiffness!$C$180,Element_Stiffness!U202,IF(4=Element_Stiffness!$E$180,Element_Stiffness!AA202,0)),IF(Element_Stiffness!$E$180=6,IF(4=Element_Stiffness!$C$180,Element_Stiffness!U208,IF(4=Element_Stiffness!$E$180,Element_Stiffness!AA208,0)),0)),0)+IF(Element_Stiffness!$C$216,IF(Element_Stiffness!$C$215=6,IF(4=Element_Stiffness!$C$215,Element_Stiffness!U237,IF(4=Element_Stiffness!$E$215,Element_Stiffness!AA237,0)),IF(Element_Stiffness!$E$215=6,IF(4=Element_Stiffness!$C$215,Element_Stiffness!U243,IF(4=Element_Stiffness!$E$215,Element_Stiffness!AA243,0)),0)),0)</f>
        <v/>
      </c>
      <c r="AG42" s="21">
        <f>IF(Element_Stiffness!$C$6,IF(Element_Stiffness!$C$5=6,IF(5=Element_Stiffness!$C$5,Element_Stiffness!P27,IF(5=Element_Stiffness!$E$5,Element_Stiffness!V27,0)),IF(Element_Stiffness!$E$5=6,IF(5=Element_Stiffness!$C$5,Element_Stiffness!P33,IF(5=Element_Stiffness!$E$5,Element_Stiffness!V33,0)),0)),0)+IF(Element_Stiffness!$C$41,IF(Element_Stiffness!$C$40=6,IF(5=Element_Stiffness!$C$40,Element_Stiffness!P62,IF(5=Element_Stiffness!$E$40,Element_Stiffness!V62,0)),IF(Element_Stiffness!$E$40=6,IF(5=Element_Stiffness!$C$40,Element_Stiffness!P68,IF(5=Element_Stiffness!$E$40,Element_Stiffness!V68,0)),0)),0)+IF(Element_Stiffness!$C$76,IF(Element_Stiffness!$C$75=6,IF(5=Element_Stiffness!$C$75,Element_Stiffness!P97,IF(5=Element_Stiffness!$E$75,Element_Stiffness!V97,0)),IF(Element_Stiffness!$E$75=6,IF(5=Element_Stiffness!$C$75,Element_Stiffness!P103,IF(5=Element_Stiffness!$E$75,Element_Stiffness!V103,0)),0)),0)+IF(Element_Stiffness!$C$111,IF(Element_Stiffness!$C$110=6,IF(5=Element_Stiffness!$C$110,Element_Stiffness!P132,IF(5=Element_Stiffness!$E$110,Element_Stiffness!V132,0)),IF(Element_Stiffness!$E$110=6,IF(5=Element_Stiffness!$C$110,Element_Stiffness!P138,IF(5=Element_Stiffness!$E$110,Element_Stiffness!V138,0)),0)),0)+IF(Element_Stiffness!$C$146,IF(Element_Stiffness!$C$145=6,IF(5=Element_Stiffness!$C$145,Element_Stiffness!P167,IF(5=Element_Stiffness!$E$145,Element_Stiffness!V167,0)),IF(Element_Stiffness!$E$145=6,IF(5=Element_Stiffness!$C$145,Element_Stiffness!P173,IF(5=Element_Stiffness!$E$145,Element_Stiffness!V173,0)),0)),0)+IF(Element_Stiffness!$C$181,IF(Element_Stiffness!$C$180=6,IF(5=Element_Stiffness!$C$180,Element_Stiffness!P202,IF(5=Element_Stiffness!$E$180,Element_Stiffness!V202,0)),IF(Element_Stiffness!$E$180=6,IF(5=Element_Stiffness!$C$180,Element_Stiffness!P208,IF(5=Element_Stiffness!$E$180,Element_Stiffness!V208,0)),0)),0)+IF(Element_Stiffness!$C$216,IF(Element_Stiffness!$C$215=6,IF(5=Element_Stiffness!$C$215,Element_Stiffness!P237,IF(5=Element_Stiffness!$E$215,Element_Stiffness!V237,0)),IF(Element_Stiffness!$E$215=6,IF(5=Element_Stiffness!$C$215,Element_Stiffness!P243,IF(5=Element_Stiffness!$E$215,Element_Stiffness!V243,0)),0)),0)</f>
        <v/>
      </c>
      <c r="AH42" s="21">
        <f>IF(Element_Stiffness!$C$6,IF(Element_Stiffness!$C$5=6,IF(5=Element_Stiffness!$C$5,Element_Stiffness!Q27,IF(5=Element_Stiffness!$E$5,Element_Stiffness!W27,0)),IF(Element_Stiffness!$E$5=6,IF(5=Element_Stiffness!$C$5,Element_Stiffness!Q33,IF(5=Element_Stiffness!$E$5,Element_Stiffness!W33,0)),0)),0)+IF(Element_Stiffness!$C$41,IF(Element_Stiffness!$C$40=6,IF(5=Element_Stiffness!$C$40,Element_Stiffness!Q62,IF(5=Element_Stiffness!$E$40,Element_Stiffness!W62,0)),IF(Element_Stiffness!$E$40=6,IF(5=Element_Stiffness!$C$40,Element_Stiffness!Q68,IF(5=Element_Stiffness!$E$40,Element_Stiffness!W68,0)),0)),0)+IF(Element_Stiffness!$C$76,IF(Element_Stiffness!$C$75=6,IF(5=Element_Stiffness!$C$75,Element_Stiffness!Q97,IF(5=Element_Stiffness!$E$75,Element_Stiffness!W97,0)),IF(Element_Stiffness!$E$75=6,IF(5=Element_Stiffness!$C$75,Element_Stiffness!Q103,IF(5=Element_Stiffness!$E$75,Element_Stiffness!W103,0)),0)),0)+IF(Element_Stiffness!$C$111,IF(Element_Stiffness!$C$110=6,IF(5=Element_Stiffness!$C$110,Element_Stiffness!Q132,IF(5=Element_Stiffness!$E$110,Element_Stiffness!W132,0)),IF(Element_Stiffness!$E$110=6,IF(5=Element_Stiffness!$C$110,Element_Stiffness!Q138,IF(5=Element_Stiffness!$E$110,Element_Stiffness!W138,0)),0)),0)+IF(Element_Stiffness!$C$146,IF(Element_Stiffness!$C$145=6,IF(5=Element_Stiffness!$C$145,Element_Stiffness!Q167,IF(5=Element_Stiffness!$E$145,Element_Stiffness!W167,0)),IF(Element_Stiffness!$E$145=6,IF(5=Element_Stiffness!$C$145,Element_Stiffness!Q173,IF(5=Element_Stiffness!$E$145,Element_Stiffness!W173,0)),0)),0)+IF(Element_Stiffness!$C$181,IF(Element_Stiffness!$C$180=6,IF(5=Element_Stiffness!$C$180,Element_Stiffness!Q202,IF(5=Element_Stiffness!$E$180,Element_Stiffness!W202,0)),IF(Element_Stiffness!$E$180=6,IF(5=Element_Stiffness!$C$180,Element_Stiffness!Q208,IF(5=Element_Stiffness!$E$180,Element_Stiffness!W208,0)),0)),0)+IF(Element_Stiffness!$C$216,IF(Element_Stiffness!$C$215=6,IF(5=Element_Stiffness!$C$215,Element_Stiffness!Q237,IF(5=Element_Stiffness!$E$215,Element_Stiffness!W237,0)),IF(Element_Stiffness!$E$215=6,IF(5=Element_Stiffness!$C$215,Element_Stiffness!Q243,IF(5=Element_Stiffness!$E$215,Element_Stiffness!W243,0)),0)),0)</f>
        <v/>
      </c>
      <c r="AI42" s="21">
        <f>IF(Element_Stiffness!$C$6,IF(Element_Stiffness!$C$5=6,IF(5=Element_Stiffness!$C$5,Element_Stiffness!R27,IF(5=Element_Stiffness!$E$5,Element_Stiffness!X27,0)),IF(Element_Stiffness!$E$5=6,IF(5=Element_Stiffness!$C$5,Element_Stiffness!R33,IF(5=Element_Stiffness!$E$5,Element_Stiffness!X33,0)),0)),0)+IF(Element_Stiffness!$C$41,IF(Element_Stiffness!$C$40=6,IF(5=Element_Stiffness!$C$40,Element_Stiffness!R62,IF(5=Element_Stiffness!$E$40,Element_Stiffness!X62,0)),IF(Element_Stiffness!$E$40=6,IF(5=Element_Stiffness!$C$40,Element_Stiffness!R68,IF(5=Element_Stiffness!$E$40,Element_Stiffness!X68,0)),0)),0)+IF(Element_Stiffness!$C$76,IF(Element_Stiffness!$C$75=6,IF(5=Element_Stiffness!$C$75,Element_Stiffness!R97,IF(5=Element_Stiffness!$E$75,Element_Stiffness!X97,0)),IF(Element_Stiffness!$E$75=6,IF(5=Element_Stiffness!$C$75,Element_Stiffness!R103,IF(5=Element_Stiffness!$E$75,Element_Stiffness!X103,0)),0)),0)+IF(Element_Stiffness!$C$111,IF(Element_Stiffness!$C$110=6,IF(5=Element_Stiffness!$C$110,Element_Stiffness!R132,IF(5=Element_Stiffness!$E$110,Element_Stiffness!X132,0)),IF(Element_Stiffness!$E$110=6,IF(5=Element_Stiffness!$C$110,Element_Stiffness!R138,IF(5=Element_Stiffness!$E$110,Element_Stiffness!X138,0)),0)),0)+IF(Element_Stiffness!$C$146,IF(Element_Stiffness!$C$145=6,IF(5=Element_Stiffness!$C$145,Element_Stiffness!R167,IF(5=Element_Stiffness!$E$145,Element_Stiffness!X167,0)),IF(Element_Stiffness!$E$145=6,IF(5=Element_Stiffness!$C$145,Element_Stiffness!R173,IF(5=Element_Stiffness!$E$145,Element_Stiffness!X173,0)),0)),0)+IF(Element_Stiffness!$C$181,IF(Element_Stiffness!$C$180=6,IF(5=Element_Stiffness!$C$180,Element_Stiffness!R202,IF(5=Element_Stiffness!$E$180,Element_Stiffness!X202,0)),IF(Element_Stiffness!$E$180=6,IF(5=Element_Stiffness!$C$180,Element_Stiffness!R208,IF(5=Element_Stiffness!$E$180,Element_Stiffness!X208,0)),0)),0)+IF(Element_Stiffness!$C$216,IF(Element_Stiffness!$C$215=6,IF(5=Element_Stiffness!$C$215,Element_Stiffness!R237,IF(5=Element_Stiffness!$E$215,Element_Stiffness!X237,0)),IF(Element_Stiffness!$E$215=6,IF(5=Element_Stiffness!$C$215,Element_Stiffness!R243,IF(5=Element_Stiffness!$E$215,Element_Stiffness!X243,0)),0)),0)</f>
        <v/>
      </c>
      <c r="AJ42" s="21">
        <f>IF(Element_Stiffness!$C$6,IF(Element_Stiffness!$C$5=6,IF(5=Element_Stiffness!$C$5,Element_Stiffness!S27,IF(5=Element_Stiffness!$E$5,Element_Stiffness!Y27,0)),IF(Element_Stiffness!$E$5=6,IF(5=Element_Stiffness!$C$5,Element_Stiffness!S33,IF(5=Element_Stiffness!$E$5,Element_Stiffness!Y33,0)),0)),0)+IF(Element_Stiffness!$C$41,IF(Element_Stiffness!$C$40=6,IF(5=Element_Stiffness!$C$40,Element_Stiffness!S62,IF(5=Element_Stiffness!$E$40,Element_Stiffness!Y62,0)),IF(Element_Stiffness!$E$40=6,IF(5=Element_Stiffness!$C$40,Element_Stiffness!S68,IF(5=Element_Stiffness!$E$40,Element_Stiffness!Y68,0)),0)),0)+IF(Element_Stiffness!$C$76,IF(Element_Stiffness!$C$75=6,IF(5=Element_Stiffness!$C$75,Element_Stiffness!S97,IF(5=Element_Stiffness!$E$75,Element_Stiffness!Y97,0)),IF(Element_Stiffness!$E$75=6,IF(5=Element_Stiffness!$C$75,Element_Stiffness!S103,IF(5=Element_Stiffness!$E$75,Element_Stiffness!Y103,0)),0)),0)+IF(Element_Stiffness!$C$111,IF(Element_Stiffness!$C$110=6,IF(5=Element_Stiffness!$C$110,Element_Stiffness!S132,IF(5=Element_Stiffness!$E$110,Element_Stiffness!Y132,0)),IF(Element_Stiffness!$E$110=6,IF(5=Element_Stiffness!$C$110,Element_Stiffness!S138,IF(5=Element_Stiffness!$E$110,Element_Stiffness!Y138,0)),0)),0)+IF(Element_Stiffness!$C$146,IF(Element_Stiffness!$C$145=6,IF(5=Element_Stiffness!$C$145,Element_Stiffness!S167,IF(5=Element_Stiffness!$E$145,Element_Stiffness!Y167,0)),IF(Element_Stiffness!$E$145=6,IF(5=Element_Stiffness!$C$145,Element_Stiffness!S173,IF(5=Element_Stiffness!$E$145,Element_Stiffness!Y173,0)),0)),0)+IF(Element_Stiffness!$C$181,IF(Element_Stiffness!$C$180=6,IF(5=Element_Stiffness!$C$180,Element_Stiffness!S202,IF(5=Element_Stiffness!$E$180,Element_Stiffness!Y202,0)),IF(Element_Stiffness!$E$180=6,IF(5=Element_Stiffness!$C$180,Element_Stiffness!S208,IF(5=Element_Stiffness!$E$180,Element_Stiffness!Y208,0)),0)),0)+IF(Element_Stiffness!$C$216,IF(Element_Stiffness!$C$215=6,IF(5=Element_Stiffness!$C$215,Element_Stiffness!S237,IF(5=Element_Stiffness!$E$215,Element_Stiffness!Y237,0)),IF(Element_Stiffness!$E$215=6,IF(5=Element_Stiffness!$C$215,Element_Stiffness!S243,IF(5=Element_Stiffness!$E$215,Element_Stiffness!Y243,0)),0)),0)</f>
        <v/>
      </c>
      <c r="AK42" s="21">
        <f>IF(Element_Stiffness!$C$6,IF(Element_Stiffness!$C$5=6,IF(5=Element_Stiffness!$C$5,Element_Stiffness!T27,IF(5=Element_Stiffness!$E$5,Element_Stiffness!Z27,0)),IF(Element_Stiffness!$E$5=6,IF(5=Element_Stiffness!$C$5,Element_Stiffness!T33,IF(5=Element_Stiffness!$E$5,Element_Stiffness!Z33,0)),0)),0)+IF(Element_Stiffness!$C$41,IF(Element_Stiffness!$C$40=6,IF(5=Element_Stiffness!$C$40,Element_Stiffness!T62,IF(5=Element_Stiffness!$E$40,Element_Stiffness!Z62,0)),IF(Element_Stiffness!$E$40=6,IF(5=Element_Stiffness!$C$40,Element_Stiffness!T68,IF(5=Element_Stiffness!$E$40,Element_Stiffness!Z68,0)),0)),0)+IF(Element_Stiffness!$C$76,IF(Element_Stiffness!$C$75=6,IF(5=Element_Stiffness!$C$75,Element_Stiffness!T97,IF(5=Element_Stiffness!$E$75,Element_Stiffness!Z97,0)),IF(Element_Stiffness!$E$75=6,IF(5=Element_Stiffness!$C$75,Element_Stiffness!T103,IF(5=Element_Stiffness!$E$75,Element_Stiffness!Z103,0)),0)),0)+IF(Element_Stiffness!$C$111,IF(Element_Stiffness!$C$110=6,IF(5=Element_Stiffness!$C$110,Element_Stiffness!T132,IF(5=Element_Stiffness!$E$110,Element_Stiffness!Z132,0)),IF(Element_Stiffness!$E$110=6,IF(5=Element_Stiffness!$C$110,Element_Stiffness!T138,IF(5=Element_Stiffness!$E$110,Element_Stiffness!Z138,0)),0)),0)+IF(Element_Stiffness!$C$146,IF(Element_Stiffness!$C$145=6,IF(5=Element_Stiffness!$C$145,Element_Stiffness!T167,IF(5=Element_Stiffness!$E$145,Element_Stiffness!Z167,0)),IF(Element_Stiffness!$E$145=6,IF(5=Element_Stiffness!$C$145,Element_Stiffness!T173,IF(5=Element_Stiffness!$E$145,Element_Stiffness!Z173,0)),0)),0)+IF(Element_Stiffness!$C$181,IF(Element_Stiffness!$C$180=6,IF(5=Element_Stiffness!$C$180,Element_Stiffness!T202,IF(5=Element_Stiffness!$E$180,Element_Stiffness!Z202,0)),IF(Element_Stiffness!$E$180=6,IF(5=Element_Stiffness!$C$180,Element_Stiffness!T208,IF(5=Element_Stiffness!$E$180,Element_Stiffness!Z208,0)),0)),0)+IF(Element_Stiffness!$C$216,IF(Element_Stiffness!$C$215=6,IF(5=Element_Stiffness!$C$215,Element_Stiffness!T237,IF(5=Element_Stiffness!$E$215,Element_Stiffness!Z237,0)),IF(Element_Stiffness!$E$215=6,IF(5=Element_Stiffness!$C$215,Element_Stiffness!T243,IF(5=Element_Stiffness!$E$215,Element_Stiffness!Z243,0)),0)),0)</f>
        <v/>
      </c>
      <c r="AL42" s="21">
        <f>IF(Element_Stiffness!$C$6,IF(Element_Stiffness!$C$5=6,IF(5=Element_Stiffness!$C$5,Element_Stiffness!U27,IF(5=Element_Stiffness!$E$5,Element_Stiffness!AA27,0)),IF(Element_Stiffness!$E$5=6,IF(5=Element_Stiffness!$C$5,Element_Stiffness!U33,IF(5=Element_Stiffness!$E$5,Element_Stiffness!AA33,0)),0)),0)+IF(Element_Stiffness!$C$41,IF(Element_Stiffness!$C$40=6,IF(5=Element_Stiffness!$C$40,Element_Stiffness!U62,IF(5=Element_Stiffness!$E$40,Element_Stiffness!AA62,0)),IF(Element_Stiffness!$E$40=6,IF(5=Element_Stiffness!$C$40,Element_Stiffness!U68,IF(5=Element_Stiffness!$E$40,Element_Stiffness!AA68,0)),0)),0)+IF(Element_Stiffness!$C$76,IF(Element_Stiffness!$C$75=6,IF(5=Element_Stiffness!$C$75,Element_Stiffness!U97,IF(5=Element_Stiffness!$E$75,Element_Stiffness!AA97,0)),IF(Element_Stiffness!$E$75=6,IF(5=Element_Stiffness!$C$75,Element_Stiffness!U103,IF(5=Element_Stiffness!$E$75,Element_Stiffness!AA103,0)),0)),0)+IF(Element_Stiffness!$C$111,IF(Element_Stiffness!$C$110=6,IF(5=Element_Stiffness!$C$110,Element_Stiffness!U132,IF(5=Element_Stiffness!$E$110,Element_Stiffness!AA132,0)),IF(Element_Stiffness!$E$110=6,IF(5=Element_Stiffness!$C$110,Element_Stiffness!U138,IF(5=Element_Stiffness!$E$110,Element_Stiffness!AA138,0)),0)),0)+IF(Element_Stiffness!$C$146,IF(Element_Stiffness!$C$145=6,IF(5=Element_Stiffness!$C$145,Element_Stiffness!U167,IF(5=Element_Stiffness!$E$145,Element_Stiffness!AA167,0)),IF(Element_Stiffness!$E$145=6,IF(5=Element_Stiffness!$C$145,Element_Stiffness!U173,IF(5=Element_Stiffness!$E$145,Element_Stiffness!AA173,0)),0)),0)+IF(Element_Stiffness!$C$181,IF(Element_Stiffness!$C$180=6,IF(5=Element_Stiffness!$C$180,Element_Stiffness!U202,IF(5=Element_Stiffness!$E$180,Element_Stiffness!AA202,0)),IF(Element_Stiffness!$E$180=6,IF(5=Element_Stiffness!$C$180,Element_Stiffness!U208,IF(5=Element_Stiffness!$E$180,Element_Stiffness!AA208,0)),0)),0)+IF(Element_Stiffness!$C$216,IF(Element_Stiffness!$C$215=6,IF(5=Element_Stiffness!$C$215,Element_Stiffness!U237,IF(5=Element_Stiffness!$E$215,Element_Stiffness!AA237,0)),IF(Element_Stiffness!$E$215=6,IF(5=Element_Stiffness!$C$215,Element_Stiffness!U243,IF(5=Element_Stiffness!$E$215,Element_Stiffness!AA243,0)),0)),0)</f>
        <v/>
      </c>
      <c r="AM42" s="21">
        <f>IF(Element_Stiffness!$C$6,IF(Element_Stiffness!$C$5=6,IF(6=Element_Stiffness!$C$5,Element_Stiffness!P27,IF(6=Element_Stiffness!$E$5,Element_Stiffness!V27,0)),IF(Element_Stiffness!$E$5=6,IF(6=Element_Stiffness!$C$5,Element_Stiffness!P33,IF(6=Element_Stiffness!$E$5,Element_Stiffness!V33,0)),0)),0)+IF(Element_Stiffness!$C$41,IF(Element_Stiffness!$C$40=6,IF(6=Element_Stiffness!$C$40,Element_Stiffness!P62,IF(6=Element_Stiffness!$E$40,Element_Stiffness!V62,0)),IF(Element_Stiffness!$E$40=6,IF(6=Element_Stiffness!$C$40,Element_Stiffness!P68,IF(6=Element_Stiffness!$E$40,Element_Stiffness!V68,0)),0)),0)+IF(Element_Stiffness!$C$76,IF(Element_Stiffness!$C$75=6,IF(6=Element_Stiffness!$C$75,Element_Stiffness!P97,IF(6=Element_Stiffness!$E$75,Element_Stiffness!V97,0)),IF(Element_Stiffness!$E$75=6,IF(6=Element_Stiffness!$C$75,Element_Stiffness!P103,IF(6=Element_Stiffness!$E$75,Element_Stiffness!V103,0)),0)),0)+IF(Element_Stiffness!$C$111,IF(Element_Stiffness!$C$110=6,IF(6=Element_Stiffness!$C$110,Element_Stiffness!P132,IF(6=Element_Stiffness!$E$110,Element_Stiffness!V132,0)),IF(Element_Stiffness!$E$110=6,IF(6=Element_Stiffness!$C$110,Element_Stiffness!P138,IF(6=Element_Stiffness!$E$110,Element_Stiffness!V138,0)),0)),0)+IF(Element_Stiffness!$C$146,IF(Element_Stiffness!$C$145=6,IF(6=Element_Stiffness!$C$145,Element_Stiffness!P167,IF(6=Element_Stiffness!$E$145,Element_Stiffness!V167,0)),IF(Element_Stiffness!$E$145=6,IF(6=Element_Stiffness!$C$145,Element_Stiffness!P173,IF(6=Element_Stiffness!$E$145,Element_Stiffness!V173,0)),0)),0)+IF(Element_Stiffness!$C$181,IF(Element_Stiffness!$C$180=6,IF(6=Element_Stiffness!$C$180,Element_Stiffness!P202,IF(6=Element_Stiffness!$E$180,Element_Stiffness!V202,0)),IF(Element_Stiffness!$E$180=6,IF(6=Element_Stiffness!$C$180,Element_Stiffness!P208,IF(6=Element_Stiffness!$E$180,Element_Stiffness!V208,0)),0)),0)+IF(Element_Stiffness!$C$216,IF(Element_Stiffness!$C$215=6,IF(6=Element_Stiffness!$C$215,Element_Stiffness!P237,IF(6=Element_Stiffness!$E$215,Element_Stiffness!V237,0)),IF(Element_Stiffness!$E$215=6,IF(6=Element_Stiffness!$C$215,Element_Stiffness!P243,IF(6=Element_Stiffness!$E$215,Element_Stiffness!V243,0)),0)),0)</f>
        <v/>
      </c>
      <c r="AN42" s="21">
        <f>IF(Element_Stiffness!$C$6,IF(Element_Stiffness!$C$5=6,IF(6=Element_Stiffness!$C$5,Element_Stiffness!Q27,IF(6=Element_Stiffness!$E$5,Element_Stiffness!W27,0)),IF(Element_Stiffness!$E$5=6,IF(6=Element_Stiffness!$C$5,Element_Stiffness!Q33,IF(6=Element_Stiffness!$E$5,Element_Stiffness!W33,0)),0)),0)+IF(Element_Stiffness!$C$41,IF(Element_Stiffness!$C$40=6,IF(6=Element_Stiffness!$C$40,Element_Stiffness!Q62,IF(6=Element_Stiffness!$E$40,Element_Stiffness!W62,0)),IF(Element_Stiffness!$E$40=6,IF(6=Element_Stiffness!$C$40,Element_Stiffness!Q68,IF(6=Element_Stiffness!$E$40,Element_Stiffness!W68,0)),0)),0)+IF(Element_Stiffness!$C$76,IF(Element_Stiffness!$C$75=6,IF(6=Element_Stiffness!$C$75,Element_Stiffness!Q97,IF(6=Element_Stiffness!$E$75,Element_Stiffness!W97,0)),IF(Element_Stiffness!$E$75=6,IF(6=Element_Stiffness!$C$75,Element_Stiffness!Q103,IF(6=Element_Stiffness!$E$75,Element_Stiffness!W103,0)),0)),0)+IF(Element_Stiffness!$C$111,IF(Element_Stiffness!$C$110=6,IF(6=Element_Stiffness!$C$110,Element_Stiffness!Q132,IF(6=Element_Stiffness!$E$110,Element_Stiffness!W132,0)),IF(Element_Stiffness!$E$110=6,IF(6=Element_Stiffness!$C$110,Element_Stiffness!Q138,IF(6=Element_Stiffness!$E$110,Element_Stiffness!W138,0)),0)),0)+IF(Element_Stiffness!$C$146,IF(Element_Stiffness!$C$145=6,IF(6=Element_Stiffness!$C$145,Element_Stiffness!Q167,IF(6=Element_Stiffness!$E$145,Element_Stiffness!W167,0)),IF(Element_Stiffness!$E$145=6,IF(6=Element_Stiffness!$C$145,Element_Stiffness!Q173,IF(6=Element_Stiffness!$E$145,Element_Stiffness!W173,0)),0)),0)+IF(Element_Stiffness!$C$181,IF(Element_Stiffness!$C$180=6,IF(6=Element_Stiffness!$C$180,Element_Stiffness!Q202,IF(6=Element_Stiffness!$E$180,Element_Stiffness!W202,0)),IF(Element_Stiffness!$E$180=6,IF(6=Element_Stiffness!$C$180,Element_Stiffness!Q208,IF(6=Element_Stiffness!$E$180,Element_Stiffness!W208,0)),0)),0)+IF(Element_Stiffness!$C$216,IF(Element_Stiffness!$C$215=6,IF(6=Element_Stiffness!$C$215,Element_Stiffness!Q237,IF(6=Element_Stiffness!$E$215,Element_Stiffness!W237,0)),IF(Element_Stiffness!$E$215=6,IF(6=Element_Stiffness!$C$215,Element_Stiffness!Q243,IF(6=Element_Stiffness!$E$215,Element_Stiffness!W243,0)),0)),0)+IF(Inputs!D46=TRUE,1E15,IF(ISNUMBER(Inputs!D46),Inputs!D46,0))</f>
        <v/>
      </c>
      <c r="AO42" s="21">
        <f>IF(Element_Stiffness!$C$6,IF(Element_Stiffness!$C$5=6,IF(6=Element_Stiffness!$C$5,Element_Stiffness!R27,IF(6=Element_Stiffness!$E$5,Element_Stiffness!X27,0)),IF(Element_Stiffness!$E$5=6,IF(6=Element_Stiffness!$C$5,Element_Stiffness!R33,IF(6=Element_Stiffness!$E$5,Element_Stiffness!X33,0)),0)),0)+IF(Element_Stiffness!$C$41,IF(Element_Stiffness!$C$40=6,IF(6=Element_Stiffness!$C$40,Element_Stiffness!R62,IF(6=Element_Stiffness!$E$40,Element_Stiffness!X62,0)),IF(Element_Stiffness!$E$40=6,IF(6=Element_Stiffness!$C$40,Element_Stiffness!R68,IF(6=Element_Stiffness!$E$40,Element_Stiffness!X68,0)),0)),0)+IF(Element_Stiffness!$C$76,IF(Element_Stiffness!$C$75=6,IF(6=Element_Stiffness!$C$75,Element_Stiffness!R97,IF(6=Element_Stiffness!$E$75,Element_Stiffness!X97,0)),IF(Element_Stiffness!$E$75=6,IF(6=Element_Stiffness!$C$75,Element_Stiffness!R103,IF(6=Element_Stiffness!$E$75,Element_Stiffness!X103,0)),0)),0)+IF(Element_Stiffness!$C$111,IF(Element_Stiffness!$C$110=6,IF(6=Element_Stiffness!$C$110,Element_Stiffness!R132,IF(6=Element_Stiffness!$E$110,Element_Stiffness!X132,0)),IF(Element_Stiffness!$E$110=6,IF(6=Element_Stiffness!$C$110,Element_Stiffness!R138,IF(6=Element_Stiffness!$E$110,Element_Stiffness!X138,0)),0)),0)+IF(Element_Stiffness!$C$146,IF(Element_Stiffness!$C$145=6,IF(6=Element_Stiffness!$C$145,Element_Stiffness!R167,IF(6=Element_Stiffness!$E$145,Element_Stiffness!X167,0)),IF(Element_Stiffness!$E$145=6,IF(6=Element_Stiffness!$C$145,Element_Stiffness!R173,IF(6=Element_Stiffness!$E$145,Element_Stiffness!X173,0)),0)),0)+IF(Element_Stiffness!$C$181,IF(Element_Stiffness!$C$180=6,IF(6=Element_Stiffness!$C$180,Element_Stiffness!R202,IF(6=Element_Stiffness!$E$180,Element_Stiffness!X202,0)),IF(Element_Stiffness!$E$180=6,IF(6=Element_Stiffness!$C$180,Element_Stiffness!R208,IF(6=Element_Stiffness!$E$180,Element_Stiffness!X208,0)),0)),0)+IF(Element_Stiffness!$C$216,IF(Element_Stiffness!$C$215=6,IF(6=Element_Stiffness!$C$215,Element_Stiffness!R237,IF(6=Element_Stiffness!$E$215,Element_Stiffness!X237,0)),IF(Element_Stiffness!$E$215=6,IF(6=Element_Stiffness!$C$215,Element_Stiffness!R243,IF(6=Element_Stiffness!$E$215,Element_Stiffness!X243,0)),0)),0)</f>
        <v/>
      </c>
      <c r="AP42" s="21">
        <f>IF(Element_Stiffness!$C$6,IF(Element_Stiffness!$C$5=6,IF(6=Element_Stiffness!$C$5,Element_Stiffness!S27,IF(6=Element_Stiffness!$E$5,Element_Stiffness!Y27,0)),IF(Element_Stiffness!$E$5=6,IF(6=Element_Stiffness!$C$5,Element_Stiffness!S33,IF(6=Element_Stiffness!$E$5,Element_Stiffness!Y33,0)),0)),0)+IF(Element_Stiffness!$C$41,IF(Element_Stiffness!$C$40=6,IF(6=Element_Stiffness!$C$40,Element_Stiffness!S62,IF(6=Element_Stiffness!$E$40,Element_Stiffness!Y62,0)),IF(Element_Stiffness!$E$40=6,IF(6=Element_Stiffness!$C$40,Element_Stiffness!S68,IF(6=Element_Stiffness!$E$40,Element_Stiffness!Y68,0)),0)),0)+IF(Element_Stiffness!$C$76,IF(Element_Stiffness!$C$75=6,IF(6=Element_Stiffness!$C$75,Element_Stiffness!S97,IF(6=Element_Stiffness!$E$75,Element_Stiffness!Y97,0)),IF(Element_Stiffness!$E$75=6,IF(6=Element_Stiffness!$C$75,Element_Stiffness!S103,IF(6=Element_Stiffness!$E$75,Element_Stiffness!Y103,0)),0)),0)+IF(Element_Stiffness!$C$111,IF(Element_Stiffness!$C$110=6,IF(6=Element_Stiffness!$C$110,Element_Stiffness!S132,IF(6=Element_Stiffness!$E$110,Element_Stiffness!Y132,0)),IF(Element_Stiffness!$E$110=6,IF(6=Element_Stiffness!$C$110,Element_Stiffness!S138,IF(6=Element_Stiffness!$E$110,Element_Stiffness!Y138,0)),0)),0)+IF(Element_Stiffness!$C$146,IF(Element_Stiffness!$C$145=6,IF(6=Element_Stiffness!$C$145,Element_Stiffness!S167,IF(6=Element_Stiffness!$E$145,Element_Stiffness!Y167,0)),IF(Element_Stiffness!$E$145=6,IF(6=Element_Stiffness!$C$145,Element_Stiffness!S173,IF(6=Element_Stiffness!$E$145,Element_Stiffness!Y173,0)),0)),0)+IF(Element_Stiffness!$C$181,IF(Element_Stiffness!$C$180=6,IF(6=Element_Stiffness!$C$180,Element_Stiffness!S202,IF(6=Element_Stiffness!$E$180,Element_Stiffness!Y202,0)),IF(Element_Stiffness!$E$180=6,IF(6=Element_Stiffness!$C$180,Element_Stiffness!S208,IF(6=Element_Stiffness!$E$180,Element_Stiffness!Y208,0)),0)),0)+IF(Element_Stiffness!$C$216,IF(Element_Stiffness!$C$215=6,IF(6=Element_Stiffness!$C$215,Element_Stiffness!S237,IF(6=Element_Stiffness!$E$215,Element_Stiffness!Y237,0)),IF(Element_Stiffness!$E$215=6,IF(6=Element_Stiffness!$C$215,Element_Stiffness!S243,IF(6=Element_Stiffness!$E$215,Element_Stiffness!Y243,0)),0)),0)</f>
        <v/>
      </c>
      <c r="AQ42" s="21">
        <f>IF(Element_Stiffness!$C$6,IF(Element_Stiffness!$C$5=6,IF(6=Element_Stiffness!$C$5,Element_Stiffness!T27,IF(6=Element_Stiffness!$E$5,Element_Stiffness!Z27,0)),IF(Element_Stiffness!$E$5=6,IF(6=Element_Stiffness!$C$5,Element_Stiffness!T33,IF(6=Element_Stiffness!$E$5,Element_Stiffness!Z33,0)),0)),0)+IF(Element_Stiffness!$C$41,IF(Element_Stiffness!$C$40=6,IF(6=Element_Stiffness!$C$40,Element_Stiffness!T62,IF(6=Element_Stiffness!$E$40,Element_Stiffness!Z62,0)),IF(Element_Stiffness!$E$40=6,IF(6=Element_Stiffness!$C$40,Element_Stiffness!T68,IF(6=Element_Stiffness!$E$40,Element_Stiffness!Z68,0)),0)),0)+IF(Element_Stiffness!$C$76,IF(Element_Stiffness!$C$75=6,IF(6=Element_Stiffness!$C$75,Element_Stiffness!T97,IF(6=Element_Stiffness!$E$75,Element_Stiffness!Z97,0)),IF(Element_Stiffness!$E$75=6,IF(6=Element_Stiffness!$C$75,Element_Stiffness!T103,IF(6=Element_Stiffness!$E$75,Element_Stiffness!Z103,0)),0)),0)+IF(Element_Stiffness!$C$111,IF(Element_Stiffness!$C$110=6,IF(6=Element_Stiffness!$C$110,Element_Stiffness!T132,IF(6=Element_Stiffness!$E$110,Element_Stiffness!Z132,0)),IF(Element_Stiffness!$E$110=6,IF(6=Element_Stiffness!$C$110,Element_Stiffness!T138,IF(6=Element_Stiffness!$E$110,Element_Stiffness!Z138,0)),0)),0)+IF(Element_Stiffness!$C$146,IF(Element_Stiffness!$C$145=6,IF(6=Element_Stiffness!$C$145,Element_Stiffness!T167,IF(6=Element_Stiffness!$E$145,Element_Stiffness!Z167,0)),IF(Element_Stiffness!$E$145=6,IF(6=Element_Stiffness!$C$145,Element_Stiffness!T173,IF(6=Element_Stiffness!$E$145,Element_Stiffness!Z173,0)),0)),0)+IF(Element_Stiffness!$C$181,IF(Element_Stiffness!$C$180=6,IF(6=Element_Stiffness!$C$180,Element_Stiffness!T202,IF(6=Element_Stiffness!$E$180,Element_Stiffness!Z202,0)),IF(Element_Stiffness!$E$180=6,IF(6=Element_Stiffness!$C$180,Element_Stiffness!T208,IF(6=Element_Stiffness!$E$180,Element_Stiffness!Z208,0)),0)),0)+IF(Element_Stiffness!$C$216,IF(Element_Stiffness!$C$215=6,IF(6=Element_Stiffness!$C$215,Element_Stiffness!T237,IF(6=Element_Stiffness!$E$215,Element_Stiffness!Z237,0)),IF(Element_Stiffness!$E$215=6,IF(6=Element_Stiffness!$C$215,Element_Stiffness!T243,IF(6=Element_Stiffness!$E$215,Element_Stiffness!Z243,0)),0)),0)</f>
        <v/>
      </c>
      <c r="AR42" s="21">
        <f>IF(Element_Stiffness!$C$6,IF(Element_Stiffness!$C$5=6,IF(6=Element_Stiffness!$C$5,Element_Stiffness!U27,IF(6=Element_Stiffness!$E$5,Element_Stiffness!AA27,0)),IF(Element_Stiffness!$E$5=6,IF(6=Element_Stiffness!$C$5,Element_Stiffness!U33,IF(6=Element_Stiffness!$E$5,Element_Stiffness!AA33,0)),0)),0)+IF(Element_Stiffness!$C$41,IF(Element_Stiffness!$C$40=6,IF(6=Element_Stiffness!$C$40,Element_Stiffness!U62,IF(6=Element_Stiffness!$E$40,Element_Stiffness!AA62,0)),IF(Element_Stiffness!$E$40=6,IF(6=Element_Stiffness!$C$40,Element_Stiffness!U68,IF(6=Element_Stiffness!$E$40,Element_Stiffness!AA68,0)),0)),0)+IF(Element_Stiffness!$C$76,IF(Element_Stiffness!$C$75=6,IF(6=Element_Stiffness!$C$75,Element_Stiffness!U97,IF(6=Element_Stiffness!$E$75,Element_Stiffness!AA97,0)),IF(Element_Stiffness!$E$75=6,IF(6=Element_Stiffness!$C$75,Element_Stiffness!U103,IF(6=Element_Stiffness!$E$75,Element_Stiffness!AA103,0)),0)),0)+IF(Element_Stiffness!$C$111,IF(Element_Stiffness!$C$110=6,IF(6=Element_Stiffness!$C$110,Element_Stiffness!U132,IF(6=Element_Stiffness!$E$110,Element_Stiffness!AA132,0)),IF(Element_Stiffness!$E$110=6,IF(6=Element_Stiffness!$C$110,Element_Stiffness!U138,IF(6=Element_Stiffness!$E$110,Element_Stiffness!AA138,0)),0)),0)+IF(Element_Stiffness!$C$146,IF(Element_Stiffness!$C$145=6,IF(6=Element_Stiffness!$C$145,Element_Stiffness!U167,IF(6=Element_Stiffness!$E$145,Element_Stiffness!AA167,0)),IF(Element_Stiffness!$E$145=6,IF(6=Element_Stiffness!$C$145,Element_Stiffness!U173,IF(6=Element_Stiffness!$E$145,Element_Stiffness!AA173,0)),0)),0)+IF(Element_Stiffness!$C$181,IF(Element_Stiffness!$C$180=6,IF(6=Element_Stiffness!$C$180,Element_Stiffness!U202,IF(6=Element_Stiffness!$E$180,Element_Stiffness!AA202,0)),IF(Element_Stiffness!$E$180=6,IF(6=Element_Stiffness!$C$180,Element_Stiffness!U208,IF(6=Element_Stiffness!$E$180,Element_Stiffness!AA208,0)),0)),0)+IF(Element_Stiffness!$C$216,IF(Element_Stiffness!$C$215=6,IF(6=Element_Stiffness!$C$215,Element_Stiffness!U237,IF(6=Element_Stiffness!$E$215,Element_Stiffness!AA237,0)),IF(Element_Stiffness!$E$215=6,IF(6=Element_Stiffness!$C$215,Element_Stiffness!U243,IF(6=Element_Stiffness!$E$215,Element_Stiffness!AA243,0)),0)),0)</f>
        <v/>
      </c>
      <c r="AS42" s="21">
        <f>IF(Element_Stiffness!$C$6,IF(Element_Stiffness!$C$5=6,IF(7=Element_Stiffness!$C$5,Element_Stiffness!P27,IF(7=Element_Stiffness!$E$5,Element_Stiffness!V27,0)),IF(Element_Stiffness!$E$5=6,IF(7=Element_Stiffness!$C$5,Element_Stiffness!P33,IF(7=Element_Stiffness!$E$5,Element_Stiffness!V33,0)),0)),0)+IF(Element_Stiffness!$C$41,IF(Element_Stiffness!$C$40=6,IF(7=Element_Stiffness!$C$40,Element_Stiffness!P62,IF(7=Element_Stiffness!$E$40,Element_Stiffness!V62,0)),IF(Element_Stiffness!$E$40=6,IF(7=Element_Stiffness!$C$40,Element_Stiffness!P68,IF(7=Element_Stiffness!$E$40,Element_Stiffness!V68,0)),0)),0)+IF(Element_Stiffness!$C$76,IF(Element_Stiffness!$C$75=6,IF(7=Element_Stiffness!$C$75,Element_Stiffness!P97,IF(7=Element_Stiffness!$E$75,Element_Stiffness!V97,0)),IF(Element_Stiffness!$E$75=6,IF(7=Element_Stiffness!$C$75,Element_Stiffness!P103,IF(7=Element_Stiffness!$E$75,Element_Stiffness!V103,0)),0)),0)+IF(Element_Stiffness!$C$111,IF(Element_Stiffness!$C$110=6,IF(7=Element_Stiffness!$C$110,Element_Stiffness!P132,IF(7=Element_Stiffness!$E$110,Element_Stiffness!V132,0)),IF(Element_Stiffness!$E$110=6,IF(7=Element_Stiffness!$C$110,Element_Stiffness!P138,IF(7=Element_Stiffness!$E$110,Element_Stiffness!V138,0)),0)),0)+IF(Element_Stiffness!$C$146,IF(Element_Stiffness!$C$145=6,IF(7=Element_Stiffness!$C$145,Element_Stiffness!P167,IF(7=Element_Stiffness!$E$145,Element_Stiffness!V167,0)),IF(Element_Stiffness!$E$145=6,IF(7=Element_Stiffness!$C$145,Element_Stiffness!P173,IF(7=Element_Stiffness!$E$145,Element_Stiffness!V173,0)),0)),0)+IF(Element_Stiffness!$C$181,IF(Element_Stiffness!$C$180=6,IF(7=Element_Stiffness!$C$180,Element_Stiffness!P202,IF(7=Element_Stiffness!$E$180,Element_Stiffness!V202,0)),IF(Element_Stiffness!$E$180=6,IF(7=Element_Stiffness!$C$180,Element_Stiffness!P208,IF(7=Element_Stiffness!$E$180,Element_Stiffness!V208,0)),0)),0)+IF(Element_Stiffness!$C$216,IF(Element_Stiffness!$C$215=6,IF(7=Element_Stiffness!$C$215,Element_Stiffness!P237,IF(7=Element_Stiffness!$E$215,Element_Stiffness!V237,0)),IF(Element_Stiffness!$E$215=6,IF(7=Element_Stiffness!$C$215,Element_Stiffness!P243,IF(7=Element_Stiffness!$E$215,Element_Stiffness!V243,0)),0)),0)</f>
        <v/>
      </c>
      <c r="AT42" s="21">
        <f>IF(Element_Stiffness!$C$6,IF(Element_Stiffness!$C$5=6,IF(7=Element_Stiffness!$C$5,Element_Stiffness!Q27,IF(7=Element_Stiffness!$E$5,Element_Stiffness!W27,0)),IF(Element_Stiffness!$E$5=6,IF(7=Element_Stiffness!$C$5,Element_Stiffness!Q33,IF(7=Element_Stiffness!$E$5,Element_Stiffness!W33,0)),0)),0)+IF(Element_Stiffness!$C$41,IF(Element_Stiffness!$C$40=6,IF(7=Element_Stiffness!$C$40,Element_Stiffness!Q62,IF(7=Element_Stiffness!$E$40,Element_Stiffness!W62,0)),IF(Element_Stiffness!$E$40=6,IF(7=Element_Stiffness!$C$40,Element_Stiffness!Q68,IF(7=Element_Stiffness!$E$40,Element_Stiffness!W68,0)),0)),0)+IF(Element_Stiffness!$C$76,IF(Element_Stiffness!$C$75=6,IF(7=Element_Stiffness!$C$75,Element_Stiffness!Q97,IF(7=Element_Stiffness!$E$75,Element_Stiffness!W97,0)),IF(Element_Stiffness!$E$75=6,IF(7=Element_Stiffness!$C$75,Element_Stiffness!Q103,IF(7=Element_Stiffness!$E$75,Element_Stiffness!W103,0)),0)),0)+IF(Element_Stiffness!$C$111,IF(Element_Stiffness!$C$110=6,IF(7=Element_Stiffness!$C$110,Element_Stiffness!Q132,IF(7=Element_Stiffness!$E$110,Element_Stiffness!W132,0)),IF(Element_Stiffness!$E$110=6,IF(7=Element_Stiffness!$C$110,Element_Stiffness!Q138,IF(7=Element_Stiffness!$E$110,Element_Stiffness!W138,0)),0)),0)+IF(Element_Stiffness!$C$146,IF(Element_Stiffness!$C$145=6,IF(7=Element_Stiffness!$C$145,Element_Stiffness!Q167,IF(7=Element_Stiffness!$E$145,Element_Stiffness!W167,0)),IF(Element_Stiffness!$E$145=6,IF(7=Element_Stiffness!$C$145,Element_Stiffness!Q173,IF(7=Element_Stiffness!$E$145,Element_Stiffness!W173,0)),0)),0)+IF(Element_Stiffness!$C$181,IF(Element_Stiffness!$C$180=6,IF(7=Element_Stiffness!$C$180,Element_Stiffness!Q202,IF(7=Element_Stiffness!$E$180,Element_Stiffness!W202,0)),IF(Element_Stiffness!$E$180=6,IF(7=Element_Stiffness!$C$180,Element_Stiffness!Q208,IF(7=Element_Stiffness!$E$180,Element_Stiffness!W208,0)),0)),0)+IF(Element_Stiffness!$C$216,IF(Element_Stiffness!$C$215=6,IF(7=Element_Stiffness!$C$215,Element_Stiffness!Q237,IF(7=Element_Stiffness!$E$215,Element_Stiffness!W237,0)),IF(Element_Stiffness!$E$215=6,IF(7=Element_Stiffness!$C$215,Element_Stiffness!Q243,IF(7=Element_Stiffness!$E$215,Element_Stiffness!W243,0)),0)),0)</f>
        <v/>
      </c>
      <c r="AU42" s="21">
        <f>IF(Element_Stiffness!$C$6,IF(Element_Stiffness!$C$5=6,IF(7=Element_Stiffness!$C$5,Element_Stiffness!R27,IF(7=Element_Stiffness!$E$5,Element_Stiffness!X27,0)),IF(Element_Stiffness!$E$5=6,IF(7=Element_Stiffness!$C$5,Element_Stiffness!R33,IF(7=Element_Stiffness!$E$5,Element_Stiffness!X33,0)),0)),0)+IF(Element_Stiffness!$C$41,IF(Element_Stiffness!$C$40=6,IF(7=Element_Stiffness!$C$40,Element_Stiffness!R62,IF(7=Element_Stiffness!$E$40,Element_Stiffness!X62,0)),IF(Element_Stiffness!$E$40=6,IF(7=Element_Stiffness!$C$40,Element_Stiffness!R68,IF(7=Element_Stiffness!$E$40,Element_Stiffness!X68,0)),0)),0)+IF(Element_Stiffness!$C$76,IF(Element_Stiffness!$C$75=6,IF(7=Element_Stiffness!$C$75,Element_Stiffness!R97,IF(7=Element_Stiffness!$E$75,Element_Stiffness!X97,0)),IF(Element_Stiffness!$E$75=6,IF(7=Element_Stiffness!$C$75,Element_Stiffness!R103,IF(7=Element_Stiffness!$E$75,Element_Stiffness!X103,0)),0)),0)+IF(Element_Stiffness!$C$111,IF(Element_Stiffness!$C$110=6,IF(7=Element_Stiffness!$C$110,Element_Stiffness!R132,IF(7=Element_Stiffness!$E$110,Element_Stiffness!X132,0)),IF(Element_Stiffness!$E$110=6,IF(7=Element_Stiffness!$C$110,Element_Stiffness!R138,IF(7=Element_Stiffness!$E$110,Element_Stiffness!X138,0)),0)),0)+IF(Element_Stiffness!$C$146,IF(Element_Stiffness!$C$145=6,IF(7=Element_Stiffness!$C$145,Element_Stiffness!R167,IF(7=Element_Stiffness!$E$145,Element_Stiffness!X167,0)),IF(Element_Stiffness!$E$145=6,IF(7=Element_Stiffness!$C$145,Element_Stiffness!R173,IF(7=Element_Stiffness!$E$145,Element_Stiffness!X173,0)),0)),0)+IF(Element_Stiffness!$C$181,IF(Element_Stiffness!$C$180=6,IF(7=Element_Stiffness!$C$180,Element_Stiffness!R202,IF(7=Element_Stiffness!$E$180,Element_Stiffness!X202,0)),IF(Element_Stiffness!$E$180=6,IF(7=Element_Stiffness!$C$180,Element_Stiffness!R208,IF(7=Element_Stiffness!$E$180,Element_Stiffness!X208,0)),0)),0)+IF(Element_Stiffness!$C$216,IF(Element_Stiffness!$C$215=6,IF(7=Element_Stiffness!$C$215,Element_Stiffness!R237,IF(7=Element_Stiffness!$E$215,Element_Stiffness!X237,0)),IF(Element_Stiffness!$E$215=6,IF(7=Element_Stiffness!$C$215,Element_Stiffness!R243,IF(7=Element_Stiffness!$E$215,Element_Stiffness!X243,0)),0)),0)</f>
        <v/>
      </c>
      <c r="AV42" s="21">
        <f>IF(Element_Stiffness!$C$6,IF(Element_Stiffness!$C$5=6,IF(7=Element_Stiffness!$C$5,Element_Stiffness!S27,IF(7=Element_Stiffness!$E$5,Element_Stiffness!Y27,0)),IF(Element_Stiffness!$E$5=6,IF(7=Element_Stiffness!$C$5,Element_Stiffness!S33,IF(7=Element_Stiffness!$E$5,Element_Stiffness!Y33,0)),0)),0)+IF(Element_Stiffness!$C$41,IF(Element_Stiffness!$C$40=6,IF(7=Element_Stiffness!$C$40,Element_Stiffness!S62,IF(7=Element_Stiffness!$E$40,Element_Stiffness!Y62,0)),IF(Element_Stiffness!$E$40=6,IF(7=Element_Stiffness!$C$40,Element_Stiffness!S68,IF(7=Element_Stiffness!$E$40,Element_Stiffness!Y68,0)),0)),0)+IF(Element_Stiffness!$C$76,IF(Element_Stiffness!$C$75=6,IF(7=Element_Stiffness!$C$75,Element_Stiffness!S97,IF(7=Element_Stiffness!$E$75,Element_Stiffness!Y97,0)),IF(Element_Stiffness!$E$75=6,IF(7=Element_Stiffness!$C$75,Element_Stiffness!S103,IF(7=Element_Stiffness!$E$75,Element_Stiffness!Y103,0)),0)),0)+IF(Element_Stiffness!$C$111,IF(Element_Stiffness!$C$110=6,IF(7=Element_Stiffness!$C$110,Element_Stiffness!S132,IF(7=Element_Stiffness!$E$110,Element_Stiffness!Y132,0)),IF(Element_Stiffness!$E$110=6,IF(7=Element_Stiffness!$C$110,Element_Stiffness!S138,IF(7=Element_Stiffness!$E$110,Element_Stiffness!Y138,0)),0)),0)+IF(Element_Stiffness!$C$146,IF(Element_Stiffness!$C$145=6,IF(7=Element_Stiffness!$C$145,Element_Stiffness!S167,IF(7=Element_Stiffness!$E$145,Element_Stiffness!Y167,0)),IF(Element_Stiffness!$E$145=6,IF(7=Element_Stiffness!$C$145,Element_Stiffness!S173,IF(7=Element_Stiffness!$E$145,Element_Stiffness!Y173,0)),0)),0)+IF(Element_Stiffness!$C$181,IF(Element_Stiffness!$C$180=6,IF(7=Element_Stiffness!$C$180,Element_Stiffness!S202,IF(7=Element_Stiffness!$E$180,Element_Stiffness!Y202,0)),IF(Element_Stiffness!$E$180=6,IF(7=Element_Stiffness!$C$180,Element_Stiffness!S208,IF(7=Element_Stiffness!$E$180,Element_Stiffness!Y208,0)),0)),0)+IF(Element_Stiffness!$C$216,IF(Element_Stiffness!$C$215=6,IF(7=Element_Stiffness!$C$215,Element_Stiffness!S237,IF(7=Element_Stiffness!$E$215,Element_Stiffness!Y237,0)),IF(Element_Stiffness!$E$215=6,IF(7=Element_Stiffness!$C$215,Element_Stiffness!S243,IF(7=Element_Stiffness!$E$215,Element_Stiffness!Y243,0)),0)),0)</f>
        <v/>
      </c>
      <c r="AW42" s="21">
        <f>IF(Element_Stiffness!$C$6,IF(Element_Stiffness!$C$5=6,IF(7=Element_Stiffness!$C$5,Element_Stiffness!T27,IF(7=Element_Stiffness!$E$5,Element_Stiffness!Z27,0)),IF(Element_Stiffness!$E$5=6,IF(7=Element_Stiffness!$C$5,Element_Stiffness!T33,IF(7=Element_Stiffness!$E$5,Element_Stiffness!Z33,0)),0)),0)+IF(Element_Stiffness!$C$41,IF(Element_Stiffness!$C$40=6,IF(7=Element_Stiffness!$C$40,Element_Stiffness!T62,IF(7=Element_Stiffness!$E$40,Element_Stiffness!Z62,0)),IF(Element_Stiffness!$E$40=6,IF(7=Element_Stiffness!$C$40,Element_Stiffness!T68,IF(7=Element_Stiffness!$E$40,Element_Stiffness!Z68,0)),0)),0)+IF(Element_Stiffness!$C$76,IF(Element_Stiffness!$C$75=6,IF(7=Element_Stiffness!$C$75,Element_Stiffness!T97,IF(7=Element_Stiffness!$E$75,Element_Stiffness!Z97,0)),IF(Element_Stiffness!$E$75=6,IF(7=Element_Stiffness!$C$75,Element_Stiffness!T103,IF(7=Element_Stiffness!$E$75,Element_Stiffness!Z103,0)),0)),0)+IF(Element_Stiffness!$C$111,IF(Element_Stiffness!$C$110=6,IF(7=Element_Stiffness!$C$110,Element_Stiffness!T132,IF(7=Element_Stiffness!$E$110,Element_Stiffness!Z132,0)),IF(Element_Stiffness!$E$110=6,IF(7=Element_Stiffness!$C$110,Element_Stiffness!T138,IF(7=Element_Stiffness!$E$110,Element_Stiffness!Z138,0)),0)),0)+IF(Element_Stiffness!$C$146,IF(Element_Stiffness!$C$145=6,IF(7=Element_Stiffness!$C$145,Element_Stiffness!T167,IF(7=Element_Stiffness!$E$145,Element_Stiffness!Z167,0)),IF(Element_Stiffness!$E$145=6,IF(7=Element_Stiffness!$C$145,Element_Stiffness!T173,IF(7=Element_Stiffness!$E$145,Element_Stiffness!Z173,0)),0)),0)+IF(Element_Stiffness!$C$181,IF(Element_Stiffness!$C$180=6,IF(7=Element_Stiffness!$C$180,Element_Stiffness!T202,IF(7=Element_Stiffness!$E$180,Element_Stiffness!Z202,0)),IF(Element_Stiffness!$E$180=6,IF(7=Element_Stiffness!$C$180,Element_Stiffness!T208,IF(7=Element_Stiffness!$E$180,Element_Stiffness!Z208,0)),0)),0)+IF(Element_Stiffness!$C$216,IF(Element_Stiffness!$C$215=6,IF(7=Element_Stiffness!$C$215,Element_Stiffness!T237,IF(7=Element_Stiffness!$E$215,Element_Stiffness!Z237,0)),IF(Element_Stiffness!$E$215=6,IF(7=Element_Stiffness!$C$215,Element_Stiffness!T243,IF(7=Element_Stiffness!$E$215,Element_Stiffness!Z243,0)),0)),0)</f>
        <v/>
      </c>
      <c r="AX42" s="21">
        <f>IF(Element_Stiffness!$C$6,IF(Element_Stiffness!$C$5=6,IF(7=Element_Stiffness!$C$5,Element_Stiffness!U27,IF(7=Element_Stiffness!$E$5,Element_Stiffness!AA27,0)),IF(Element_Stiffness!$E$5=6,IF(7=Element_Stiffness!$C$5,Element_Stiffness!U33,IF(7=Element_Stiffness!$E$5,Element_Stiffness!AA33,0)),0)),0)+IF(Element_Stiffness!$C$41,IF(Element_Stiffness!$C$40=6,IF(7=Element_Stiffness!$C$40,Element_Stiffness!U62,IF(7=Element_Stiffness!$E$40,Element_Stiffness!AA62,0)),IF(Element_Stiffness!$E$40=6,IF(7=Element_Stiffness!$C$40,Element_Stiffness!U68,IF(7=Element_Stiffness!$E$40,Element_Stiffness!AA68,0)),0)),0)+IF(Element_Stiffness!$C$76,IF(Element_Stiffness!$C$75=6,IF(7=Element_Stiffness!$C$75,Element_Stiffness!U97,IF(7=Element_Stiffness!$E$75,Element_Stiffness!AA97,0)),IF(Element_Stiffness!$E$75=6,IF(7=Element_Stiffness!$C$75,Element_Stiffness!U103,IF(7=Element_Stiffness!$E$75,Element_Stiffness!AA103,0)),0)),0)+IF(Element_Stiffness!$C$111,IF(Element_Stiffness!$C$110=6,IF(7=Element_Stiffness!$C$110,Element_Stiffness!U132,IF(7=Element_Stiffness!$E$110,Element_Stiffness!AA132,0)),IF(Element_Stiffness!$E$110=6,IF(7=Element_Stiffness!$C$110,Element_Stiffness!U138,IF(7=Element_Stiffness!$E$110,Element_Stiffness!AA138,0)),0)),0)+IF(Element_Stiffness!$C$146,IF(Element_Stiffness!$C$145=6,IF(7=Element_Stiffness!$C$145,Element_Stiffness!U167,IF(7=Element_Stiffness!$E$145,Element_Stiffness!AA167,0)),IF(Element_Stiffness!$E$145=6,IF(7=Element_Stiffness!$C$145,Element_Stiffness!U173,IF(7=Element_Stiffness!$E$145,Element_Stiffness!AA173,0)),0)),0)+IF(Element_Stiffness!$C$181,IF(Element_Stiffness!$C$180=6,IF(7=Element_Stiffness!$C$180,Element_Stiffness!U202,IF(7=Element_Stiffness!$E$180,Element_Stiffness!AA202,0)),IF(Element_Stiffness!$E$180=6,IF(7=Element_Stiffness!$C$180,Element_Stiffness!U208,IF(7=Element_Stiffness!$E$180,Element_Stiffness!AA208,0)),0)),0)+IF(Element_Stiffness!$C$216,IF(Element_Stiffness!$C$215=6,IF(7=Element_Stiffness!$C$215,Element_Stiffness!U237,IF(7=Element_Stiffness!$E$215,Element_Stiffness!AA237,0)),IF(Element_Stiffness!$E$215=6,IF(7=Element_Stiffness!$C$215,Element_Stiffness!U243,IF(7=Element_Stiffness!$E$215,Element_Stiffness!AA243,0)),0)),0)</f>
        <v/>
      </c>
      <c r="AY42" s="21" t="n">
        <v>0</v>
      </c>
      <c r="AZ42" s="21">
        <f>IF(Element_Stiffness!$C$6,IF(Element_Stiffness!$C$5=6,Element_Stiffness!C27,IF(Element_Stiffness!$E$5=6,Element_Stiffness!C33,0)),0)+IF(Element_Stiffness!$C$41,IF(Element_Stiffness!$C$40=6,Element_Stiffness!C62,IF(Element_Stiffness!$E$40=6,Element_Stiffness!C68,0)),0)+IF(Element_Stiffness!$C$76,IF(Element_Stiffness!$C$75=6,Element_Stiffness!C97,IF(Element_Stiffness!$E$75=6,Element_Stiffness!C103,0)),0)+IF(Element_Stiffness!$C$111,IF(Element_Stiffness!$C$110=6,Element_Stiffness!C132,IF(Element_Stiffness!$E$110=6,Element_Stiffness!C138,0)),0)+IF(Element_Stiffness!$C$146,IF(Element_Stiffness!$C$145=6,Element_Stiffness!C167,IF(Element_Stiffness!$E$145=6,Element_Stiffness!C173,0)),0)+IF(Element_Stiffness!$C$181,IF(Element_Stiffness!$C$180=6,Element_Stiffness!C202,IF(Element_Stiffness!$E$180=6,Element_Stiffness!C208,0)),0)+IF(Element_Stiffness!$C$216,IF(Element_Stiffness!$C$215=6,Element_Stiffness!C237,IF(Element_Stiffness!$E$215=6,Element_Stiffness!C243,0)),0)</f>
        <v/>
      </c>
      <c r="BB42" s="28">
        <f>INDEX(MMULT(MINVERSE(C5:AX52), AY5:AY52), 38, 1)</f>
        <v/>
      </c>
      <c r="BC42" s="28">
        <f>INDEX(MMULT(MINVERSE(C5:AX52), AZ5:AZ52), 38, 1)</f>
        <v/>
      </c>
    </row>
    <row r="43">
      <c r="B43" s="27" t="inlineStr">
        <is>
          <t>N6_tz</t>
        </is>
      </c>
      <c r="C43" s="21">
        <f>IF(Element_Stiffness!$C$6,IF(Element_Stiffness!$C$5=6,IF(0=Element_Stiffness!$C$5,Element_Stiffness!P28,IF(0=Element_Stiffness!$E$5,Element_Stiffness!V28,0)),IF(Element_Stiffness!$E$5=6,IF(0=Element_Stiffness!$C$5,Element_Stiffness!P34,IF(0=Element_Stiffness!$E$5,Element_Stiffness!V34,0)),0)),0)+IF(Element_Stiffness!$C$41,IF(Element_Stiffness!$C$40=6,IF(0=Element_Stiffness!$C$40,Element_Stiffness!P63,IF(0=Element_Stiffness!$E$40,Element_Stiffness!V63,0)),IF(Element_Stiffness!$E$40=6,IF(0=Element_Stiffness!$C$40,Element_Stiffness!P69,IF(0=Element_Stiffness!$E$40,Element_Stiffness!V69,0)),0)),0)+IF(Element_Stiffness!$C$76,IF(Element_Stiffness!$C$75=6,IF(0=Element_Stiffness!$C$75,Element_Stiffness!P98,IF(0=Element_Stiffness!$E$75,Element_Stiffness!V98,0)),IF(Element_Stiffness!$E$75=6,IF(0=Element_Stiffness!$C$75,Element_Stiffness!P104,IF(0=Element_Stiffness!$E$75,Element_Stiffness!V104,0)),0)),0)+IF(Element_Stiffness!$C$111,IF(Element_Stiffness!$C$110=6,IF(0=Element_Stiffness!$C$110,Element_Stiffness!P133,IF(0=Element_Stiffness!$E$110,Element_Stiffness!V133,0)),IF(Element_Stiffness!$E$110=6,IF(0=Element_Stiffness!$C$110,Element_Stiffness!P139,IF(0=Element_Stiffness!$E$110,Element_Stiffness!V139,0)),0)),0)+IF(Element_Stiffness!$C$146,IF(Element_Stiffness!$C$145=6,IF(0=Element_Stiffness!$C$145,Element_Stiffness!P168,IF(0=Element_Stiffness!$E$145,Element_Stiffness!V168,0)),IF(Element_Stiffness!$E$145=6,IF(0=Element_Stiffness!$C$145,Element_Stiffness!P174,IF(0=Element_Stiffness!$E$145,Element_Stiffness!V174,0)),0)),0)+IF(Element_Stiffness!$C$181,IF(Element_Stiffness!$C$180=6,IF(0=Element_Stiffness!$C$180,Element_Stiffness!P203,IF(0=Element_Stiffness!$E$180,Element_Stiffness!V203,0)),IF(Element_Stiffness!$E$180=6,IF(0=Element_Stiffness!$C$180,Element_Stiffness!P209,IF(0=Element_Stiffness!$E$180,Element_Stiffness!V209,0)),0)),0)+IF(Element_Stiffness!$C$216,IF(Element_Stiffness!$C$215=6,IF(0=Element_Stiffness!$C$215,Element_Stiffness!P238,IF(0=Element_Stiffness!$E$215,Element_Stiffness!V238,0)),IF(Element_Stiffness!$E$215=6,IF(0=Element_Stiffness!$C$215,Element_Stiffness!P244,IF(0=Element_Stiffness!$E$215,Element_Stiffness!V244,0)),0)),0)</f>
        <v/>
      </c>
      <c r="D43" s="21">
        <f>IF(Element_Stiffness!$C$6,IF(Element_Stiffness!$C$5=6,IF(0=Element_Stiffness!$C$5,Element_Stiffness!Q28,IF(0=Element_Stiffness!$E$5,Element_Stiffness!W28,0)),IF(Element_Stiffness!$E$5=6,IF(0=Element_Stiffness!$C$5,Element_Stiffness!Q34,IF(0=Element_Stiffness!$E$5,Element_Stiffness!W34,0)),0)),0)+IF(Element_Stiffness!$C$41,IF(Element_Stiffness!$C$40=6,IF(0=Element_Stiffness!$C$40,Element_Stiffness!Q63,IF(0=Element_Stiffness!$E$40,Element_Stiffness!W63,0)),IF(Element_Stiffness!$E$40=6,IF(0=Element_Stiffness!$C$40,Element_Stiffness!Q69,IF(0=Element_Stiffness!$E$40,Element_Stiffness!W69,0)),0)),0)+IF(Element_Stiffness!$C$76,IF(Element_Stiffness!$C$75=6,IF(0=Element_Stiffness!$C$75,Element_Stiffness!Q98,IF(0=Element_Stiffness!$E$75,Element_Stiffness!W98,0)),IF(Element_Stiffness!$E$75=6,IF(0=Element_Stiffness!$C$75,Element_Stiffness!Q104,IF(0=Element_Stiffness!$E$75,Element_Stiffness!W104,0)),0)),0)+IF(Element_Stiffness!$C$111,IF(Element_Stiffness!$C$110=6,IF(0=Element_Stiffness!$C$110,Element_Stiffness!Q133,IF(0=Element_Stiffness!$E$110,Element_Stiffness!W133,0)),IF(Element_Stiffness!$E$110=6,IF(0=Element_Stiffness!$C$110,Element_Stiffness!Q139,IF(0=Element_Stiffness!$E$110,Element_Stiffness!W139,0)),0)),0)+IF(Element_Stiffness!$C$146,IF(Element_Stiffness!$C$145=6,IF(0=Element_Stiffness!$C$145,Element_Stiffness!Q168,IF(0=Element_Stiffness!$E$145,Element_Stiffness!W168,0)),IF(Element_Stiffness!$E$145=6,IF(0=Element_Stiffness!$C$145,Element_Stiffness!Q174,IF(0=Element_Stiffness!$E$145,Element_Stiffness!W174,0)),0)),0)+IF(Element_Stiffness!$C$181,IF(Element_Stiffness!$C$180=6,IF(0=Element_Stiffness!$C$180,Element_Stiffness!Q203,IF(0=Element_Stiffness!$E$180,Element_Stiffness!W203,0)),IF(Element_Stiffness!$E$180=6,IF(0=Element_Stiffness!$C$180,Element_Stiffness!Q209,IF(0=Element_Stiffness!$E$180,Element_Stiffness!W209,0)),0)),0)+IF(Element_Stiffness!$C$216,IF(Element_Stiffness!$C$215=6,IF(0=Element_Stiffness!$C$215,Element_Stiffness!Q238,IF(0=Element_Stiffness!$E$215,Element_Stiffness!W238,0)),IF(Element_Stiffness!$E$215=6,IF(0=Element_Stiffness!$C$215,Element_Stiffness!Q244,IF(0=Element_Stiffness!$E$215,Element_Stiffness!W244,0)),0)),0)</f>
        <v/>
      </c>
      <c r="E43" s="21">
        <f>IF(Element_Stiffness!$C$6,IF(Element_Stiffness!$C$5=6,IF(0=Element_Stiffness!$C$5,Element_Stiffness!R28,IF(0=Element_Stiffness!$E$5,Element_Stiffness!X28,0)),IF(Element_Stiffness!$E$5=6,IF(0=Element_Stiffness!$C$5,Element_Stiffness!R34,IF(0=Element_Stiffness!$E$5,Element_Stiffness!X34,0)),0)),0)+IF(Element_Stiffness!$C$41,IF(Element_Stiffness!$C$40=6,IF(0=Element_Stiffness!$C$40,Element_Stiffness!R63,IF(0=Element_Stiffness!$E$40,Element_Stiffness!X63,0)),IF(Element_Stiffness!$E$40=6,IF(0=Element_Stiffness!$C$40,Element_Stiffness!R69,IF(0=Element_Stiffness!$E$40,Element_Stiffness!X69,0)),0)),0)+IF(Element_Stiffness!$C$76,IF(Element_Stiffness!$C$75=6,IF(0=Element_Stiffness!$C$75,Element_Stiffness!R98,IF(0=Element_Stiffness!$E$75,Element_Stiffness!X98,0)),IF(Element_Stiffness!$E$75=6,IF(0=Element_Stiffness!$C$75,Element_Stiffness!R104,IF(0=Element_Stiffness!$E$75,Element_Stiffness!X104,0)),0)),0)+IF(Element_Stiffness!$C$111,IF(Element_Stiffness!$C$110=6,IF(0=Element_Stiffness!$C$110,Element_Stiffness!R133,IF(0=Element_Stiffness!$E$110,Element_Stiffness!X133,0)),IF(Element_Stiffness!$E$110=6,IF(0=Element_Stiffness!$C$110,Element_Stiffness!R139,IF(0=Element_Stiffness!$E$110,Element_Stiffness!X139,0)),0)),0)+IF(Element_Stiffness!$C$146,IF(Element_Stiffness!$C$145=6,IF(0=Element_Stiffness!$C$145,Element_Stiffness!R168,IF(0=Element_Stiffness!$E$145,Element_Stiffness!X168,0)),IF(Element_Stiffness!$E$145=6,IF(0=Element_Stiffness!$C$145,Element_Stiffness!R174,IF(0=Element_Stiffness!$E$145,Element_Stiffness!X174,0)),0)),0)+IF(Element_Stiffness!$C$181,IF(Element_Stiffness!$C$180=6,IF(0=Element_Stiffness!$C$180,Element_Stiffness!R203,IF(0=Element_Stiffness!$E$180,Element_Stiffness!X203,0)),IF(Element_Stiffness!$E$180=6,IF(0=Element_Stiffness!$C$180,Element_Stiffness!R209,IF(0=Element_Stiffness!$E$180,Element_Stiffness!X209,0)),0)),0)+IF(Element_Stiffness!$C$216,IF(Element_Stiffness!$C$215=6,IF(0=Element_Stiffness!$C$215,Element_Stiffness!R238,IF(0=Element_Stiffness!$E$215,Element_Stiffness!X238,0)),IF(Element_Stiffness!$E$215=6,IF(0=Element_Stiffness!$C$215,Element_Stiffness!R244,IF(0=Element_Stiffness!$E$215,Element_Stiffness!X244,0)),0)),0)</f>
        <v/>
      </c>
      <c r="F43" s="21">
        <f>IF(Element_Stiffness!$C$6,IF(Element_Stiffness!$C$5=6,IF(0=Element_Stiffness!$C$5,Element_Stiffness!S28,IF(0=Element_Stiffness!$E$5,Element_Stiffness!Y28,0)),IF(Element_Stiffness!$E$5=6,IF(0=Element_Stiffness!$C$5,Element_Stiffness!S34,IF(0=Element_Stiffness!$E$5,Element_Stiffness!Y34,0)),0)),0)+IF(Element_Stiffness!$C$41,IF(Element_Stiffness!$C$40=6,IF(0=Element_Stiffness!$C$40,Element_Stiffness!S63,IF(0=Element_Stiffness!$E$40,Element_Stiffness!Y63,0)),IF(Element_Stiffness!$E$40=6,IF(0=Element_Stiffness!$C$40,Element_Stiffness!S69,IF(0=Element_Stiffness!$E$40,Element_Stiffness!Y69,0)),0)),0)+IF(Element_Stiffness!$C$76,IF(Element_Stiffness!$C$75=6,IF(0=Element_Stiffness!$C$75,Element_Stiffness!S98,IF(0=Element_Stiffness!$E$75,Element_Stiffness!Y98,0)),IF(Element_Stiffness!$E$75=6,IF(0=Element_Stiffness!$C$75,Element_Stiffness!S104,IF(0=Element_Stiffness!$E$75,Element_Stiffness!Y104,0)),0)),0)+IF(Element_Stiffness!$C$111,IF(Element_Stiffness!$C$110=6,IF(0=Element_Stiffness!$C$110,Element_Stiffness!S133,IF(0=Element_Stiffness!$E$110,Element_Stiffness!Y133,0)),IF(Element_Stiffness!$E$110=6,IF(0=Element_Stiffness!$C$110,Element_Stiffness!S139,IF(0=Element_Stiffness!$E$110,Element_Stiffness!Y139,0)),0)),0)+IF(Element_Stiffness!$C$146,IF(Element_Stiffness!$C$145=6,IF(0=Element_Stiffness!$C$145,Element_Stiffness!S168,IF(0=Element_Stiffness!$E$145,Element_Stiffness!Y168,0)),IF(Element_Stiffness!$E$145=6,IF(0=Element_Stiffness!$C$145,Element_Stiffness!S174,IF(0=Element_Stiffness!$E$145,Element_Stiffness!Y174,0)),0)),0)+IF(Element_Stiffness!$C$181,IF(Element_Stiffness!$C$180=6,IF(0=Element_Stiffness!$C$180,Element_Stiffness!S203,IF(0=Element_Stiffness!$E$180,Element_Stiffness!Y203,0)),IF(Element_Stiffness!$E$180=6,IF(0=Element_Stiffness!$C$180,Element_Stiffness!S209,IF(0=Element_Stiffness!$E$180,Element_Stiffness!Y209,0)),0)),0)+IF(Element_Stiffness!$C$216,IF(Element_Stiffness!$C$215=6,IF(0=Element_Stiffness!$C$215,Element_Stiffness!S238,IF(0=Element_Stiffness!$E$215,Element_Stiffness!Y238,0)),IF(Element_Stiffness!$E$215=6,IF(0=Element_Stiffness!$C$215,Element_Stiffness!S244,IF(0=Element_Stiffness!$E$215,Element_Stiffness!Y244,0)),0)),0)</f>
        <v/>
      </c>
      <c r="G43" s="21">
        <f>IF(Element_Stiffness!$C$6,IF(Element_Stiffness!$C$5=6,IF(0=Element_Stiffness!$C$5,Element_Stiffness!T28,IF(0=Element_Stiffness!$E$5,Element_Stiffness!Z28,0)),IF(Element_Stiffness!$E$5=6,IF(0=Element_Stiffness!$C$5,Element_Stiffness!T34,IF(0=Element_Stiffness!$E$5,Element_Stiffness!Z34,0)),0)),0)+IF(Element_Stiffness!$C$41,IF(Element_Stiffness!$C$40=6,IF(0=Element_Stiffness!$C$40,Element_Stiffness!T63,IF(0=Element_Stiffness!$E$40,Element_Stiffness!Z63,0)),IF(Element_Stiffness!$E$40=6,IF(0=Element_Stiffness!$C$40,Element_Stiffness!T69,IF(0=Element_Stiffness!$E$40,Element_Stiffness!Z69,0)),0)),0)+IF(Element_Stiffness!$C$76,IF(Element_Stiffness!$C$75=6,IF(0=Element_Stiffness!$C$75,Element_Stiffness!T98,IF(0=Element_Stiffness!$E$75,Element_Stiffness!Z98,0)),IF(Element_Stiffness!$E$75=6,IF(0=Element_Stiffness!$C$75,Element_Stiffness!T104,IF(0=Element_Stiffness!$E$75,Element_Stiffness!Z104,0)),0)),0)+IF(Element_Stiffness!$C$111,IF(Element_Stiffness!$C$110=6,IF(0=Element_Stiffness!$C$110,Element_Stiffness!T133,IF(0=Element_Stiffness!$E$110,Element_Stiffness!Z133,0)),IF(Element_Stiffness!$E$110=6,IF(0=Element_Stiffness!$C$110,Element_Stiffness!T139,IF(0=Element_Stiffness!$E$110,Element_Stiffness!Z139,0)),0)),0)+IF(Element_Stiffness!$C$146,IF(Element_Stiffness!$C$145=6,IF(0=Element_Stiffness!$C$145,Element_Stiffness!T168,IF(0=Element_Stiffness!$E$145,Element_Stiffness!Z168,0)),IF(Element_Stiffness!$E$145=6,IF(0=Element_Stiffness!$C$145,Element_Stiffness!T174,IF(0=Element_Stiffness!$E$145,Element_Stiffness!Z174,0)),0)),0)+IF(Element_Stiffness!$C$181,IF(Element_Stiffness!$C$180=6,IF(0=Element_Stiffness!$C$180,Element_Stiffness!T203,IF(0=Element_Stiffness!$E$180,Element_Stiffness!Z203,0)),IF(Element_Stiffness!$E$180=6,IF(0=Element_Stiffness!$C$180,Element_Stiffness!T209,IF(0=Element_Stiffness!$E$180,Element_Stiffness!Z209,0)),0)),0)+IF(Element_Stiffness!$C$216,IF(Element_Stiffness!$C$215=6,IF(0=Element_Stiffness!$C$215,Element_Stiffness!T238,IF(0=Element_Stiffness!$E$215,Element_Stiffness!Z238,0)),IF(Element_Stiffness!$E$215=6,IF(0=Element_Stiffness!$C$215,Element_Stiffness!T244,IF(0=Element_Stiffness!$E$215,Element_Stiffness!Z244,0)),0)),0)</f>
        <v/>
      </c>
      <c r="H43" s="21">
        <f>IF(Element_Stiffness!$C$6,IF(Element_Stiffness!$C$5=6,IF(0=Element_Stiffness!$C$5,Element_Stiffness!U28,IF(0=Element_Stiffness!$E$5,Element_Stiffness!AA28,0)),IF(Element_Stiffness!$E$5=6,IF(0=Element_Stiffness!$C$5,Element_Stiffness!U34,IF(0=Element_Stiffness!$E$5,Element_Stiffness!AA34,0)),0)),0)+IF(Element_Stiffness!$C$41,IF(Element_Stiffness!$C$40=6,IF(0=Element_Stiffness!$C$40,Element_Stiffness!U63,IF(0=Element_Stiffness!$E$40,Element_Stiffness!AA63,0)),IF(Element_Stiffness!$E$40=6,IF(0=Element_Stiffness!$C$40,Element_Stiffness!U69,IF(0=Element_Stiffness!$E$40,Element_Stiffness!AA69,0)),0)),0)+IF(Element_Stiffness!$C$76,IF(Element_Stiffness!$C$75=6,IF(0=Element_Stiffness!$C$75,Element_Stiffness!U98,IF(0=Element_Stiffness!$E$75,Element_Stiffness!AA98,0)),IF(Element_Stiffness!$E$75=6,IF(0=Element_Stiffness!$C$75,Element_Stiffness!U104,IF(0=Element_Stiffness!$E$75,Element_Stiffness!AA104,0)),0)),0)+IF(Element_Stiffness!$C$111,IF(Element_Stiffness!$C$110=6,IF(0=Element_Stiffness!$C$110,Element_Stiffness!U133,IF(0=Element_Stiffness!$E$110,Element_Stiffness!AA133,0)),IF(Element_Stiffness!$E$110=6,IF(0=Element_Stiffness!$C$110,Element_Stiffness!U139,IF(0=Element_Stiffness!$E$110,Element_Stiffness!AA139,0)),0)),0)+IF(Element_Stiffness!$C$146,IF(Element_Stiffness!$C$145=6,IF(0=Element_Stiffness!$C$145,Element_Stiffness!U168,IF(0=Element_Stiffness!$E$145,Element_Stiffness!AA168,0)),IF(Element_Stiffness!$E$145=6,IF(0=Element_Stiffness!$C$145,Element_Stiffness!U174,IF(0=Element_Stiffness!$E$145,Element_Stiffness!AA174,0)),0)),0)+IF(Element_Stiffness!$C$181,IF(Element_Stiffness!$C$180=6,IF(0=Element_Stiffness!$C$180,Element_Stiffness!U203,IF(0=Element_Stiffness!$E$180,Element_Stiffness!AA203,0)),IF(Element_Stiffness!$E$180=6,IF(0=Element_Stiffness!$C$180,Element_Stiffness!U209,IF(0=Element_Stiffness!$E$180,Element_Stiffness!AA209,0)),0)),0)+IF(Element_Stiffness!$C$216,IF(Element_Stiffness!$C$215=6,IF(0=Element_Stiffness!$C$215,Element_Stiffness!U238,IF(0=Element_Stiffness!$E$215,Element_Stiffness!AA238,0)),IF(Element_Stiffness!$E$215=6,IF(0=Element_Stiffness!$C$215,Element_Stiffness!U244,IF(0=Element_Stiffness!$E$215,Element_Stiffness!AA244,0)),0)),0)</f>
        <v/>
      </c>
      <c r="I43" s="21">
        <f>IF(Element_Stiffness!$C$6,IF(Element_Stiffness!$C$5=6,IF(1=Element_Stiffness!$C$5,Element_Stiffness!P28,IF(1=Element_Stiffness!$E$5,Element_Stiffness!V28,0)),IF(Element_Stiffness!$E$5=6,IF(1=Element_Stiffness!$C$5,Element_Stiffness!P34,IF(1=Element_Stiffness!$E$5,Element_Stiffness!V34,0)),0)),0)+IF(Element_Stiffness!$C$41,IF(Element_Stiffness!$C$40=6,IF(1=Element_Stiffness!$C$40,Element_Stiffness!P63,IF(1=Element_Stiffness!$E$40,Element_Stiffness!V63,0)),IF(Element_Stiffness!$E$40=6,IF(1=Element_Stiffness!$C$40,Element_Stiffness!P69,IF(1=Element_Stiffness!$E$40,Element_Stiffness!V69,0)),0)),0)+IF(Element_Stiffness!$C$76,IF(Element_Stiffness!$C$75=6,IF(1=Element_Stiffness!$C$75,Element_Stiffness!P98,IF(1=Element_Stiffness!$E$75,Element_Stiffness!V98,0)),IF(Element_Stiffness!$E$75=6,IF(1=Element_Stiffness!$C$75,Element_Stiffness!P104,IF(1=Element_Stiffness!$E$75,Element_Stiffness!V104,0)),0)),0)+IF(Element_Stiffness!$C$111,IF(Element_Stiffness!$C$110=6,IF(1=Element_Stiffness!$C$110,Element_Stiffness!P133,IF(1=Element_Stiffness!$E$110,Element_Stiffness!V133,0)),IF(Element_Stiffness!$E$110=6,IF(1=Element_Stiffness!$C$110,Element_Stiffness!P139,IF(1=Element_Stiffness!$E$110,Element_Stiffness!V139,0)),0)),0)+IF(Element_Stiffness!$C$146,IF(Element_Stiffness!$C$145=6,IF(1=Element_Stiffness!$C$145,Element_Stiffness!P168,IF(1=Element_Stiffness!$E$145,Element_Stiffness!V168,0)),IF(Element_Stiffness!$E$145=6,IF(1=Element_Stiffness!$C$145,Element_Stiffness!P174,IF(1=Element_Stiffness!$E$145,Element_Stiffness!V174,0)),0)),0)+IF(Element_Stiffness!$C$181,IF(Element_Stiffness!$C$180=6,IF(1=Element_Stiffness!$C$180,Element_Stiffness!P203,IF(1=Element_Stiffness!$E$180,Element_Stiffness!V203,0)),IF(Element_Stiffness!$E$180=6,IF(1=Element_Stiffness!$C$180,Element_Stiffness!P209,IF(1=Element_Stiffness!$E$180,Element_Stiffness!V209,0)),0)),0)+IF(Element_Stiffness!$C$216,IF(Element_Stiffness!$C$215=6,IF(1=Element_Stiffness!$C$215,Element_Stiffness!P238,IF(1=Element_Stiffness!$E$215,Element_Stiffness!V238,0)),IF(Element_Stiffness!$E$215=6,IF(1=Element_Stiffness!$C$215,Element_Stiffness!P244,IF(1=Element_Stiffness!$E$215,Element_Stiffness!V244,0)),0)),0)</f>
        <v/>
      </c>
      <c r="J43" s="21">
        <f>IF(Element_Stiffness!$C$6,IF(Element_Stiffness!$C$5=6,IF(1=Element_Stiffness!$C$5,Element_Stiffness!Q28,IF(1=Element_Stiffness!$E$5,Element_Stiffness!W28,0)),IF(Element_Stiffness!$E$5=6,IF(1=Element_Stiffness!$C$5,Element_Stiffness!Q34,IF(1=Element_Stiffness!$E$5,Element_Stiffness!W34,0)),0)),0)+IF(Element_Stiffness!$C$41,IF(Element_Stiffness!$C$40=6,IF(1=Element_Stiffness!$C$40,Element_Stiffness!Q63,IF(1=Element_Stiffness!$E$40,Element_Stiffness!W63,0)),IF(Element_Stiffness!$E$40=6,IF(1=Element_Stiffness!$C$40,Element_Stiffness!Q69,IF(1=Element_Stiffness!$E$40,Element_Stiffness!W69,0)),0)),0)+IF(Element_Stiffness!$C$76,IF(Element_Stiffness!$C$75=6,IF(1=Element_Stiffness!$C$75,Element_Stiffness!Q98,IF(1=Element_Stiffness!$E$75,Element_Stiffness!W98,0)),IF(Element_Stiffness!$E$75=6,IF(1=Element_Stiffness!$C$75,Element_Stiffness!Q104,IF(1=Element_Stiffness!$E$75,Element_Stiffness!W104,0)),0)),0)+IF(Element_Stiffness!$C$111,IF(Element_Stiffness!$C$110=6,IF(1=Element_Stiffness!$C$110,Element_Stiffness!Q133,IF(1=Element_Stiffness!$E$110,Element_Stiffness!W133,0)),IF(Element_Stiffness!$E$110=6,IF(1=Element_Stiffness!$C$110,Element_Stiffness!Q139,IF(1=Element_Stiffness!$E$110,Element_Stiffness!W139,0)),0)),0)+IF(Element_Stiffness!$C$146,IF(Element_Stiffness!$C$145=6,IF(1=Element_Stiffness!$C$145,Element_Stiffness!Q168,IF(1=Element_Stiffness!$E$145,Element_Stiffness!W168,0)),IF(Element_Stiffness!$E$145=6,IF(1=Element_Stiffness!$C$145,Element_Stiffness!Q174,IF(1=Element_Stiffness!$E$145,Element_Stiffness!W174,0)),0)),0)+IF(Element_Stiffness!$C$181,IF(Element_Stiffness!$C$180=6,IF(1=Element_Stiffness!$C$180,Element_Stiffness!Q203,IF(1=Element_Stiffness!$E$180,Element_Stiffness!W203,0)),IF(Element_Stiffness!$E$180=6,IF(1=Element_Stiffness!$C$180,Element_Stiffness!Q209,IF(1=Element_Stiffness!$E$180,Element_Stiffness!W209,0)),0)),0)+IF(Element_Stiffness!$C$216,IF(Element_Stiffness!$C$215=6,IF(1=Element_Stiffness!$C$215,Element_Stiffness!Q238,IF(1=Element_Stiffness!$E$215,Element_Stiffness!W238,0)),IF(Element_Stiffness!$E$215=6,IF(1=Element_Stiffness!$C$215,Element_Stiffness!Q244,IF(1=Element_Stiffness!$E$215,Element_Stiffness!W244,0)),0)),0)</f>
        <v/>
      </c>
      <c r="K43" s="21">
        <f>IF(Element_Stiffness!$C$6,IF(Element_Stiffness!$C$5=6,IF(1=Element_Stiffness!$C$5,Element_Stiffness!R28,IF(1=Element_Stiffness!$E$5,Element_Stiffness!X28,0)),IF(Element_Stiffness!$E$5=6,IF(1=Element_Stiffness!$C$5,Element_Stiffness!R34,IF(1=Element_Stiffness!$E$5,Element_Stiffness!X34,0)),0)),0)+IF(Element_Stiffness!$C$41,IF(Element_Stiffness!$C$40=6,IF(1=Element_Stiffness!$C$40,Element_Stiffness!R63,IF(1=Element_Stiffness!$E$40,Element_Stiffness!X63,0)),IF(Element_Stiffness!$E$40=6,IF(1=Element_Stiffness!$C$40,Element_Stiffness!R69,IF(1=Element_Stiffness!$E$40,Element_Stiffness!X69,0)),0)),0)+IF(Element_Stiffness!$C$76,IF(Element_Stiffness!$C$75=6,IF(1=Element_Stiffness!$C$75,Element_Stiffness!R98,IF(1=Element_Stiffness!$E$75,Element_Stiffness!X98,0)),IF(Element_Stiffness!$E$75=6,IF(1=Element_Stiffness!$C$75,Element_Stiffness!R104,IF(1=Element_Stiffness!$E$75,Element_Stiffness!X104,0)),0)),0)+IF(Element_Stiffness!$C$111,IF(Element_Stiffness!$C$110=6,IF(1=Element_Stiffness!$C$110,Element_Stiffness!R133,IF(1=Element_Stiffness!$E$110,Element_Stiffness!X133,0)),IF(Element_Stiffness!$E$110=6,IF(1=Element_Stiffness!$C$110,Element_Stiffness!R139,IF(1=Element_Stiffness!$E$110,Element_Stiffness!X139,0)),0)),0)+IF(Element_Stiffness!$C$146,IF(Element_Stiffness!$C$145=6,IF(1=Element_Stiffness!$C$145,Element_Stiffness!R168,IF(1=Element_Stiffness!$E$145,Element_Stiffness!X168,0)),IF(Element_Stiffness!$E$145=6,IF(1=Element_Stiffness!$C$145,Element_Stiffness!R174,IF(1=Element_Stiffness!$E$145,Element_Stiffness!X174,0)),0)),0)+IF(Element_Stiffness!$C$181,IF(Element_Stiffness!$C$180=6,IF(1=Element_Stiffness!$C$180,Element_Stiffness!R203,IF(1=Element_Stiffness!$E$180,Element_Stiffness!X203,0)),IF(Element_Stiffness!$E$180=6,IF(1=Element_Stiffness!$C$180,Element_Stiffness!R209,IF(1=Element_Stiffness!$E$180,Element_Stiffness!X209,0)),0)),0)+IF(Element_Stiffness!$C$216,IF(Element_Stiffness!$C$215=6,IF(1=Element_Stiffness!$C$215,Element_Stiffness!R238,IF(1=Element_Stiffness!$E$215,Element_Stiffness!X238,0)),IF(Element_Stiffness!$E$215=6,IF(1=Element_Stiffness!$C$215,Element_Stiffness!R244,IF(1=Element_Stiffness!$E$215,Element_Stiffness!X244,0)),0)),0)</f>
        <v/>
      </c>
      <c r="L43" s="21">
        <f>IF(Element_Stiffness!$C$6,IF(Element_Stiffness!$C$5=6,IF(1=Element_Stiffness!$C$5,Element_Stiffness!S28,IF(1=Element_Stiffness!$E$5,Element_Stiffness!Y28,0)),IF(Element_Stiffness!$E$5=6,IF(1=Element_Stiffness!$C$5,Element_Stiffness!S34,IF(1=Element_Stiffness!$E$5,Element_Stiffness!Y34,0)),0)),0)+IF(Element_Stiffness!$C$41,IF(Element_Stiffness!$C$40=6,IF(1=Element_Stiffness!$C$40,Element_Stiffness!S63,IF(1=Element_Stiffness!$E$40,Element_Stiffness!Y63,0)),IF(Element_Stiffness!$E$40=6,IF(1=Element_Stiffness!$C$40,Element_Stiffness!S69,IF(1=Element_Stiffness!$E$40,Element_Stiffness!Y69,0)),0)),0)+IF(Element_Stiffness!$C$76,IF(Element_Stiffness!$C$75=6,IF(1=Element_Stiffness!$C$75,Element_Stiffness!S98,IF(1=Element_Stiffness!$E$75,Element_Stiffness!Y98,0)),IF(Element_Stiffness!$E$75=6,IF(1=Element_Stiffness!$C$75,Element_Stiffness!S104,IF(1=Element_Stiffness!$E$75,Element_Stiffness!Y104,0)),0)),0)+IF(Element_Stiffness!$C$111,IF(Element_Stiffness!$C$110=6,IF(1=Element_Stiffness!$C$110,Element_Stiffness!S133,IF(1=Element_Stiffness!$E$110,Element_Stiffness!Y133,0)),IF(Element_Stiffness!$E$110=6,IF(1=Element_Stiffness!$C$110,Element_Stiffness!S139,IF(1=Element_Stiffness!$E$110,Element_Stiffness!Y139,0)),0)),0)+IF(Element_Stiffness!$C$146,IF(Element_Stiffness!$C$145=6,IF(1=Element_Stiffness!$C$145,Element_Stiffness!S168,IF(1=Element_Stiffness!$E$145,Element_Stiffness!Y168,0)),IF(Element_Stiffness!$E$145=6,IF(1=Element_Stiffness!$C$145,Element_Stiffness!S174,IF(1=Element_Stiffness!$E$145,Element_Stiffness!Y174,0)),0)),0)+IF(Element_Stiffness!$C$181,IF(Element_Stiffness!$C$180=6,IF(1=Element_Stiffness!$C$180,Element_Stiffness!S203,IF(1=Element_Stiffness!$E$180,Element_Stiffness!Y203,0)),IF(Element_Stiffness!$E$180=6,IF(1=Element_Stiffness!$C$180,Element_Stiffness!S209,IF(1=Element_Stiffness!$E$180,Element_Stiffness!Y209,0)),0)),0)+IF(Element_Stiffness!$C$216,IF(Element_Stiffness!$C$215=6,IF(1=Element_Stiffness!$C$215,Element_Stiffness!S238,IF(1=Element_Stiffness!$E$215,Element_Stiffness!Y238,0)),IF(Element_Stiffness!$E$215=6,IF(1=Element_Stiffness!$C$215,Element_Stiffness!S244,IF(1=Element_Stiffness!$E$215,Element_Stiffness!Y244,0)),0)),0)</f>
        <v/>
      </c>
      <c r="M43" s="21">
        <f>IF(Element_Stiffness!$C$6,IF(Element_Stiffness!$C$5=6,IF(1=Element_Stiffness!$C$5,Element_Stiffness!T28,IF(1=Element_Stiffness!$E$5,Element_Stiffness!Z28,0)),IF(Element_Stiffness!$E$5=6,IF(1=Element_Stiffness!$C$5,Element_Stiffness!T34,IF(1=Element_Stiffness!$E$5,Element_Stiffness!Z34,0)),0)),0)+IF(Element_Stiffness!$C$41,IF(Element_Stiffness!$C$40=6,IF(1=Element_Stiffness!$C$40,Element_Stiffness!T63,IF(1=Element_Stiffness!$E$40,Element_Stiffness!Z63,0)),IF(Element_Stiffness!$E$40=6,IF(1=Element_Stiffness!$C$40,Element_Stiffness!T69,IF(1=Element_Stiffness!$E$40,Element_Stiffness!Z69,0)),0)),0)+IF(Element_Stiffness!$C$76,IF(Element_Stiffness!$C$75=6,IF(1=Element_Stiffness!$C$75,Element_Stiffness!T98,IF(1=Element_Stiffness!$E$75,Element_Stiffness!Z98,0)),IF(Element_Stiffness!$E$75=6,IF(1=Element_Stiffness!$C$75,Element_Stiffness!T104,IF(1=Element_Stiffness!$E$75,Element_Stiffness!Z104,0)),0)),0)+IF(Element_Stiffness!$C$111,IF(Element_Stiffness!$C$110=6,IF(1=Element_Stiffness!$C$110,Element_Stiffness!T133,IF(1=Element_Stiffness!$E$110,Element_Stiffness!Z133,0)),IF(Element_Stiffness!$E$110=6,IF(1=Element_Stiffness!$C$110,Element_Stiffness!T139,IF(1=Element_Stiffness!$E$110,Element_Stiffness!Z139,0)),0)),0)+IF(Element_Stiffness!$C$146,IF(Element_Stiffness!$C$145=6,IF(1=Element_Stiffness!$C$145,Element_Stiffness!T168,IF(1=Element_Stiffness!$E$145,Element_Stiffness!Z168,0)),IF(Element_Stiffness!$E$145=6,IF(1=Element_Stiffness!$C$145,Element_Stiffness!T174,IF(1=Element_Stiffness!$E$145,Element_Stiffness!Z174,0)),0)),0)+IF(Element_Stiffness!$C$181,IF(Element_Stiffness!$C$180=6,IF(1=Element_Stiffness!$C$180,Element_Stiffness!T203,IF(1=Element_Stiffness!$E$180,Element_Stiffness!Z203,0)),IF(Element_Stiffness!$E$180=6,IF(1=Element_Stiffness!$C$180,Element_Stiffness!T209,IF(1=Element_Stiffness!$E$180,Element_Stiffness!Z209,0)),0)),0)+IF(Element_Stiffness!$C$216,IF(Element_Stiffness!$C$215=6,IF(1=Element_Stiffness!$C$215,Element_Stiffness!T238,IF(1=Element_Stiffness!$E$215,Element_Stiffness!Z238,0)),IF(Element_Stiffness!$E$215=6,IF(1=Element_Stiffness!$C$215,Element_Stiffness!T244,IF(1=Element_Stiffness!$E$215,Element_Stiffness!Z244,0)),0)),0)</f>
        <v/>
      </c>
      <c r="N43" s="21">
        <f>IF(Element_Stiffness!$C$6,IF(Element_Stiffness!$C$5=6,IF(1=Element_Stiffness!$C$5,Element_Stiffness!U28,IF(1=Element_Stiffness!$E$5,Element_Stiffness!AA28,0)),IF(Element_Stiffness!$E$5=6,IF(1=Element_Stiffness!$C$5,Element_Stiffness!U34,IF(1=Element_Stiffness!$E$5,Element_Stiffness!AA34,0)),0)),0)+IF(Element_Stiffness!$C$41,IF(Element_Stiffness!$C$40=6,IF(1=Element_Stiffness!$C$40,Element_Stiffness!U63,IF(1=Element_Stiffness!$E$40,Element_Stiffness!AA63,0)),IF(Element_Stiffness!$E$40=6,IF(1=Element_Stiffness!$C$40,Element_Stiffness!U69,IF(1=Element_Stiffness!$E$40,Element_Stiffness!AA69,0)),0)),0)+IF(Element_Stiffness!$C$76,IF(Element_Stiffness!$C$75=6,IF(1=Element_Stiffness!$C$75,Element_Stiffness!U98,IF(1=Element_Stiffness!$E$75,Element_Stiffness!AA98,0)),IF(Element_Stiffness!$E$75=6,IF(1=Element_Stiffness!$C$75,Element_Stiffness!U104,IF(1=Element_Stiffness!$E$75,Element_Stiffness!AA104,0)),0)),0)+IF(Element_Stiffness!$C$111,IF(Element_Stiffness!$C$110=6,IF(1=Element_Stiffness!$C$110,Element_Stiffness!U133,IF(1=Element_Stiffness!$E$110,Element_Stiffness!AA133,0)),IF(Element_Stiffness!$E$110=6,IF(1=Element_Stiffness!$C$110,Element_Stiffness!U139,IF(1=Element_Stiffness!$E$110,Element_Stiffness!AA139,0)),0)),0)+IF(Element_Stiffness!$C$146,IF(Element_Stiffness!$C$145=6,IF(1=Element_Stiffness!$C$145,Element_Stiffness!U168,IF(1=Element_Stiffness!$E$145,Element_Stiffness!AA168,0)),IF(Element_Stiffness!$E$145=6,IF(1=Element_Stiffness!$C$145,Element_Stiffness!U174,IF(1=Element_Stiffness!$E$145,Element_Stiffness!AA174,0)),0)),0)+IF(Element_Stiffness!$C$181,IF(Element_Stiffness!$C$180=6,IF(1=Element_Stiffness!$C$180,Element_Stiffness!U203,IF(1=Element_Stiffness!$E$180,Element_Stiffness!AA203,0)),IF(Element_Stiffness!$E$180=6,IF(1=Element_Stiffness!$C$180,Element_Stiffness!U209,IF(1=Element_Stiffness!$E$180,Element_Stiffness!AA209,0)),0)),0)+IF(Element_Stiffness!$C$216,IF(Element_Stiffness!$C$215=6,IF(1=Element_Stiffness!$C$215,Element_Stiffness!U238,IF(1=Element_Stiffness!$E$215,Element_Stiffness!AA238,0)),IF(Element_Stiffness!$E$215=6,IF(1=Element_Stiffness!$C$215,Element_Stiffness!U244,IF(1=Element_Stiffness!$E$215,Element_Stiffness!AA244,0)),0)),0)</f>
        <v/>
      </c>
      <c r="O43" s="21">
        <f>IF(Element_Stiffness!$C$6,IF(Element_Stiffness!$C$5=6,IF(2=Element_Stiffness!$C$5,Element_Stiffness!P28,IF(2=Element_Stiffness!$E$5,Element_Stiffness!V28,0)),IF(Element_Stiffness!$E$5=6,IF(2=Element_Stiffness!$C$5,Element_Stiffness!P34,IF(2=Element_Stiffness!$E$5,Element_Stiffness!V34,0)),0)),0)+IF(Element_Stiffness!$C$41,IF(Element_Stiffness!$C$40=6,IF(2=Element_Stiffness!$C$40,Element_Stiffness!P63,IF(2=Element_Stiffness!$E$40,Element_Stiffness!V63,0)),IF(Element_Stiffness!$E$40=6,IF(2=Element_Stiffness!$C$40,Element_Stiffness!P69,IF(2=Element_Stiffness!$E$40,Element_Stiffness!V69,0)),0)),0)+IF(Element_Stiffness!$C$76,IF(Element_Stiffness!$C$75=6,IF(2=Element_Stiffness!$C$75,Element_Stiffness!P98,IF(2=Element_Stiffness!$E$75,Element_Stiffness!V98,0)),IF(Element_Stiffness!$E$75=6,IF(2=Element_Stiffness!$C$75,Element_Stiffness!P104,IF(2=Element_Stiffness!$E$75,Element_Stiffness!V104,0)),0)),0)+IF(Element_Stiffness!$C$111,IF(Element_Stiffness!$C$110=6,IF(2=Element_Stiffness!$C$110,Element_Stiffness!P133,IF(2=Element_Stiffness!$E$110,Element_Stiffness!V133,0)),IF(Element_Stiffness!$E$110=6,IF(2=Element_Stiffness!$C$110,Element_Stiffness!P139,IF(2=Element_Stiffness!$E$110,Element_Stiffness!V139,0)),0)),0)+IF(Element_Stiffness!$C$146,IF(Element_Stiffness!$C$145=6,IF(2=Element_Stiffness!$C$145,Element_Stiffness!P168,IF(2=Element_Stiffness!$E$145,Element_Stiffness!V168,0)),IF(Element_Stiffness!$E$145=6,IF(2=Element_Stiffness!$C$145,Element_Stiffness!P174,IF(2=Element_Stiffness!$E$145,Element_Stiffness!V174,0)),0)),0)+IF(Element_Stiffness!$C$181,IF(Element_Stiffness!$C$180=6,IF(2=Element_Stiffness!$C$180,Element_Stiffness!P203,IF(2=Element_Stiffness!$E$180,Element_Stiffness!V203,0)),IF(Element_Stiffness!$E$180=6,IF(2=Element_Stiffness!$C$180,Element_Stiffness!P209,IF(2=Element_Stiffness!$E$180,Element_Stiffness!V209,0)),0)),0)+IF(Element_Stiffness!$C$216,IF(Element_Stiffness!$C$215=6,IF(2=Element_Stiffness!$C$215,Element_Stiffness!P238,IF(2=Element_Stiffness!$E$215,Element_Stiffness!V238,0)),IF(Element_Stiffness!$E$215=6,IF(2=Element_Stiffness!$C$215,Element_Stiffness!P244,IF(2=Element_Stiffness!$E$215,Element_Stiffness!V244,0)),0)),0)</f>
        <v/>
      </c>
      <c r="P43" s="21">
        <f>IF(Element_Stiffness!$C$6,IF(Element_Stiffness!$C$5=6,IF(2=Element_Stiffness!$C$5,Element_Stiffness!Q28,IF(2=Element_Stiffness!$E$5,Element_Stiffness!W28,0)),IF(Element_Stiffness!$E$5=6,IF(2=Element_Stiffness!$C$5,Element_Stiffness!Q34,IF(2=Element_Stiffness!$E$5,Element_Stiffness!W34,0)),0)),0)+IF(Element_Stiffness!$C$41,IF(Element_Stiffness!$C$40=6,IF(2=Element_Stiffness!$C$40,Element_Stiffness!Q63,IF(2=Element_Stiffness!$E$40,Element_Stiffness!W63,0)),IF(Element_Stiffness!$E$40=6,IF(2=Element_Stiffness!$C$40,Element_Stiffness!Q69,IF(2=Element_Stiffness!$E$40,Element_Stiffness!W69,0)),0)),0)+IF(Element_Stiffness!$C$76,IF(Element_Stiffness!$C$75=6,IF(2=Element_Stiffness!$C$75,Element_Stiffness!Q98,IF(2=Element_Stiffness!$E$75,Element_Stiffness!W98,0)),IF(Element_Stiffness!$E$75=6,IF(2=Element_Stiffness!$C$75,Element_Stiffness!Q104,IF(2=Element_Stiffness!$E$75,Element_Stiffness!W104,0)),0)),0)+IF(Element_Stiffness!$C$111,IF(Element_Stiffness!$C$110=6,IF(2=Element_Stiffness!$C$110,Element_Stiffness!Q133,IF(2=Element_Stiffness!$E$110,Element_Stiffness!W133,0)),IF(Element_Stiffness!$E$110=6,IF(2=Element_Stiffness!$C$110,Element_Stiffness!Q139,IF(2=Element_Stiffness!$E$110,Element_Stiffness!W139,0)),0)),0)+IF(Element_Stiffness!$C$146,IF(Element_Stiffness!$C$145=6,IF(2=Element_Stiffness!$C$145,Element_Stiffness!Q168,IF(2=Element_Stiffness!$E$145,Element_Stiffness!W168,0)),IF(Element_Stiffness!$E$145=6,IF(2=Element_Stiffness!$C$145,Element_Stiffness!Q174,IF(2=Element_Stiffness!$E$145,Element_Stiffness!W174,0)),0)),0)+IF(Element_Stiffness!$C$181,IF(Element_Stiffness!$C$180=6,IF(2=Element_Stiffness!$C$180,Element_Stiffness!Q203,IF(2=Element_Stiffness!$E$180,Element_Stiffness!W203,0)),IF(Element_Stiffness!$E$180=6,IF(2=Element_Stiffness!$C$180,Element_Stiffness!Q209,IF(2=Element_Stiffness!$E$180,Element_Stiffness!W209,0)),0)),0)+IF(Element_Stiffness!$C$216,IF(Element_Stiffness!$C$215=6,IF(2=Element_Stiffness!$C$215,Element_Stiffness!Q238,IF(2=Element_Stiffness!$E$215,Element_Stiffness!W238,0)),IF(Element_Stiffness!$E$215=6,IF(2=Element_Stiffness!$C$215,Element_Stiffness!Q244,IF(2=Element_Stiffness!$E$215,Element_Stiffness!W244,0)),0)),0)</f>
        <v/>
      </c>
      <c r="Q43" s="21">
        <f>IF(Element_Stiffness!$C$6,IF(Element_Stiffness!$C$5=6,IF(2=Element_Stiffness!$C$5,Element_Stiffness!R28,IF(2=Element_Stiffness!$E$5,Element_Stiffness!X28,0)),IF(Element_Stiffness!$E$5=6,IF(2=Element_Stiffness!$C$5,Element_Stiffness!R34,IF(2=Element_Stiffness!$E$5,Element_Stiffness!X34,0)),0)),0)+IF(Element_Stiffness!$C$41,IF(Element_Stiffness!$C$40=6,IF(2=Element_Stiffness!$C$40,Element_Stiffness!R63,IF(2=Element_Stiffness!$E$40,Element_Stiffness!X63,0)),IF(Element_Stiffness!$E$40=6,IF(2=Element_Stiffness!$C$40,Element_Stiffness!R69,IF(2=Element_Stiffness!$E$40,Element_Stiffness!X69,0)),0)),0)+IF(Element_Stiffness!$C$76,IF(Element_Stiffness!$C$75=6,IF(2=Element_Stiffness!$C$75,Element_Stiffness!R98,IF(2=Element_Stiffness!$E$75,Element_Stiffness!X98,0)),IF(Element_Stiffness!$E$75=6,IF(2=Element_Stiffness!$C$75,Element_Stiffness!R104,IF(2=Element_Stiffness!$E$75,Element_Stiffness!X104,0)),0)),0)+IF(Element_Stiffness!$C$111,IF(Element_Stiffness!$C$110=6,IF(2=Element_Stiffness!$C$110,Element_Stiffness!R133,IF(2=Element_Stiffness!$E$110,Element_Stiffness!X133,0)),IF(Element_Stiffness!$E$110=6,IF(2=Element_Stiffness!$C$110,Element_Stiffness!R139,IF(2=Element_Stiffness!$E$110,Element_Stiffness!X139,0)),0)),0)+IF(Element_Stiffness!$C$146,IF(Element_Stiffness!$C$145=6,IF(2=Element_Stiffness!$C$145,Element_Stiffness!R168,IF(2=Element_Stiffness!$E$145,Element_Stiffness!X168,0)),IF(Element_Stiffness!$E$145=6,IF(2=Element_Stiffness!$C$145,Element_Stiffness!R174,IF(2=Element_Stiffness!$E$145,Element_Stiffness!X174,0)),0)),0)+IF(Element_Stiffness!$C$181,IF(Element_Stiffness!$C$180=6,IF(2=Element_Stiffness!$C$180,Element_Stiffness!R203,IF(2=Element_Stiffness!$E$180,Element_Stiffness!X203,0)),IF(Element_Stiffness!$E$180=6,IF(2=Element_Stiffness!$C$180,Element_Stiffness!R209,IF(2=Element_Stiffness!$E$180,Element_Stiffness!X209,0)),0)),0)+IF(Element_Stiffness!$C$216,IF(Element_Stiffness!$C$215=6,IF(2=Element_Stiffness!$C$215,Element_Stiffness!R238,IF(2=Element_Stiffness!$E$215,Element_Stiffness!X238,0)),IF(Element_Stiffness!$E$215=6,IF(2=Element_Stiffness!$C$215,Element_Stiffness!R244,IF(2=Element_Stiffness!$E$215,Element_Stiffness!X244,0)),0)),0)</f>
        <v/>
      </c>
      <c r="R43" s="21">
        <f>IF(Element_Stiffness!$C$6,IF(Element_Stiffness!$C$5=6,IF(2=Element_Stiffness!$C$5,Element_Stiffness!S28,IF(2=Element_Stiffness!$E$5,Element_Stiffness!Y28,0)),IF(Element_Stiffness!$E$5=6,IF(2=Element_Stiffness!$C$5,Element_Stiffness!S34,IF(2=Element_Stiffness!$E$5,Element_Stiffness!Y34,0)),0)),0)+IF(Element_Stiffness!$C$41,IF(Element_Stiffness!$C$40=6,IF(2=Element_Stiffness!$C$40,Element_Stiffness!S63,IF(2=Element_Stiffness!$E$40,Element_Stiffness!Y63,0)),IF(Element_Stiffness!$E$40=6,IF(2=Element_Stiffness!$C$40,Element_Stiffness!S69,IF(2=Element_Stiffness!$E$40,Element_Stiffness!Y69,0)),0)),0)+IF(Element_Stiffness!$C$76,IF(Element_Stiffness!$C$75=6,IF(2=Element_Stiffness!$C$75,Element_Stiffness!S98,IF(2=Element_Stiffness!$E$75,Element_Stiffness!Y98,0)),IF(Element_Stiffness!$E$75=6,IF(2=Element_Stiffness!$C$75,Element_Stiffness!S104,IF(2=Element_Stiffness!$E$75,Element_Stiffness!Y104,0)),0)),0)+IF(Element_Stiffness!$C$111,IF(Element_Stiffness!$C$110=6,IF(2=Element_Stiffness!$C$110,Element_Stiffness!S133,IF(2=Element_Stiffness!$E$110,Element_Stiffness!Y133,0)),IF(Element_Stiffness!$E$110=6,IF(2=Element_Stiffness!$C$110,Element_Stiffness!S139,IF(2=Element_Stiffness!$E$110,Element_Stiffness!Y139,0)),0)),0)+IF(Element_Stiffness!$C$146,IF(Element_Stiffness!$C$145=6,IF(2=Element_Stiffness!$C$145,Element_Stiffness!S168,IF(2=Element_Stiffness!$E$145,Element_Stiffness!Y168,0)),IF(Element_Stiffness!$E$145=6,IF(2=Element_Stiffness!$C$145,Element_Stiffness!S174,IF(2=Element_Stiffness!$E$145,Element_Stiffness!Y174,0)),0)),0)+IF(Element_Stiffness!$C$181,IF(Element_Stiffness!$C$180=6,IF(2=Element_Stiffness!$C$180,Element_Stiffness!S203,IF(2=Element_Stiffness!$E$180,Element_Stiffness!Y203,0)),IF(Element_Stiffness!$E$180=6,IF(2=Element_Stiffness!$C$180,Element_Stiffness!S209,IF(2=Element_Stiffness!$E$180,Element_Stiffness!Y209,0)),0)),0)+IF(Element_Stiffness!$C$216,IF(Element_Stiffness!$C$215=6,IF(2=Element_Stiffness!$C$215,Element_Stiffness!S238,IF(2=Element_Stiffness!$E$215,Element_Stiffness!Y238,0)),IF(Element_Stiffness!$E$215=6,IF(2=Element_Stiffness!$C$215,Element_Stiffness!S244,IF(2=Element_Stiffness!$E$215,Element_Stiffness!Y244,0)),0)),0)</f>
        <v/>
      </c>
      <c r="S43" s="21">
        <f>IF(Element_Stiffness!$C$6,IF(Element_Stiffness!$C$5=6,IF(2=Element_Stiffness!$C$5,Element_Stiffness!T28,IF(2=Element_Stiffness!$E$5,Element_Stiffness!Z28,0)),IF(Element_Stiffness!$E$5=6,IF(2=Element_Stiffness!$C$5,Element_Stiffness!T34,IF(2=Element_Stiffness!$E$5,Element_Stiffness!Z34,0)),0)),0)+IF(Element_Stiffness!$C$41,IF(Element_Stiffness!$C$40=6,IF(2=Element_Stiffness!$C$40,Element_Stiffness!T63,IF(2=Element_Stiffness!$E$40,Element_Stiffness!Z63,0)),IF(Element_Stiffness!$E$40=6,IF(2=Element_Stiffness!$C$40,Element_Stiffness!T69,IF(2=Element_Stiffness!$E$40,Element_Stiffness!Z69,0)),0)),0)+IF(Element_Stiffness!$C$76,IF(Element_Stiffness!$C$75=6,IF(2=Element_Stiffness!$C$75,Element_Stiffness!T98,IF(2=Element_Stiffness!$E$75,Element_Stiffness!Z98,0)),IF(Element_Stiffness!$E$75=6,IF(2=Element_Stiffness!$C$75,Element_Stiffness!T104,IF(2=Element_Stiffness!$E$75,Element_Stiffness!Z104,0)),0)),0)+IF(Element_Stiffness!$C$111,IF(Element_Stiffness!$C$110=6,IF(2=Element_Stiffness!$C$110,Element_Stiffness!T133,IF(2=Element_Stiffness!$E$110,Element_Stiffness!Z133,0)),IF(Element_Stiffness!$E$110=6,IF(2=Element_Stiffness!$C$110,Element_Stiffness!T139,IF(2=Element_Stiffness!$E$110,Element_Stiffness!Z139,0)),0)),0)+IF(Element_Stiffness!$C$146,IF(Element_Stiffness!$C$145=6,IF(2=Element_Stiffness!$C$145,Element_Stiffness!T168,IF(2=Element_Stiffness!$E$145,Element_Stiffness!Z168,0)),IF(Element_Stiffness!$E$145=6,IF(2=Element_Stiffness!$C$145,Element_Stiffness!T174,IF(2=Element_Stiffness!$E$145,Element_Stiffness!Z174,0)),0)),0)+IF(Element_Stiffness!$C$181,IF(Element_Stiffness!$C$180=6,IF(2=Element_Stiffness!$C$180,Element_Stiffness!T203,IF(2=Element_Stiffness!$E$180,Element_Stiffness!Z203,0)),IF(Element_Stiffness!$E$180=6,IF(2=Element_Stiffness!$C$180,Element_Stiffness!T209,IF(2=Element_Stiffness!$E$180,Element_Stiffness!Z209,0)),0)),0)+IF(Element_Stiffness!$C$216,IF(Element_Stiffness!$C$215=6,IF(2=Element_Stiffness!$C$215,Element_Stiffness!T238,IF(2=Element_Stiffness!$E$215,Element_Stiffness!Z238,0)),IF(Element_Stiffness!$E$215=6,IF(2=Element_Stiffness!$C$215,Element_Stiffness!T244,IF(2=Element_Stiffness!$E$215,Element_Stiffness!Z244,0)),0)),0)</f>
        <v/>
      </c>
      <c r="T43" s="21">
        <f>IF(Element_Stiffness!$C$6,IF(Element_Stiffness!$C$5=6,IF(2=Element_Stiffness!$C$5,Element_Stiffness!U28,IF(2=Element_Stiffness!$E$5,Element_Stiffness!AA28,0)),IF(Element_Stiffness!$E$5=6,IF(2=Element_Stiffness!$C$5,Element_Stiffness!U34,IF(2=Element_Stiffness!$E$5,Element_Stiffness!AA34,0)),0)),0)+IF(Element_Stiffness!$C$41,IF(Element_Stiffness!$C$40=6,IF(2=Element_Stiffness!$C$40,Element_Stiffness!U63,IF(2=Element_Stiffness!$E$40,Element_Stiffness!AA63,0)),IF(Element_Stiffness!$E$40=6,IF(2=Element_Stiffness!$C$40,Element_Stiffness!U69,IF(2=Element_Stiffness!$E$40,Element_Stiffness!AA69,0)),0)),0)+IF(Element_Stiffness!$C$76,IF(Element_Stiffness!$C$75=6,IF(2=Element_Stiffness!$C$75,Element_Stiffness!U98,IF(2=Element_Stiffness!$E$75,Element_Stiffness!AA98,0)),IF(Element_Stiffness!$E$75=6,IF(2=Element_Stiffness!$C$75,Element_Stiffness!U104,IF(2=Element_Stiffness!$E$75,Element_Stiffness!AA104,0)),0)),0)+IF(Element_Stiffness!$C$111,IF(Element_Stiffness!$C$110=6,IF(2=Element_Stiffness!$C$110,Element_Stiffness!U133,IF(2=Element_Stiffness!$E$110,Element_Stiffness!AA133,0)),IF(Element_Stiffness!$E$110=6,IF(2=Element_Stiffness!$C$110,Element_Stiffness!U139,IF(2=Element_Stiffness!$E$110,Element_Stiffness!AA139,0)),0)),0)+IF(Element_Stiffness!$C$146,IF(Element_Stiffness!$C$145=6,IF(2=Element_Stiffness!$C$145,Element_Stiffness!U168,IF(2=Element_Stiffness!$E$145,Element_Stiffness!AA168,0)),IF(Element_Stiffness!$E$145=6,IF(2=Element_Stiffness!$C$145,Element_Stiffness!U174,IF(2=Element_Stiffness!$E$145,Element_Stiffness!AA174,0)),0)),0)+IF(Element_Stiffness!$C$181,IF(Element_Stiffness!$C$180=6,IF(2=Element_Stiffness!$C$180,Element_Stiffness!U203,IF(2=Element_Stiffness!$E$180,Element_Stiffness!AA203,0)),IF(Element_Stiffness!$E$180=6,IF(2=Element_Stiffness!$C$180,Element_Stiffness!U209,IF(2=Element_Stiffness!$E$180,Element_Stiffness!AA209,0)),0)),0)+IF(Element_Stiffness!$C$216,IF(Element_Stiffness!$C$215=6,IF(2=Element_Stiffness!$C$215,Element_Stiffness!U238,IF(2=Element_Stiffness!$E$215,Element_Stiffness!AA238,0)),IF(Element_Stiffness!$E$215=6,IF(2=Element_Stiffness!$C$215,Element_Stiffness!U244,IF(2=Element_Stiffness!$E$215,Element_Stiffness!AA244,0)),0)),0)</f>
        <v/>
      </c>
      <c r="U43" s="21">
        <f>IF(Element_Stiffness!$C$6,IF(Element_Stiffness!$C$5=6,IF(3=Element_Stiffness!$C$5,Element_Stiffness!P28,IF(3=Element_Stiffness!$E$5,Element_Stiffness!V28,0)),IF(Element_Stiffness!$E$5=6,IF(3=Element_Stiffness!$C$5,Element_Stiffness!P34,IF(3=Element_Stiffness!$E$5,Element_Stiffness!V34,0)),0)),0)+IF(Element_Stiffness!$C$41,IF(Element_Stiffness!$C$40=6,IF(3=Element_Stiffness!$C$40,Element_Stiffness!P63,IF(3=Element_Stiffness!$E$40,Element_Stiffness!V63,0)),IF(Element_Stiffness!$E$40=6,IF(3=Element_Stiffness!$C$40,Element_Stiffness!P69,IF(3=Element_Stiffness!$E$40,Element_Stiffness!V69,0)),0)),0)+IF(Element_Stiffness!$C$76,IF(Element_Stiffness!$C$75=6,IF(3=Element_Stiffness!$C$75,Element_Stiffness!P98,IF(3=Element_Stiffness!$E$75,Element_Stiffness!V98,0)),IF(Element_Stiffness!$E$75=6,IF(3=Element_Stiffness!$C$75,Element_Stiffness!P104,IF(3=Element_Stiffness!$E$75,Element_Stiffness!V104,0)),0)),0)+IF(Element_Stiffness!$C$111,IF(Element_Stiffness!$C$110=6,IF(3=Element_Stiffness!$C$110,Element_Stiffness!P133,IF(3=Element_Stiffness!$E$110,Element_Stiffness!V133,0)),IF(Element_Stiffness!$E$110=6,IF(3=Element_Stiffness!$C$110,Element_Stiffness!P139,IF(3=Element_Stiffness!$E$110,Element_Stiffness!V139,0)),0)),0)+IF(Element_Stiffness!$C$146,IF(Element_Stiffness!$C$145=6,IF(3=Element_Stiffness!$C$145,Element_Stiffness!P168,IF(3=Element_Stiffness!$E$145,Element_Stiffness!V168,0)),IF(Element_Stiffness!$E$145=6,IF(3=Element_Stiffness!$C$145,Element_Stiffness!P174,IF(3=Element_Stiffness!$E$145,Element_Stiffness!V174,0)),0)),0)+IF(Element_Stiffness!$C$181,IF(Element_Stiffness!$C$180=6,IF(3=Element_Stiffness!$C$180,Element_Stiffness!P203,IF(3=Element_Stiffness!$E$180,Element_Stiffness!V203,0)),IF(Element_Stiffness!$E$180=6,IF(3=Element_Stiffness!$C$180,Element_Stiffness!P209,IF(3=Element_Stiffness!$E$180,Element_Stiffness!V209,0)),0)),0)+IF(Element_Stiffness!$C$216,IF(Element_Stiffness!$C$215=6,IF(3=Element_Stiffness!$C$215,Element_Stiffness!P238,IF(3=Element_Stiffness!$E$215,Element_Stiffness!V238,0)),IF(Element_Stiffness!$E$215=6,IF(3=Element_Stiffness!$C$215,Element_Stiffness!P244,IF(3=Element_Stiffness!$E$215,Element_Stiffness!V244,0)),0)),0)</f>
        <v/>
      </c>
      <c r="V43" s="21">
        <f>IF(Element_Stiffness!$C$6,IF(Element_Stiffness!$C$5=6,IF(3=Element_Stiffness!$C$5,Element_Stiffness!Q28,IF(3=Element_Stiffness!$E$5,Element_Stiffness!W28,0)),IF(Element_Stiffness!$E$5=6,IF(3=Element_Stiffness!$C$5,Element_Stiffness!Q34,IF(3=Element_Stiffness!$E$5,Element_Stiffness!W34,0)),0)),0)+IF(Element_Stiffness!$C$41,IF(Element_Stiffness!$C$40=6,IF(3=Element_Stiffness!$C$40,Element_Stiffness!Q63,IF(3=Element_Stiffness!$E$40,Element_Stiffness!W63,0)),IF(Element_Stiffness!$E$40=6,IF(3=Element_Stiffness!$C$40,Element_Stiffness!Q69,IF(3=Element_Stiffness!$E$40,Element_Stiffness!W69,0)),0)),0)+IF(Element_Stiffness!$C$76,IF(Element_Stiffness!$C$75=6,IF(3=Element_Stiffness!$C$75,Element_Stiffness!Q98,IF(3=Element_Stiffness!$E$75,Element_Stiffness!W98,0)),IF(Element_Stiffness!$E$75=6,IF(3=Element_Stiffness!$C$75,Element_Stiffness!Q104,IF(3=Element_Stiffness!$E$75,Element_Stiffness!W104,0)),0)),0)+IF(Element_Stiffness!$C$111,IF(Element_Stiffness!$C$110=6,IF(3=Element_Stiffness!$C$110,Element_Stiffness!Q133,IF(3=Element_Stiffness!$E$110,Element_Stiffness!W133,0)),IF(Element_Stiffness!$E$110=6,IF(3=Element_Stiffness!$C$110,Element_Stiffness!Q139,IF(3=Element_Stiffness!$E$110,Element_Stiffness!W139,0)),0)),0)+IF(Element_Stiffness!$C$146,IF(Element_Stiffness!$C$145=6,IF(3=Element_Stiffness!$C$145,Element_Stiffness!Q168,IF(3=Element_Stiffness!$E$145,Element_Stiffness!W168,0)),IF(Element_Stiffness!$E$145=6,IF(3=Element_Stiffness!$C$145,Element_Stiffness!Q174,IF(3=Element_Stiffness!$E$145,Element_Stiffness!W174,0)),0)),0)+IF(Element_Stiffness!$C$181,IF(Element_Stiffness!$C$180=6,IF(3=Element_Stiffness!$C$180,Element_Stiffness!Q203,IF(3=Element_Stiffness!$E$180,Element_Stiffness!W203,0)),IF(Element_Stiffness!$E$180=6,IF(3=Element_Stiffness!$C$180,Element_Stiffness!Q209,IF(3=Element_Stiffness!$E$180,Element_Stiffness!W209,0)),0)),0)+IF(Element_Stiffness!$C$216,IF(Element_Stiffness!$C$215=6,IF(3=Element_Stiffness!$C$215,Element_Stiffness!Q238,IF(3=Element_Stiffness!$E$215,Element_Stiffness!W238,0)),IF(Element_Stiffness!$E$215=6,IF(3=Element_Stiffness!$C$215,Element_Stiffness!Q244,IF(3=Element_Stiffness!$E$215,Element_Stiffness!W244,0)),0)),0)</f>
        <v/>
      </c>
      <c r="W43" s="21">
        <f>IF(Element_Stiffness!$C$6,IF(Element_Stiffness!$C$5=6,IF(3=Element_Stiffness!$C$5,Element_Stiffness!R28,IF(3=Element_Stiffness!$E$5,Element_Stiffness!X28,0)),IF(Element_Stiffness!$E$5=6,IF(3=Element_Stiffness!$C$5,Element_Stiffness!R34,IF(3=Element_Stiffness!$E$5,Element_Stiffness!X34,0)),0)),0)+IF(Element_Stiffness!$C$41,IF(Element_Stiffness!$C$40=6,IF(3=Element_Stiffness!$C$40,Element_Stiffness!R63,IF(3=Element_Stiffness!$E$40,Element_Stiffness!X63,0)),IF(Element_Stiffness!$E$40=6,IF(3=Element_Stiffness!$C$40,Element_Stiffness!R69,IF(3=Element_Stiffness!$E$40,Element_Stiffness!X69,0)),0)),0)+IF(Element_Stiffness!$C$76,IF(Element_Stiffness!$C$75=6,IF(3=Element_Stiffness!$C$75,Element_Stiffness!R98,IF(3=Element_Stiffness!$E$75,Element_Stiffness!X98,0)),IF(Element_Stiffness!$E$75=6,IF(3=Element_Stiffness!$C$75,Element_Stiffness!R104,IF(3=Element_Stiffness!$E$75,Element_Stiffness!X104,0)),0)),0)+IF(Element_Stiffness!$C$111,IF(Element_Stiffness!$C$110=6,IF(3=Element_Stiffness!$C$110,Element_Stiffness!R133,IF(3=Element_Stiffness!$E$110,Element_Stiffness!X133,0)),IF(Element_Stiffness!$E$110=6,IF(3=Element_Stiffness!$C$110,Element_Stiffness!R139,IF(3=Element_Stiffness!$E$110,Element_Stiffness!X139,0)),0)),0)+IF(Element_Stiffness!$C$146,IF(Element_Stiffness!$C$145=6,IF(3=Element_Stiffness!$C$145,Element_Stiffness!R168,IF(3=Element_Stiffness!$E$145,Element_Stiffness!X168,0)),IF(Element_Stiffness!$E$145=6,IF(3=Element_Stiffness!$C$145,Element_Stiffness!R174,IF(3=Element_Stiffness!$E$145,Element_Stiffness!X174,0)),0)),0)+IF(Element_Stiffness!$C$181,IF(Element_Stiffness!$C$180=6,IF(3=Element_Stiffness!$C$180,Element_Stiffness!R203,IF(3=Element_Stiffness!$E$180,Element_Stiffness!X203,0)),IF(Element_Stiffness!$E$180=6,IF(3=Element_Stiffness!$C$180,Element_Stiffness!R209,IF(3=Element_Stiffness!$E$180,Element_Stiffness!X209,0)),0)),0)+IF(Element_Stiffness!$C$216,IF(Element_Stiffness!$C$215=6,IF(3=Element_Stiffness!$C$215,Element_Stiffness!R238,IF(3=Element_Stiffness!$E$215,Element_Stiffness!X238,0)),IF(Element_Stiffness!$E$215=6,IF(3=Element_Stiffness!$C$215,Element_Stiffness!R244,IF(3=Element_Stiffness!$E$215,Element_Stiffness!X244,0)),0)),0)</f>
        <v/>
      </c>
      <c r="X43" s="21">
        <f>IF(Element_Stiffness!$C$6,IF(Element_Stiffness!$C$5=6,IF(3=Element_Stiffness!$C$5,Element_Stiffness!S28,IF(3=Element_Stiffness!$E$5,Element_Stiffness!Y28,0)),IF(Element_Stiffness!$E$5=6,IF(3=Element_Stiffness!$C$5,Element_Stiffness!S34,IF(3=Element_Stiffness!$E$5,Element_Stiffness!Y34,0)),0)),0)+IF(Element_Stiffness!$C$41,IF(Element_Stiffness!$C$40=6,IF(3=Element_Stiffness!$C$40,Element_Stiffness!S63,IF(3=Element_Stiffness!$E$40,Element_Stiffness!Y63,0)),IF(Element_Stiffness!$E$40=6,IF(3=Element_Stiffness!$C$40,Element_Stiffness!S69,IF(3=Element_Stiffness!$E$40,Element_Stiffness!Y69,0)),0)),0)+IF(Element_Stiffness!$C$76,IF(Element_Stiffness!$C$75=6,IF(3=Element_Stiffness!$C$75,Element_Stiffness!S98,IF(3=Element_Stiffness!$E$75,Element_Stiffness!Y98,0)),IF(Element_Stiffness!$E$75=6,IF(3=Element_Stiffness!$C$75,Element_Stiffness!S104,IF(3=Element_Stiffness!$E$75,Element_Stiffness!Y104,0)),0)),0)+IF(Element_Stiffness!$C$111,IF(Element_Stiffness!$C$110=6,IF(3=Element_Stiffness!$C$110,Element_Stiffness!S133,IF(3=Element_Stiffness!$E$110,Element_Stiffness!Y133,0)),IF(Element_Stiffness!$E$110=6,IF(3=Element_Stiffness!$C$110,Element_Stiffness!S139,IF(3=Element_Stiffness!$E$110,Element_Stiffness!Y139,0)),0)),0)+IF(Element_Stiffness!$C$146,IF(Element_Stiffness!$C$145=6,IF(3=Element_Stiffness!$C$145,Element_Stiffness!S168,IF(3=Element_Stiffness!$E$145,Element_Stiffness!Y168,0)),IF(Element_Stiffness!$E$145=6,IF(3=Element_Stiffness!$C$145,Element_Stiffness!S174,IF(3=Element_Stiffness!$E$145,Element_Stiffness!Y174,0)),0)),0)+IF(Element_Stiffness!$C$181,IF(Element_Stiffness!$C$180=6,IF(3=Element_Stiffness!$C$180,Element_Stiffness!S203,IF(3=Element_Stiffness!$E$180,Element_Stiffness!Y203,0)),IF(Element_Stiffness!$E$180=6,IF(3=Element_Stiffness!$C$180,Element_Stiffness!S209,IF(3=Element_Stiffness!$E$180,Element_Stiffness!Y209,0)),0)),0)+IF(Element_Stiffness!$C$216,IF(Element_Stiffness!$C$215=6,IF(3=Element_Stiffness!$C$215,Element_Stiffness!S238,IF(3=Element_Stiffness!$E$215,Element_Stiffness!Y238,0)),IF(Element_Stiffness!$E$215=6,IF(3=Element_Stiffness!$C$215,Element_Stiffness!S244,IF(3=Element_Stiffness!$E$215,Element_Stiffness!Y244,0)),0)),0)</f>
        <v/>
      </c>
      <c r="Y43" s="21">
        <f>IF(Element_Stiffness!$C$6,IF(Element_Stiffness!$C$5=6,IF(3=Element_Stiffness!$C$5,Element_Stiffness!T28,IF(3=Element_Stiffness!$E$5,Element_Stiffness!Z28,0)),IF(Element_Stiffness!$E$5=6,IF(3=Element_Stiffness!$C$5,Element_Stiffness!T34,IF(3=Element_Stiffness!$E$5,Element_Stiffness!Z34,0)),0)),0)+IF(Element_Stiffness!$C$41,IF(Element_Stiffness!$C$40=6,IF(3=Element_Stiffness!$C$40,Element_Stiffness!T63,IF(3=Element_Stiffness!$E$40,Element_Stiffness!Z63,0)),IF(Element_Stiffness!$E$40=6,IF(3=Element_Stiffness!$C$40,Element_Stiffness!T69,IF(3=Element_Stiffness!$E$40,Element_Stiffness!Z69,0)),0)),0)+IF(Element_Stiffness!$C$76,IF(Element_Stiffness!$C$75=6,IF(3=Element_Stiffness!$C$75,Element_Stiffness!T98,IF(3=Element_Stiffness!$E$75,Element_Stiffness!Z98,0)),IF(Element_Stiffness!$E$75=6,IF(3=Element_Stiffness!$C$75,Element_Stiffness!T104,IF(3=Element_Stiffness!$E$75,Element_Stiffness!Z104,0)),0)),0)+IF(Element_Stiffness!$C$111,IF(Element_Stiffness!$C$110=6,IF(3=Element_Stiffness!$C$110,Element_Stiffness!T133,IF(3=Element_Stiffness!$E$110,Element_Stiffness!Z133,0)),IF(Element_Stiffness!$E$110=6,IF(3=Element_Stiffness!$C$110,Element_Stiffness!T139,IF(3=Element_Stiffness!$E$110,Element_Stiffness!Z139,0)),0)),0)+IF(Element_Stiffness!$C$146,IF(Element_Stiffness!$C$145=6,IF(3=Element_Stiffness!$C$145,Element_Stiffness!T168,IF(3=Element_Stiffness!$E$145,Element_Stiffness!Z168,0)),IF(Element_Stiffness!$E$145=6,IF(3=Element_Stiffness!$C$145,Element_Stiffness!T174,IF(3=Element_Stiffness!$E$145,Element_Stiffness!Z174,0)),0)),0)+IF(Element_Stiffness!$C$181,IF(Element_Stiffness!$C$180=6,IF(3=Element_Stiffness!$C$180,Element_Stiffness!T203,IF(3=Element_Stiffness!$E$180,Element_Stiffness!Z203,0)),IF(Element_Stiffness!$E$180=6,IF(3=Element_Stiffness!$C$180,Element_Stiffness!T209,IF(3=Element_Stiffness!$E$180,Element_Stiffness!Z209,0)),0)),0)+IF(Element_Stiffness!$C$216,IF(Element_Stiffness!$C$215=6,IF(3=Element_Stiffness!$C$215,Element_Stiffness!T238,IF(3=Element_Stiffness!$E$215,Element_Stiffness!Z238,0)),IF(Element_Stiffness!$E$215=6,IF(3=Element_Stiffness!$C$215,Element_Stiffness!T244,IF(3=Element_Stiffness!$E$215,Element_Stiffness!Z244,0)),0)),0)</f>
        <v/>
      </c>
      <c r="Z43" s="21">
        <f>IF(Element_Stiffness!$C$6,IF(Element_Stiffness!$C$5=6,IF(3=Element_Stiffness!$C$5,Element_Stiffness!U28,IF(3=Element_Stiffness!$E$5,Element_Stiffness!AA28,0)),IF(Element_Stiffness!$E$5=6,IF(3=Element_Stiffness!$C$5,Element_Stiffness!U34,IF(3=Element_Stiffness!$E$5,Element_Stiffness!AA34,0)),0)),0)+IF(Element_Stiffness!$C$41,IF(Element_Stiffness!$C$40=6,IF(3=Element_Stiffness!$C$40,Element_Stiffness!U63,IF(3=Element_Stiffness!$E$40,Element_Stiffness!AA63,0)),IF(Element_Stiffness!$E$40=6,IF(3=Element_Stiffness!$C$40,Element_Stiffness!U69,IF(3=Element_Stiffness!$E$40,Element_Stiffness!AA69,0)),0)),0)+IF(Element_Stiffness!$C$76,IF(Element_Stiffness!$C$75=6,IF(3=Element_Stiffness!$C$75,Element_Stiffness!U98,IF(3=Element_Stiffness!$E$75,Element_Stiffness!AA98,0)),IF(Element_Stiffness!$E$75=6,IF(3=Element_Stiffness!$C$75,Element_Stiffness!U104,IF(3=Element_Stiffness!$E$75,Element_Stiffness!AA104,0)),0)),0)+IF(Element_Stiffness!$C$111,IF(Element_Stiffness!$C$110=6,IF(3=Element_Stiffness!$C$110,Element_Stiffness!U133,IF(3=Element_Stiffness!$E$110,Element_Stiffness!AA133,0)),IF(Element_Stiffness!$E$110=6,IF(3=Element_Stiffness!$C$110,Element_Stiffness!U139,IF(3=Element_Stiffness!$E$110,Element_Stiffness!AA139,0)),0)),0)+IF(Element_Stiffness!$C$146,IF(Element_Stiffness!$C$145=6,IF(3=Element_Stiffness!$C$145,Element_Stiffness!U168,IF(3=Element_Stiffness!$E$145,Element_Stiffness!AA168,0)),IF(Element_Stiffness!$E$145=6,IF(3=Element_Stiffness!$C$145,Element_Stiffness!U174,IF(3=Element_Stiffness!$E$145,Element_Stiffness!AA174,0)),0)),0)+IF(Element_Stiffness!$C$181,IF(Element_Stiffness!$C$180=6,IF(3=Element_Stiffness!$C$180,Element_Stiffness!U203,IF(3=Element_Stiffness!$E$180,Element_Stiffness!AA203,0)),IF(Element_Stiffness!$E$180=6,IF(3=Element_Stiffness!$C$180,Element_Stiffness!U209,IF(3=Element_Stiffness!$E$180,Element_Stiffness!AA209,0)),0)),0)+IF(Element_Stiffness!$C$216,IF(Element_Stiffness!$C$215=6,IF(3=Element_Stiffness!$C$215,Element_Stiffness!U238,IF(3=Element_Stiffness!$E$215,Element_Stiffness!AA238,0)),IF(Element_Stiffness!$E$215=6,IF(3=Element_Stiffness!$C$215,Element_Stiffness!U244,IF(3=Element_Stiffness!$E$215,Element_Stiffness!AA244,0)),0)),0)</f>
        <v/>
      </c>
      <c r="AA43" s="21">
        <f>IF(Element_Stiffness!$C$6,IF(Element_Stiffness!$C$5=6,IF(4=Element_Stiffness!$C$5,Element_Stiffness!P28,IF(4=Element_Stiffness!$E$5,Element_Stiffness!V28,0)),IF(Element_Stiffness!$E$5=6,IF(4=Element_Stiffness!$C$5,Element_Stiffness!P34,IF(4=Element_Stiffness!$E$5,Element_Stiffness!V34,0)),0)),0)+IF(Element_Stiffness!$C$41,IF(Element_Stiffness!$C$40=6,IF(4=Element_Stiffness!$C$40,Element_Stiffness!P63,IF(4=Element_Stiffness!$E$40,Element_Stiffness!V63,0)),IF(Element_Stiffness!$E$40=6,IF(4=Element_Stiffness!$C$40,Element_Stiffness!P69,IF(4=Element_Stiffness!$E$40,Element_Stiffness!V69,0)),0)),0)+IF(Element_Stiffness!$C$76,IF(Element_Stiffness!$C$75=6,IF(4=Element_Stiffness!$C$75,Element_Stiffness!P98,IF(4=Element_Stiffness!$E$75,Element_Stiffness!V98,0)),IF(Element_Stiffness!$E$75=6,IF(4=Element_Stiffness!$C$75,Element_Stiffness!P104,IF(4=Element_Stiffness!$E$75,Element_Stiffness!V104,0)),0)),0)+IF(Element_Stiffness!$C$111,IF(Element_Stiffness!$C$110=6,IF(4=Element_Stiffness!$C$110,Element_Stiffness!P133,IF(4=Element_Stiffness!$E$110,Element_Stiffness!V133,0)),IF(Element_Stiffness!$E$110=6,IF(4=Element_Stiffness!$C$110,Element_Stiffness!P139,IF(4=Element_Stiffness!$E$110,Element_Stiffness!V139,0)),0)),0)+IF(Element_Stiffness!$C$146,IF(Element_Stiffness!$C$145=6,IF(4=Element_Stiffness!$C$145,Element_Stiffness!P168,IF(4=Element_Stiffness!$E$145,Element_Stiffness!V168,0)),IF(Element_Stiffness!$E$145=6,IF(4=Element_Stiffness!$C$145,Element_Stiffness!P174,IF(4=Element_Stiffness!$E$145,Element_Stiffness!V174,0)),0)),0)+IF(Element_Stiffness!$C$181,IF(Element_Stiffness!$C$180=6,IF(4=Element_Stiffness!$C$180,Element_Stiffness!P203,IF(4=Element_Stiffness!$E$180,Element_Stiffness!V203,0)),IF(Element_Stiffness!$E$180=6,IF(4=Element_Stiffness!$C$180,Element_Stiffness!P209,IF(4=Element_Stiffness!$E$180,Element_Stiffness!V209,0)),0)),0)+IF(Element_Stiffness!$C$216,IF(Element_Stiffness!$C$215=6,IF(4=Element_Stiffness!$C$215,Element_Stiffness!P238,IF(4=Element_Stiffness!$E$215,Element_Stiffness!V238,0)),IF(Element_Stiffness!$E$215=6,IF(4=Element_Stiffness!$C$215,Element_Stiffness!P244,IF(4=Element_Stiffness!$E$215,Element_Stiffness!V244,0)),0)),0)</f>
        <v/>
      </c>
      <c r="AB43" s="21">
        <f>IF(Element_Stiffness!$C$6,IF(Element_Stiffness!$C$5=6,IF(4=Element_Stiffness!$C$5,Element_Stiffness!Q28,IF(4=Element_Stiffness!$E$5,Element_Stiffness!W28,0)),IF(Element_Stiffness!$E$5=6,IF(4=Element_Stiffness!$C$5,Element_Stiffness!Q34,IF(4=Element_Stiffness!$E$5,Element_Stiffness!W34,0)),0)),0)+IF(Element_Stiffness!$C$41,IF(Element_Stiffness!$C$40=6,IF(4=Element_Stiffness!$C$40,Element_Stiffness!Q63,IF(4=Element_Stiffness!$E$40,Element_Stiffness!W63,0)),IF(Element_Stiffness!$E$40=6,IF(4=Element_Stiffness!$C$40,Element_Stiffness!Q69,IF(4=Element_Stiffness!$E$40,Element_Stiffness!W69,0)),0)),0)+IF(Element_Stiffness!$C$76,IF(Element_Stiffness!$C$75=6,IF(4=Element_Stiffness!$C$75,Element_Stiffness!Q98,IF(4=Element_Stiffness!$E$75,Element_Stiffness!W98,0)),IF(Element_Stiffness!$E$75=6,IF(4=Element_Stiffness!$C$75,Element_Stiffness!Q104,IF(4=Element_Stiffness!$E$75,Element_Stiffness!W104,0)),0)),0)+IF(Element_Stiffness!$C$111,IF(Element_Stiffness!$C$110=6,IF(4=Element_Stiffness!$C$110,Element_Stiffness!Q133,IF(4=Element_Stiffness!$E$110,Element_Stiffness!W133,0)),IF(Element_Stiffness!$E$110=6,IF(4=Element_Stiffness!$C$110,Element_Stiffness!Q139,IF(4=Element_Stiffness!$E$110,Element_Stiffness!W139,0)),0)),0)+IF(Element_Stiffness!$C$146,IF(Element_Stiffness!$C$145=6,IF(4=Element_Stiffness!$C$145,Element_Stiffness!Q168,IF(4=Element_Stiffness!$E$145,Element_Stiffness!W168,0)),IF(Element_Stiffness!$E$145=6,IF(4=Element_Stiffness!$C$145,Element_Stiffness!Q174,IF(4=Element_Stiffness!$E$145,Element_Stiffness!W174,0)),0)),0)+IF(Element_Stiffness!$C$181,IF(Element_Stiffness!$C$180=6,IF(4=Element_Stiffness!$C$180,Element_Stiffness!Q203,IF(4=Element_Stiffness!$E$180,Element_Stiffness!W203,0)),IF(Element_Stiffness!$E$180=6,IF(4=Element_Stiffness!$C$180,Element_Stiffness!Q209,IF(4=Element_Stiffness!$E$180,Element_Stiffness!W209,0)),0)),0)+IF(Element_Stiffness!$C$216,IF(Element_Stiffness!$C$215=6,IF(4=Element_Stiffness!$C$215,Element_Stiffness!Q238,IF(4=Element_Stiffness!$E$215,Element_Stiffness!W238,0)),IF(Element_Stiffness!$E$215=6,IF(4=Element_Stiffness!$C$215,Element_Stiffness!Q244,IF(4=Element_Stiffness!$E$215,Element_Stiffness!W244,0)),0)),0)</f>
        <v/>
      </c>
      <c r="AC43" s="21">
        <f>IF(Element_Stiffness!$C$6,IF(Element_Stiffness!$C$5=6,IF(4=Element_Stiffness!$C$5,Element_Stiffness!R28,IF(4=Element_Stiffness!$E$5,Element_Stiffness!X28,0)),IF(Element_Stiffness!$E$5=6,IF(4=Element_Stiffness!$C$5,Element_Stiffness!R34,IF(4=Element_Stiffness!$E$5,Element_Stiffness!X34,0)),0)),0)+IF(Element_Stiffness!$C$41,IF(Element_Stiffness!$C$40=6,IF(4=Element_Stiffness!$C$40,Element_Stiffness!R63,IF(4=Element_Stiffness!$E$40,Element_Stiffness!X63,0)),IF(Element_Stiffness!$E$40=6,IF(4=Element_Stiffness!$C$40,Element_Stiffness!R69,IF(4=Element_Stiffness!$E$40,Element_Stiffness!X69,0)),0)),0)+IF(Element_Stiffness!$C$76,IF(Element_Stiffness!$C$75=6,IF(4=Element_Stiffness!$C$75,Element_Stiffness!R98,IF(4=Element_Stiffness!$E$75,Element_Stiffness!X98,0)),IF(Element_Stiffness!$E$75=6,IF(4=Element_Stiffness!$C$75,Element_Stiffness!R104,IF(4=Element_Stiffness!$E$75,Element_Stiffness!X104,0)),0)),0)+IF(Element_Stiffness!$C$111,IF(Element_Stiffness!$C$110=6,IF(4=Element_Stiffness!$C$110,Element_Stiffness!R133,IF(4=Element_Stiffness!$E$110,Element_Stiffness!X133,0)),IF(Element_Stiffness!$E$110=6,IF(4=Element_Stiffness!$C$110,Element_Stiffness!R139,IF(4=Element_Stiffness!$E$110,Element_Stiffness!X139,0)),0)),0)+IF(Element_Stiffness!$C$146,IF(Element_Stiffness!$C$145=6,IF(4=Element_Stiffness!$C$145,Element_Stiffness!R168,IF(4=Element_Stiffness!$E$145,Element_Stiffness!X168,0)),IF(Element_Stiffness!$E$145=6,IF(4=Element_Stiffness!$C$145,Element_Stiffness!R174,IF(4=Element_Stiffness!$E$145,Element_Stiffness!X174,0)),0)),0)+IF(Element_Stiffness!$C$181,IF(Element_Stiffness!$C$180=6,IF(4=Element_Stiffness!$C$180,Element_Stiffness!R203,IF(4=Element_Stiffness!$E$180,Element_Stiffness!X203,0)),IF(Element_Stiffness!$E$180=6,IF(4=Element_Stiffness!$C$180,Element_Stiffness!R209,IF(4=Element_Stiffness!$E$180,Element_Stiffness!X209,0)),0)),0)+IF(Element_Stiffness!$C$216,IF(Element_Stiffness!$C$215=6,IF(4=Element_Stiffness!$C$215,Element_Stiffness!R238,IF(4=Element_Stiffness!$E$215,Element_Stiffness!X238,0)),IF(Element_Stiffness!$E$215=6,IF(4=Element_Stiffness!$C$215,Element_Stiffness!R244,IF(4=Element_Stiffness!$E$215,Element_Stiffness!X244,0)),0)),0)</f>
        <v/>
      </c>
      <c r="AD43" s="21">
        <f>IF(Element_Stiffness!$C$6,IF(Element_Stiffness!$C$5=6,IF(4=Element_Stiffness!$C$5,Element_Stiffness!S28,IF(4=Element_Stiffness!$E$5,Element_Stiffness!Y28,0)),IF(Element_Stiffness!$E$5=6,IF(4=Element_Stiffness!$C$5,Element_Stiffness!S34,IF(4=Element_Stiffness!$E$5,Element_Stiffness!Y34,0)),0)),0)+IF(Element_Stiffness!$C$41,IF(Element_Stiffness!$C$40=6,IF(4=Element_Stiffness!$C$40,Element_Stiffness!S63,IF(4=Element_Stiffness!$E$40,Element_Stiffness!Y63,0)),IF(Element_Stiffness!$E$40=6,IF(4=Element_Stiffness!$C$40,Element_Stiffness!S69,IF(4=Element_Stiffness!$E$40,Element_Stiffness!Y69,0)),0)),0)+IF(Element_Stiffness!$C$76,IF(Element_Stiffness!$C$75=6,IF(4=Element_Stiffness!$C$75,Element_Stiffness!S98,IF(4=Element_Stiffness!$E$75,Element_Stiffness!Y98,0)),IF(Element_Stiffness!$E$75=6,IF(4=Element_Stiffness!$C$75,Element_Stiffness!S104,IF(4=Element_Stiffness!$E$75,Element_Stiffness!Y104,0)),0)),0)+IF(Element_Stiffness!$C$111,IF(Element_Stiffness!$C$110=6,IF(4=Element_Stiffness!$C$110,Element_Stiffness!S133,IF(4=Element_Stiffness!$E$110,Element_Stiffness!Y133,0)),IF(Element_Stiffness!$E$110=6,IF(4=Element_Stiffness!$C$110,Element_Stiffness!S139,IF(4=Element_Stiffness!$E$110,Element_Stiffness!Y139,0)),0)),0)+IF(Element_Stiffness!$C$146,IF(Element_Stiffness!$C$145=6,IF(4=Element_Stiffness!$C$145,Element_Stiffness!S168,IF(4=Element_Stiffness!$E$145,Element_Stiffness!Y168,0)),IF(Element_Stiffness!$E$145=6,IF(4=Element_Stiffness!$C$145,Element_Stiffness!S174,IF(4=Element_Stiffness!$E$145,Element_Stiffness!Y174,0)),0)),0)+IF(Element_Stiffness!$C$181,IF(Element_Stiffness!$C$180=6,IF(4=Element_Stiffness!$C$180,Element_Stiffness!S203,IF(4=Element_Stiffness!$E$180,Element_Stiffness!Y203,0)),IF(Element_Stiffness!$E$180=6,IF(4=Element_Stiffness!$C$180,Element_Stiffness!S209,IF(4=Element_Stiffness!$E$180,Element_Stiffness!Y209,0)),0)),0)+IF(Element_Stiffness!$C$216,IF(Element_Stiffness!$C$215=6,IF(4=Element_Stiffness!$C$215,Element_Stiffness!S238,IF(4=Element_Stiffness!$E$215,Element_Stiffness!Y238,0)),IF(Element_Stiffness!$E$215=6,IF(4=Element_Stiffness!$C$215,Element_Stiffness!S244,IF(4=Element_Stiffness!$E$215,Element_Stiffness!Y244,0)),0)),0)</f>
        <v/>
      </c>
      <c r="AE43" s="21">
        <f>IF(Element_Stiffness!$C$6,IF(Element_Stiffness!$C$5=6,IF(4=Element_Stiffness!$C$5,Element_Stiffness!T28,IF(4=Element_Stiffness!$E$5,Element_Stiffness!Z28,0)),IF(Element_Stiffness!$E$5=6,IF(4=Element_Stiffness!$C$5,Element_Stiffness!T34,IF(4=Element_Stiffness!$E$5,Element_Stiffness!Z34,0)),0)),0)+IF(Element_Stiffness!$C$41,IF(Element_Stiffness!$C$40=6,IF(4=Element_Stiffness!$C$40,Element_Stiffness!T63,IF(4=Element_Stiffness!$E$40,Element_Stiffness!Z63,0)),IF(Element_Stiffness!$E$40=6,IF(4=Element_Stiffness!$C$40,Element_Stiffness!T69,IF(4=Element_Stiffness!$E$40,Element_Stiffness!Z69,0)),0)),0)+IF(Element_Stiffness!$C$76,IF(Element_Stiffness!$C$75=6,IF(4=Element_Stiffness!$C$75,Element_Stiffness!T98,IF(4=Element_Stiffness!$E$75,Element_Stiffness!Z98,0)),IF(Element_Stiffness!$E$75=6,IF(4=Element_Stiffness!$C$75,Element_Stiffness!T104,IF(4=Element_Stiffness!$E$75,Element_Stiffness!Z104,0)),0)),0)+IF(Element_Stiffness!$C$111,IF(Element_Stiffness!$C$110=6,IF(4=Element_Stiffness!$C$110,Element_Stiffness!T133,IF(4=Element_Stiffness!$E$110,Element_Stiffness!Z133,0)),IF(Element_Stiffness!$E$110=6,IF(4=Element_Stiffness!$C$110,Element_Stiffness!T139,IF(4=Element_Stiffness!$E$110,Element_Stiffness!Z139,0)),0)),0)+IF(Element_Stiffness!$C$146,IF(Element_Stiffness!$C$145=6,IF(4=Element_Stiffness!$C$145,Element_Stiffness!T168,IF(4=Element_Stiffness!$E$145,Element_Stiffness!Z168,0)),IF(Element_Stiffness!$E$145=6,IF(4=Element_Stiffness!$C$145,Element_Stiffness!T174,IF(4=Element_Stiffness!$E$145,Element_Stiffness!Z174,0)),0)),0)+IF(Element_Stiffness!$C$181,IF(Element_Stiffness!$C$180=6,IF(4=Element_Stiffness!$C$180,Element_Stiffness!T203,IF(4=Element_Stiffness!$E$180,Element_Stiffness!Z203,0)),IF(Element_Stiffness!$E$180=6,IF(4=Element_Stiffness!$C$180,Element_Stiffness!T209,IF(4=Element_Stiffness!$E$180,Element_Stiffness!Z209,0)),0)),0)+IF(Element_Stiffness!$C$216,IF(Element_Stiffness!$C$215=6,IF(4=Element_Stiffness!$C$215,Element_Stiffness!T238,IF(4=Element_Stiffness!$E$215,Element_Stiffness!Z238,0)),IF(Element_Stiffness!$E$215=6,IF(4=Element_Stiffness!$C$215,Element_Stiffness!T244,IF(4=Element_Stiffness!$E$215,Element_Stiffness!Z244,0)),0)),0)</f>
        <v/>
      </c>
      <c r="AF43" s="21">
        <f>IF(Element_Stiffness!$C$6,IF(Element_Stiffness!$C$5=6,IF(4=Element_Stiffness!$C$5,Element_Stiffness!U28,IF(4=Element_Stiffness!$E$5,Element_Stiffness!AA28,0)),IF(Element_Stiffness!$E$5=6,IF(4=Element_Stiffness!$C$5,Element_Stiffness!U34,IF(4=Element_Stiffness!$E$5,Element_Stiffness!AA34,0)),0)),0)+IF(Element_Stiffness!$C$41,IF(Element_Stiffness!$C$40=6,IF(4=Element_Stiffness!$C$40,Element_Stiffness!U63,IF(4=Element_Stiffness!$E$40,Element_Stiffness!AA63,0)),IF(Element_Stiffness!$E$40=6,IF(4=Element_Stiffness!$C$40,Element_Stiffness!U69,IF(4=Element_Stiffness!$E$40,Element_Stiffness!AA69,0)),0)),0)+IF(Element_Stiffness!$C$76,IF(Element_Stiffness!$C$75=6,IF(4=Element_Stiffness!$C$75,Element_Stiffness!U98,IF(4=Element_Stiffness!$E$75,Element_Stiffness!AA98,0)),IF(Element_Stiffness!$E$75=6,IF(4=Element_Stiffness!$C$75,Element_Stiffness!U104,IF(4=Element_Stiffness!$E$75,Element_Stiffness!AA104,0)),0)),0)+IF(Element_Stiffness!$C$111,IF(Element_Stiffness!$C$110=6,IF(4=Element_Stiffness!$C$110,Element_Stiffness!U133,IF(4=Element_Stiffness!$E$110,Element_Stiffness!AA133,0)),IF(Element_Stiffness!$E$110=6,IF(4=Element_Stiffness!$C$110,Element_Stiffness!U139,IF(4=Element_Stiffness!$E$110,Element_Stiffness!AA139,0)),0)),0)+IF(Element_Stiffness!$C$146,IF(Element_Stiffness!$C$145=6,IF(4=Element_Stiffness!$C$145,Element_Stiffness!U168,IF(4=Element_Stiffness!$E$145,Element_Stiffness!AA168,0)),IF(Element_Stiffness!$E$145=6,IF(4=Element_Stiffness!$C$145,Element_Stiffness!U174,IF(4=Element_Stiffness!$E$145,Element_Stiffness!AA174,0)),0)),0)+IF(Element_Stiffness!$C$181,IF(Element_Stiffness!$C$180=6,IF(4=Element_Stiffness!$C$180,Element_Stiffness!U203,IF(4=Element_Stiffness!$E$180,Element_Stiffness!AA203,0)),IF(Element_Stiffness!$E$180=6,IF(4=Element_Stiffness!$C$180,Element_Stiffness!U209,IF(4=Element_Stiffness!$E$180,Element_Stiffness!AA209,0)),0)),0)+IF(Element_Stiffness!$C$216,IF(Element_Stiffness!$C$215=6,IF(4=Element_Stiffness!$C$215,Element_Stiffness!U238,IF(4=Element_Stiffness!$E$215,Element_Stiffness!AA238,0)),IF(Element_Stiffness!$E$215=6,IF(4=Element_Stiffness!$C$215,Element_Stiffness!U244,IF(4=Element_Stiffness!$E$215,Element_Stiffness!AA244,0)),0)),0)</f>
        <v/>
      </c>
      <c r="AG43" s="21">
        <f>IF(Element_Stiffness!$C$6,IF(Element_Stiffness!$C$5=6,IF(5=Element_Stiffness!$C$5,Element_Stiffness!P28,IF(5=Element_Stiffness!$E$5,Element_Stiffness!V28,0)),IF(Element_Stiffness!$E$5=6,IF(5=Element_Stiffness!$C$5,Element_Stiffness!P34,IF(5=Element_Stiffness!$E$5,Element_Stiffness!V34,0)),0)),0)+IF(Element_Stiffness!$C$41,IF(Element_Stiffness!$C$40=6,IF(5=Element_Stiffness!$C$40,Element_Stiffness!P63,IF(5=Element_Stiffness!$E$40,Element_Stiffness!V63,0)),IF(Element_Stiffness!$E$40=6,IF(5=Element_Stiffness!$C$40,Element_Stiffness!P69,IF(5=Element_Stiffness!$E$40,Element_Stiffness!V69,0)),0)),0)+IF(Element_Stiffness!$C$76,IF(Element_Stiffness!$C$75=6,IF(5=Element_Stiffness!$C$75,Element_Stiffness!P98,IF(5=Element_Stiffness!$E$75,Element_Stiffness!V98,0)),IF(Element_Stiffness!$E$75=6,IF(5=Element_Stiffness!$C$75,Element_Stiffness!P104,IF(5=Element_Stiffness!$E$75,Element_Stiffness!V104,0)),0)),0)+IF(Element_Stiffness!$C$111,IF(Element_Stiffness!$C$110=6,IF(5=Element_Stiffness!$C$110,Element_Stiffness!P133,IF(5=Element_Stiffness!$E$110,Element_Stiffness!V133,0)),IF(Element_Stiffness!$E$110=6,IF(5=Element_Stiffness!$C$110,Element_Stiffness!P139,IF(5=Element_Stiffness!$E$110,Element_Stiffness!V139,0)),0)),0)+IF(Element_Stiffness!$C$146,IF(Element_Stiffness!$C$145=6,IF(5=Element_Stiffness!$C$145,Element_Stiffness!P168,IF(5=Element_Stiffness!$E$145,Element_Stiffness!V168,0)),IF(Element_Stiffness!$E$145=6,IF(5=Element_Stiffness!$C$145,Element_Stiffness!P174,IF(5=Element_Stiffness!$E$145,Element_Stiffness!V174,0)),0)),0)+IF(Element_Stiffness!$C$181,IF(Element_Stiffness!$C$180=6,IF(5=Element_Stiffness!$C$180,Element_Stiffness!P203,IF(5=Element_Stiffness!$E$180,Element_Stiffness!V203,0)),IF(Element_Stiffness!$E$180=6,IF(5=Element_Stiffness!$C$180,Element_Stiffness!P209,IF(5=Element_Stiffness!$E$180,Element_Stiffness!V209,0)),0)),0)+IF(Element_Stiffness!$C$216,IF(Element_Stiffness!$C$215=6,IF(5=Element_Stiffness!$C$215,Element_Stiffness!P238,IF(5=Element_Stiffness!$E$215,Element_Stiffness!V238,0)),IF(Element_Stiffness!$E$215=6,IF(5=Element_Stiffness!$C$215,Element_Stiffness!P244,IF(5=Element_Stiffness!$E$215,Element_Stiffness!V244,0)),0)),0)</f>
        <v/>
      </c>
      <c r="AH43" s="21">
        <f>IF(Element_Stiffness!$C$6,IF(Element_Stiffness!$C$5=6,IF(5=Element_Stiffness!$C$5,Element_Stiffness!Q28,IF(5=Element_Stiffness!$E$5,Element_Stiffness!W28,0)),IF(Element_Stiffness!$E$5=6,IF(5=Element_Stiffness!$C$5,Element_Stiffness!Q34,IF(5=Element_Stiffness!$E$5,Element_Stiffness!W34,0)),0)),0)+IF(Element_Stiffness!$C$41,IF(Element_Stiffness!$C$40=6,IF(5=Element_Stiffness!$C$40,Element_Stiffness!Q63,IF(5=Element_Stiffness!$E$40,Element_Stiffness!W63,0)),IF(Element_Stiffness!$E$40=6,IF(5=Element_Stiffness!$C$40,Element_Stiffness!Q69,IF(5=Element_Stiffness!$E$40,Element_Stiffness!W69,0)),0)),0)+IF(Element_Stiffness!$C$76,IF(Element_Stiffness!$C$75=6,IF(5=Element_Stiffness!$C$75,Element_Stiffness!Q98,IF(5=Element_Stiffness!$E$75,Element_Stiffness!W98,0)),IF(Element_Stiffness!$E$75=6,IF(5=Element_Stiffness!$C$75,Element_Stiffness!Q104,IF(5=Element_Stiffness!$E$75,Element_Stiffness!W104,0)),0)),0)+IF(Element_Stiffness!$C$111,IF(Element_Stiffness!$C$110=6,IF(5=Element_Stiffness!$C$110,Element_Stiffness!Q133,IF(5=Element_Stiffness!$E$110,Element_Stiffness!W133,0)),IF(Element_Stiffness!$E$110=6,IF(5=Element_Stiffness!$C$110,Element_Stiffness!Q139,IF(5=Element_Stiffness!$E$110,Element_Stiffness!W139,0)),0)),0)+IF(Element_Stiffness!$C$146,IF(Element_Stiffness!$C$145=6,IF(5=Element_Stiffness!$C$145,Element_Stiffness!Q168,IF(5=Element_Stiffness!$E$145,Element_Stiffness!W168,0)),IF(Element_Stiffness!$E$145=6,IF(5=Element_Stiffness!$C$145,Element_Stiffness!Q174,IF(5=Element_Stiffness!$E$145,Element_Stiffness!W174,0)),0)),0)+IF(Element_Stiffness!$C$181,IF(Element_Stiffness!$C$180=6,IF(5=Element_Stiffness!$C$180,Element_Stiffness!Q203,IF(5=Element_Stiffness!$E$180,Element_Stiffness!W203,0)),IF(Element_Stiffness!$E$180=6,IF(5=Element_Stiffness!$C$180,Element_Stiffness!Q209,IF(5=Element_Stiffness!$E$180,Element_Stiffness!W209,0)),0)),0)+IF(Element_Stiffness!$C$216,IF(Element_Stiffness!$C$215=6,IF(5=Element_Stiffness!$C$215,Element_Stiffness!Q238,IF(5=Element_Stiffness!$E$215,Element_Stiffness!W238,0)),IF(Element_Stiffness!$E$215=6,IF(5=Element_Stiffness!$C$215,Element_Stiffness!Q244,IF(5=Element_Stiffness!$E$215,Element_Stiffness!W244,0)),0)),0)</f>
        <v/>
      </c>
      <c r="AI43" s="21">
        <f>IF(Element_Stiffness!$C$6,IF(Element_Stiffness!$C$5=6,IF(5=Element_Stiffness!$C$5,Element_Stiffness!R28,IF(5=Element_Stiffness!$E$5,Element_Stiffness!X28,0)),IF(Element_Stiffness!$E$5=6,IF(5=Element_Stiffness!$C$5,Element_Stiffness!R34,IF(5=Element_Stiffness!$E$5,Element_Stiffness!X34,0)),0)),0)+IF(Element_Stiffness!$C$41,IF(Element_Stiffness!$C$40=6,IF(5=Element_Stiffness!$C$40,Element_Stiffness!R63,IF(5=Element_Stiffness!$E$40,Element_Stiffness!X63,0)),IF(Element_Stiffness!$E$40=6,IF(5=Element_Stiffness!$C$40,Element_Stiffness!R69,IF(5=Element_Stiffness!$E$40,Element_Stiffness!X69,0)),0)),0)+IF(Element_Stiffness!$C$76,IF(Element_Stiffness!$C$75=6,IF(5=Element_Stiffness!$C$75,Element_Stiffness!R98,IF(5=Element_Stiffness!$E$75,Element_Stiffness!X98,0)),IF(Element_Stiffness!$E$75=6,IF(5=Element_Stiffness!$C$75,Element_Stiffness!R104,IF(5=Element_Stiffness!$E$75,Element_Stiffness!X104,0)),0)),0)+IF(Element_Stiffness!$C$111,IF(Element_Stiffness!$C$110=6,IF(5=Element_Stiffness!$C$110,Element_Stiffness!R133,IF(5=Element_Stiffness!$E$110,Element_Stiffness!X133,0)),IF(Element_Stiffness!$E$110=6,IF(5=Element_Stiffness!$C$110,Element_Stiffness!R139,IF(5=Element_Stiffness!$E$110,Element_Stiffness!X139,0)),0)),0)+IF(Element_Stiffness!$C$146,IF(Element_Stiffness!$C$145=6,IF(5=Element_Stiffness!$C$145,Element_Stiffness!R168,IF(5=Element_Stiffness!$E$145,Element_Stiffness!X168,0)),IF(Element_Stiffness!$E$145=6,IF(5=Element_Stiffness!$C$145,Element_Stiffness!R174,IF(5=Element_Stiffness!$E$145,Element_Stiffness!X174,0)),0)),0)+IF(Element_Stiffness!$C$181,IF(Element_Stiffness!$C$180=6,IF(5=Element_Stiffness!$C$180,Element_Stiffness!R203,IF(5=Element_Stiffness!$E$180,Element_Stiffness!X203,0)),IF(Element_Stiffness!$E$180=6,IF(5=Element_Stiffness!$C$180,Element_Stiffness!R209,IF(5=Element_Stiffness!$E$180,Element_Stiffness!X209,0)),0)),0)+IF(Element_Stiffness!$C$216,IF(Element_Stiffness!$C$215=6,IF(5=Element_Stiffness!$C$215,Element_Stiffness!R238,IF(5=Element_Stiffness!$E$215,Element_Stiffness!X238,0)),IF(Element_Stiffness!$E$215=6,IF(5=Element_Stiffness!$C$215,Element_Stiffness!R244,IF(5=Element_Stiffness!$E$215,Element_Stiffness!X244,0)),0)),0)</f>
        <v/>
      </c>
      <c r="AJ43" s="21">
        <f>IF(Element_Stiffness!$C$6,IF(Element_Stiffness!$C$5=6,IF(5=Element_Stiffness!$C$5,Element_Stiffness!S28,IF(5=Element_Stiffness!$E$5,Element_Stiffness!Y28,0)),IF(Element_Stiffness!$E$5=6,IF(5=Element_Stiffness!$C$5,Element_Stiffness!S34,IF(5=Element_Stiffness!$E$5,Element_Stiffness!Y34,0)),0)),0)+IF(Element_Stiffness!$C$41,IF(Element_Stiffness!$C$40=6,IF(5=Element_Stiffness!$C$40,Element_Stiffness!S63,IF(5=Element_Stiffness!$E$40,Element_Stiffness!Y63,0)),IF(Element_Stiffness!$E$40=6,IF(5=Element_Stiffness!$C$40,Element_Stiffness!S69,IF(5=Element_Stiffness!$E$40,Element_Stiffness!Y69,0)),0)),0)+IF(Element_Stiffness!$C$76,IF(Element_Stiffness!$C$75=6,IF(5=Element_Stiffness!$C$75,Element_Stiffness!S98,IF(5=Element_Stiffness!$E$75,Element_Stiffness!Y98,0)),IF(Element_Stiffness!$E$75=6,IF(5=Element_Stiffness!$C$75,Element_Stiffness!S104,IF(5=Element_Stiffness!$E$75,Element_Stiffness!Y104,0)),0)),0)+IF(Element_Stiffness!$C$111,IF(Element_Stiffness!$C$110=6,IF(5=Element_Stiffness!$C$110,Element_Stiffness!S133,IF(5=Element_Stiffness!$E$110,Element_Stiffness!Y133,0)),IF(Element_Stiffness!$E$110=6,IF(5=Element_Stiffness!$C$110,Element_Stiffness!S139,IF(5=Element_Stiffness!$E$110,Element_Stiffness!Y139,0)),0)),0)+IF(Element_Stiffness!$C$146,IF(Element_Stiffness!$C$145=6,IF(5=Element_Stiffness!$C$145,Element_Stiffness!S168,IF(5=Element_Stiffness!$E$145,Element_Stiffness!Y168,0)),IF(Element_Stiffness!$E$145=6,IF(5=Element_Stiffness!$C$145,Element_Stiffness!S174,IF(5=Element_Stiffness!$E$145,Element_Stiffness!Y174,0)),0)),0)+IF(Element_Stiffness!$C$181,IF(Element_Stiffness!$C$180=6,IF(5=Element_Stiffness!$C$180,Element_Stiffness!S203,IF(5=Element_Stiffness!$E$180,Element_Stiffness!Y203,0)),IF(Element_Stiffness!$E$180=6,IF(5=Element_Stiffness!$C$180,Element_Stiffness!S209,IF(5=Element_Stiffness!$E$180,Element_Stiffness!Y209,0)),0)),0)+IF(Element_Stiffness!$C$216,IF(Element_Stiffness!$C$215=6,IF(5=Element_Stiffness!$C$215,Element_Stiffness!S238,IF(5=Element_Stiffness!$E$215,Element_Stiffness!Y238,0)),IF(Element_Stiffness!$E$215=6,IF(5=Element_Stiffness!$C$215,Element_Stiffness!S244,IF(5=Element_Stiffness!$E$215,Element_Stiffness!Y244,0)),0)),0)</f>
        <v/>
      </c>
      <c r="AK43" s="21">
        <f>IF(Element_Stiffness!$C$6,IF(Element_Stiffness!$C$5=6,IF(5=Element_Stiffness!$C$5,Element_Stiffness!T28,IF(5=Element_Stiffness!$E$5,Element_Stiffness!Z28,0)),IF(Element_Stiffness!$E$5=6,IF(5=Element_Stiffness!$C$5,Element_Stiffness!T34,IF(5=Element_Stiffness!$E$5,Element_Stiffness!Z34,0)),0)),0)+IF(Element_Stiffness!$C$41,IF(Element_Stiffness!$C$40=6,IF(5=Element_Stiffness!$C$40,Element_Stiffness!T63,IF(5=Element_Stiffness!$E$40,Element_Stiffness!Z63,0)),IF(Element_Stiffness!$E$40=6,IF(5=Element_Stiffness!$C$40,Element_Stiffness!T69,IF(5=Element_Stiffness!$E$40,Element_Stiffness!Z69,0)),0)),0)+IF(Element_Stiffness!$C$76,IF(Element_Stiffness!$C$75=6,IF(5=Element_Stiffness!$C$75,Element_Stiffness!T98,IF(5=Element_Stiffness!$E$75,Element_Stiffness!Z98,0)),IF(Element_Stiffness!$E$75=6,IF(5=Element_Stiffness!$C$75,Element_Stiffness!T104,IF(5=Element_Stiffness!$E$75,Element_Stiffness!Z104,0)),0)),0)+IF(Element_Stiffness!$C$111,IF(Element_Stiffness!$C$110=6,IF(5=Element_Stiffness!$C$110,Element_Stiffness!T133,IF(5=Element_Stiffness!$E$110,Element_Stiffness!Z133,0)),IF(Element_Stiffness!$E$110=6,IF(5=Element_Stiffness!$C$110,Element_Stiffness!T139,IF(5=Element_Stiffness!$E$110,Element_Stiffness!Z139,0)),0)),0)+IF(Element_Stiffness!$C$146,IF(Element_Stiffness!$C$145=6,IF(5=Element_Stiffness!$C$145,Element_Stiffness!T168,IF(5=Element_Stiffness!$E$145,Element_Stiffness!Z168,0)),IF(Element_Stiffness!$E$145=6,IF(5=Element_Stiffness!$C$145,Element_Stiffness!T174,IF(5=Element_Stiffness!$E$145,Element_Stiffness!Z174,0)),0)),0)+IF(Element_Stiffness!$C$181,IF(Element_Stiffness!$C$180=6,IF(5=Element_Stiffness!$C$180,Element_Stiffness!T203,IF(5=Element_Stiffness!$E$180,Element_Stiffness!Z203,0)),IF(Element_Stiffness!$E$180=6,IF(5=Element_Stiffness!$C$180,Element_Stiffness!T209,IF(5=Element_Stiffness!$E$180,Element_Stiffness!Z209,0)),0)),0)+IF(Element_Stiffness!$C$216,IF(Element_Stiffness!$C$215=6,IF(5=Element_Stiffness!$C$215,Element_Stiffness!T238,IF(5=Element_Stiffness!$E$215,Element_Stiffness!Z238,0)),IF(Element_Stiffness!$E$215=6,IF(5=Element_Stiffness!$C$215,Element_Stiffness!T244,IF(5=Element_Stiffness!$E$215,Element_Stiffness!Z244,0)),0)),0)</f>
        <v/>
      </c>
      <c r="AL43" s="21">
        <f>IF(Element_Stiffness!$C$6,IF(Element_Stiffness!$C$5=6,IF(5=Element_Stiffness!$C$5,Element_Stiffness!U28,IF(5=Element_Stiffness!$E$5,Element_Stiffness!AA28,0)),IF(Element_Stiffness!$E$5=6,IF(5=Element_Stiffness!$C$5,Element_Stiffness!U34,IF(5=Element_Stiffness!$E$5,Element_Stiffness!AA34,0)),0)),0)+IF(Element_Stiffness!$C$41,IF(Element_Stiffness!$C$40=6,IF(5=Element_Stiffness!$C$40,Element_Stiffness!U63,IF(5=Element_Stiffness!$E$40,Element_Stiffness!AA63,0)),IF(Element_Stiffness!$E$40=6,IF(5=Element_Stiffness!$C$40,Element_Stiffness!U69,IF(5=Element_Stiffness!$E$40,Element_Stiffness!AA69,0)),0)),0)+IF(Element_Stiffness!$C$76,IF(Element_Stiffness!$C$75=6,IF(5=Element_Stiffness!$C$75,Element_Stiffness!U98,IF(5=Element_Stiffness!$E$75,Element_Stiffness!AA98,0)),IF(Element_Stiffness!$E$75=6,IF(5=Element_Stiffness!$C$75,Element_Stiffness!U104,IF(5=Element_Stiffness!$E$75,Element_Stiffness!AA104,0)),0)),0)+IF(Element_Stiffness!$C$111,IF(Element_Stiffness!$C$110=6,IF(5=Element_Stiffness!$C$110,Element_Stiffness!U133,IF(5=Element_Stiffness!$E$110,Element_Stiffness!AA133,0)),IF(Element_Stiffness!$E$110=6,IF(5=Element_Stiffness!$C$110,Element_Stiffness!U139,IF(5=Element_Stiffness!$E$110,Element_Stiffness!AA139,0)),0)),0)+IF(Element_Stiffness!$C$146,IF(Element_Stiffness!$C$145=6,IF(5=Element_Stiffness!$C$145,Element_Stiffness!U168,IF(5=Element_Stiffness!$E$145,Element_Stiffness!AA168,0)),IF(Element_Stiffness!$E$145=6,IF(5=Element_Stiffness!$C$145,Element_Stiffness!U174,IF(5=Element_Stiffness!$E$145,Element_Stiffness!AA174,0)),0)),0)+IF(Element_Stiffness!$C$181,IF(Element_Stiffness!$C$180=6,IF(5=Element_Stiffness!$C$180,Element_Stiffness!U203,IF(5=Element_Stiffness!$E$180,Element_Stiffness!AA203,0)),IF(Element_Stiffness!$E$180=6,IF(5=Element_Stiffness!$C$180,Element_Stiffness!U209,IF(5=Element_Stiffness!$E$180,Element_Stiffness!AA209,0)),0)),0)+IF(Element_Stiffness!$C$216,IF(Element_Stiffness!$C$215=6,IF(5=Element_Stiffness!$C$215,Element_Stiffness!U238,IF(5=Element_Stiffness!$E$215,Element_Stiffness!AA238,0)),IF(Element_Stiffness!$E$215=6,IF(5=Element_Stiffness!$C$215,Element_Stiffness!U244,IF(5=Element_Stiffness!$E$215,Element_Stiffness!AA244,0)),0)),0)</f>
        <v/>
      </c>
      <c r="AM43" s="21">
        <f>IF(Element_Stiffness!$C$6,IF(Element_Stiffness!$C$5=6,IF(6=Element_Stiffness!$C$5,Element_Stiffness!P28,IF(6=Element_Stiffness!$E$5,Element_Stiffness!V28,0)),IF(Element_Stiffness!$E$5=6,IF(6=Element_Stiffness!$C$5,Element_Stiffness!P34,IF(6=Element_Stiffness!$E$5,Element_Stiffness!V34,0)),0)),0)+IF(Element_Stiffness!$C$41,IF(Element_Stiffness!$C$40=6,IF(6=Element_Stiffness!$C$40,Element_Stiffness!P63,IF(6=Element_Stiffness!$E$40,Element_Stiffness!V63,0)),IF(Element_Stiffness!$E$40=6,IF(6=Element_Stiffness!$C$40,Element_Stiffness!P69,IF(6=Element_Stiffness!$E$40,Element_Stiffness!V69,0)),0)),0)+IF(Element_Stiffness!$C$76,IF(Element_Stiffness!$C$75=6,IF(6=Element_Stiffness!$C$75,Element_Stiffness!P98,IF(6=Element_Stiffness!$E$75,Element_Stiffness!V98,0)),IF(Element_Stiffness!$E$75=6,IF(6=Element_Stiffness!$C$75,Element_Stiffness!P104,IF(6=Element_Stiffness!$E$75,Element_Stiffness!V104,0)),0)),0)+IF(Element_Stiffness!$C$111,IF(Element_Stiffness!$C$110=6,IF(6=Element_Stiffness!$C$110,Element_Stiffness!P133,IF(6=Element_Stiffness!$E$110,Element_Stiffness!V133,0)),IF(Element_Stiffness!$E$110=6,IF(6=Element_Stiffness!$C$110,Element_Stiffness!P139,IF(6=Element_Stiffness!$E$110,Element_Stiffness!V139,0)),0)),0)+IF(Element_Stiffness!$C$146,IF(Element_Stiffness!$C$145=6,IF(6=Element_Stiffness!$C$145,Element_Stiffness!P168,IF(6=Element_Stiffness!$E$145,Element_Stiffness!V168,0)),IF(Element_Stiffness!$E$145=6,IF(6=Element_Stiffness!$C$145,Element_Stiffness!P174,IF(6=Element_Stiffness!$E$145,Element_Stiffness!V174,0)),0)),0)+IF(Element_Stiffness!$C$181,IF(Element_Stiffness!$C$180=6,IF(6=Element_Stiffness!$C$180,Element_Stiffness!P203,IF(6=Element_Stiffness!$E$180,Element_Stiffness!V203,0)),IF(Element_Stiffness!$E$180=6,IF(6=Element_Stiffness!$C$180,Element_Stiffness!P209,IF(6=Element_Stiffness!$E$180,Element_Stiffness!V209,0)),0)),0)+IF(Element_Stiffness!$C$216,IF(Element_Stiffness!$C$215=6,IF(6=Element_Stiffness!$C$215,Element_Stiffness!P238,IF(6=Element_Stiffness!$E$215,Element_Stiffness!V238,0)),IF(Element_Stiffness!$E$215=6,IF(6=Element_Stiffness!$C$215,Element_Stiffness!P244,IF(6=Element_Stiffness!$E$215,Element_Stiffness!V244,0)),0)),0)</f>
        <v/>
      </c>
      <c r="AN43" s="21">
        <f>IF(Element_Stiffness!$C$6,IF(Element_Stiffness!$C$5=6,IF(6=Element_Stiffness!$C$5,Element_Stiffness!Q28,IF(6=Element_Stiffness!$E$5,Element_Stiffness!W28,0)),IF(Element_Stiffness!$E$5=6,IF(6=Element_Stiffness!$C$5,Element_Stiffness!Q34,IF(6=Element_Stiffness!$E$5,Element_Stiffness!W34,0)),0)),0)+IF(Element_Stiffness!$C$41,IF(Element_Stiffness!$C$40=6,IF(6=Element_Stiffness!$C$40,Element_Stiffness!Q63,IF(6=Element_Stiffness!$E$40,Element_Stiffness!W63,0)),IF(Element_Stiffness!$E$40=6,IF(6=Element_Stiffness!$C$40,Element_Stiffness!Q69,IF(6=Element_Stiffness!$E$40,Element_Stiffness!W69,0)),0)),0)+IF(Element_Stiffness!$C$76,IF(Element_Stiffness!$C$75=6,IF(6=Element_Stiffness!$C$75,Element_Stiffness!Q98,IF(6=Element_Stiffness!$E$75,Element_Stiffness!W98,0)),IF(Element_Stiffness!$E$75=6,IF(6=Element_Stiffness!$C$75,Element_Stiffness!Q104,IF(6=Element_Stiffness!$E$75,Element_Stiffness!W104,0)),0)),0)+IF(Element_Stiffness!$C$111,IF(Element_Stiffness!$C$110=6,IF(6=Element_Stiffness!$C$110,Element_Stiffness!Q133,IF(6=Element_Stiffness!$E$110,Element_Stiffness!W133,0)),IF(Element_Stiffness!$E$110=6,IF(6=Element_Stiffness!$C$110,Element_Stiffness!Q139,IF(6=Element_Stiffness!$E$110,Element_Stiffness!W139,0)),0)),0)+IF(Element_Stiffness!$C$146,IF(Element_Stiffness!$C$145=6,IF(6=Element_Stiffness!$C$145,Element_Stiffness!Q168,IF(6=Element_Stiffness!$E$145,Element_Stiffness!W168,0)),IF(Element_Stiffness!$E$145=6,IF(6=Element_Stiffness!$C$145,Element_Stiffness!Q174,IF(6=Element_Stiffness!$E$145,Element_Stiffness!W174,0)),0)),0)+IF(Element_Stiffness!$C$181,IF(Element_Stiffness!$C$180=6,IF(6=Element_Stiffness!$C$180,Element_Stiffness!Q203,IF(6=Element_Stiffness!$E$180,Element_Stiffness!W203,0)),IF(Element_Stiffness!$E$180=6,IF(6=Element_Stiffness!$C$180,Element_Stiffness!Q209,IF(6=Element_Stiffness!$E$180,Element_Stiffness!W209,0)),0)),0)+IF(Element_Stiffness!$C$216,IF(Element_Stiffness!$C$215=6,IF(6=Element_Stiffness!$C$215,Element_Stiffness!Q238,IF(6=Element_Stiffness!$E$215,Element_Stiffness!W238,0)),IF(Element_Stiffness!$E$215=6,IF(6=Element_Stiffness!$C$215,Element_Stiffness!Q244,IF(6=Element_Stiffness!$E$215,Element_Stiffness!W244,0)),0)),0)</f>
        <v/>
      </c>
      <c r="AO43" s="21">
        <f>IF(Element_Stiffness!$C$6,IF(Element_Stiffness!$C$5=6,IF(6=Element_Stiffness!$C$5,Element_Stiffness!R28,IF(6=Element_Stiffness!$E$5,Element_Stiffness!X28,0)),IF(Element_Stiffness!$E$5=6,IF(6=Element_Stiffness!$C$5,Element_Stiffness!R34,IF(6=Element_Stiffness!$E$5,Element_Stiffness!X34,0)),0)),0)+IF(Element_Stiffness!$C$41,IF(Element_Stiffness!$C$40=6,IF(6=Element_Stiffness!$C$40,Element_Stiffness!R63,IF(6=Element_Stiffness!$E$40,Element_Stiffness!X63,0)),IF(Element_Stiffness!$E$40=6,IF(6=Element_Stiffness!$C$40,Element_Stiffness!R69,IF(6=Element_Stiffness!$E$40,Element_Stiffness!X69,0)),0)),0)+IF(Element_Stiffness!$C$76,IF(Element_Stiffness!$C$75=6,IF(6=Element_Stiffness!$C$75,Element_Stiffness!R98,IF(6=Element_Stiffness!$E$75,Element_Stiffness!X98,0)),IF(Element_Stiffness!$E$75=6,IF(6=Element_Stiffness!$C$75,Element_Stiffness!R104,IF(6=Element_Stiffness!$E$75,Element_Stiffness!X104,0)),0)),0)+IF(Element_Stiffness!$C$111,IF(Element_Stiffness!$C$110=6,IF(6=Element_Stiffness!$C$110,Element_Stiffness!R133,IF(6=Element_Stiffness!$E$110,Element_Stiffness!X133,0)),IF(Element_Stiffness!$E$110=6,IF(6=Element_Stiffness!$C$110,Element_Stiffness!R139,IF(6=Element_Stiffness!$E$110,Element_Stiffness!X139,0)),0)),0)+IF(Element_Stiffness!$C$146,IF(Element_Stiffness!$C$145=6,IF(6=Element_Stiffness!$C$145,Element_Stiffness!R168,IF(6=Element_Stiffness!$E$145,Element_Stiffness!X168,0)),IF(Element_Stiffness!$E$145=6,IF(6=Element_Stiffness!$C$145,Element_Stiffness!R174,IF(6=Element_Stiffness!$E$145,Element_Stiffness!X174,0)),0)),0)+IF(Element_Stiffness!$C$181,IF(Element_Stiffness!$C$180=6,IF(6=Element_Stiffness!$C$180,Element_Stiffness!R203,IF(6=Element_Stiffness!$E$180,Element_Stiffness!X203,0)),IF(Element_Stiffness!$E$180=6,IF(6=Element_Stiffness!$C$180,Element_Stiffness!R209,IF(6=Element_Stiffness!$E$180,Element_Stiffness!X209,0)),0)),0)+IF(Element_Stiffness!$C$216,IF(Element_Stiffness!$C$215=6,IF(6=Element_Stiffness!$C$215,Element_Stiffness!R238,IF(6=Element_Stiffness!$E$215,Element_Stiffness!X238,0)),IF(Element_Stiffness!$E$215=6,IF(6=Element_Stiffness!$C$215,Element_Stiffness!R244,IF(6=Element_Stiffness!$E$215,Element_Stiffness!X244,0)),0)),0)+IF(Inputs!E46=TRUE,1E15,IF(ISNUMBER(Inputs!E46),Inputs!E46,0))</f>
        <v/>
      </c>
      <c r="AP43" s="21">
        <f>IF(Element_Stiffness!$C$6,IF(Element_Stiffness!$C$5=6,IF(6=Element_Stiffness!$C$5,Element_Stiffness!S28,IF(6=Element_Stiffness!$E$5,Element_Stiffness!Y28,0)),IF(Element_Stiffness!$E$5=6,IF(6=Element_Stiffness!$C$5,Element_Stiffness!S34,IF(6=Element_Stiffness!$E$5,Element_Stiffness!Y34,0)),0)),0)+IF(Element_Stiffness!$C$41,IF(Element_Stiffness!$C$40=6,IF(6=Element_Stiffness!$C$40,Element_Stiffness!S63,IF(6=Element_Stiffness!$E$40,Element_Stiffness!Y63,0)),IF(Element_Stiffness!$E$40=6,IF(6=Element_Stiffness!$C$40,Element_Stiffness!S69,IF(6=Element_Stiffness!$E$40,Element_Stiffness!Y69,0)),0)),0)+IF(Element_Stiffness!$C$76,IF(Element_Stiffness!$C$75=6,IF(6=Element_Stiffness!$C$75,Element_Stiffness!S98,IF(6=Element_Stiffness!$E$75,Element_Stiffness!Y98,0)),IF(Element_Stiffness!$E$75=6,IF(6=Element_Stiffness!$C$75,Element_Stiffness!S104,IF(6=Element_Stiffness!$E$75,Element_Stiffness!Y104,0)),0)),0)+IF(Element_Stiffness!$C$111,IF(Element_Stiffness!$C$110=6,IF(6=Element_Stiffness!$C$110,Element_Stiffness!S133,IF(6=Element_Stiffness!$E$110,Element_Stiffness!Y133,0)),IF(Element_Stiffness!$E$110=6,IF(6=Element_Stiffness!$C$110,Element_Stiffness!S139,IF(6=Element_Stiffness!$E$110,Element_Stiffness!Y139,0)),0)),0)+IF(Element_Stiffness!$C$146,IF(Element_Stiffness!$C$145=6,IF(6=Element_Stiffness!$C$145,Element_Stiffness!S168,IF(6=Element_Stiffness!$E$145,Element_Stiffness!Y168,0)),IF(Element_Stiffness!$E$145=6,IF(6=Element_Stiffness!$C$145,Element_Stiffness!S174,IF(6=Element_Stiffness!$E$145,Element_Stiffness!Y174,0)),0)),0)+IF(Element_Stiffness!$C$181,IF(Element_Stiffness!$C$180=6,IF(6=Element_Stiffness!$C$180,Element_Stiffness!S203,IF(6=Element_Stiffness!$E$180,Element_Stiffness!Y203,0)),IF(Element_Stiffness!$E$180=6,IF(6=Element_Stiffness!$C$180,Element_Stiffness!S209,IF(6=Element_Stiffness!$E$180,Element_Stiffness!Y209,0)),0)),0)+IF(Element_Stiffness!$C$216,IF(Element_Stiffness!$C$215=6,IF(6=Element_Stiffness!$C$215,Element_Stiffness!S238,IF(6=Element_Stiffness!$E$215,Element_Stiffness!Y238,0)),IF(Element_Stiffness!$E$215=6,IF(6=Element_Stiffness!$C$215,Element_Stiffness!S244,IF(6=Element_Stiffness!$E$215,Element_Stiffness!Y244,0)),0)),0)</f>
        <v/>
      </c>
      <c r="AQ43" s="21">
        <f>IF(Element_Stiffness!$C$6,IF(Element_Stiffness!$C$5=6,IF(6=Element_Stiffness!$C$5,Element_Stiffness!T28,IF(6=Element_Stiffness!$E$5,Element_Stiffness!Z28,0)),IF(Element_Stiffness!$E$5=6,IF(6=Element_Stiffness!$C$5,Element_Stiffness!T34,IF(6=Element_Stiffness!$E$5,Element_Stiffness!Z34,0)),0)),0)+IF(Element_Stiffness!$C$41,IF(Element_Stiffness!$C$40=6,IF(6=Element_Stiffness!$C$40,Element_Stiffness!T63,IF(6=Element_Stiffness!$E$40,Element_Stiffness!Z63,0)),IF(Element_Stiffness!$E$40=6,IF(6=Element_Stiffness!$C$40,Element_Stiffness!T69,IF(6=Element_Stiffness!$E$40,Element_Stiffness!Z69,0)),0)),0)+IF(Element_Stiffness!$C$76,IF(Element_Stiffness!$C$75=6,IF(6=Element_Stiffness!$C$75,Element_Stiffness!T98,IF(6=Element_Stiffness!$E$75,Element_Stiffness!Z98,0)),IF(Element_Stiffness!$E$75=6,IF(6=Element_Stiffness!$C$75,Element_Stiffness!T104,IF(6=Element_Stiffness!$E$75,Element_Stiffness!Z104,0)),0)),0)+IF(Element_Stiffness!$C$111,IF(Element_Stiffness!$C$110=6,IF(6=Element_Stiffness!$C$110,Element_Stiffness!T133,IF(6=Element_Stiffness!$E$110,Element_Stiffness!Z133,0)),IF(Element_Stiffness!$E$110=6,IF(6=Element_Stiffness!$C$110,Element_Stiffness!T139,IF(6=Element_Stiffness!$E$110,Element_Stiffness!Z139,0)),0)),0)+IF(Element_Stiffness!$C$146,IF(Element_Stiffness!$C$145=6,IF(6=Element_Stiffness!$C$145,Element_Stiffness!T168,IF(6=Element_Stiffness!$E$145,Element_Stiffness!Z168,0)),IF(Element_Stiffness!$E$145=6,IF(6=Element_Stiffness!$C$145,Element_Stiffness!T174,IF(6=Element_Stiffness!$E$145,Element_Stiffness!Z174,0)),0)),0)+IF(Element_Stiffness!$C$181,IF(Element_Stiffness!$C$180=6,IF(6=Element_Stiffness!$C$180,Element_Stiffness!T203,IF(6=Element_Stiffness!$E$180,Element_Stiffness!Z203,0)),IF(Element_Stiffness!$E$180=6,IF(6=Element_Stiffness!$C$180,Element_Stiffness!T209,IF(6=Element_Stiffness!$E$180,Element_Stiffness!Z209,0)),0)),0)+IF(Element_Stiffness!$C$216,IF(Element_Stiffness!$C$215=6,IF(6=Element_Stiffness!$C$215,Element_Stiffness!T238,IF(6=Element_Stiffness!$E$215,Element_Stiffness!Z238,0)),IF(Element_Stiffness!$E$215=6,IF(6=Element_Stiffness!$C$215,Element_Stiffness!T244,IF(6=Element_Stiffness!$E$215,Element_Stiffness!Z244,0)),0)),0)</f>
        <v/>
      </c>
      <c r="AR43" s="21">
        <f>IF(Element_Stiffness!$C$6,IF(Element_Stiffness!$C$5=6,IF(6=Element_Stiffness!$C$5,Element_Stiffness!U28,IF(6=Element_Stiffness!$E$5,Element_Stiffness!AA28,0)),IF(Element_Stiffness!$E$5=6,IF(6=Element_Stiffness!$C$5,Element_Stiffness!U34,IF(6=Element_Stiffness!$E$5,Element_Stiffness!AA34,0)),0)),0)+IF(Element_Stiffness!$C$41,IF(Element_Stiffness!$C$40=6,IF(6=Element_Stiffness!$C$40,Element_Stiffness!U63,IF(6=Element_Stiffness!$E$40,Element_Stiffness!AA63,0)),IF(Element_Stiffness!$E$40=6,IF(6=Element_Stiffness!$C$40,Element_Stiffness!U69,IF(6=Element_Stiffness!$E$40,Element_Stiffness!AA69,0)),0)),0)+IF(Element_Stiffness!$C$76,IF(Element_Stiffness!$C$75=6,IF(6=Element_Stiffness!$C$75,Element_Stiffness!U98,IF(6=Element_Stiffness!$E$75,Element_Stiffness!AA98,0)),IF(Element_Stiffness!$E$75=6,IF(6=Element_Stiffness!$C$75,Element_Stiffness!U104,IF(6=Element_Stiffness!$E$75,Element_Stiffness!AA104,0)),0)),0)+IF(Element_Stiffness!$C$111,IF(Element_Stiffness!$C$110=6,IF(6=Element_Stiffness!$C$110,Element_Stiffness!U133,IF(6=Element_Stiffness!$E$110,Element_Stiffness!AA133,0)),IF(Element_Stiffness!$E$110=6,IF(6=Element_Stiffness!$C$110,Element_Stiffness!U139,IF(6=Element_Stiffness!$E$110,Element_Stiffness!AA139,0)),0)),0)+IF(Element_Stiffness!$C$146,IF(Element_Stiffness!$C$145=6,IF(6=Element_Stiffness!$C$145,Element_Stiffness!U168,IF(6=Element_Stiffness!$E$145,Element_Stiffness!AA168,0)),IF(Element_Stiffness!$E$145=6,IF(6=Element_Stiffness!$C$145,Element_Stiffness!U174,IF(6=Element_Stiffness!$E$145,Element_Stiffness!AA174,0)),0)),0)+IF(Element_Stiffness!$C$181,IF(Element_Stiffness!$C$180=6,IF(6=Element_Stiffness!$C$180,Element_Stiffness!U203,IF(6=Element_Stiffness!$E$180,Element_Stiffness!AA203,0)),IF(Element_Stiffness!$E$180=6,IF(6=Element_Stiffness!$C$180,Element_Stiffness!U209,IF(6=Element_Stiffness!$E$180,Element_Stiffness!AA209,0)),0)),0)+IF(Element_Stiffness!$C$216,IF(Element_Stiffness!$C$215=6,IF(6=Element_Stiffness!$C$215,Element_Stiffness!U238,IF(6=Element_Stiffness!$E$215,Element_Stiffness!AA238,0)),IF(Element_Stiffness!$E$215=6,IF(6=Element_Stiffness!$C$215,Element_Stiffness!U244,IF(6=Element_Stiffness!$E$215,Element_Stiffness!AA244,0)),0)),0)</f>
        <v/>
      </c>
      <c r="AS43" s="21">
        <f>IF(Element_Stiffness!$C$6,IF(Element_Stiffness!$C$5=6,IF(7=Element_Stiffness!$C$5,Element_Stiffness!P28,IF(7=Element_Stiffness!$E$5,Element_Stiffness!V28,0)),IF(Element_Stiffness!$E$5=6,IF(7=Element_Stiffness!$C$5,Element_Stiffness!P34,IF(7=Element_Stiffness!$E$5,Element_Stiffness!V34,0)),0)),0)+IF(Element_Stiffness!$C$41,IF(Element_Stiffness!$C$40=6,IF(7=Element_Stiffness!$C$40,Element_Stiffness!P63,IF(7=Element_Stiffness!$E$40,Element_Stiffness!V63,0)),IF(Element_Stiffness!$E$40=6,IF(7=Element_Stiffness!$C$40,Element_Stiffness!P69,IF(7=Element_Stiffness!$E$40,Element_Stiffness!V69,0)),0)),0)+IF(Element_Stiffness!$C$76,IF(Element_Stiffness!$C$75=6,IF(7=Element_Stiffness!$C$75,Element_Stiffness!P98,IF(7=Element_Stiffness!$E$75,Element_Stiffness!V98,0)),IF(Element_Stiffness!$E$75=6,IF(7=Element_Stiffness!$C$75,Element_Stiffness!P104,IF(7=Element_Stiffness!$E$75,Element_Stiffness!V104,0)),0)),0)+IF(Element_Stiffness!$C$111,IF(Element_Stiffness!$C$110=6,IF(7=Element_Stiffness!$C$110,Element_Stiffness!P133,IF(7=Element_Stiffness!$E$110,Element_Stiffness!V133,0)),IF(Element_Stiffness!$E$110=6,IF(7=Element_Stiffness!$C$110,Element_Stiffness!P139,IF(7=Element_Stiffness!$E$110,Element_Stiffness!V139,0)),0)),0)+IF(Element_Stiffness!$C$146,IF(Element_Stiffness!$C$145=6,IF(7=Element_Stiffness!$C$145,Element_Stiffness!P168,IF(7=Element_Stiffness!$E$145,Element_Stiffness!V168,0)),IF(Element_Stiffness!$E$145=6,IF(7=Element_Stiffness!$C$145,Element_Stiffness!P174,IF(7=Element_Stiffness!$E$145,Element_Stiffness!V174,0)),0)),0)+IF(Element_Stiffness!$C$181,IF(Element_Stiffness!$C$180=6,IF(7=Element_Stiffness!$C$180,Element_Stiffness!P203,IF(7=Element_Stiffness!$E$180,Element_Stiffness!V203,0)),IF(Element_Stiffness!$E$180=6,IF(7=Element_Stiffness!$C$180,Element_Stiffness!P209,IF(7=Element_Stiffness!$E$180,Element_Stiffness!V209,0)),0)),0)+IF(Element_Stiffness!$C$216,IF(Element_Stiffness!$C$215=6,IF(7=Element_Stiffness!$C$215,Element_Stiffness!P238,IF(7=Element_Stiffness!$E$215,Element_Stiffness!V238,0)),IF(Element_Stiffness!$E$215=6,IF(7=Element_Stiffness!$C$215,Element_Stiffness!P244,IF(7=Element_Stiffness!$E$215,Element_Stiffness!V244,0)),0)),0)</f>
        <v/>
      </c>
      <c r="AT43" s="21">
        <f>IF(Element_Stiffness!$C$6,IF(Element_Stiffness!$C$5=6,IF(7=Element_Stiffness!$C$5,Element_Stiffness!Q28,IF(7=Element_Stiffness!$E$5,Element_Stiffness!W28,0)),IF(Element_Stiffness!$E$5=6,IF(7=Element_Stiffness!$C$5,Element_Stiffness!Q34,IF(7=Element_Stiffness!$E$5,Element_Stiffness!W34,0)),0)),0)+IF(Element_Stiffness!$C$41,IF(Element_Stiffness!$C$40=6,IF(7=Element_Stiffness!$C$40,Element_Stiffness!Q63,IF(7=Element_Stiffness!$E$40,Element_Stiffness!W63,0)),IF(Element_Stiffness!$E$40=6,IF(7=Element_Stiffness!$C$40,Element_Stiffness!Q69,IF(7=Element_Stiffness!$E$40,Element_Stiffness!W69,0)),0)),0)+IF(Element_Stiffness!$C$76,IF(Element_Stiffness!$C$75=6,IF(7=Element_Stiffness!$C$75,Element_Stiffness!Q98,IF(7=Element_Stiffness!$E$75,Element_Stiffness!W98,0)),IF(Element_Stiffness!$E$75=6,IF(7=Element_Stiffness!$C$75,Element_Stiffness!Q104,IF(7=Element_Stiffness!$E$75,Element_Stiffness!W104,0)),0)),0)+IF(Element_Stiffness!$C$111,IF(Element_Stiffness!$C$110=6,IF(7=Element_Stiffness!$C$110,Element_Stiffness!Q133,IF(7=Element_Stiffness!$E$110,Element_Stiffness!W133,0)),IF(Element_Stiffness!$E$110=6,IF(7=Element_Stiffness!$C$110,Element_Stiffness!Q139,IF(7=Element_Stiffness!$E$110,Element_Stiffness!W139,0)),0)),0)+IF(Element_Stiffness!$C$146,IF(Element_Stiffness!$C$145=6,IF(7=Element_Stiffness!$C$145,Element_Stiffness!Q168,IF(7=Element_Stiffness!$E$145,Element_Stiffness!W168,0)),IF(Element_Stiffness!$E$145=6,IF(7=Element_Stiffness!$C$145,Element_Stiffness!Q174,IF(7=Element_Stiffness!$E$145,Element_Stiffness!W174,0)),0)),0)+IF(Element_Stiffness!$C$181,IF(Element_Stiffness!$C$180=6,IF(7=Element_Stiffness!$C$180,Element_Stiffness!Q203,IF(7=Element_Stiffness!$E$180,Element_Stiffness!W203,0)),IF(Element_Stiffness!$E$180=6,IF(7=Element_Stiffness!$C$180,Element_Stiffness!Q209,IF(7=Element_Stiffness!$E$180,Element_Stiffness!W209,0)),0)),0)+IF(Element_Stiffness!$C$216,IF(Element_Stiffness!$C$215=6,IF(7=Element_Stiffness!$C$215,Element_Stiffness!Q238,IF(7=Element_Stiffness!$E$215,Element_Stiffness!W238,0)),IF(Element_Stiffness!$E$215=6,IF(7=Element_Stiffness!$C$215,Element_Stiffness!Q244,IF(7=Element_Stiffness!$E$215,Element_Stiffness!W244,0)),0)),0)</f>
        <v/>
      </c>
      <c r="AU43" s="21">
        <f>IF(Element_Stiffness!$C$6,IF(Element_Stiffness!$C$5=6,IF(7=Element_Stiffness!$C$5,Element_Stiffness!R28,IF(7=Element_Stiffness!$E$5,Element_Stiffness!X28,0)),IF(Element_Stiffness!$E$5=6,IF(7=Element_Stiffness!$C$5,Element_Stiffness!R34,IF(7=Element_Stiffness!$E$5,Element_Stiffness!X34,0)),0)),0)+IF(Element_Stiffness!$C$41,IF(Element_Stiffness!$C$40=6,IF(7=Element_Stiffness!$C$40,Element_Stiffness!R63,IF(7=Element_Stiffness!$E$40,Element_Stiffness!X63,0)),IF(Element_Stiffness!$E$40=6,IF(7=Element_Stiffness!$C$40,Element_Stiffness!R69,IF(7=Element_Stiffness!$E$40,Element_Stiffness!X69,0)),0)),0)+IF(Element_Stiffness!$C$76,IF(Element_Stiffness!$C$75=6,IF(7=Element_Stiffness!$C$75,Element_Stiffness!R98,IF(7=Element_Stiffness!$E$75,Element_Stiffness!X98,0)),IF(Element_Stiffness!$E$75=6,IF(7=Element_Stiffness!$C$75,Element_Stiffness!R104,IF(7=Element_Stiffness!$E$75,Element_Stiffness!X104,0)),0)),0)+IF(Element_Stiffness!$C$111,IF(Element_Stiffness!$C$110=6,IF(7=Element_Stiffness!$C$110,Element_Stiffness!R133,IF(7=Element_Stiffness!$E$110,Element_Stiffness!X133,0)),IF(Element_Stiffness!$E$110=6,IF(7=Element_Stiffness!$C$110,Element_Stiffness!R139,IF(7=Element_Stiffness!$E$110,Element_Stiffness!X139,0)),0)),0)+IF(Element_Stiffness!$C$146,IF(Element_Stiffness!$C$145=6,IF(7=Element_Stiffness!$C$145,Element_Stiffness!R168,IF(7=Element_Stiffness!$E$145,Element_Stiffness!X168,0)),IF(Element_Stiffness!$E$145=6,IF(7=Element_Stiffness!$C$145,Element_Stiffness!R174,IF(7=Element_Stiffness!$E$145,Element_Stiffness!X174,0)),0)),0)+IF(Element_Stiffness!$C$181,IF(Element_Stiffness!$C$180=6,IF(7=Element_Stiffness!$C$180,Element_Stiffness!R203,IF(7=Element_Stiffness!$E$180,Element_Stiffness!X203,0)),IF(Element_Stiffness!$E$180=6,IF(7=Element_Stiffness!$C$180,Element_Stiffness!R209,IF(7=Element_Stiffness!$E$180,Element_Stiffness!X209,0)),0)),0)+IF(Element_Stiffness!$C$216,IF(Element_Stiffness!$C$215=6,IF(7=Element_Stiffness!$C$215,Element_Stiffness!R238,IF(7=Element_Stiffness!$E$215,Element_Stiffness!X238,0)),IF(Element_Stiffness!$E$215=6,IF(7=Element_Stiffness!$C$215,Element_Stiffness!R244,IF(7=Element_Stiffness!$E$215,Element_Stiffness!X244,0)),0)),0)</f>
        <v/>
      </c>
      <c r="AV43" s="21">
        <f>IF(Element_Stiffness!$C$6,IF(Element_Stiffness!$C$5=6,IF(7=Element_Stiffness!$C$5,Element_Stiffness!S28,IF(7=Element_Stiffness!$E$5,Element_Stiffness!Y28,0)),IF(Element_Stiffness!$E$5=6,IF(7=Element_Stiffness!$C$5,Element_Stiffness!S34,IF(7=Element_Stiffness!$E$5,Element_Stiffness!Y34,0)),0)),0)+IF(Element_Stiffness!$C$41,IF(Element_Stiffness!$C$40=6,IF(7=Element_Stiffness!$C$40,Element_Stiffness!S63,IF(7=Element_Stiffness!$E$40,Element_Stiffness!Y63,0)),IF(Element_Stiffness!$E$40=6,IF(7=Element_Stiffness!$C$40,Element_Stiffness!S69,IF(7=Element_Stiffness!$E$40,Element_Stiffness!Y69,0)),0)),0)+IF(Element_Stiffness!$C$76,IF(Element_Stiffness!$C$75=6,IF(7=Element_Stiffness!$C$75,Element_Stiffness!S98,IF(7=Element_Stiffness!$E$75,Element_Stiffness!Y98,0)),IF(Element_Stiffness!$E$75=6,IF(7=Element_Stiffness!$C$75,Element_Stiffness!S104,IF(7=Element_Stiffness!$E$75,Element_Stiffness!Y104,0)),0)),0)+IF(Element_Stiffness!$C$111,IF(Element_Stiffness!$C$110=6,IF(7=Element_Stiffness!$C$110,Element_Stiffness!S133,IF(7=Element_Stiffness!$E$110,Element_Stiffness!Y133,0)),IF(Element_Stiffness!$E$110=6,IF(7=Element_Stiffness!$C$110,Element_Stiffness!S139,IF(7=Element_Stiffness!$E$110,Element_Stiffness!Y139,0)),0)),0)+IF(Element_Stiffness!$C$146,IF(Element_Stiffness!$C$145=6,IF(7=Element_Stiffness!$C$145,Element_Stiffness!S168,IF(7=Element_Stiffness!$E$145,Element_Stiffness!Y168,0)),IF(Element_Stiffness!$E$145=6,IF(7=Element_Stiffness!$C$145,Element_Stiffness!S174,IF(7=Element_Stiffness!$E$145,Element_Stiffness!Y174,0)),0)),0)+IF(Element_Stiffness!$C$181,IF(Element_Stiffness!$C$180=6,IF(7=Element_Stiffness!$C$180,Element_Stiffness!S203,IF(7=Element_Stiffness!$E$180,Element_Stiffness!Y203,0)),IF(Element_Stiffness!$E$180=6,IF(7=Element_Stiffness!$C$180,Element_Stiffness!S209,IF(7=Element_Stiffness!$E$180,Element_Stiffness!Y209,0)),0)),0)+IF(Element_Stiffness!$C$216,IF(Element_Stiffness!$C$215=6,IF(7=Element_Stiffness!$C$215,Element_Stiffness!S238,IF(7=Element_Stiffness!$E$215,Element_Stiffness!Y238,0)),IF(Element_Stiffness!$E$215=6,IF(7=Element_Stiffness!$C$215,Element_Stiffness!S244,IF(7=Element_Stiffness!$E$215,Element_Stiffness!Y244,0)),0)),0)</f>
        <v/>
      </c>
      <c r="AW43" s="21">
        <f>IF(Element_Stiffness!$C$6,IF(Element_Stiffness!$C$5=6,IF(7=Element_Stiffness!$C$5,Element_Stiffness!T28,IF(7=Element_Stiffness!$E$5,Element_Stiffness!Z28,0)),IF(Element_Stiffness!$E$5=6,IF(7=Element_Stiffness!$C$5,Element_Stiffness!T34,IF(7=Element_Stiffness!$E$5,Element_Stiffness!Z34,0)),0)),0)+IF(Element_Stiffness!$C$41,IF(Element_Stiffness!$C$40=6,IF(7=Element_Stiffness!$C$40,Element_Stiffness!T63,IF(7=Element_Stiffness!$E$40,Element_Stiffness!Z63,0)),IF(Element_Stiffness!$E$40=6,IF(7=Element_Stiffness!$C$40,Element_Stiffness!T69,IF(7=Element_Stiffness!$E$40,Element_Stiffness!Z69,0)),0)),0)+IF(Element_Stiffness!$C$76,IF(Element_Stiffness!$C$75=6,IF(7=Element_Stiffness!$C$75,Element_Stiffness!T98,IF(7=Element_Stiffness!$E$75,Element_Stiffness!Z98,0)),IF(Element_Stiffness!$E$75=6,IF(7=Element_Stiffness!$C$75,Element_Stiffness!T104,IF(7=Element_Stiffness!$E$75,Element_Stiffness!Z104,0)),0)),0)+IF(Element_Stiffness!$C$111,IF(Element_Stiffness!$C$110=6,IF(7=Element_Stiffness!$C$110,Element_Stiffness!T133,IF(7=Element_Stiffness!$E$110,Element_Stiffness!Z133,0)),IF(Element_Stiffness!$E$110=6,IF(7=Element_Stiffness!$C$110,Element_Stiffness!T139,IF(7=Element_Stiffness!$E$110,Element_Stiffness!Z139,0)),0)),0)+IF(Element_Stiffness!$C$146,IF(Element_Stiffness!$C$145=6,IF(7=Element_Stiffness!$C$145,Element_Stiffness!T168,IF(7=Element_Stiffness!$E$145,Element_Stiffness!Z168,0)),IF(Element_Stiffness!$E$145=6,IF(7=Element_Stiffness!$C$145,Element_Stiffness!T174,IF(7=Element_Stiffness!$E$145,Element_Stiffness!Z174,0)),0)),0)+IF(Element_Stiffness!$C$181,IF(Element_Stiffness!$C$180=6,IF(7=Element_Stiffness!$C$180,Element_Stiffness!T203,IF(7=Element_Stiffness!$E$180,Element_Stiffness!Z203,0)),IF(Element_Stiffness!$E$180=6,IF(7=Element_Stiffness!$C$180,Element_Stiffness!T209,IF(7=Element_Stiffness!$E$180,Element_Stiffness!Z209,0)),0)),0)+IF(Element_Stiffness!$C$216,IF(Element_Stiffness!$C$215=6,IF(7=Element_Stiffness!$C$215,Element_Stiffness!T238,IF(7=Element_Stiffness!$E$215,Element_Stiffness!Z238,0)),IF(Element_Stiffness!$E$215=6,IF(7=Element_Stiffness!$C$215,Element_Stiffness!T244,IF(7=Element_Stiffness!$E$215,Element_Stiffness!Z244,0)),0)),0)</f>
        <v/>
      </c>
      <c r="AX43" s="21">
        <f>IF(Element_Stiffness!$C$6,IF(Element_Stiffness!$C$5=6,IF(7=Element_Stiffness!$C$5,Element_Stiffness!U28,IF(7=Element_Stiffness!$E$5,Element_Stiffness!AA28,0)),IF(Element_Stiffness!$E$5=6,IF(7=Element_Stiffness!$C$5,Element_Stiffness!U34,IF(7=Element_Stiffness!$E$5,Element_Stiffness!AA34,0)),0)),0)+IF(Element_Stiffness!$C$41,IF(Element_Stiffness!$C$40=6,IF(7=Element_Stiffness!$C$40,Element_Stiffness!U63,IF(7=Element_Stiffness!$E$40,Element_Stiffness!AA63,0)),IF(Element_Stiffness!$E$40=6,IF(7=Element_Stiffness!$C$40,Element_Stiffness!U69,IF(7=Element_Stiffness!$E$40,Element_Stiffness!AA69,0)),0)),0)+IF(Element_Stiffness!$C$76,IF(Element_Stiffness!$C$75=6,IF(7=Element_Stiffness!$C$75,Element_Stiffness!U98,IF(7=Element_Stiffness!$E$75,Element_Stiffness!AA98,0)),IF(Element_Stiffness!$E$75=6,IF(7=Element_Stiffness!$C$75,Element_Stiffness!U104,IF(7=Element_Stiffness!$E$75,Element_Stiffness!AA104,0)),0)),0)+IF(Element_Stiffness!$C$111,IF(Element_Stiffness!$C$110=6,IF(7=Element_Stiffness!$C$110,Element_Stiffness!U133,IF(7=Element_Stiffness!$E$110,Element_Stiffness!AA133,0)),IF(Element_Stiffness!$E$110=6,IF(7=Element_Stiffness!$C$110,Element_Stiffness!U139,IF(7=Element_Stiffness!$E$110,Element_Stiffness!AA139,0)),0)),0)+IF(Element_Stiffness!$C$146,IF(Element_Stiffness!$C$145=6,IF(7=Element_Stiffness!$C$145,Element_Stiffness!U168,IF(7=Element_Stiffness!$E$145,Element_Stiffness!AA168,0)),IF(Element_Stiffness!$E$145=6,IF(7=Element_Stiffness!$C$145,Element_Stiffness!U174,IF(7=Element_Stiffness!$E$145,Element_Stiffness!AA174,0)),0)),0)+IF(Element_Stiffness!$C$181,IF(Element_Stiffness!$C$180=6,IF(7=Element_Stiffness!$C$180,Element_Stiffness!U203,IF(7=Element_Stiffness!$E$180,Element_Stiffness!AA203,0)),IF(Element_Stiffness!$E$180=6,IF(7=Element_Stiffness!$C$180,Element_Stiffness!U209,IF(7=Element_Stiffness!$E$180,Element_Stiffness!AA209,0)),0)),0)+IF(Element_Stiffness!$C$216,IF(Element_Stiffness!$C$215=6,IF(7=Element_Stiffness!$C$215,Element_Stiffness!U238,IF(7=Element_Stiffness!$E$215,Element_Stiffness!AA238,0)),IF(Element_Stiffness!$E$215=6,IF(7=Element_Stiffness!$C$215,Element_Stiffness!U244,IF(7=Element_Stiffness!$E$215,Element_Stiffness!AA244,0)),0)),0)</f>
        <v/>
      </c>
      <c r="AY43" s="21" t="n">
        <v>0</v>
      </c>
      <c r="AZ43" s="21">
        <f>IF(Element_Stiffness!$C$6,IF(Element_Stiffness!$C$5=6,Element_Stiffness!C28,IF(Element_Stiffness!$E$5=6,Element_Stiffness!C34,0)),0)+IF(Element_Stiffness!$C$41,IF(Element_Stiffness!$C$40=6,Element_Stiffness!C63,IF(Element_Stiffness!$E$40=6,Element_Stiffness!C69,0)),0)+IF(Element_Stiffness!$C$76,IF(Element_Stiffness!$C$75=6,Element_Stiffness!C98,IF(Element_Stiffness!$E$75=6,Element_Stiffness!C104,0)),0)+IF(Element_Stiffness!$C$111,IF(Element_Stiffness!$C$110=6,Element_Stiffness!C133,IF(Element_Stiffness!$E$110=6,Element_Stiffness!C139,0)),0)+IF(Element_Stiffness!$C$146,IF(Element_Stiffness!$C$145=6,Element_Stiffness!C168,IF(Element_Stiffness!$E$145=6,Element_Stiffness!C174,0)),0)+IF(Element_Stiffness!$C$181,IF(Element_Stiffness!$C$180=6,Element_Stiffness!C203,IF(Element_Stiffness!$E$180=6,Element_Stiffness!C209,0)),0)+IF(Element_Stiffness!$C$216,IF(Element_Stiffness!$C$215=6,Element_Stiffness!C238,IF(Element_Stiffness!$E$215=6,Element_Stiffness!C244,0)),0)</f>
        <v/>
      </c>
      <c r="BB43" s="28">
        <f>INDEX(MMULT(MINVERSE(C5:AX52), AY5:AY52), 39, 1)</f>
        <v/>
      </c>
      <c r="BC43" s="28">
        <f>INDEX(MMULT(MINVERSE(C5:AX52), AZ5:AZ52), 39, 1)</f>
        <v/>
      </c>
    </row>
    <row r="44">
      <c r="B44" s="27" t="inlineStr">
        <is>
          <t>N6_rx</t>
        </is>
      </c>
      <c r="C44" s="21">
        <f>IF(Element_Stiffness!$C$6,IF(Element_Stiffness!$C$5=6,IF(0=Element_Stiffness!$C$5,Element_Stiffness!P29,IF(0=Element_Stiffness!$E$5,Element_Stiffness!V29,0)),IF(Element_Stiffness!$E$5=6,IF(0=Element_Stiffness!$C$5,Element_Stiffness!P35,IF(0=Element_Stiffness!$E$5,Element_Stiffness!V35,0)),0)),0)+IF(Element_Stiffness!$C$41,IF(Element_Stiffness!$C$40=6,IF(0=Element_Stiffness!$C$40,Element_Stiffness!P64,IF(0=Element_Stiffness!$E$40,Element_Stiffness!V64,0)),IF(Element_Stiffness!$E$40=6,IF(0=Element_Stiffness!$C$40,Element_Stiffness!P70,IF(0=Element_Stiffness!$E$40,Element_Stiffness!V70,0)),0)),0)+IF(Element_Stiffness!$C$76,IF(Element_Stiffness!$C$75=6,IF(0=Element_Stiffness!$C$75,Element_Stiffness!P99,IF(0=Element_Stiffness!$E$75,Element_Stiffness!V99,0)),IF(Element_Stiffness!$E$75=6,IF(0=Element_Stiffness!$C$75,Element_Stiffness!P105,IF(0=Element_Stiffness!$E$75,Element_Stiffness!V105,0)),0)),0)+IF(Element_Stiffness!$C$111,IF(Element_Stiffness!$C$110=6,IF(0=Element_Stiffness!$C$110,Element_Stiffness!P134,IF(0=Element_Stiffness!$E$110,Element_Stiffness!V134,0)),IF(Element_Stiffness!$E$110=6,IF(0=Element_Stiffness!$C$110,Element_Stiffness!P140,IF(0=Element_Stiffness!$E$110,Element_Stiffness!V140,0)),0)),0)+IF(Element_Stiffness!$C$146,IF(Element_Stiffness!$C$145=6,IF(0=Element_Stiffness!$C$145,Element_Stiffness!P169,IF(0=Element_Stiffness!$E$145,Element_Stiffness!V169,0)),IF(Element_Stiffness!$E$145=6,IF(0=Element_Stiffness!$C$145,Element_Stiffness!P175,IF(0=Element_Stiffness!$E$145,Element_Stiffness!V175,0)),0)),0)+IF(Element_Stiffness!$C$181,IF(Element_Stiffness!$C$180=6,IF(0=Element_Stiffness!$C$180,Element_Stiffness!P204,IF(0=Element_Stiffness!$E$180,Element_Stiffness!V204,0)),IF(Element_Stiffness!$E$180=6,IF(0=Element_Stiffness!$C$180,Element_Stiffness!P210,IF(0=Element_Stiffness!$E$180,Element_Stiffness!V210,0)),0)),0)+IF(Element_Stiffness!$C$216,IF(Element_Stiffness!$C$215=6,IF(0=Element_Stiffness!$C$215,Element_Stiffness!P239,IF(0=Element_Stiffness!$E$215,Element_Stiffness!V239,0)),IF(Element_Stiffness!$E$215=6,IF(0=Element_Stiffness!$C$215,Element_Stiffness!P245,IF(0=Element_Stiffness!$E$215,Element_Stiffness!V245,0)),0)),0)</f>
        <v/>
      </c>
      <c r="D44" s="21">
        <f>IF(Element_Stiffness!$C$6,IF(Element_Stiffness!$C$5=6,IF(0=Element_Stiffness!$C$5,Element_Stiffness!Q29,IF(0=Element_Stiffness!$E$5,Element_Stiffness!W29,0)),IF(Element_Stiffness!$E$5=6,IF(0=Element_Stiffness!$C$5,Element_Stiffness!Q35,IF(0=Element_Stiffness!$E$5,Element_Stiffness!W35,0)),0)),0)+IF(Element_Stiffness!$C$41,IF(Element_Stiffness!$C$40=6,IF(0=Element_Stiffness!$C$40,Element_Stiffness!Q64,IF(0=Element_Stiffness!$E$40,Element_Stiffness!W64,0)),IF(Element_Stiffness!$E$40=6,IF(0=Element_Stiffness!$C$40,Element_Stiffness!Q70,IF(0=Element_Stiffness!$E$40,Element_Stiffness!W70,0)),0)),0)+IF(Element_Stiffness!$C$76,IF(Element_Stiffness!$C$75=6,IF(0=Element_Stiffness!$C$75,Element_Stiffness!Q99,IF(0=Element_Stiffness!$E$75,Element_Stiffness!W99,0)),IF(Element_Stiffness!$E$75=6,IF(0=Element_Stiffness!$C$75,Element_Stiffness!Q105,IF(0=Element_Stiffness!$E$75,Element_Stiffness!W105,0)),0)),0)+IF(Element_Stiffness!$C$111,IF(Element_Stiffness!$C$110=6,IF(0=Element_Stiffness!$C$110,Element_Stiffness!Q134,IF(0=Element_Stiffness!$E$110,Element_Stiffness!W134,0)),IF(Element_Stiffness!$E$110=6,IF(0=Element_Stiffness!$C$110,Element_Stiffness!Q140,IF(0=Element_Stiffness!$E$110,Element_Stiffness!W140,0)),0)),0)+IF(Element_Stiffness!$C$146,IF(Element_Stiffness!$C$145=6,IF(0=Element_Stiffness!$C$145,Element_Stiffness!Q169,IF(0=Element_Stiffness!$E$145,Element_Stiffness!W169,0)),IF(Element_Stiffness!$E$145=6,IF(0=Element_Stiffness!$C$145,Element_Stiffness!Q175,IF(0=Element_Stiffness!$E$145,Element_Stiffness!W175,0)),0)),0)+IF(Element_Stiffness!$C$181,IF(Element_Stiffness!$C$180=6,IF(0=Element_Stiffness!$C$180,Element_Stiffness!Q204,IF(0=Element_Stiffness!$E$180,Element_Stiffness!W204,0)),IF(Element_Stiffness!$E$180=6,IF(0=Element_Stiffness!$C$180,Element_Stiffness!Q210,IF(0=Element_Stiffness!$E$180,Element_Stiffness!W210,0)),0)),0)+IF(Element_Stiffness!$C$216,IF(Element_Stiffness!$C$215=6,IF(0=Element_Stiffness!$C$215,Element_Stiffness!Q239,IF(0=Element_Stiffness!$E$215,Element_Stiffness!W239,0)),IF(Element_Stiffness!$E$215=6,IF(0=Element_Stiffness!$C$215,Element_Stiffness!Q245,IF(0=Element_Stiffness!$E$215,Element_Stiffness!W245,0)),0)),0)</f>
        <v/>
      </c>
      <c r="E44" s="21">
        <f>IF(Element_Stiffness!$C$6,IF(Element_Stiffness!$C$5=6,IF(0=Element_Stiffness!$C$5,Element_Stiffness!R29,IF(0=Element_Stiffness!$E$5,Element_Stiffness!X29,0)),IF(Element_Stiffness!$E$5=6,IF(0=Element_Stiffness!$C$5,Element_Stiffness!R35,IF(0=Element_Stiffness!$E$5,Element_Stiffness!X35,0)),0)),0)+IF(Element_Stiffness!$C$41,IF(Element_Stiffness!$C$40=6,IF(0=Element_Stiffness!$C$40,Element_Stiffness!R64,IF(0=Element_Stiffness!$E$40,Element_Stiffness!X64,0)),IF(Element_Stiffness!$E$40=6,IF(0=Element_Stiffness!$C$40,Element_Stiffness!R70,IF(0=Element_Stiffness!$E$40,Element_Stiffness!X70,0)),0)),0)+IF(Element_Stiffness!$C$76,IF(Element_Stiffness!$C$75=6,IF(0=Element_Stiffness!$C$75,Element_Stiffness!R99,IF(0=Element_Stiffness!$E$75,Element_Stiffness!X99,0)),IF(Element_Stiffness!$E$75=6,IF(0=Element_Stiffness!$C$75,Element_Stiffness!R105,IF(0=Element_Stiffness!$E$75,Element_Stiffness!X105,0)),0)),0)+IF(Element_Stiffness!$C$111,IF(Element_Stiffness!$C$110=6,IF(0=Element_Stiffness!$C$110,Element_Stiffness!R134,IF(0=Element_Stiffness!$E$110,Element_Stiffness!X134,0)),IF(Element_Stiffness!$E$110=6,IF(0=Element_Stiffness!$C$110,Element_Stiffness!R140,IF(0=Element_Stiffness!$E$110,Element_Stiffness!X140,0)),0)),0)+IF(Element_Stiffness!$C$146,IF(Element_Stiffness!$C$145=6,IF(0=Element_Stiffness!$C$145,Element_Stiffness!R169,IF(0=Element_Stiffness!$E$145,Element_Stiffness!X169,0)),IF(Element_Stiffness!$E$145=6,IF(0=Element_Stiffness!$C$145,Element_Stiffness!R175,IF(0=Element_Stiffness!$E$145,Element_Stiffness!X175,0)),0)),0)+IF(Element_Stiffness!$C$181,IF(Element_Stiffness!$C$180=6,IF(0=Element_Stiffness!$C$180,Element_Stiffness!R204,IF(0=Element_Stiffness!$E$180,Element_Stiffness!X204,0)),IF(Element_Stiffness!$E$180=6,IF(0=Element_Stiffness!$C$180,Element_Stiffness!R210,IF(0=Element_Stiffness!$E$180,Element_Stiffness!X210,0)),0)),0)+IF(Element_Stiffness!$C$216,IF(Element_Stiffness!$C$215=6,IF(0=Element_Stiffness!$C$215,Element_Stiffness!R239,IF(0=Element_Stiffness!$E$215,Element_Stiffness!X239,0)),IF(Element_Stiffness!$E$215=6,IF(0=Element_Stiffness!$C$215,Element_Stiffness!R245,IF(0=Element_Stiffness!$E$215,Element_Stiffness!X245,0)),0)),0)</f>
        <v/>
      </c>
      <c r="F44" s="21">
        <f>IF(Element_Stiffness!$C$6,IF(Element_Stiffness!$C$5=6,IF(0=Element_Stiffness!$C$5,Element_Stiffness!S29,IF(0=Element_Stiffness!$E$5,Element_Stiffness!Y29,0)),IF(Element_Stiffness!$E$5=6,IF(0=Element_Stiffness!$C$5,Element_Stiffness!S35,IF(0=Element_Stiffness!$E$5,Element_Stiffness!Y35,0)),0)),0)+IF(Element_Stiffness!$C$41,IF(Element_Stiffness!$C$40=6,IF(0=Element_Stiffness!$C$40,Element_Stiffness!S64,IF(0=Element_Stiffness!$E$40,Element_Stiffness!Y64,0)),IF(Element_Stiffness!$E$40=6,IF(0=Element_Stiffness!$C$40,Element_Stiffness!S70,IF(0=Element_Stiffness!$E$40,Element_Stiffness!Y70,0)),0)),0)+IF(Element_Stiffness!$C$76,IF(Element_Stiffness!$C$75=6,IF(0=Element_Stiffness!$C$75,Element_Stiffness!S99,IF(0=Element_Stiffness!$E$75,Element_Stiffness!Y99,0)),IF(Element_Stiffness!$E$75=6,IF(0=Element_Stiffness!$C$75,Element_Stiffness!S105,IF(0=Element_Stiffness!$E$75,Element_Stiffness!Y105,0)),0)),0)+IF(Element_Stiffness!$C$111,IF(Element_Stiffness!$C$110=6,IF(0=Element_Stiffness!$C$110,Element_Stiffness!S134,IF(0=Element_Stiffness!$E$110,Element_Stiffness!Y134,0)),IF(Element_Stiffness!$E$110=6,IF(0=Element_Stiffness!$C$110,Element_Stiffness!S140,IF(0=Element_Stiffness!$E$110,Element_Stiffness!Y140,0)),0)),0)+IF(Element_Stiffness!$C$146,IF(Element_Stiffness!$C$145=6,IF(0=Element_Stiffness!$C$145,Element_Stiffness!S169,IF(0=Element_Stiffness!$E$145,Element_Stiffness!Y169,0)),IF(Element_Stiffness!$E$145=6,IF(0=Element_Stiffness!$C$145,Element_Stiffness!S175,IF(0=Element_Stiffness!$E$145,Element_Stiffness!Y175,0)),0)),0)+IF(Element_Stiffness!$C$181,IF(Element_Stiffness!$C$180=6,IF(0=Element_Stiffness!$C$180,Element_Stiffness!S204,IF(0=Element_Stiffness!$E$180,Element_Stiffness!Y204,0)),IF(Element_Stiffness!$E$180=6,IF(0=Element_Stiffness!$C$180,Element_Stiffness!S210,IF(0=Element_Stiffness!$E$180,Element_Stiffness!Y210,0)),0)),0)+IF(Element_Stiffness!$C$216,IF(Element_Stiffness!$C$215=6,IF(0=Element_Stiffness!$C$215,Element_Stiffness!S239,IF(0=Element_Stiffness!$E$215,Element_Stiffness!Y239,0)),IF(Element_Stiffness!$E$215=6,IF(0=Element_Stiffness!$C$215,Element_Stiffness!S245,IF(0=Element_Stiffness!$E$215,Element_Stiffness!Y245,0)),0)),0)</f>
        <v/>
      </c>
      <c r="G44" s="21">
        <f>IF(Element_Stiffness!$C$6,IF(Element_Stiffness!$C$5=6,IF(0=Element_Stiffness!$C$5,Element_Stiffness!T29,IF(0=Element_Stiffness!$E$5,Element_Stiffness!Z29,0)),IF(Element_Stiffness!$E$5=6,IF(0=Element_Stiffness!$C$5,Element_Stiffness!T35,IF(0=Element_Stiffness!$E$5,Element_Stiffness!Z35,0)),0)),0)+IF(Element_Stiffness!$C$41,IF(Element_Stiffness!$C$40=6,IF(0=Element_Stiffness!$C$40,Element_Stiffness!T64,IF(0=Element_Stiffness!$E$40,Element_Stiffness!Z64,0)),IF(Element_Stiffness!$E$40=6,IF(0=Element_Stiffness!$C$40,Element_Stiffness!T70,IF(0=Element_Stiffness!$E$40,Element_Stiffness!Z70,0)),0)),0)+IF(Element_Stiffness!$C$76,IF(Element_Stiffness!$C$75=6,IF(0=Element_Stiffness!$C$75,Element_Stiffness!T99,IF(0=Element_Stiffness!$E$75,Element_Stiffness!Z99,0)),IF(Element_Stiffness!$E$75=6,IF(0=Element_Stiffness!$C$75,Element_Stiffness!T105,IF(0=Element_Stiffness!$E$75,Element_Stiffness!Z105,0)),0)),0)+IF(Element_Stiffness!$C$111,IF(Element_Stiffness!$C$110=6,IF(0=Element_Stiffness!$C$110,Element_Stiffness!T134,IF(0=Element_Stiffness!$E$110,Element_Stiffness!Z134,0)),IF(Element_Stiffness!$E$110=6,IF(0=Element_Stiffness!$C$110,Element_Stiffness!T140,IF(0=Element_Stiffness!$E$110,Element_Stiffness!Z140,0)),0)),0)+IF(Element_Stiffness!$C$146,IF(Element_Stiffness!$C$145=6,IF(0=Element_Stiffness!$C$145,Element_Stiffness!T169,IF(0=Element_Stiffness!$E$145,Element_Stiffness!Z169,0)),IF(Element_Stiffness!$E$145=6,IF(0=Element_Stiffness!$C$145,Element_Stiffness!T175,IF(0=Element_Stiffness!$E$145,Element_Stiffness!Z175,0)),0)),0)+IF(Element_Stiffness!$C$181,IF(Element_Stiffness!$C$180=6,IF(0=Element_Stiffness!$C$180,Element_Stiffness!T204,IF(0=Element_Stiffness!$E$180,Element_Stiffness!Z204,0)),IF(Element_Stiffness!$E$180=6,IF(0=Element_Stiffness!$C$180,Element_Stiffness!T210,IF(0=Element_Stiffness!$E$180,Element_Stiffness!Z210,0)),0)),0)+IF(Element_Stiffness!$C$216,IF(Element_Stiffness!$C$215=6,IF(0=Element_Stiffness!$C$215,Element_Stiffness!T239,IF(0=Element_Stiffness!$E$215,Element_Stiffness!Z239,0)),IF(Element_Stiffness!$E$215=6,IF(0=Element_Stiffness!$C$215,Element_Stiffness!T245,IF(0=Element_Stiffness!$E$215,Element_Stiffness!Z245,0)),0)),0)</f>
        <v/>
      </c>
      <c r="H44" s="21">
        <f>IF(Element_Stiffness!$C$6,IF(Element_Stiffness!$C$5=6,IF(0=Element_Stiffness!$C$5,Element_Stiffness!U29,IF(0=Element_Stiffness!$E$5,Element_Stiffness!AA29,0)),IF(Element_Stiffness!$E$5=6,IF(0=Element_Stiffness!$C$5,Element_Stiffness!U35,IF(0=Element_Stiffness!$E$5,Element_Stiffness!AA35,0)),0)),0)+IF(Element_Stiffness!$C$41,IF(Element_Stiffness!$C$40=6,IF(0=Element_Stiffness!$C$40,Element_Stiffness!U64,IF(0=Element_Stiffness!$E$40,Element_Stiffness!AA64,0)),IF(Element_Stiffness!$E$40=6,IF(0=Element_Stiffness!$C$40,Element_Stiffness!U70,IF(0=Element_Stiffness!$E$40,Element_Stiffness!AA70,0)),0)),0)+IF(Element_Stiffness!$C$76,IF(Element_Stiffness!$C$75=6,IF(0=Element_Stiffness!$C$75,Element_Stiffness!U99,IF(0=Element_Stiffness!$E$75,Element_Stiffness!AA99,0)),IF(Element_Stiffness!$E$75=6,IF(0=Element_Stiffness!$C$75,Element_Stiffness!U105,IF(0=Element_Stiffness!$E$75,Element_Stiffness!AA105,0)),0)),0)+IF(Element_Stiffness!$C$111,IF(Element_Stiffness!$C$110=6,IF(0=Element_Stiffness!$C$110,Element_Stiffness!U134,IF(0=Element_Stiffness!$E$110,Element_Stiffness!AA134,0)),IF(Element_Stiffness!$E$110=6,IF(0=Element_Stiffness!$C$110,Element_Stiffness!U140,IF(0=Element_Stiffness!$E$110,Element_Stiffness!AA140,0)),0)),0)+IF(Element_Stiffness!$C$146,IF(Element_Stiffness!$C$145=6,IF(0=Element_Stiffness!$C$145,Element_Stiffness!U169,IF(0=Element_Stiffness!$E$145,Element_Stiffness!AA169,0)),IF(Element_Stiffness!$E$145=6,IF(0=Element_Stiffness!$C$145,Element_Stiffness!U175,IF(0=Element_Stiffness!$E$145,Element_Stiffness!AA175,0)),0)),0)+IF(Element_Stiffness!$C$181,IF(Element_Stiffness!$C$180=6,IF(0=Element_Stiffness!$C$180,Element_Stiffness!U204,IF(0=Element_Stiffness!$E$180,Element_Stiffness!AA204,0)),IF(Element_Stiffness!$E$180=6,IF(0=Element_Stiffness!$C$180,Element_Stiffness!U210,IF(0=Element_Stiffness!$E$180,Element_Stiffness!AA210,0)),0)),0)+IF(Element_Stiffness!$C$216,IF(Element_Stiffness!$C$215=6,IF(0=Element_Stiffness!$C$215,Element_Stiffness!U239,IF(0=Element_Stiffness!$E$215,Element_Stiffness!AA239,0)),IF(Element_Stiffness!$E$215=6,IF(0=Element_Stiffness!$C$215,Element_Stiffness!U245,IF(0=Element_Stiffness!$E$215,Element_Stiffness!AA245,0)),0)),0)</f>
        <v/>
      </c>
      <c r="I44" s="21">
        <f>IF(Element_Stiffness!$C$6,IF(Element_Stiffness!$C$5=6,IF(1=Element_Stiffness!$C$5,Element_Stiffness!P29,IF(1=Element_Stiffness!$E$5,Element_Stiffness!V29,0)),IF(Element_Stiffness!$E$5=6,IF(1=Element_Stiffness!$C$5,Element_Stiffness!P35,IF(1=Element_Stiffness!$E$5,Element_Stiffness!V35,0)),0)),0)+IF(Element_Stiffness!$C$41,IF(Element_Stiffness!$C$40=6,IF(1=Element_Stiffness!$C$40,Element_Stiffness!P64,IF(1=Element_Stiffness!$E$40,Element_Stiffness!V64,0)),IF(Element_Stiffness!$E$40=6,IF(1=Element_Stiffness!$C$40,Element_Stiffness!P70,IF(1=Element_Stiffness!$E$40,Element_Stiffness!V70,0)),0)),0)+IF(Element_Stiffness!$C$76,IF(Element_Stiffness!$C$75=6,IF(1=Element_Stiffness!$C$75,Element_Stiffness!P99,IF(1=Element_Stiffness!$E$75,Element_Stiffness!V99,0)),IF(Element_Stiffness!$E$75=6,IF(1=Element_Stiffness!$C$75,Element_Stiffness!P105,IF(1=Element_Stiffness!$E$75,Element_Stiffness!V105,0)),0)),0)+IF(Element_Stiffness!$C$111,IF(Element_Stiffness!$C$110=6,IF(1=Element_Stiffness!$C$110,Element_Stiffness!P134,IF(1=Element_Stiffness!$E$110,Element_Stiffness!V134,0)),IF(Element_Stiffness!$E$110=6,IF(1=Element_Stiffness!$C$110,Element_Stiffness!P140,IF(1=Element_Stiffness!$E$110,Element_Stiffness!V140,0)),0)),0)+IF(Element_Stiffness!$C$146,IF(Element_Stiffness!$C$145=6,IF(1=Element_Stiffness!$C$145,Element_Stiffness!P169,IF(1=Element_Stiffness!$E$145,Element_Stiffness!V169,0)),IF(Element_Stiffness!$E$145=6,IF(1=Element_Stiffness!$C$145,Element_Stiffness!P175,IF(1=Element_Stiffness!$E$145,Element_Stiffness!V175,0)),0)),0)+IF(Element_Stiffness!$C$181,IF(Element_Stiffness!$C$180=6,IF(1=Element_Stiffness!$C$180,Element_Stiffness!P204,IF(1=Element_Stiffness!$E$180,Element_Stiffness!V204,0)),IF(Element_Stiffness!$E$180=6,IF(1=Element_Stiffness!$C$180,Element_Stiffness!P210,IF(1=Element_Stiffness!$E$180,Element_Stiffness!V210,0)),0)),0)+IF(Element_Stiffness!$C$216,IF(Element_Stiffness!$C$215=6,IF(1=Element_Stiffness!$C$215,Element_Stiffness!P239,IF(1=Element_Stiffness!$E$215,Element_Stiffness!V239,0)),IF(Element_Stiffness!$E$215=6,IF(1=Element_Stiffness!$C$215,Element_Stiffness!P245,IF(1=Element_Stiffness!$E$215,Element_Stiffness!V245,0)),0)),0)</f>
        <v/>
      </c>
      <c r="J44" s="21">
        <f>IF(Element_Stiffness!$C$6,IF(Element_Stiffness!$C$5=6,IF(1=Element_Stiffness!$C$5,Element_Stiffness!Q29,IF(1=Element_Stiffness!$E$5,Element_Stiffness!W29,0)),IF(Element_Stiffness!$E$5=6,IF(1=Element_Stiffness!$C$5,Element_Stiffness!Q35,IF(1=Element_Stiffness!$E$5,Element_Stiffness!W35,0)),0)),0)+IF(Element_Stiffness!$C$41,IF(Element_Stiffness!$C$40=6,IF(1=Element_Stiffness!$C$40,Element_Stiffness!Q64,IF(1=Element_Stiffness!$E$40,Element_Stiffness!W64,0)),IF(Element_Stiffness!$E$40=6,IF(1=Element_Stiffness!$C$40,Element_Stiffness!Q70,IF(1=Element_Stiffness!$E$40,Element_Stiffness!W70,0)),0)),0)+IF(Element_Stiffness!$C$76,IF(Element_Stiffness!$C$75=6,IF(1=Element_Stiffness!$C$75,Element_Stiffness!Q99,IF(1=Element_Stiffness!$E$75,Element_Stiffness!W99,0)),IF(Element_Stiffness!$E$75=6,IF(1=Element_Stiffness!$C$75,Element_Stiffness!Q105,IF(1=Element_Stiffness!$E$75,Element_Stiffness!W105,0)),0)),0)+IF(Element_Stiffness!$C$111,IF(Element_Stiffness!$C$110=6,IF(1=Element_Stiffness!$C$110,Element_Stiffness!Q134,IF(1=Element_Stiffness!$E$110,Element_Stiffness!W134,0)),IF(Element_Stiffness!$E$110=6,IF(1=Element_Stiffness!$C$110,Element_Stiffness!Q140,IF(1=Element_Stiffness!$E$110,Element_Stiffness!W140,0)),0)),0)+IF(Element_Stiffness!$C$146,IF(Element_Stiffness!$C$145=6,IF(1=Element_Stiffness!$C$145,Element_Stiffness!Q169,IF(1=Element_Stiffness!$E$145,Element_Stiffness!W169,0)),IF(Element_Stiffness!$E$145=6,IF(1=Element_Stiffness!$C$145,Element_Stiffness!Q175,IF(1=Element_Stiffness!$E$145,Element_Stiffness!W175,0)),0)),0)+IF(Element_Stiffness!$C$181,IF(Element_Stiffness!$C$180=6,IF(1=Element_Stiffness!$C$180,Element_Stiffness!Q204,IF(1=Element_Stiffness!$E$180,Element_Stiffness!W204,0)),IF(Element_Stiffness!$E$180=6,IF(1=Element_Stiffness!$C$180,Element_Stiffness!Q210,IF(1=Element_Stiffness!$E$180,Element_Stiffness!W210,0)),0)),0)+IF(Element_Stiffness!$C$216,IF(Element_Stiffness!$C$215=6,IF(1=Element_Stiffness!$C$215,Element_Stiffness!Q239,IF(1=Element_Stiffness!$E$215,Element_Stiffness!W239,0)),IF(Element_Stiffness!$E$215=6,IF(1=Element_Stiffness!$C$215,Element_Stiffness!Q245,IF(1=Element_Stiffness!$E$215,Element_Stiffness!W245,0)),0)),0)</f>
        <v/>
      </c>
      <c r="K44" s="21">
        <f>IF(Element_Stiffness!$C$6,IF(Element_Stiffness!$C$5=6,IF(1=Element_Stiffness!$C$5,Element_Stiffness!R29,IF(1=Element_Stiffness!$E$5,Element_Stiffness!X29,0)),IF(Element_Stiffness!$E$5=6,IF(1=Element_Stiffness!$C$5,Element_Stiffness!R35,IF(1=Element_Stiffness!$E$5,Element_Stiffness!X35,0)),0)),0)+IF(Element_Stiffness!$C$41,IF(Element_Stiffness!$C$40=6,IF(1=Element_Stiffness!$C$40,Element_Stiffness!R64,IF(1=Element_Stiffness!$E$40,Element_Stiffness!X64,0)),IF(Element_Stiffness!$E$40=6,IF(1=Element_Stiffness!$C$40,Element_Stiffness!R70,IF(1=Element_Stiffness!$E$40,Element_Stiffness!X70,0)),0)),0)+IF(Element_Stiffness!$C$76,IF(Element_Stiffness!$C$75=6,IF(1=Element_Stiffness!$C$75,Element_Stiffness!R99,IF(1=Element_Stiffness!$E$75,Element_Stiffness!X99,0)),IF(Element_Stiffness!$E$75=6,IF(1=Element_Stiffness!$C$75,Element_Stiffness!R105,IF(1=Element_Stiffness!$E$75,Element_Stiffness!X105,0)),0)),0)+IF(Element_Stiffness!$C$111,IF(Element_Stiffness!$C$110=6,IF(1=Element_Stiffness!$C$110,Element_Stiffness!R134,IF(1=Element_Stiffness!$E$110,Element_Stiffness!X134,0)),IF(Element_Stiffness!$E$110=6,IF(1=Element_Stiffness!$C$110,Element_Stiffness!R140,IF(1=Element_Stiffness!$E$110,Element_Stiffness!X140,0)),0)),0)+IF(Element_Stiffness!$C$146,IF(Element_Stiffness!$C$145=6,IF(1=Element_Stiffness!$C$145,Element_Stiffness!R169,IF(1=Element_Stiffness!$E$145,Element_Stiffness!X169,0)),IF(Element_Stiffness!$E$145=6,IF(1=Element_Stiffness!$C$145,Element_Stiffness!R175,IF(1=Element_Stiffness!$E$145,Element_Stiffness!X175,0)),0)),0)+IF(Element_Stiffness!$C$181,IF(Element_Stiffness!$C$180=6,IF(1=Element_Stiffness!$C$180,Element_Stiffness!R204,IF(1=Element_Stiffness!$E$180,Element_Stiffness!X204,0)),IF(Element_Stiffness!$E$180=6,IF(1=Element_Stiffness!$C$180,Element_Stiffness!R210,IF(1=Element_Stiffness!$E$180,Element_Stiffness!X210,0)),0)),0)+IF(Element_Stiffness!$C$216,IF(Element_Stiffness!$C$215=6,IF(1=Element_Stiffness!$C$215,Element_Stiffness!R239,IF(1=Element_Stiffness!$E$215,Element_Stiffness!X239,0)),IF(Element_Stiffness!$E$215=6,IF(1=Element_Stiffness!$C$215,Element_Stiffness!R245,IF(1=Element_Stiffness!$E$215,Element_Stiffness!X245,0)),0)),0)</f>
        <v/>
      </c>
      <c r="L44" s="21">
        <f>IF(Element_Stiffness!$C$6,IF(Element_Stiffness!$C$5=6,IF(1=Element_Stiffness!$C$5,Element_Stiffness!S29,IF(1=Element_Stiffness!$E$5,Element_Stiffness!Y29,0)),IF(Element_Stiffness!$E$5=6,IF(1=Element_Stiffness!$C$5,Element_Stiffness!S35,IF(1=Element_Stiffness!$E$5,Element_Stiffness!Y35,0)),0)),0)+IF(Element_Stiffness!$C$41,IF(Element_Stiffness!$C$40=6,IF(1=Element_Stiffness!$C$40,Element_Stiffness!S64,IF(1=Element_Stiffness!$E$40,Element_Stiffness!Y64,0)),IF(Element_Stiffness!$E$40=6,IF(1=Element_Stiffness!$C$40,Element_Stiffness!S70,IF(1=Element_Stiffness!$E$40,Element_Stiffness!Y70,0)),0)),0)+IF(Element_Stiffness!$C$76,IF(Element_Stiffness!$C$75=6,IF(1=Element_Stiffness!$C$75,Element_Stiffness!S99,IF(1=Element_Stiffness!$E$75,Element_Stiffness!Y99,0)),IF(Element_Stiffness!$E$75=6,IF(1=Element_Stiffness!$C$75,Element_Stiffness!S105,IF(1=Element_Stiffness!$E$75,Element_Stiffness!Y105,0)),0)),0)+IF(Element_Stiffness!$C$111,IF(Element_Stiffness!$C$110=6,IF(1=Element_Stiffness!$C$110,Element_Stiffness!S134,IF(1=Element_Stiffness!$E$110,Element_Stiffness!Y134,0)),IF(Element_Stiffness!$E$110=6,IF(1=Element_Stiffness!$C$110,Element_Stiffness!S140,IF(1=Element_Stiffness!$E$110,Element_Stiffness!Y140,0)),0)),0)+IF(Element_Stiffness!$C$146,IF(Element_Stiffness!$C$145=6,IF(1=Element_Stiffness!$C$145,Element_Stiffness!S169,IF(1=Element_Stiffness!$E$145,Element_Stiffness!Y169,0)),IF(Element_Stiffness!$E$145=6,IF(1=Element_Stiffness!$C$145,Element_Stiffness!S175,IF(1=Element_Stiffness!$E$145,Element_Stiffness!Y175,0)),0)),0)+IF(Element_Stiffness!$C$181,IF(Element_Stiffness!$C$180=6,IF(1=Element_Stiffness!$C$180,Element_Stiffness!S204,IF(1=Element_Stiffness!$E$180,Element_Stiffness!Y204,0)),IF(Element_Stiffness!$E$180=6,IF(1=Element_Stiffness!$C$180,Element_Stiffness!S210,IF(1=Element_Stiffness!$E$180,Element_Stiffness!Y210,0)),0)),0)+IF(Element_Stiffness!$C$216,IF(Element_Stiffness!$C$215=6,IF(1=Element_Stiffness!$C$215,Element_Stiffness!S239,IF(1=Element_Stiffness!$E$215,Element_Stiffness!Y239,0)),IF(Element_Stiffness!$E$215=6,IF(1=Element_Stiffness!$C$215,Element_Stiffness!S245,IF(1=Element_Stiffness!$E$215,Element_Stiffness!Y245,0)),0)),0)</f>
        <v/>
      </c>
      <c r="M44" s="21">
        <f>IF(Element_Stiffness!$C$6,IF(Element_Stiffness!$C$5=6,IF(1=Element_Stiffness!$C$5,Element_Stiffness!T29,IF(1=Element_Stiffness!$E$5,Element_Stiffness!Z29,0)),IF(Element_Stiffness!$E$5=6,IF(1=Element_Stiffness!$C$5,Element_Stiffness!T35,IF(1=Element_Stiffness!$E$5,Element_Stiffness!Z35,0)),0)),0)+IF(Element_Stiffness!$C$41,IF(Element_Stiffness!$C$40=6,IF(1=Element_Stiffness!$C$40,Element_Stiffness!T64,IF(1=Element_Stiffness!$E$40,Element_Stiffness!Z64,0)),IF(Element_Stiffness!$E$40=6,IF(1=Element_Stiffness!$C$40,Element_Stiffness!T70,IF(1=Element_Stiffness!$E$40,Element_Stiffness!Z70,0)),0)),0)+IF(Element_Stiffness!$C$76,IF(Element_Stiffness!$C$75=6,IF(1=Element_Stiffness!$C$75,Element_Stiffness!T99,IF(1=Element_Stiffness!$E$75,Element_Stiffness!Z99,0)),IF(Element_Stiffness!$E$75=6,IF(1=Element_Stiffness!$C$75,Element_Stiffness!T105,IF(1=Element_Stiffness!$E$75,Element_Stiffness!Z105,0)),0)),0)+IF(Element_Stiffness!$C$111,IF(Element_Stiffness!$C$110=6,IF(1=Element_Stiffness!$C$110,Element_Stiffness!T134,IF(1=Element_Stiffness!$E$110,Element_Stiffness!Z134,0)),IF(Element_Stiffness!$E$110=6,IF(1=Element_Stiffness!$C$110,Element_Stiffness!T140,IF(1=Element_Stiffness!$E$110,Element_Stiffness!Z140,0)),0)),0)+IF(Element_Stiffness!$C$146,IF(Element_Stiffness!$C$145=6,IF(1=Element_Stiffness!$C$145,Element_Stiffness!T169,IF(1=Element_Stiffness!$E$145,Element_Stiffness!Z169,0)),IF(Element_Stiffness!$E$145=6,IF(1=Element_Stiffness!$C$145,Element_Stiffness!T175,IF(1=Element_Stiffness!$E$145,Element_Stiffness!Z175,0)),0)),0)+IF(Element_Stiffness!$C$181,IF(Element_Stiffness!$C$180=6,IF(1=Element_Stiffness!$C$180,Element_Stiffness!T204,IF(1=Element_Stiffness!$E$180,Element_Stiffness!Z204,0)),IF(Element_Stiffness!$E$180=6,IF(1=Element_Stiffness!$C$180,Element_Stiffness!T210,IF(1=Element_Stiffness!$E$180,Element_Stiffness!Z210,0)),0)),0)+IF(Element_Stiffness!$C$216,IF(Element_Stiffness!$C$215=6,IF(1=Element_Stiffness!$C$215,Element_Stiffness!T239,IF(1=Element_Stiffness!$E$215,Element_Stiffness!Z239,0)),IF(Element_Stiffness!$E$215=6,IF(1=Element_Stiffness!$C$215,Element_Stiffness!T245,IF(1=Element_Stiffness!$E$215,Element_Stiffness!Z245,0)),0)),0)</f>
        <v/>
      </c>
      <c r="N44" s="21">
        <f>IF(Element_Stiffness!$C$6,IF(Element_Stiffness!$C$5=6,IF(1=Element_Stiffness!$C$5,Element_Stiffness!U29,IF(1=Element_Stiffness!$E$5,Element_Stiffness!AA29,0)),IF(Element_Stiffness!$E$5=6,IF(1=Element_Stiffness!$C$5,Element_Stiffness!U35,IF(1=Element_Stiffness!$E$5,Element_Stiffness!AA35,0)),0)),0)+IF(Element_Stiffness!$C$41,IF(Element_Stiffness!$C$40=6,IF(1=Element_Stiffness!$C$40,Element_Stiffness!U64,IF(1=Element_Stiffness!$E$40,Element_Stiffness!AA64,0)),IF(Element_Stiffness!$E$40=6,IF(1=Element_Stiffness!$C$40,Element_Stiffness!U70,IF(1=Element_Stiffness!$E$40,Element_Stiffness!AA70,0)),0)),0)+IF(Element_Stiffness!$C$76,IF(Element_Stiffness!$C$75=6,IF(1=Element_Stiffness!$C$75,Element_Stiffness!U99,IF(1=Element_Stiffness!$E$75,Element_Stiffness!AA99,0)),IF(Element_Stiffness!$E$75=6,IF(1=Element_Stiffness!$C$75,Element_Stiffness!U105,IF(1=Element_Stiffness!$E$75,Element_Stiffness!AA105,0)),0)),0)+IF(Element_Stiffness!$C$111,IF(Element_Stiffness!$C$110=6,IF(1=Element_Stiffness!$C$110,Element_Stiffness!U134,IF(1=Element_Stiffness!$E$110,Element_Stiffness!AA134,0)),IF(Element_Stiffness!$E$110=6,IF(1=Element_Stiffness!$C$110,Element_Stiffness!U140,IF(1=Element_Stiffness!$E$110,Element_Stiffness!AA140,0)),0)),0)+IF(Element_Stiffness!$C$146,IF(Element_Stiffness!$C$145=6,IF(1=Element_Stiffness!$C$145,Element_Stiffness!U169,IF(1=Element_Stiffness!$E$145,Element_Stiffness!AA169,0)),IF(Element_Stiffness!$E$145=6,IF(1=Element_Stiffness!$C$145,Element_Stiffness!U175,IF(1=Element_Stiffness!$E$145,Element_Stiffness!AA175,0)),0)),0)+IF(Element_Stiffness!$C$181,IF(Element_Stiffness!$C$180=6,IF(1=Element_Stiffness!$C$180,Element_Stiffness!U204,IF(1=Element_Stiffness!$E$180,Element_Stiffness!AA204,0)),IF(Element_Stiffness!$E$180=6,IF(1=Element_Stiffness!$C$180,Element_Stiffness!U210,IF(1=Element_Stiffness!$E$180,Element_Stiffness!AA210,0)),0)),0)+IF(Element_Stiffness!$C$216,IF(Element_Stiffness!$C$215=6,IF(1=Element_Stiffness!$C$215,Element_Stiffness!U239,IF(1=Element_Stiffness!$E$215,Element_Stiffness!AA239,0)),IF(Element_Stiffness!$E$215=6,IF(1=Element_Stiffness!$C$215,Element_Stiffness!U245,IF(1=Element_Stiffness!$E$215,Element_Stiffness!AA245,0)),0)),0)</f>
        <v/>
      </c>
      <c r="O44" s="21">
        <f>IF(Element_Stiffness!$C$6,IF(Element_Stiffness!$C$5=6,IF(2=Element_Stiffness!$C$5,Element_Stiffness!P29,IF(2=Element_Stiffness!$E$5,Element_Stiffness!V29,0)),IF(Element_Stiffness!$E$5=6,IF(2=Element_Stiffness!$C$5,Element_Stiffness!P35,IF(2=Element_Stiffness!$E$5,Element_Stiffness!V35,0)),0)),0)+IF(Element_Stiffness!$C$41,IF(Element_Stiffness!$C$40=6,IF(2=Element_Stiffness!$C$40,Element_Stiffness!P64,IF(2=Element_Stiffness!$E$40,Element_Stiffness!V64,0)),IF(Element_Stiffness!$E$40=6,IF(2=Element_Stiffness!$C$40,Element_Stiffness!P70,IF(2=Element_Stiffness!$E$40,Element_Stiffness!V70,0)),0)),0)+IF(Element_Stiffness!$C$76,IF(Element_Stiffness!$C$75=6,IF(2=Element_Stiffness!$C$75,Element_Stiffness!P99,IF(2=Element_Stiffness!$E$75,Element_Stiffness!V99,0)),IF(Element_Stiffness!$E$75=6,IF(2=Element_Stiffness!$C$75,Element_Stiffness!P105,IF(2=Element_Stiffness!$E$75,Element_Stiffness!V105,0)),0)),0)+IF(Element_Stiffness!$C$111,IF(Element_Stiffness!$C$110=6,IF(2=Element_Stiffness!$C$110,Element_Stiffness!P134,IF(2=Element_Stiffness!$E$110,Element_Stiffness!V134,0)),IF(Element_Stiffness!$E$110=6,IF(2=Element_Stiffness!$C$110,Element_Stiffness!P140,IF(2=Element_Stiffness!$E$110,Element_Stiffness!V140,0)),0)),0)+IF(Element_Stiffness!$C$146,IF(Element_Stiffness!$C$145=6,IF(2=Element_Stiffness!$C$145,Element_Stiffness!P169,IF(2=Element_Stiffness!$E$145,Element_Stiffness!V169,0)),IF(Element_Stiffness!$E$145=6,IF(2=Element_Stiffness!$C$145,Element_Stiffness!P175,IF(2=Element_Stiffness!$E$145,Element_Stiffness!V175,0)),0)),0)+IF(Element_Stiffness!$C$181,IF(Element_Stiffness!$C$180=6,IF(2=Element_Stiffness!$C$180,Element_Stiffness!P204,IF(2=Element_Stiffness!$E$180,Element_Stiffness!V204,0)),IF(Element_Stiffness!$E$180=6,IF(2=Element_Stiffness!$C$180,Element_Stiffness!P210,IF(2=Element_Stiffness!$E$180,Element_Stiffness!V210,0)),0)),0)+IF(Element_Stiffness!$C$216,IF(Element_Stiffness!$C$215=6,IF(2=Element_Stiffness!$C$215,Element_Stiffness!P239,IF(2=Element_Stiffness!$E$215,Element_Stiffness!V239,0)),IF(Element_Stiffness!$E$215=6,IF(2=Element_Stiffness!$C$215,Element_Stiffness!P245,IF(2=Element_Stiffness!$E$215,Element_Stiffness!V245,0)),0)),0)</f>
        <v/>
      </c>
      <c r="P44" s="21">
        <f>IF(Element_Stiffness!$C$6,IF(Element_Stiffness!$C$5=6,IF(2=Element_Stiffness!$C$5,Element_Stiffness!Q29,IF(2=Element_Stiffness!$E$5,Element_Stiffness!W29,0)),IF(Element_Stiffness!$E$5=6,IF(2=Element_Stiffness!$C$5,Element_Stiffness!Q35,IF(2=Element_Stiffness!$E$5,Element_Stiffness!W35,0)),0)),0)+IF(Element_Stiffness!$C$41,IF(Element_Stiffness!$C$40=6,IF(2=Element_Stiffness!$C$40,Element_Stiffness!Q64,IF(2=Element_Stiffness!$E$40,Element_Stiffness!W64,0)),IF(Element_Stiffness!$E$40=6,IF(2=Element_Stiffness!$C$40,Element_Stiffness!Q70,IF(2=Element_Stiffness!$E$40,Element_Stiffness!W70,0)),0)),0)+IF(Element_Stiffness!$C$76,IF(Element_Stiffness!$C$75=6,IF(2=Element_Stiffness!$C$75,Element_Stiffness!Q99,IF(2=Element_Stiffness!$E$75,Element_Stiffness!W99,0)),IF(Element_Stiffness!$E$75=6,IF(2=Element_Stiffness!$C$75,Element_Stiffness!Q105,IF(2=Element_Stiffness!$E$75,Element_Stiffness!W105,0)),0)),0)+IF(Element_Stiffness!$C$111,IF(Element_Stiffness!$C$110=6,IF(2=Element_Stiffness!$C$110,Element_Stiffness!Q134,IF(2=Element_Stiffness!$E$110,Element_Stiffness!W134,0)),IF(Element_Stiffness!$E$110=6,IF(2=Element_Stiffness!$C$110,Element_Stiffness!Q140,IF(2=Element_Stiffness!$E$110,Element_Stiffness!W140,0)),0)),0)+IF(Element_Stiffness!$C$146,IF(Element_Stiffness!$C$145=6,IF(2=Element_Stiffness!$C$145,Element_Stiffness!Q169,IF(2=Element_Stiffness!$E$145,Element_Stiffness!W169,0)),IF(Element_Stiffness!$E$145=6,IF(2=Element_Stiffness!$C$145,Element_Stiffness!Q175,IF(2=Element_Stiffness!$E$145,Element_Stiffness!W175,0)),0)),0)+IF(Element_Stiffness!$C$181,IF(Element_Stiffness!$C$180=6,IF(2=Element_Stiffness!$C$180,Element_Stiffness!Q204,IF(2=Element_Stiffness!$E$180,Element_Stiffness!W204,0)),IF(Element_Stiffness!$E$180=6,IF(2=Element_Stiffness!$C$180,Element_Stiffness!Q210,IF(2=Element_Stiffness!$E$180,Element_Stiffness!W210,0)),0)),0)+IF(Element_Stiffness!$C$216,IF(Element_Stiffness!$C$215=6,IF(2=Element_Stiffness!$C$215,Element_Stiffness!Q239,IF(2=Element_Stiffness!$E$215,Element_Stiffness!W239,0)),IF(Element_Stiffness!$E$215=6,IF(2=Element_Stiffness!$C$215,Element_Stiffness!Q245,IF(2=Element_Stiffness!$E$215,Element_Stiffness!W245,0)),0)),0)</f>
        <v/>
      </c>
      <c r="Q44" s="21">
        <f>IF(Element_Stiffness!$C$6,IF(Element_Stiffness!$C$5=6,IF(2=Element_Stiffness!$C$5,Element_Stiffness!R29,IF(2=Element_Stiffness!$E$5,Element_Stiffness!X29,0)),IF(Element_Stiffness!$E$5=6,IF(2=Element_Stiffness!$C$5,Element_Stiffness!R35,IF(2=Element_Stiffness!$E$5,Element_Stiffness!X35,0)),0)),0)+IF(Element_Stiffness!$C$41,IF(Element_Stiffness!$C$40=6,IF(2=Element_Stiffness!$C$40,Element_Stiffness!R64,IF(2=Element_Stiffness!$E$40,Element_Stiffness!X64,0)),IF(Element_Stiffness!$E$40=6,IF(2=Element_Stiffness!$C$40,Element_Stiffness!R70,IF(2=Element_Stiffness!$E$40,Element_Stiffness!X70,0)),0)),0)+IF(Element_Stiffness!$C$76,IF(Element_Stiffness!$C$75=6,IF(2=Element_Stiffness!$C$75,Element_Stiffness!R99,IF(2=Element_Stiffness!$E$75,Element_Stiffness!X99,0)),IF(Element_Stiffness!$E$75=6,IF(2=Element_Stiffness!$C$75,Element_Stiffness!R105,IF(2=Element_Stiffness!$E$75,Element_Stiffness!X105,0)),0)),0)+IF(Element_Stiffness!$C$111,IF(Element_Stiffness!$C$110=6,IF(2=Element_Stiffness!$C$110,Element_Stiffness!R134,IF(2=Element_Stiffness!$E$110,Element_Stiffness!X134,0)),IF(Element_Stiffness!$E$110=6,IF(2=Element_Stiffness!$C$110,Element_Stiffness!R140,IF(2=Element_Stiffness!$E$110,Element_Stiffness!X140,0)),0)),0)+IF(Element_Stiffness!$C$146,IF(Element_Stiffness!$C$145=6,IF(2=Element_Stiffness!$C$145,Element_Stiffness!R169,IF(2=Element_Stiffness!$E$145,Element_Stiffness!X169,0)),IF(Element_Stiffness!$E$145=6,IF(2=Element_Stiffness!$C$145,Element_Stiffness!R175,IF(2=Element_Stiffness!$E$145,Element_Stiffness!X175,0)),0)),0)+IF(Element_Stiffness!$C$181,IF(Element_Stiffness!$C$180=6,IF(2=Element_Stiffness!$C$180,Element_Stiffness!R204,IF(2=Element_Stiffness!$E$180,Element_Stiffness!X204,0)),IF(Element_Stiffness!$E$180=6,IF(2=Element_Stiffness!$C$180,Element_Stiffness!R210,IF(2=Element_Stiffness!$E$180,Element_Stiffness!X210,0)),0)),0)+IF(Element_Stiffness!$C$216,IF(Element_Stiffness!$C$215=6,IF(2=Element_Stiffness!$C$215,Element_Stiffness!R239,IF(2=Element_Stiffness!$E$215,Element_Stiffness!X239,0)),IF(Element_Stiffness!$E$215=6,IF(2=Element_Stiffness!$C$215,Element_Stiffness!R245,IF(2=Element_Stiffness!$E$215,Element_Stiffness!X245,0)),0)),0)</f>
        <v/>
      </c>
      <c r="R44" s="21">
        <f>IF(Element_Stiffness!$C$6,IF(Element_Stiffness!$C$5=6,IF(2=Element_Stiffness!$C$5,Element_Stiffness!S29,IF(2=Element_Stiffness!$E$5,Element_Stiffness!Y29,0)),IF(Element_Stiffness!$E$5=6,IF(2=Element_Stiffness!$C$5,Element_Stiffness!S35,IF(2=Element_Stiffness!$E$5,Element_Stiffness!Y35,0)),0)),0)+IF(Element_Stiffness!$C$41,IF(Element_Stiffness!$C$40=6,IF(2=Element_Stiffness!$C$40,Element_Stiffness!S64,IF(2=Element_Stiffness!$E$40,Element_Stiffness!Y64,0)),IF(Element_Stiffness!$E$40=6,IF(2=Element_Stiffness!$C$40,Element_Stiffness!S70,IF(2=Element_Stiffness!$E$40,Element_Stiffness!Y70,0)),0)),0)+IF(Element_Stiffness!$C$76,IF(Element_Stiffness!$C$75=6,IF(2=Element_Stiffness!$C$75,Element_Stiffness!S99,IF(2=Element_Stiffness!$E$75,Element_Stiffness!Y99,0)),IF(Element_Stiffness!$E$75=6,IF(2=Element_Stiffness!$C$75,Element_Stiffness!S105,IF(2=Element_Stiffness!$E$75,Element_Stiffness!Y105,0)),0)),0)+IF(Element_Stiffness!$C$111,IF(Element_Stiffness!$C$110=6,IF(2=Element_Stiffness!$C$110,Element_Stiffness!S134,IF(2=Element_Stiffness!$E$110,Element_Stiffness!Y134,0)),IF(Element_Stiffness!$E$110=6,IF(2=Element_Stiffness!$C$110,Element_Stiffness!S140,IF(2=Element_Stiffness!$E$110,Element_Stiffness!Y140,0)),0)),0)+IF(Element_Stiffness!$C$146,IF(Element_Stiffness!$C$145=6,IF(2=Element_Stiffness!$C$145,Element_Stiffness!S169,IF(2=Element_Stiffness!$E$145,Element_Stiffness!Y169,0)),IF(Element_Stiffness!$E$145=6,IF(2=Element_Stiffness!$C$145,Element_Stiffness!S175,IF(2=Element_Stiffness!$E$145,Element_Stiffness!Y175,0)),0)),0)+IF(Element_Stiffness!$C$181,IF(Element_Stiffness!$C$180=6,IF(2=Element_Stiffness!$C$180,Element_Stiffness!S204,IF(2=Element_Stiffness!$E$180,Element_Stiffness!Y204,0)),IF(Element_Stiffness!$E$180=6,IF(2=Element_Stiffness!$C$180,Element_Stiffness!S210,IF(2=Element_Stiffness!$E$180,Element_Stiffness!Y210,0)),0)),0)+IF(Element_Stiffness!$C$216,IF(Element_Stiffness!$C$215=6,IF(2=Element_Stiffness!$C$215,Element_Stiffness!S239,IF(2=Element_Stiffness!$E$215,Element_Stiffness!Y239,0)),IF(Element_Stiffness!$E$215=6,IF(2=Element_Stiffness!$C$215,Element_Stiffness!S245,IF(2=Element_Stiffness!$E$215,Element_Stiffness!Y245,0)),0)),0)</f>
        <v/>
      </c>
      <c r="S44" s="21">
        <f>IF(Element_Stiffness!$C$6,IF(Element_Stiffness!$C$5=6,IF(2=Element_Stiffness!$C$5,Element_Stiffness!T29,IF(2=Element_Stiffness!$E$5,Element_Stiffness!Z29,0)),IF(Element_Stiffness!$E$5=6,IF(2=Element_Stiffness!$C$5,Element_Stiffness!T35,IF(2=Element_Stiffness!$E$5,Element_Stiffness!Z35,0)),0)),0)+IF(Element_Stiffness!$C$41,IF(Element_Stiffness!$C$40=6,IF(2=Element_Stiffness!$C$40,Element_Stiffness!T64,IF(2=Element_Stiffness!$E$40,Element_Stiffness!Z64,0)),IF(Element_Stiffness!$E$40=6,IF(2=Element_Stiffness!$C$40,Element_Stiffness!T70,IF(2=Element_Stiffness!$E$40,Element_Stiffness!Z70,0)),0)),0)+IF(Element_Stiffness!$C$76,IF(Element_Stiffness!$C$75=6,IF(2=Element_Stiffness!$C$75,Element_Stiffness!T99,IF(2=Element_Stiffness!$E$75,Element_Stiffness!Z99,0)),IF(Element_Stiffness!$E$75=6,IF(2=Element_Stiffness!$C$75,Element_Stiffness!T105,IF(2=Element_Stiffness!$E$75,Element_Stiffness!Z105,0)),0)),0)+IF(Element_Stiffness!$C$111,IF(Element_Stiffness!$C$110=6,IF(2=Element_Stiffness!$C$110,Element_Stiffness!T134,IF(2=Element_Stiffness!$E$110,Element_Stiffness!Z134,0)),IF(Element_Stiffness!$E$110=6,IF(2=Element_Stiffness!$C$110,Element_Stiffness!T140,IF(2=Element_Stiffness!$E$110,Element_Stiffness!Z140,0)),0)),0)+IF(Element_Stiffness!$C$146,IF(Element_Stiffness!$C$145=6,IF(2=Element_Stiffness!$C$145,Element_Stiffness!T169,IF(2=Element_Stiffness!$E$145,Element_Stiffness!Z169,0)),IF(Element_Stiffness!$E$145=6,IF(2=Element_Stiffness!$C$145,Element_Stiffness!T175,IF(2=Element_Stiffness!$E$145,Element_Stiffness!Z175,0)),0)),0)+IF(Element_Stiffness!$C$181,IF(Element_Stiffness!$C$180=6,IF(2=Element_Stiffness!$C$180,Element_Stiffness!T204,IF(2=Element_Stiffness!$E$180,Element_Stiffness!Z204,0)),IF(Element_Stiffness!$E$180=6,IF(2=Element_Stiffness!$C$180,Element_Stiffness!T210,IF(2=Element_Stiffness!$E$180,Element_Stiffness!Z210,0)),0)),0)+IF(Element_Stiffness!$C$216,IF(Element_Stiffness!$C$215=6,IF(2=Element_Stiffness!$C$215,Element_Stiffness!T239,IF(2=Element_Stiffness!$E$215,Element_Stiffness!Z239,0)),IF(Element_Stiffness!$E$215=6,IF(2=Element_Stiffness!$C$215,Element_Stiffness!T245,IF(2=Element_Stiffness!$E$215,Element_Stiffness!Z245,0)),0)),0)</f>
        <v/>
      </c>
      <c r="T44" s="21">
        <f>IF(Element_Stiffness!$C$6,IF(Element_Stiffness!$C$5=6,IF(2=Element_Stiffness!$C$5,Element_Stiffness!U29,IF(2=Element_Stiffness!$E$5,Element_Stiffness!AA29,0)),IF(Element_Stiffness!$E$5=6,IF(2=Element_Stiffness!$C$5,Element_Stiffness!U35,IF(2=Element_Stiffness!$E$5,Element_Stiffness!AA35,0)),0)),0)+IF(Element_Stiffness!$C$41,IF(Element_Stiffness!$C$40=6,IF(2=Element_Stiffness!$C$40,Element_Stiffness!U64,IF(2=Element_Stiffness!$E$40,Element_Stiffness!AA64,0)),IF(Element_Stiffness!$E$40=6,IF(2=Element_Stiffness!$C$40,Element_Stiffness!U70,IF(2=Element_Stiffness!$E$40,Element_Stiffness!AA70,0)),0)),0)+IF(Element_Stiffness!$C$76,IF(Element_Stiffness!$C$75=6,IF(2=Element_Stiffness!$C$75,Element_Stiffness!U99,IF(2=Element_Stiffness!$E$75,Element_Stiffness!AA99,0)),IF(Element_Stiffness!$E$75=6,IF(2=Element_Stiffness!$C$75,Element_Stiffness!U105,IF(2=Element_Stiffness!$E$75,Element_Stiffness!AA105,0)),0)),0)+IF(Element_Stiffness!$C$111,IF(Element_Stiffness!$C$110=6,IF(2=Element_Stiffness!$C$110,Element_Stiffness!U134,IF(2=Element_Stiffness!$E$110,Element_Stiffness!AA134,0)),IF(Element_Stiffness!$E$110=6,IF(2=Element_Stiffness!$C$110,Element_Stiffness!U140,IF(2=Element_Stiffness!$E$110,Element_Stiffness!AA140,0)),0)),0)+IF(Element_Stiffness!$C$146,IF(Element_Stiffness!$C$145=6,IF(2=Element_Stiffness!$C$145,Element_Stiffness!U169,IF(2=Element_Stiffness!$E$145,Element_Stiffness!AA169,0)),IF(Element_Stiffness!$E$145=6,IF(2=Element_Stiffness!$C$145,Element_Stiffness!U175,IF(2=Element_Stiffness!$E$145,Element_Stiffness!AA175,0)),0)),0)+IF(Element_Stiffness!$C$181,IF(Element_Stiffness!$C$180=6,IF(2=Element_Stiffness!$C$180,Element_Stiffness!U204,IF(2=Element_Stiffness!$E$180,Element_Stiffness!AA204,0)),IF(Element_Stiffness!$E$180=6,IF(2=Element_Stiffness!$C$180,Element_Stiffness!U210,IF(2=Element_Stiffness!$E$180,Element_Stiffness!AA210,0)),0)),0)+IF(Element_Stiffness!$C$216,IF(Element_Stiffness!$C$215=6,IF(2=Element_Stiffness!$C$215,Element_Stiffness!U239,IF(2=Element_Stiffness!$E$215,Element_Stiffness!AA239,0)),IF(Element_Stiffness!$E$215=6,IF(2=Element_Stiffness!$C$215,Element_Stiffness!U245,IF(2=Element_Stiffness!$E$215,Element_Stiffness!AA245,0)),0)),0)</f>
        <v/>
      </c>
      <c r="U44" s="21">
        <f>IF(Element_Stiffness!$C$6,IF(Element_Stiffness!$C$5=6,IF(3=Element_Stiffness!$C$5,Element_Stiffness!P29,IF(3=Element_Stiffness!$E$5,Element_Stiffness!V29,0)),IF(Element_Stiffness!$E$5=6,IF(3=Element_Stiffness!$C$5,Element_Stiffness!P35,IF(3=Element_Stiffness!$E$5,Element_Stiffness!V35,0)),0)),0)+IF(Element_Stiffness!$C$41,IF(Element_Stiffness!$C$40=6,IF(3=Element_Stiffness!$C$40,Element_Stiffness!P64,IF(3=Element_Stiffness!$E$40,Element_Stiffness!V64,0)),IF(Element_Stiffness!$E$40=6,IF(3=Element_Stiffness!$C$40,Element_Stiffness!P70,IF(3=Element_Stiffness!$E$40,Element_Stiffness!V70,0)),0)),0)+IF(Element_Stiffness!$C$76,IF(Element_Stiffness!$C$75=6,IF(3=Element_Stiffness!$C$75,Element_Stiffness!P99,IF(3=Element_Stiffness!$E$75,Element_Stiffness!V99,0)),IF(Element_Stiffness!$E$75=6,IF(3=Element_Stiffness!$C$75,Element_Stiffness!P105,IF(3=Element_Stiffness!$E$75,Element_Stiffness!V105,0)),0)),0)+IF(Element_Stiffness!$C$111,IF(Element_Stiffness!$C$110=6,IF(3=Element_Stiffness!$C$110,Element_Stiffness!P134,IF(3=Element_Stiffness!$E$110,Element_Stiffness!V134,0)),IF(Element_Stiffness!$E$110=6,IF(3=Element_Stiffness!$C$110,Element_Stiffness!P140,IF(3=Element_Stiffness!$E$110,Element_Stiffness!V140,0)),0)),0)+IF(Element_Stiffness!$C$146,IF(Element_Stiffness!$C$145=6,IF(3=Element_Stiffness!$C$145,Element_Stiffness!P169,IF(3=Element_Stiffness!$E$145,Element_Stiffness!V169,0)),IF(Element_Stiffness!$E$145=6,IF(3=Element_Stiffness!$C$145,Element_Stiffness!P175,IF(3=Element_Stiffness!$E$145,Element_Stiffness!V175,0)),0)),0)+IF(Element_Stiffness!$C$181,IF(Element_Stiffness!$C$180=6,IF(3=Element_Stiffness!$C$180,Element_Stiffness!P204,IF(3=Element_Stiffness!$E$180,Element_Stiffness!V204,0)),IF(Element_Stiffness!$E$180=6,IF(3=Element_Stiffness!$C$180,Element_Stiffness!P210,IF(3=Element_Stiffness!$E$180,Element_Stiffness!V210,0)),0)),0)+IF(Element_Stiffness!$C$216,IF(Element_Stiffness!$C$215=6,IF(3=Element_Stiffness!$C$215,Element_Stiffness!P239,IF(3=Element_Stiffness!$E$215,Element_Stiffness!V239,0)),IF(Element_Stiffness!$E$215=6,IF(3=Element_Stiffness!$C$215,Element_Stiffness!P245,IF(3=Element_Stiffness!$E$215,Element_Stiffness!V245,0)),0)),0)</f>
        <v/>
      </c>
      <c r="V44" s="21">
        <f>IF(Element_Stiffness!$C$6,IF(Element_Stiffness!$C$5=6,IF(3=Element_Stiffness!$C$5,Element_Stiffness!Q29,IF(3=Element_Stiffness!$E$5,Element_Stiffness!W29,0)),IF(Element_Stiffness!$E$5=6,IF(3=Element_Stiffness!$C$5,Element_Stiffness!Q35,IF(3=Element_Stiffness!$E$5,Element_Stiffness!W35,0)),0)),0)+IF(Element_Stiffness!$C$41,IF(Element_Stiffness!$C$40=6,IF(3=Element_Stiffness!$C$40,Element_Stiffness!Q64,IF(3=Element_Stiffness!$E$40,Element_Stiffness!W64,0)),IF(Element_Stiffness!$E$40=6,IF(3=Element_Stiffness!$C$40,Element_Stiffness!Q70,IF(3=Element_Stiffness!$E$40,Element_Stiffness!W70,0)),0)),0)+IF(Element_Stiffness!$C$76,IF(Element_Stiffness!$C$75=6,IF(3=Element_Stiffness!$C$75,Element_Stiffness!Q99,IF(3=Element_Stiffness!$E$75,Element_Stiffness!W99,0)),IF(Element_Stiffness!$E$75=6,IF(3=Element_Stiffness!$C$75,Element_Stiffness!Q105,IF(3=Element_Stiffness!$E$75,Element_Stiffness!W105,0)),0)),0)+IF(Element_Stiffness!$C$111,IF(Element_Stiffness!$C$110=6,IF(3=Element_Stiffness!$C$110,Element_Stiffness!Q134,IF(3=Element_Stiffness!$E$110,Element_Stiffness!W134,0)),IF(Element_Stiffness!$E$110=6,IF(3=Element_Stiffness!$C$110,Element_Stiffness!Q140,IF(3=Element_Stiffness!$E$110,Element_Stiffness!W140,0)),0)),0)+IF(Element_Stiffness!$C$146,IF(Element_Stiffness!$C$145=6,IF(3=Element_Stiffness!$C$145,Element_Stiffness!Q169,IF(3=Element_Stiffness!$E$145,Element_Stiffness!W169,0)),IF(Element_Stiffness!$E$145=6,IF(3=Element_Stiffness!$C$145,Element_Stiffness!Q175,IF(3=Element_Stiffness!$E$145,Element_Stiffness!W175,0)),0)),0)+IF(Element_Stiffness!$C$181,IF(Element_Stiffness!$C$180=6,IF(3=Element_Stiffness!$C$180,Element_Stiffness!Q204,IF(3=Element_Stiffness!$E$180,Element_Stiffness!W204,0)),IF(Element_Stiffness!$E$180=6,IF(3=Element_Stiffness!$C$180,Element_Stiffness!Q210,IF(3=Element_Stiffness!$E$180,Element_Stiffness!W210,0)),0)),0)+IF(Element_Stiffness!$C$216,IF(Element_Stiffness!$C$215=6,IF(3=Element_Stiffness!$C$215,Element_Stiffness!Q239,IF(3=Element_Stiffness!$E$215,Element_Stiffness!W239,0)),IF(Element_Stiffness!$E$215=6,IF(3=Element_Stiffness!$C$215,Element_Stiffness!Q245,IF(3=Element_Stiffness!$E$215,Element_Stiffness!W245,0)),0)),0)</f>
        <v/>
      </c>
      <c r="W44" s="21">
        <f>IF(Element_Stiffness!$C$6,IF(Element_Stiffness!$C$5=6,IF(3=Element_Stiffness!$C$5,Element_Stiffness!R29,IF(3=Element_Stiffness!$E$5,Element_Stiffness!X29,0)),IF(Element_Stiffness!$E$5=6,IF(3=Element_Stiffness!$C$5,Element_Stiffness!R35,IF(3=Element_Stiffness!$E$5,Element_Stiffness!X35,0)),0)),0)+IF(Element_Stiffness!$C$41,IF(Element_Stiffness!$C$40=6,IF(3=Element_Stiffness!$C$40,Element_Stiffness!R64,IF(3=Element_Stiffness!$E$40,Element_Stiffness!X64,0)),IF(Element_Stiffness!$E$40=6,IF(3=Element_Stiffness!$C$40,Element_Stiffness!R70,IF(3=Element_Stiffness!$E$40,Element_Stiffness!X70,0)),0)),0)+IF(Element_Stiffness!$C$76,IF(Element_Stiffness!$C$75=6,IF(3=Element_Stiffness!$C$75,Element_Stiffness!R99,IF(3=Element_Stiffness!$E$75,Element_Stiffness!X99,0)),IF(Element_Stiffness!$E$75=6,IF(3=Element_Stiffness!$C$75,Element_Stiffness!R105,IF(3=Element_Stiffness!$E$75,Element_Stiffness!X105,0)),0)),0)+IF(Element_Stiffness!$C$111,IF(Element_Stiffness!$C$110=6,IF(3=Element_Stiffness!$C$110,Element_Stiffness!R134,IF(3=Element_Stiffness!$E$110,Element_Stiffness!X134,0)),IF(Element_Stiffness!$E$110=6,IF(3=Element_Stiffness!$C$110,Element_Stiffness!R140,IF(3=Element_Stiffness!$E$110,Element_Stiffness!X140,0)),0)),0)+IF(Element_Stiffness!$C$146,IF(Element_Stiffness!$C$145=6,IF(3=Element_Stiffness!$C$145,Element_Stiffness!R169,IF(3=Element_Stiffness!$E$145,Element_Stiffness!X169,0)),IF(Element_Stiffness!$E$145=6,IF(3=Element_Stiffness!$C$145,Element_Stiffness!R175,IF(3=Element_Stiffness!$E$145,Element_Stiffness!X175,0)),0)),0)+IF(Element_Stiffness!$C$181,IF(Element_Stiffness!$C$180=6,IF(3=Element_Stiffness!$C$180,Element_Stiffness!R204,IF(3=Element_Stiffness!$E$180,Element_Stiffness!X204,0)),IF(Element_Stiffness!$E$180=6,IF(3=Element_Stiffness!$C$180,Element_Stiffness!R210,IF(3=Element_Stiffness!$E$180,Element_Stiffness!X210,0)),0)),0)+IF(Element_Stiffness!$C$216,IF(Element_Stiffness!$C$215=6,IF(3=Element_Stiffness!$C$215,Element_Stiffness!R239,IF(3=Element_Stiffness!$E$215,Element_Stiffness!X239,0)),IF(Element_Stiffness!$E$215=6,IF(3=Element_Stiffness!$C$215,Element_Stiffness!R245,IF(3=Element_Stiffness!$E$215,Element_Stiffness!X245,0)),0)),0)</f>
        <v/>
      </c>
      <c r="X44" s="21">
        <f>IF(Element_Stiffness!$C$6,IF(Element_Stiffness!$C$5=6,IF(3=Element_Stiffness!$C$5,Element_Stiffness!S29,IF(3=Element_Stiffness!$E$5,Element_Stiffness!Y29,0)),IF(Element_Stiffness!$E$5=6,IF(3=Element_Stiffness!$C$5,Element_Stiffness!S35,IF(3=Element_Stiffness!$E$5,Element_Stiffness!Y35,0)),0)),0)+IF(Element_Stiffness!$C$41,IF(Element_Stiffness!$C$40=6,IF(3=Element_Stiffness!$C$40,Element_Stiffness!S64,IF(3=Element_Stiffness!$E$40,Element_Stiffness!Y64,0)),IF(Element_Stiffness!$E$40=6,IF(3=Element_Stiffness!$C$40,Element_Stiffness!S70,IF(3=Element_Stiffness!$E$40,Element_Stiffness!Y70,0)),0)),0)+IF(Element_Stiffness!$C$76,IF(Element_Stiffness!$C$75=6,IF(3=Element_Stiffness!$C$75,Element_Stiffness!S99,IF(3=Element_Stiffness!$E$75,Element_Stiffness!Y99,0)),IF(Element_Stiffness!$E$75=6,IF(3=Element_Stiffness!$C$75,Element_Stiffness!S105,IF(3=Element_Stiffness!$E$75,Element_Stiffness!Y105,0)),0)),0)+IF(Element_Stiffness!$C$111,IF(Element_Stiffness!$C$110=6,IF(3=Element_Stiffness!$C$110,Element_Stiffness!S134,IF(3=Element_Stiffness!$E$110,Element_Stiffness!Y134,0)),IF(Element_Stiffness!$E$110=6,IF(3=Element_Stiffness!$C$110,Element_Stiffness!S140,IF(3=Element_Stiffness!$E$110,Element_Stiffness!Y140,0)),0)),0)+IF(Element_Stiffness!$C$146,IF(Element_Stiffness!$C$145=6,IF(3=Element_Stiffness!$C$145,Element_Stiffness!S169,IF(3=Element_Stiffness!$E$145,Element_Stiffness!Y169,0)),IF(Element_Stiffness!$E$145=6,IF(3=Element_Stiffness!$C$145,Element_Stiffness!S175,IF(3=Element_Stiffness!$E$145,Element_Stiffness!Y175,0)),0)),0)+IF(Element_Stiffness!$C$181,IF(Element_Stiffness!$C$180=6,IF(3=Element_Stiffness!$C$180,Element_Stiffness!S204,IF(3=Element_Stiffness!$E$180,Element_Stiffness!Y204,0)),IF(Element_Stiffness!$E$180=6,IF(3=Element_Stiffness!$C$180,Element_Stiffness!S210,IF(3=Element_Stiffness!$E$180,Element_Stiffness!Y210,0)),0)),0)+IF(Element_Stiffness!$C$216,IF(Element_Stiffness!$C$215=6,IF(3=Element_Stiffness!$C$215,Element_Stiffness!S239,IF(3=Element_Stiffness!$E$215,Element_Stiffness!Y239,0)),IF(Element_Stiffness!$E$215=6,IF(3=Element_Stiffness!$C$215,Element_Stiffness!S245,IF(3=Element_Stiffness!$E$215,Element_Stiffness!Y245,0)),0)),0)</f>
        <v/>
      </c>
      <c r="Y44" s="21">
        <f>IF(Element_Stiffness!$C$6,IF(Element_Stiffness!$C$5=6,IF(3=Element_Stiffness!$C$5,Element_Stiffness!T29,IF(3=Element_Stiffness!$E$5,Element_Stiffness!Z29,0)),IF(Element_Stiffness!$E$5=6,IF(3=Element_Stiffness!$C$5,Element_Stiffness!T35,IF(3=Element_Stiffness!$E$5,Element_Stiffness!Z35,0)),0)),0)+IF(Element_Stiffness!$C$41,IF(Element_Stiffness!$C$40=6,IF(3=Element_Stiffness!$C$40,Element_Stiffness!T64,IF(3=Element_Stiffness!$E$40,Element_Stiffness!Z64,0)),IF(Element_Stiffness!$E$40=6,IF(3=Element_Stiffness!$C$40,Element_Stiffness!T70,IF(3=Element_Stiffness!$E$40,Element_Stiffness!Z70,0)),0)),0)+IF(Element_Stiffness!$C$76,IF(Element_Stiffness!$C$75=6,IF(3=Element_Stiffness!$C$75,Element_Stiffness!T99,IF(3=Element_Stiffness!$E$75,Element_Stiffness!Z99,0)),IF(Element_Stiffness!$E$75=6,IF(3=Element_Stiffness!$C$75,Element_Stiffness!T105,IF(3=Element_Stiffness!$E$75,Element_Stiffness!Z105,0)),0)),0)+IF(Element_Stiffness!$C$111,IF(Element_Stiffness!$C$110=6,IF(3=Element_Stiffness!$C$110,Element_Stiffness!T134,IF(3=Element_Stiffness!$E$110,Element_Stiffness!Z134,0)),IF(Element_Stiffness!$E$110=6,IF(3=Element_Stiffness!$C$110,Element_Stiffness!T140,IF(3=Element_Stiffness!$E$110,Element_Stiffness!Z140,0)),0)),0)+IF(Element_Stiffness!$C$146,IF(Element_Stiffness!$C$145=6,IF(3=Element_Stiffness!$C$145,Element_Stiffness!T169,IF(3=Element_Stiffness!$E$145,Element_Stiffness!Z169,0)),IF(Element_Stiffness!$E$145=6,IF(3=Element_Stiffness!$C$145,Element_Stiffness!T175,IF(3=Element_Stiffness!$E$145,Element_Stiffness!Z175,0)),0)),0)+IF(Element_Stiffness!$C$181,IF(Element_Stiffness!$C$180=6,IF(3=Element_Stiffness!$C$180,Element_Stiffness!T204,IF(3=Element_Stiffness!$E$180,Element_Stiffness!Z204,0)),IF(Element_Stiffness!$E$180=6,IF(3=Element_Stiffness!$C$180,Element_Stiffness!T210,IF(3=Element_Stiffness!$E$180,Element_Stiffness!Z210,0)),0)),0)+IF(Element_Stiffness!$C$216,IF(Element_Stiffness!$C$215=6,IF(3=Element_Stiffness!$C$215,Element_Stiffness!T239,IF(3=Element_Stiffness!$E$215,Element_Stiffness!Z239,0)),IF(Element_Stiffness!$E$215=6,IF(3=Element_Stiffness!$C$215,Element_Stiffness!T245,IF(3=Element_Stiffness!$E$215,Element_Stiffness!Z245,0)),0)),0)</f>
        <v/>
      </c>
      <c r="Z44" s="21">
        <f>IF(Element_Stiffness!$C$6,IF(Element_Stiffness!$C$5=6,IF(3=Element_Stiffness!$C$5,Element_Stiffness!U29,IF(3=Element_Stiffness!$E$5,Element_Stiffness!AA29,0)),IF(Element_Stiffness!$E$5=6,IF(3=Element_Stiffness!$C$5,Element_Stiffness!U35,IF(3=Element_Stiffness!$E$5,Element_Stiffness!AA35,0)),0)),0)+IF(Element_Stiffness!$C$41,IF(Element_Stiffness!$C$40=6,IF(3=Element_Stiffness!$C$40,Element_Stiffness!U64,IF(3=Element_Stiffness!$E$40,Element_Stiffness!AA64,0)),IF(Element_Stiffness!$E$40=6,IF(3=Element_Stiffness!$C$40,Element_Stiffness!U70,IF(3=Element_Stiffness!$E$40,Element_Stiffness!AA70,0)),0)),0)+IF(Element_Stiffness!$C$76,IF(Element_Stiffness!$C$75=6,IF(3=Element_Stiffness!$C$75,Element_Stiffness!U99,IF(3=Element_Stiffness!$E$75,Element_Stiffness!AA99,0)),IF(Element_Stiffness!$E$75=6,IF(3=Element_Stiffness!$C$75,Element_Stiffness!U105,IF(3=Element_Stiffness!$E$75,Element_Stiffness!AA105,0)),0)),0)+IF(Element_Stiffness!$C$111,IF(Element_Stiffness!$C$110=6,IF(3=Element_Stiffness!$C$110,Element_Stiffness!U134,IF(3=Element_Stiffness!$E$110,Element_Stiffness!AA134,0)),IF(Element_Stiffness!$E$110=6,IF(3=Element_Stiffness!$C$110,Element_Stiffness!U140,IF(3=Element_Stiffness!$E$110,Element_Stiffness!AA140,0)),0)),0)+IF(Element_Stiffness!$C$146,IF(Element_Stiffness!$C$145=6,IF(3=Element_Stiffness!$C$145,Element_Stiffness!U169,IF(3=Element_Stiffness!$E$145,Element_Stiffness!AA169,0)),IF(Element_Stiffness!$E$145=6,IF(3=Element_Stiffness!$C$145,Element_Stiffness!U175,IF(3=Element_Stiffness!$E$145,Element_Stiffness!AA175,0)),0)),0)+IF(Element_Stiffness!$C$181,IF(Element_Stiffness!$C$180=6,IF(3=Element_Stiffness!$C$180,Element_Stiffness!U204,IF(3=Element_Stiffness!$E$180,Element_Stiffness!AA204,0)),IF(Element_Stiffness!$E$180=6,IF(3=Element_Stiffness!$C$180,Element_Stiffness!U210,IF(3=Element_Stiffness!$E$180,Element_Stiffness!AA210,0)),0)),0)+IF(Element_Stiffness!$C$216,IF(Element_Stiffness!$C$215=6,IF(3=Element_Stiffness!$C$215,Element_Stiffness!U239,IF(3=Element_Stiffness!$E$215,Element_Stiffness!AA239,0)),IF(Element_Stiffness!$E$215=6,IF(3=Element_Stiffness!$C$215,Element_Stiffness!U245,IF(3=Element_Stiffness!$E$215,Element_Stiffness!AA245,0)),0)),0)</f>
        <v/>
      </c>
      <c r="AA44" s="21">
        <f>IF(Element_Stiffness!$C$6,IF(Element_Stiffness!$C$5=6,IF(4=Element_Stiffness!$C$5,Element_Stiffness!P29,IF(4=Element_Stiffness!$E$5,Element_Stiffness!V29,0)),IF(Element_Stiffness!$E$5=6,IF(4=Element_Stiffness!$C$5,Element_Stiffness!P35,IF(4=Element_Stiffness!$E$5,Element_Stiffness!V35,0)),0)),0)+IF(Element_Stiffness!$C$41,IF(Element_Stiffness!$C$40=6,IF(4=Element_Stiffness!$C$40,Element_Stiffness!P64,IF(4=Element_Stiffness!$E$40,Element_Stiffness!V64,0)),IF(Element_Stiffness!$E$40=6,IF(4=Element_Stiffness!$C$40,Element_Stiffness!P70,IF(4=Element_Stiffness!$E$40,Element_Stiffness!V70,0)),0)),0)+IF(Element_Stiffness!$C$76,IF(Element_Stiffness!$C$75=6,IF(4=Element_Stiffness!$C$75,Element_Stiffness!P99,IF(4=Element_Stiffness!$E$75,Element_Stiffness!V99,0)),IF(Element_Stiffness!$E$75=6,IF(4=Element_Stiffness!$C$75,Element_Stiffness!P105,IF(4=Element_Stiffness!$E$75,Element_Stiffness!V105,0)),0)),0)+IF(Element_Stiffness!$C$111,IF(Element_Stiffness!$C$110=6,IF(4=Element_Stiffness!$C$110,Element_Stiffness!P134,IF(4=Element_Stiffness!$E$110,Element_Stiffness!V134,0)),IF(Element_Stiffness!$E$110=6,IF(4=Element_Stiffness!$C$110,Element_Stiffness!P140,IF(4=Element_Stiffness!$E$110,Element_Stiffness!V140,0)),0)),0)+IF(Element_Stiffness!$C$146,IF(Element_Stiffness!$C$145=6,IF(4=Element_Stiffness!$C$145,Element_Stiffness!P169,IF(4=Element_Stiffness!$E$145,Element_Stiffness!V169,0)),IF(Element_Stiffness!$E$145=6,IF(4=Element_Stiffness!$C$145,Element_Stiffness!P175,IF(4=Element_Stiffness!$E$145,Element_Stiffness!V175,0)),0)),0)+IF(Element_Stiffness!$C$181,IF(Element_Stiffness!$C$180=6,IF(4=Element_Stiffness!$C$180,Element_Stiffness!P204,IF(4=Element_Stiffness!$E$180,Element_Stiffness!V204,0)),IF(Element_Stiffness!$E$180=6,IF(4=Element_Stiffness!$C$180,Element_Stiffness!P210,IF(4=Element_Stiffness!$E$180,Element_Stiffness!V210,0)),0)),0)+IF(Element_Stiffness!$C$216,IF(Element_Stiffness!$C$215=6,IF(4=Element_Stiffness!$C$215,Element_Stiffness!P239,IF(4=Element_Stiffness!$E$215,Element_Stiffness!V239,0)),IF(Element_Stiffness!$E$215=6,IF(4=Element_Stiffness!$C$215,Element_Stiffness!P245,IF(4=Element_Stiffness!$E$215,Element_Stiffness!V245,0)),0)),0)</f>
        <v/>
      </c>
      <c r="AB44" s="21">
        <f>IF(Element_Stiffness!$C$6,IF(Element_Stiffness!$C$5=6,IF(4=Element_Stiffness!$C$5,Element_Stiffness!Q29,IF(4=Element_Stiffness!$E$5,Element_Stiffness!W29,0)),IF(Element_Stiffness!$E$5=6,IF(4=Element_Stiffness!$C$5,Element_Stiffness!Q35,IF(4=Element_Stiffness!$E$5,Element_Stiffness!W35,0)),0)),0)+IF(Element_Stiffness!$C$41,IF(Element_Stiffness!$C$40=6,IF(4=Element_Stiffness!$C$40,Element_Stiffness!Q64,IF(4=Element_Stiffness!$E$40,Element_Stiffness!W64,0)),IF(Element_Stiffness!$E$40=6,IF(4=Element_Stiffness!$C$40,Element_Stiffness!Q70,IF(4=Element_Stiffness!$E$40,Element_Stiffness!W70,0)),0)),0)+IF(Element_Stiffness!$C$76,IF(Element_Stiffness!$C$75=6,IF(4=Element_Stiffness!$C$75,Element_Stiffness!Q99,IF(4=Element_Stiffness!$E$75,Element_Stiffness!W99,0)),IF(Element_Stiffness!$E$75=6,IF(4=Element_Stiffness!$C$75,Element_Stiffness!Q105,IF(4=Element_Stiffness!$E$75,Element_Stiffness!W105,0)),0)),0)+IF(Element_Stiffness!$C$111,IF(Element_Stiffness!$C$110=6,IF(4=Element_Stiffness!$C$110,Element_Stiffness!Q134,IF(4=Element_Stiffness!$E$110,Element_Stiffness!W134,0)),IF(Element_Stiffness!$E$110=6,IF(4=Element_Stiffness!$C$110,Element_Stiffness!Q140,IF(4=Element_Stiffness!$E$110,Element_Stiffness!W140,0)),0)),0)+IF(Element_Stiffness!$C$146,IF(Element_Stiffness!$C$145=6,IF(4=Element_Stiffness!$C$145,Element_Stiffness!Q169,IF(4=Element_Stiffness!$E$145,Element_Stiffness!W169,0)),IF(Element_Stiffness!$E$145=6,IF(4=Element_Stiffness!$C$145,Element_Stiffness!Q175,IF(4=Element_Stiffness!$E$145,Element_Stiffness!W175,0)),0)),0)+IF(Element_Stiffness!$C$181,IF(Element_Stiffness!$C$180=6,IF(4=Element_Stiffness!$C$180,Element_Stiffness!Q204,IF(4=Element_Stiffness!$E$180,Element_Stiffness!W204,0)),IF(Element_Stiffness!$E$180=6,IF(4=Element_Stiffness!$C$180,Element_Stiffness!Q210,IF(4=Element_Stiffness!$E$180,Element_Stiffness!W210,0)),0)),0)+IF(Element_Stiffness!$C$216,IF(Element_Stiffness!$C$215=6,IF(4=Element_Stiffness!$C$215,Element_Stiffness!Q239,IF(4=Element_Stiffness!$E$215,Element_Stiffness!W239,0)),IF(Element_Stiffness!$E$215=6,IF(4=Element_Stiffness!$C$215,Element_Stiffness!Q245,IF(4=Element_Stiffness!$E$215,Element_Stiffness!W245,0)),0)),0)</f>
        <v/>
      </c>
      <c r="AC44" s="21">
        <f>IF(Element_Stiffness!$C$6,IF(Element_Stiffness!$C$5=6,IF(4=Element_Stiffness!$C$5,Element_Stiffness!R29,IF(4=Element_Stiffness!$E$5,Element_Stiffness!X29,0)),IF(Element_Stiffness!$E$5=6,IF(4=Element_Stiffness!$C$5,Element_Stiffness!R35,IF(4=Element_Stiffness!$E$5,Element_Stiffness!X35,0)),0)),0)+IF(Element_Stiffness!$C$41,IF(Element_Stiffness!$C$40=6,IF(4=Element_Stiffness!$C$40,Element_Stiffness!R64,IF(4=Element_Stiffness!$E$40,Element_Stiffness!X64,0)),IF(Element_Stiffness!$E$40=6,IF(4=Element_Stiffness!$C$40,Element_Stiffness!R70,IF(4=Element_Stiffness!$E$40,Element_Stiffness!X70,0)),0)),0)+IF(Element_Stiffness!$C$76,IF(Element_Stiffness!$C$75=6,IF(4=Element_Stiffness!$C$75,Element_Stiffness!R99,IF(4=Element_Stiffness!$E$75,Element_Stiffness!X99,0)),IF(Element_Stiffness!$E$75=6,IF(4=Element_Stiffness!$C$75,Element_Stiffness!R105,IF(4=Element_Stiffness!$E$75,Element_Stiffness!X105,0)),0)),0)+IF(Element_Stiffness!$C$111,IF(Element_Stiffness!$C$110=6,IF(4=Element_Stiffness!$C$110,Element_Stiffness!R134,IF(4=Element_Stiffness!$E$110,Element_Stiffness!X134,0)),IF(Element_Stiffness!$E$110=6,IF(4=Element_Stiffness!$C$110,Element_Stiffness!R140,IF(4=Element_Stiffness!$E$110,Element_Stiffness!X140,0)),0)),0)+IF(Element_Stiffness!$C$146,IF(Element_Stiffness!$C$145=6,IF(4=Element_Stiffness!$C$145,Element_Stiffness!R169,IF(4=Element_Stiffness!$E$145,Element_Stiffness!X169,0)),IF(Element_Stiffness!$E$145=6,IF(4=Element_Stiffness!$C$145,Element_Stiffness!R175,IF(4=Element_Stiffness!$E$145,Element_Stiffness!X175,0)),0)),0)+IF(Element_Stiffness!$C$181,IF(Element_Stiffness!$C$180=6,IF(4=Element_Stiffness!$C$180,Element_Stiffness!R204,IF(4=Element_Stiffness!$E$180,Element_Stiffness!X204,0)),IF(Element_Stiffness!$E$180=6,IF(4=Element_Stiffness!$C$180,Element_Stiffness!R210,IF(4=Element_Stiffness!$E$180,Element_Stiffness!X210,0)),0)),0)+IF(Element_Stiffness!$C$216,IF(Element_Stiffness!$C$215=6,IF(4=Element_Stiffness!$C$215,Element_Stiffness!R239,IF(4=Element_Stiffness!$E$215,Element_Stiffness!X239,0)),IF(Element_Stiffness!$E$215=6,IF(4=Element_Stiffness!$C$215,Element_Stiffness!R245,IF(4=Element_Stiffness!$E$215,Element_Stiffness!X245,0)),0)),0)</f>
        <v/>
      </c>
      <c r="AD44" s="21">
        <f>IF(Element_Stiffness!$C$6,IF(Element_Stiffness!$C$5=6,IF(4=Element_Stiffness!$C$5,Element_Stiffness!S29,IF(4=Element_Stiffness!$E$5,Element_Stiffness!Y29,0)),IF(Element_Stiffness!$E$5=6,IF(4=Element_Stiffness!$C$5,Element_Stiffness!S35,IF(4=Element_Stiffness!$E$5,Element_Stiffness!Y35,0)),0)),0)+IF(Element_Stiffness!$C$41,IF(Element_Stiffness!$C$40=6,IF(4=Element_Stiffness!$C$40,Element_Stiffness!S64,IF(4=Element_Stiffness!$E$40,Element_Stiffness!Y64,0)),IF(Element_Stiffness!$E$40=6,IF(4=Element_Stiffness!$C$40,Element_Stiffness!S70,IF(4=Element_Stiffness!$E$40,Element_Stiffness!Y70,0)),0)),0)+IF(Element_Stiffness!$C$76,IF(Element_Stiffness!$C$75=6,IF(4=Element_Stiffness!$C$75,Element_Stiffness!S99,IF(4=Element_Stiffness!$E$75,Element_Stiffness!Y99,0)),IF(Element_Stiffness!$E$75=6,IF(4=Element_Stiffness!$C$75,Element_Stiffness!S105,IF(4=Element_Stiffness!$E$75,Element_Stiffness!Y105,0)),0)),0)+IF(Element_Stiffness!$C$111,IF(Element_Stiffness!$C$110=6,IF(4=Element_Stiffness!$C$110,Element_Stiffness!S134,IF(4=Element_Stiffness!$E$110,Element_Stiffness!Y134,0)),IF(Element_Stiffness!$E$110=6,IF(4=Element_Stiffness!$C$110,Element_Stiffness!S140,IF(4=Element_Stiffness!$E$110,Element_Stiffness!Y140,0)),0)),0)+IF(Element_Stiffness!$C$146,IF(Element_Stiffness!$C$145=6,IF(4=Element_Stiffness!$C$145,Element_Stiffness!S169,IF(4=Element_Stiffness!$E$145,Element_Stiffness!Y169,0)),IF(Element_Stiffness!$E$145=6,IF(4=Element_Stiffness!$C$145,Element_Stiffness!S175,IF(4=Element_Stiffness!$E$145,Element_Stiffness!Y175,0)),0)),0)+IF(Element_Stiffness!$C$181,IF(Element_Stiffness!$C$180=6,IF(4=Element_Stiffness!$C$180,Element_Stiffness!S204,IF(4=Element_Stiffness!$E$180,Element_Stiffness!Y204,0)),IF(Element_Stiffness!$E$180=6,IF(4=Element_Stiffness!$C$180,Element_Stiffness!S210,IF(4=Element_Stiffness!$E$180,Element_Stiffness!Y210,0)),0)),0)+IF(Element_Stiffness!$C$216,IF(Element_Stiffness!$C$215=6,IF(4=Element_Stiffness!$C$215,Element_Stiffness!S239,IF(4=Element_Stiffness!$E$215,Element_Stiffness!Y239,0)),IF(Element_Stiffness!$E$215=6,IF(4=Element_Stiffness!$C$215,Element_Stiffness!S245,IF(4=Element_Stiffness!$E$215,Element_Stiffness!Y245,0)),0)),0)</f>
        <v/>
      </c>
      <c r="AE44" s="21">
        <f>IF(Element_Stiffness!$C$6,IF(Element_Stiffness!$C$5=6,IF(4=Element_Stiffness!$C$5,Element_Stiffness!T29,IF(4=Element_Stiffness!$E$5,Element_Stiffness!Z29,0)),IF(Element_Stiffness!$E$5=6,IF(4=Element_Stiffness!$C$5,Element_Stiffness!T35,IF(4=Element_Stiffness!$E$5,Element_Stiffness!Z35,0)),0)),0)+IF(Element_Stiffness!$C$41,IF(Element_Stiffness!$C$40=6,IF(4=Element_Stiffness!$C$40,Element_Stiffness!T64,IF(4=Element_Stiffness!$E$40,Element_Stiffness!Z64,0)),IF(Element_Stiffness!$E$40=6,IF(4=Element_Stiffness!$C$40,Element_Stiffness!T70,IF(4=Element_Stiffness!$E$40,Element_Stiffness!Z70,0)),0)),0)+IF(Element_Stiffness!$C$76,IF(Element_Stiffness!$C$75=6,IF(4=Element_Stiffness!$C$75,Element_Stiffness!T99,IF(4=Element_Stiffness!$E$75,Element_Stiffness!Z99,0)),IF(Element_Stiffness!$E$75=6,IF(4=Element_Stiffness!$C$75,Element_Stiffness!T105,IF(4=Element_Stiffness!$E$75,Element_Stiffness!Z105,0)),0)),0)+IF(Element_Stiffness!$C$111,IF(Element_Stiffness!$C$110=6,IF(4=Element_Stiffness!$C$110,Element_Stiffness!T134,IF(4=Element_Stiffness!$E$110,Element_Stiffness!Z134,0)),IF(Element_Stiffness!$E$110=6,IF(4=Element_Stiffness!$C$110,Element_Stiffness!T140,IF(4=Element_Stiffness!$E$110,Element_Stiffness!Z140,0)),0)),0)+IF(Element_Stiffness!$C$146,IF(Element_Stiffness!$C$145=6,IF(4=Element_Stiffness!$C$145,Element_Stiffness!T169,IF(4=Element_Stiffness!$E$145,Element_Stiffness!Z169,0)),IF(Element_Stiffness!$E$145=6,IF(4=Element_Stiffness!$C$145,Element_Stiffness!T175,IF(4=Element_Stiffness!$E$145,Element_Stiffness!Z175,0)),0)),0)+IF(Element_Stiffness!$C$181,IF(Element_Stiffness!$C$180=6,IF(4=Element_Stiffness!$C$180,Element_Stiffness!T204,IF(4=Element_Stiffness!$E$180,Element_Stiffness!Z204,0)),IF(Element_Stiffness!$E$180=6,IF(4=Element_Stiffness!$C$180,Element_Stiffness!T210,IF(4=Element_Stiffness!$E$180,Element_Stiffness!Z210,0)),0)),0)+IF(Element_Stiffness!$C$216,IF(Element_Stiffness!$C$215=6,IF(4=Element_Stiffness!$C$215,Element_Stiffness!T239,IF(4=Element_Stiffness!$E$215,Element_Stiffness!Z239,0)),IF(Element_Stiffness!$E$215=6,IF(4=Element_Stiffness!$C$215,Element_Stiffness!T245,IF(4=Element_Stiffness!$E$215,Element_Stiffness!Z245,0)),0)),0)</f>
        <v/>
      </c>
      <c r="AF44" s="21">
        <f>IF(Element_Stiffness!$C$6,IF(Element_Stiffness!$C$5=6,IF(4=Element_Stiffness!$C$5,Element_Stiffness!U29,IF(4=Element_Stiffness!$E$5,Element_Stiffness!AA29,0)),IF(Element_Stiffness!$E$5=6,IF(4=Element_Stiffness!$C$5,Element_Stiffness!U35,IF(4=Element_Stiffness!$E$5,Element_Stiffness!AA35,0)),0)),0)+IF(Element_Stiffness!$C$41,IF(Element_Stiffness!$C$40=6,IF(4=Element_Stiffness!$C$40,Element_Stiffness!U64,IF(4=Element_Stiffness!$E$40,Element_Stiffness!AA64,0)),IF(Element_Stiffness!$E$40=6,IF(4=Element_Stiffness!$C$40,Element_Stiffness!U70,IF(4=Element_Stiffness!$E$40,Element_Stiffness!AA70,0)),0)),0)+IF(Element_Stiffness!$C$76,IF(Element_Stiffness!$C$75=6,IF(4=Element_Stiffness!$C$75,Element_Stiffness!U99,IF(4=Element_Stiffness!$E$75,Element_Stiffness!AA99,0)),IF(Element_Stiffness!$E$75=6,IF(4=Element_Stiffness!$C$75,Element_Stiffness!U105,IF(4=Element_Stiffness!$E$75,Element_Stiffness!AA105,0)),0)),0)+IF(Element_Stiffness!$C$111,IF(Element_Stiffness!$C$110=6,IF(4=Element_Stiffness!$C$110,Element_Stiffness!U134,IF(4=Element_Stiffness!$E$110,Element_Stiffness!AA134,0)),IF(Element_Stiffness!$E$110=6,IF(4=Element_Stiffness!$C$110,Element_Stiffness!U140,IF(4=Element_Stiffness!$E$110,Element_Stiffness!AA140,0)),0)),0)+IF(Element_Stiffness!$C$146,IF(Element_Stiffness!$C$145=6,IF(4=Element_Stiffness!$C$145,Element_Stiffness!U169,IF(4=Element_Stiffness!$E$145,Element_Stiffness!AA169,0)),IF(Element_Stiffness!$E$145=6,IF(4=Element_Stiffness!$C$145,Element_Stiffness!U175,IF(4=Element_Stiffness!$E$145,Element_Stiffness!AA175,0)),0)),0)+IF(Element_Stiffness!$C$181,IF(Element_Stiffness!$C$180=6,IF(4=Element_Stiffness!$C$180,Element_Stiffness!U204,IF(4=Element_Stiffness!$E$180,Element_Stiffness!AA204,0)),IF(Element_Stiffness!$E$180=6,IF(4=Element_Stiffness!$C$180,Element_Stiffness!U210,IF(4=Element_Stiffness!$E$180,Element_Stiffness!AA210,0)),0)),0)+IF(Element_Stiffness!$C$216,IF(Element_Stiffness!$C$215=6,IF(4=Element_Stiffness!$C$215,Element_Stiffness!U239,IF(4=Element_Stiffness!$E$215,Element_Stiffness!AA239,0)),IF(Element_Stiffness!$E$215=6,IF(4=Element_Stiffness!$C$215,Element_Stiffness!U245,IF(4=Element_Stiffness!$E$215,Element_Stiffness!AA245,0)),0)),0)</f>
        <v/>
      </c>
      <c r="AG44" s="21">
        <f>IF(Element_Stiffness!$C$6,IF(Element_Stiffness!$C$5=6,IF(5=Element_Stiffness!$C$5,Element_Stiffness!P29,IF(5=Element_Stiffness!$E$5,Element_Stiffness!V29,0)),IF(Element_Stiffness!$E$5=6,IF(5=Element_Stiffness!$C$5,Element_Stiffness!P35,IF(5=Element_Stiffness!$E$5,Element_Stiffness!V35,0)),0)),0)+IF(Element_Stiffness!$C$41,IF(Element_Stiffness!$C$40=6,IF(5=Element_Stiffness!$C$40,Element_Stiffness!P64,IF(5=Element_Stiffness!$E$40,Element_Stiffness!V64,0)),IF(Element_Stiffness!$E$40=6,IF(5=Element_Stiffness!$C$40,Element_Stiffness!P70,IF(5=Element_Stiffness!$E$40,Element_Stiffness!V70,0)),0)),0)+IF(Element_Stiffness!$C$76,IF(Element_Stiffness!$C$75=6,IF(5=Element_Stiffness!$C$75,Element_Stiffness!P99,IF(5=Element_Stiffness!$E$75,Element_Stiffness!V99,0)),IF(Element_Stiffness!$E$75=6,IF(5=Element_Stiffness!$C$75,Element_Stiffness!P105,IF(5=Element_Stiffness!$E$75,Element_Stiffness!V105,0)),0)),0)+IF(Element_Stiffness!$C$111,IF(Element_Stiffness!$C$110=6,IF(5=Element_Stiffness!$C$110,Element_Stiffness!P134,IF(5=Element_Stiffness!$E$110,Element_Stiffness!V134,0)),IF(Element_Stiffness!$E$110=6,IF(5=Element_Stiffness!$C$110,Element_Stiffness!P140,IF(5=Element_Stiffness!$E$110,Element_Stiffness!V140,0)),0)),0)+IF(Element_Stiffness!$C$146,IF(Element_Stiffness!$C$145=6,IF(5=Element_Stiffness!$C$145,Element_Stiffness!P169,IF(5=Element_Stiffness!$E$145,Element_Stiffness!V169,0)),IF(Element_Stiffness!$E$145=6,IF(5=Element_Stiffness!$C$145,Element_Stiffness!P175,IF(5=Element_Stiffness!$E$145,Element_Stiffness!V175,0)),0)),0)+IF(Element_Stiffness!$C$181,IF(Element_Stiffness!$C$180=6,IF(5=Element_Stiffness!$C$180,Element_Stiffness!P204,IF(5=Element_Stiffness!$E$180,Element_Stiffness!V204,0)),IF(Element_Stiffness!$E$180=6,IF(5=Element_Stiffness!$C$180,Element_Stiffness!P210,IF(5=Element_Stiffness!$E$180,Element_Stiffness!V210,0)),0)),0)+IF(Element_Stiffness!$C$216,IF(Element_Stiffness!$C$215=6,IF(5=Element_Stiffness!$C$215,Element_Stiffness!P239,IF(5=Element_Stiffness!$E$215,Element_Stiffness!V239,0)),IF(Element_Stiffness!$E$215=6,IF(5=Element_Stiffness!$C$215,Element_Stiffness!P245,IF(5=Element_Stiffness!$E$215,Element_Stiffness!V245,0)),0)),0)</f>
        <v/>
      </c>
      <c r="AH44" s="21">
        <f>IF(Element_Stiffness!$C$6,IF(Element_Stiffness!$C$5=6,IF(5=Element_Stiffness!$C$5,Element_Stiffness!Q29,IF(5=Element_Stiffness!$E$5,Element_Stiffness!W29,0)),IF(Element_Stiffness!$E$5=6,IF(5=Element_Stiffness!$C$5,Element_Stiffness!Q35,IF(5=Element_Stiffness!$E$5,Element_Stiffness!W35,0)),0)),0)+IF(Element_Stiffness!$C$41,IF(Element_Stiffness!$C$40=6,IF(5=Element_Stiffness!$C$40,Element_Stiffness!Q64,IF(5=Element_Stiffness!$E$40,Element_Stiffness!W64,0)),IF(Element_Stiffness!$E$40=6,IF(5=Element_Stiffness!$C$40,Element_Stiffness!Q70,IF(5=Element_Stiffness!$E$40,Element_Stiffness!W70,0)),0)),0)+IF(Element_Stiffness!$C$76,IF(Element_Stiffness!$C$75=6,IF(5=Element_Stiffness!$C$75,Element_Stiffness!Q99,IF(5=Element_Stiffness!$E$75,Element_Stiffness!W99,0)),IF(Element_Stiffness!$E$75=6,IF(5=Element_Stiffness!$C$75,Element_Stiffness!Q105,IF(5=Element_Stiffness!$E$75,Element_Stiffness!W105,0)),0)),0)+IF(Element_Stiffness!$C$111,IF(Element_Stiffness!$C$110=6,IF(5=Element_Stiffness!$C$110,Element_Stiffness!Q134,IF(5=Element_Stiffness!$E$110,Element_Stiffness!W134,0)),IF(Element_Stiffness!$E$110=6,IF(5=Element_Stiffness!$C$110,Element_Stiffness!Q140,IF(5=Element_Stiffness!$E$110,Element_Stiffness!W140,0)),0)),0)+IF(Element_Stiffness!$C$146,IF(Element_Stiffness!$C$145=6,IF(5=Element_Stiffness!$C$145,Element_Stiffness!Q169,IF(5=Element_Stiffness!$E$145,Element_Stiffness!W169,0)),IF(Element_Stiffness!$E$145=6,IF(5=Element_Stiffness!$C$145,Element_Stiffness!Q175,IF(5=Element_Stiffness!$E$145,Element_Stiffness!W175,0)),0)),0)+IF(Element_Stiffness!$C$181,IF(Element_Stiffness!$C$180=6,IF(5=Element_Stiffness!$C$180,Element_Stiffness!Q204,IF(5=Element_Stiffness!$E$180,Element_Stiffness!W204,0)),IF(Element_Stiffness!$E$180=6,IF(5=Element_Stiffness!$C$180,Element_Stiffness!Q210,IF(5=Element_Stiffness!$E$180,Element_Stiffness!W210,0)),0)),0)+IF(Element_Stiffness!$C$216,IF(Element_Stiffness!$C$215=6,IF(5=Element_Stiffness!$C$215,Element_Stiffness!Q239,IF(5=Element_Stiffness!$E$215,Element_Stiffness!W239,0)),IF(Element_Stiffness!$E$215=6,IF(5=Element_Stiffness!$C$215,Element_Stiffness!Q245,IF(5=Element_Stiffness!$E$215,Element_Stiffness!W245,0)),0)),0)</f>
        <v/>
      </c>
      <c r="AI44" s="21">
        <f>IF(Element_Stiffness!$C$6,IF(Element_Stiffness!$C$5=6,IF(5=Element_Stiffness!$C$5,Element_Stiffness!R29,IF(5=Element_Stiffness!$E$5,Element_Stiffness!X29,0)),IF(Element_Stiffness!$E$5=6,IF(5=Element_Stiffness!$C$5,Element_Stiffness!R35,IF(5=Element_Stiffness!$E$5,Element_Stiffness!X35,0)),0)),0)+IF(Element_Stiffness!$C$41,IF(Element_Stiffness!$C$40=6,IF(5=Element_Stiffness!$C$40,Element_Stiffness!R64,IF(5=Element_Stiffness!$E$40,Element_Stiffness!X64,0)),IF(Element_Stiffness!$E$40=6,IF(5=Element_Stiffness!$C$40,Element_Stiffness!R70,IF(5=Element_Stiffness!$E$40,Element_Stiffness!X70,0)),0)),0)+IF(Element_Stiffness!$C$76,IF(Element_Stiffness!$C$75=6,IF(5=Element_Stiffness!$C$75,Element_Stiffness!R99,IF(5=Element_Stiffness!$E$75,Element_Stiffness!X99,0)),IF(Element_Stiffness!$E$75=6,IF(5=Element_Stiffness!$C$75,Element_Stiffness!R105,IF(5=Element_Stiffness!$E$75,Element_Stiffness!X105,0)),0)),0)+IF(Element_Stiffness!$C$111,IF(Element_Stiffness!$C$110=6,IF(5=Element_Stiffness!$C$110,Element_Stiffness!R134,IF(5=Element_Stiffness!$E$110,Element_Stiffness!X134,0)),IF(Element_Stiffness!$E$110=6,IF(5=Element_Stiffness!$C$110,Element_Stiffness!R140,IF(5=Element_Stiffness!$E$110,Element_Stiffness!X140,0)),0)),0)+IF(Element_Stiffness!$C$146,IF(Element_Stiffness!$C$145=6,IF(5=Element_Stiffness!$C$145,Element_Stiffness!R169,IF(5=Element_Stiffness!$E$145,Element_Stiffness!X169,0)),IF(Element_Stiffness!$E$145=6,IF(5=Element_Stiffness!$C$145,Element_Stiffness!R175,IF(5=Element_Stiffness!$E$145,Element_Stiffness!X175,0)),0)),0)+IF(Element_Stiffness!$C$181,IF(Element_Stiffness!$C$180=6,IF(5=Element_Stiffness!$C$180,Element_Stiffness!R204,IF(5=Element_Stiffness!$E$180,Element_Stiffness!X204,0)),IF(Element_Stiffness!$E$180=6,IF(5=Element_Stiffness!$C$180,Element_Stiffness!R210,IF(5=Element_Stiffness!$E$180,Element_Stiffness!X210,0)),0)),0)+IF(Element_Stiffness!$C$216,IF(Element_Stiffness!$C$215=6,IF(5=Element_Stiffness!$C$215,Element_Stiffness!R239,IF(5=Element_Stiffness!$E$215,Element_Stiffness!X239,0)),IF(Element_Stiffness!$E$215=6,IF(5=Element_Stiffness!$C$215,Element_Stiffness!R245,IF(5=Element_Stiffness!$E$215,Element_Stiffness!X245,0)),0)),0)</f>
        <v/>
      </c>
      <c r="AJ44" s="21">
        <f>IF(Element_Stiffness!$C$6,IF(Element_Stiffness!$C$5=6,IF(5=Element_Stiffness!$C$5,Element_Stiffness!S29,IF(5=Element_Stiffness!$E$5,Element_Stiffness!Y29,0)),IF(Element_Stiffness!$E$5=6,IF(5=Element_Stiffness!$C$5,Element_Stiffness!S35,IF(5=Element_Stiffness!$E$5,Element_Stiffness!Y35,0)),0)),0)+IF(Element_Stiffness!$C$41,IF(Element_Stiffness!$C$40=6,IF(5=Element_Stiffness!$C$40,Element_Stiffness!S64,IF(5=Element_Stiffness!$E$40,Element_Stiffness!Y64,0)),IF(Element_Stiffness!$E$40=6,IF(5=Element_Stiffness!$C$40,Element_Stiffness!S70,IF(5=Element_Stiffness!$E$40,Element_Stiffness!Y70,0)),0)),0)+IF(Element_Stiffness!$C$76,IF(Element_Stiffness!$C$75=6,IF(5=Element_Stiffness!$C$75,Element_Stiffness!S99,IF(5=Element_Stiffness!$E$75,Element_Stiffness!Y99,0)),IF(Element_Stiffness!$E$75=6,IF(5=Element_Stiffness!$C$75,Element_Stiffness!S105,IF(5=Element_Stiffness!$E$75,Element_Stiffness!Y105,0)),0)),0)+IF(Element_Stiffness!$C$111,IF(Element_Stiffness!$C$110=6,IF(5=Element_Stiffness!$C$110,Element_Stiffness!S134,IF(5=Element_Stiffness!$E$110,Element_Stiffness!Y134,0)),IF(Element_Stiffness!$E$110=6,IF(5=Element_Stiffness!$C$110,Element_Stiffness!S140,IF(5=Element_Stiffness!$E$110,Element_Stiffness!Y140,0)),0)),0)+IF(Element_Stiffness!$C$146,IF(Element_Stiffness!$C$145=6,IF(5=Element_Stiffness!$C$145,Element_Stiffness!S169,IF(5=Element_Stiffness!$E$145,Element_Stiffness!Y169,0)),IF(Element_Stiffness!$E$145=6,IF(5=Element_Stiffness!$C$145,Element_Stiffness!S175,IF(5=Element_Stiffness!$E$145,Element_Stiffness!Y175,0)),0)),0)+IF(Element_Stiffness!$C$181,IF(Element_Stiffness!$C$180=6,IF(5=Element_Stiffness!$C$180,Element_Stiffness!S204,IF(5=Element_Stiffness!$E$180,Element_Stiffness!Y204,0)),IF(Element_Stiffness!$E$180=6,IF(5=Element_Stiffness!$C$180,Element_Stiffness!S210,IF(5=Element_Stiffness!$E$180,Element_Stiffness!Y210,0)),0)),0)+IF(Element_Stiffness!$C$216,IF(Element_Stiffness!$C$215=6,IF(5=Element_Stiffness!$C$215,Element_Stiffness!S239,IF(5=Element_Stiffness!$E$215,Element_Stiffness!Y239,0)),IF(Element_Stiffness!$E$215=6,IF(5=Element_Stiffness!$C$215,Element_Stiffness!S245,IF(5=Element_Stiffness!$E$215,Element_Stiffness!Y245,0)),0)),0)</f>
        <v/>
      </c>
      <c r="AK44" s="21">
        <f>IF(Element_Stiffness!$C$6,IF(Element_Stiffness!$C$5=6,IF(5=Element_Stiffness!$C$5,Element_Stiffness!T29,IF(5=Element_Stiffness!$E$5,Element_Stiffness!Z29,0)),IF(Element_Stiffness!$E$5=6,IF(5=Element_Stiffness!$C$5,Element_Stiffness!T35,IF(5=Element_Stiffness!$E$5,Element_Stiffness!Z35,0)),0)),0)+IF(Element_Stiffness!$C$41,IF(Element_Stiffness!$C$40=6,IF(5=Element_Stiffness!$C$40,Element_Stiffness!T64,IF(5=Element_Stiffness!$E$40,Element_Stiffness!Z64,0)),IF(Element_Stiffness!$E$40=6,IF(5=Element_Stiffness!$C$40,Element_Stiffness!T70,IF(5=Element_Stiffness!$E$40,Element_Stiffness!Z70,0)),0)),0)+IF(Element_Stiffness!$C$76,IF(Element_Stiffness!$C$75=6,IF(5=Element_Stiffness!$C$75,Element_Stiffness!T99,IF(5=Element_Stiffness!$E$75,Element_Stiffness!Z99,0)),IF(Element_Stiffness!$E$75=6,IF(5=Element_Stiffness!$C$75,Element_Stiffness!T105,IF(5=Element_Stiffness!$E$75,Element_Stiffness!Z105,0)),0)),0)+IF(Element_Stiffness!$C$111,IF(Element_Stiffness!$C$110=6,IF(5=Element_Stiffness!$C$110,Element_Stiffness!T134,IF(5=Element_Stiffness!$E$110,Element_Stiffness!Z134,0)),IF(Element_Stiffness!$E$110=6,IF(5=Element_Stiffness!$C$110,Element_Stiffness!T140,IF(5=Element_Stiffness!$E$110,Element_Stiffness!Z140,0)),0)),0)+IF(Element_Stiffness!$C$146,IF(Element_Stiffness!$C$145=6,IF(5=Element_Stiffness!$C$145,Element_Stiffness!T169,IF(5=Element_Stiffness!$E$145,Element_Stiffness!Z169,0)),IF(Element_Stiffness!$E$145=6,IF(5=Element_Stiffness!$C$145,Element_Stiffness!T175,IF(5=Element_Stiffness!$E$145,Element_Stiffness!Z175,0)),0)),0)+IF(Element_Stiffness!$C$181,IF(Element_Stiffness!$C$180=6,IF(5=Element_Stiffness!$C$180,Element_Stiffness!T204,IF(5=Element_Stiffness!$E$180,Element_Stiffness!Z204,0)),IF(Element_Stiffness!$E$180=6,IF(5=Element_Stiffness!$C$180,Element_Stiffness!T210,IF(5=Element_Stiffness!$E$180,Element_Stiffness!Z210,0)),0)),0)+IF(Element_Stiffness!$C$216,IF(Element_Stiffness!$C$215=6,IF(5=Element_Stiffness!$C$215,Element_Stiffness!T239,IF(5=Element_Stiffness!$E$215,Element_Stiffness!Z239,0)),IF(Element_Stiffness!$E$215=6,IF(5=Element_Stiffness!$C$215,Element_Stiffness!T245,IF(5=Element_Stiffness!$E$215,Element_Stiffness!Z245,0)),0)),0)</f>
        <v/>
      </c>
      <c r="AL44" s="21">
        <f>IF(Element_Stiffness!$C$6,IF(Element_Stiffness!$C$5=6,IF(5=Element_Stiffness!$C$5,Element_Stiffness!U29,IF(5=Element_Stiffness!$E$5,Element_Stiffness!AA29,0)),IF(Element_Stiffness!$E$5=6,IF(5=Element_Stiffness!$C$5,Element_Stiffness!U35,IF(5=Element_Stiffness!$E$5,Element_Stiffness!AA35,0)),0)),0)+IF(Element_Stiffness!$C$41,IF(Element_Stiffness!$C$40=6,IF(5=Element_Stiffness!$C$40,Element_Stiffness!U64,IF(5=Element_Stiffness!$E$40,Element_Stiffness!AA64,0)),IF(Element_Stiffness!$E$40=6,IF(5=Element_Stiffness!$C$40,Element_Stiffness!U70,IF(5=Element_Stiffness!$E$40,Element_Stiffness!AA70,0)),0)),0)+IF(Element_Stiffness!$C$76,IF(Element_Stiffness!$C$75=6,IF(5=Element_Stiffness!$C$75,Element_Stiffness!U99,IF(5=Element_Stiffness!$E$75,Element_Stiffness!AA99,0)),IF(Element_Stiffness!$E$75=6,IF(5=Element_Stiffness!$C$75,Element_Stiffness!U105,IF(5=Element_Stiffness!$E$75,Element_Stiffness!AA105,0)),0)),0)+IF(Element_Stiffness!$C$111,IF(Element_Stiffness!$C$110=6,IF(5=Element_Stiffness!$C$110,Element_Stiffness!U134,IF(5=Element_Stiffness!$E$110,Element_Stiffness!AA134,0)),IF(Element_Stiffness!$E$110=6,IF(5=Element_Stiffness!$C$110,Element_Stiffness!U140,IF(5=Element_Stiffness!$E$110,Element_Stiffness!AA140,0)),0)),0)+IF(Element_Stiffness!$C$146,IF(Element_Stiffness!$C$145=6,IF(5=Element_Stiffness!$C$145,Element_Stiffness!U169,IF(5=Element_Stiffness!$E$145,Element_Stiffness!AA169,0)),IF(Element_Stiffness!$E$145=6,IF(5=Element_Stiffness!$C$145,Element_Stiffness!U175,IF(5=Element_Stiffness!$E$145,Element_Stiffness!AA175,0)),0)),0)+IF(Element_Stiffness!$C$181,IF(Element_Stiffness!$C$180=6,IF(5=Element_Stiffness!$C$180,Element_Stiffness!U204,IF(5=Element_Stiffness!$E$180,Element_Stiffness!AA204,0)),IF(Element_Stiffness!$E$180=6,IF(5=Element_Stiffness!$C$180,Element_Stiffness!U210,IF(5=Element_Stiffness!$E$180,Element_Stiffness!AA210,0)),0)),0)+IF(Element_Stiffness!$C$216,IF(Element_Stiffness!$C$215=6,IF(5=Element_Stiffness!$C$215,Element_Stiffness!U239,IF(5=Element_Stiffness!$E$215,Element_Stiffness!AA239,0)),IF(Element_Stiffness!$E$215=6,IF(5=Element_Stiffness!$C$215,Element_Stiffness!U245,IF(5=Element_Stiffness!$E$215,Element_Stiffness!AA245,0)),0)),0)</f>
        <v/>
      </c>
      <c r="AM44" s="21">
        <f>IF(Element_Stiffness!$C$6,IF(Element_Stiffness!$C$5=6,IF(6=Element_Stiffness!$C$5,Element_Stiffness!P29,IF(6=Element_Stiffness!$E$5,Element_Stiffness!V29,0)),IF(Element_Stiffness!$E$5=6,IF(6=Element_Stiffness!$C$5,Element_Stiffness!P35,IF(6=Element_Stiffness!$E$5,Element_Stiffness!V35,0)),0)),0)+IF(Element_Stiffness!$C$41,IF(Element_Stiffness!$C$40=6,IF(6=Element_Stiffness!$C$40,Element_Stiffness!P64,IF(6=Element_Stiffness!$E$40,Element_Stiffness!V64,0)),IF(Element_Stiffness!$E$40=6,IF(6=Element_Stiffness!$C$40,Element_Stiffness!P70,IF(6=Element_Stiffness!$E$40,Element_Stiffness!V70,0)),0)),0)+IF(Element_Stiffness!$C$76,IF(Element_Stiffness!$C$75=6,IF(6=Element_Stiffness!$C$75,Element_Stiffness!P99,IF(6=Element_Stiffness!$E$75,Element_Stiffness!V99,0)),IF(Element_Stiffness!$E$75=6,IF(6=Element_Stiffness!$C$75,Element_Stiffness!P105,IF(6=Element_Stiffness!$E$75,Element_Stiffness!V105,0)),0)),0)+IF(Element_Stiffness!$C$111,IF(Element_Stiffness!$C$110=6,IF(6=Element_Stiffness!$C$110,Element_Stiffness!P134,IF(6=Element_Stiffness!$E$110,Element_Stiffness!V134,0)),IF(Element_Stiffness!$E$110=6,IF(6=Element_Stiffness!$C$110,Element_Stiffness!P140,IF(6=Element_Stiffness!$E$110,Element_Stiffness!V140,0)),0)),0)+IF(Element_Stiffness!$C$146,IF(Element_Stiffness!$C$145=6,IF(6=Element_Stiffness!$C$145,Element_Stiffness!P169,IF(6=Element_Stiffness!$E$145,Element_Stiffness!V169,0)),IF(Element_Stiffness!$E$145=6,IF(6=Element_Stiffness!$C$145,Element_Stiffness!P175,IF(6=Element_Stiffness!$E$145,Element_Stiffness!V175,0)),0)),0)+IF(Element_Stiffness!$C$181,IF(Element_Stiffness!$C$180=6,IF(6=Element_Stiffness!$C$180,Element_Stiffness!P204,IF(6=Element_Stiffness!$E$180,Element_Stiffness!V204,0)),IF(Element_Stiffness!$E$180=6,IF(6=Element_Stiffness!$C$180,Element_Stiffness!P210,IF(6=Element_Stiffness!$E$180,Element_Stiffness!V210,0)),0)),0)+IF(Element_Stiffness!$C$216,IF(Element_Stiffness!$C$215=6,IF(6=Element_Stiffness!$C$215,Element_Stiffness!P239,IF(6=Element_Stiffness!$E$215,Element_Stiffness!V239,0)),IF(Element_Stiffness!$E$215=6,IF(6=Element_Stiffness!$C$215,Element_Stiffness!P245,IF(6=Element_Stiffness!$E$215,Element_Stiffness!V245,0)),0)),0)</f>
        <v/>
      </c>
      <c r="AN44" s="21">
        <f>IF(Element_Stiffness!$C$6,IF(Element_Stiffness!$C$5=6,IF(6=Element_Stiffness!$C$5,Element_Stiffness!Q29,IF(6=Element_Stiffness!$E$5,Element_Stiffness!W29,0)),IF(Element_Stiffness!$E$5=6,IF(6=Element_Stiffness!$C$5,Element_Stiffness!Q35,IF(6=Element_Stiffness!$E$5,Element_Stiffness!W35,0)),0)),0)+IF(Element_Stiffness!$C$41,IF(Element_Stiffness!$C$40=6,IF(6=Element_Stiffness!$C$40,Element_Stiffness!Q64,IF(6=Element_Stiffness!$E$40,Element_Stiffness!W64,0)),IF(Element_Stiffness!$E$40=6,IF(6=Element_Stiffness!$C$40,Element_Stiffness!Q70,IF(6=Element_Stiffness!$E$40,Element_Stiffness!W70,0)),0)),0)+IF(Element_Stiffness!$C$76,IF(Element_Stiffness!$C$75=6,IF(6=Element_Stiffness!$C$75,Element_Stiffness!Q99,IF(6=Element_Stiffness!$E$75,Element_Stiffness!W99,0)),IF(Element_Stiffness!$E$75=6,IF(6=Element_Stiffness!$C$75,Element_Stiffness!Q105,IF(6=Element_Stiffness!$E$75,Element_Stiffness!W105,0)),0)),0)+IF(Element_Stiffness!$C$111,IF(Element_Stiffness!$C$110=6,IF(6=Element_Stiffness!$C$110,Element_Stiffness!Q134,IF(6=Element_Stiffness!$E$110,Element_Stiffness!W134,0)),IF(Element_Stiffness!$E$110=6,IF(6=Element_Stiffness!$C$110,Element_Stiffness!Q140,IF(6=Element_Stiffness!$E$110,Element_Stiffness!W140,0)),0)),0)+IF(Element_Stiffness!$C$146,IF(Element_Stiffness!$C$145=6,IF(6=Element_Stiffness!$C$145,Element_Stiffness!Q169,IF(6=Element_Stiffness!$E$145,Element_Stiffness!W169,0)),IF(Element_Stiffness!$E$145=6,IF(6=Element_Stiffness!$C$145,Element_Stiffness!Q175,IF(6=Element_Stiffness!$E$145,Element_Stiffness!W175,0)),0)),0)+IF(Element_Stiffness!$C$181,IF(Element_Stiffness!$C$180=6,IF(6=Element_Stiffness!$C$180,Element_Stiffness!Q204,IF(6=Element_Stiffness!$E$180,Element_Stiffness!W204,0)),IF(Element_Stiffness!$E$180=6,IF(6=Element_Stiffness!$C$180,Element_Stiffness!Q210,IF(6=Element_Stiffness!$E$180,Element_Stiffness!W210,0)),0)),0)+IF(Element_Stiffness!$C$216,IF(Element_Stiffness!$C$215=6,IF(6=Element_Stiffness!$C$215,Element_Stiffness!Q239,IF(6=Element_Stiffness!$E$215,Element_Stiffness!W239,0)),IF(Element_Stiffness!$E$215=6,IF(6=Element_Stiffness!$C$215,Element_Stiffness!Q245,IF(6=Element_Stiffness!$E$215,Element_Stiffness!W245,0)),0)),0)</f>
        <v/>
      </c>
      <c r="AO44" s="21">
        <f>IF(Element_Stiffness!$C$6,IF(Element_Stiffness!$C$5=6,IF(6=Element_Stiffness!$C$5,Element_Stiffness!R29,IF(6=Element_Stiffness!$E$5,Element_Stiffness!X29,0)),IF(Element_Stiffness!$E$5=6,IF(6=Element_Stiffness!$C$5,Element_Stiffness!R35,IF(6=Element_Stiffness!$E$5,Element_Stiffness!X35,0)),0)),0)+IF(Element_Stiffness!$C$41,IF(Element_Stiffness!$C$40=6,IF(6=Element_Stiffness!$C$40,Element_Stiffness!R64,IF(6=Element_Stiffness!$E$40,Element_Stiffness!X64,0)),IF(Element_Stiffness!$E$40=6,IF(6=Element_Stiffness!$C$40,Element_Stiffness!R70,IF(6=Element_Stiffness!$E$40,Element_Stiffness!X70,0)),0)),0)+IF(Element_Stiffness!$C$76,IF(Element_Stiffness!$C$75=6,IF(6=Element_Stiffness!$C$75,Element_Stiffness!R99,IF(6=Element_Stiffness!$E$75,Element_Stiffness!X99,0)),IF(Element_Stiffness!$E$75=6,IF(6=Element_Stiffness!$C$75,Element_Stiffness!R105,IF(6=Element_Stiffness!$E$75,Element_Stiffness!X105,0)),0)),0)+IF(Element_Stiffness!$C$111,IF(Element_Stiffness!$C$110=6,IF(6=Element_Stiffness!$C$110,Element_Stiffness!R134,IF(6=Element_Stiffness!$E$110,Element_Stiffness!X134,0)),IF(Element_Stiffness!$E$110=6,IF(6=Element_Stiffness!$C$110,Element_Stiffness!R140,IF(6=Element_Stiffness!$E$110,Element_Stiffness!X140,0)),0)),0)+IF(Element_Stiffness!$C$146,IF(Element_Stiffness!$C$145=6,IF(6=Element_Stiffness!$C$145,Element_Stiffness!R169,IF(6=Element_Stiffness!$E$145,Element_Stiffness!X169,0)),IF(Element_Stiffness!$E$145=6,IF(6=Element_Stiffness!$C$145,Element_Stiffness!R175,IF(6=Element_Stiffness!$E$145,Element_Stiffness!X175,0)),0)),0)+IF(Element_Stiffness!$C$181,IF(Element_Stiffness!$C$180=6,IF(6=Element_Stiffness!$C$180,Element_Stiffness!R204,IF(6=Element_Stiffness!$E$180,Element_Stiffness!X204,0)),IF(Element_Stiffness!$E$180=6,IF(6=Element_Stiffness!$C$180,Element_Stiffness!R210,IF(6=Element_Stiffness!$E$180,Element_Stiffness!X210,0)),0)),0)+IF(Element_Stiffness!$C$216,IF(Element_Stiffness!$C$215=6,IF(6=Element_Stiffness!$C$215,Element_Stiffness!R239,IF(6=Element_Stiffness!$E$215,Element_Stiffness!X239,0)),IF(Element_Stiffness!$E$215=6,IF(6=Element_Stiffness!$C$215,Element_Stiffness!R245,IF(6=Element_Stiffness!$E$215,Element_Stiffness!X245,0)),0)),0)</f>
        <v/>
      </c>
      <c r="AP44" s="21">
        <f>IF(Element_Stiffness!$C$6,IF(Element_Stiffness!$C$5=6,IF(6=Element_Stiffness!$C$5,Element_Stiffness!S29,IF(6=Element_Stiffness!$E$5,Element_Stiffness!Y29,0)),IF(Element_Stiffness!$E$5=6,IF(6=Element_Stiffness!$C$5,Element_Stiffness!S35,IF(6=Element_Stiffness!$E$5,Element_Stiffness!Y35,0)),0)),0)+IF(Element_Stiffness!$C$41,IF(Element_Stiffness!$C$40=6,IF(6=Element_Stiffness!$C$40,Element_Stiffness!S64,IF(6=Element_Stiffness!$E$40,Element_Stiffness!Y64,0)),IF(Element_Stiffness!$E$40=6,IF(6=Element_Stiffness!$C$40,Element_Stiffness!S70,IF(6=Element_Stiffness!$E$40,Element_Stiffness!Y70,0)),0)),0)+IF(Element_Stiffness!$C$76,IF(Element_Stiffness!$C$75=6,IF(6=Element_Stiffness!$C$75,Element_Stiffness!S99,IF(6=Element_Stiffness!$E$75,Element_Stiffness!Y99,0)),IF(Element_Stiffness!$E$75=6,IF(6=Element_Stiffness!$C$75,Element_Stiffness!S105,IF(6=Element_Stiffness!$E$75,Element_Stiffness!Y105,0)),0)),0)+IF(Element_Stiffness!$C$111,IF(Element_Stiffness!$C$110=6,IF(6=Element_Stiffness!$C$110,Element_Stiffness!S134,IF(6=Element_Stiffness!$E$110,Element_Stiffness!Y134,0)),IF(Element_Stiffness!$E$110=6,IF(6=Element_Stiffness!$C$110,Element_Stiffness!S140,IF(6=Element_Stiffness!$E$110,Element_Stiffness!Y140,0)),0)),0)+IF(Element_Stiffness!$C$146,IF(Element_Stiffness!$C$145=6,IF(6=Element_Stiffness!$C$145,Element_Stiffness!S169,IF(6=Element_Stiffness!$E$145,Element_Stiffness!Y169,0)),IF(Element_Stiffness!$E$145=6,IF(6=Element_Stiffness!$C$145,Element_Stiffness!S175,IF(6=Element_Stiffness!$E$145,Element_Stiffness!Y175,0)),0)),0)+IF(Element_Stiffness!$C$181,IF(Element_Stiffness!$C$180=6,IF(6=Element_Stiffness!$C$180,Element_Stiffness!S204,IF(6=Element_Stiffness!$E$180,Element_Stiffness!Y204,0)),IF(Element_Stiffness!$E$180=6,IF(6=Element_Stiffness!$C$180,Element_Stiffness!S210,IF(6=Element_Stiffness!$E$180,Element_Stiffness!Y210,0)),0)),0)+IF(Element_Stiffness!$C$216,IF(Element_Stiffness!$C$215=6,IF(6=Element_Stiffness!$C$215,Element_Stiffness!S239,IF(6=Element_Stiffness!$E$215,Element_Stiffness!Y239,0)),IF(Element_Stiffness!$E$215=6,IF(6=Element_Stiffness!$C$215,Element_Stiffness!S245,IF(6=Element_Stiffness!$E$215,Element_Stiffness!Y245,0)),0)),0)+IF(Inputs!F46=TRUE,1E15,IF(ISNUMBER(Inputs!F46),Inputs!F46,0))</f>
        <v/>
      </c>
      <c r="AQ44" s="21">
        <f>IF(Element_Stiffness!$C$6,IF(Element_Stiffness!$C$5=6,IF(6=Element_Stiffness!$C$5,Element_Stiffness!T29,IF(6=Element_Stiffness!$E$5,Element_Stiffness!Z29,0)),IF(Element_Stiffness!$E$5=6,IF(6=Element_Stiffness!$C$5,Element_Stiffness!T35,IF(6=Element_Stiffness!$E$5,Element_Stiffness!Z35,0)),0)),0)+IF(Element_Stiffness!$C$41,IF(Element_Stiffness!$C$40=6,IF(6=Element_Stiffness!$C$40,Element_Stiffness!T64,IF(6=Element_Stiffness!$E$40,Element_Stiffness!Z64,0)),IF(Element_Stiffness!$E$40=6,IF(6=Element_Stiffness!$C$40,Element_Stiffness!T70,IF(6=Element_Stiffness!$E$40,Element_Stiffness!Z70,0)),0)),0)+IF(Element_Stiffness!$C$76,IF(Element_Stiffness!$C$75=6,IF(6=Element_Stiffness!$C$75,Element_Stiffness!T99,IF(6=Element_Stiffness!$E$75,Element_Stiffness!Z99,0)),IF(Element_Stiffness!$E$75=6,IF(6=Element_Stiffness!$C$75,Element_Stiffness!T105,IF(6=Element_Stiffness!$E$75,Element_Stiffness!Z105,0)),0)),0)+IF(Element_Stiffness!$C$111,IF(Element_Stiffness!$C$110=6,IF(6=Element_Stiffness!$C$110,Element_Stiffness!T134,IF(6=Element_Stiffness!$E$110,Element_Stiffness!Z134,0)),IF(Element_Stiffness!$E$110=6,IF(6=Element_Stiffness!$C$110,Element_Stiffness!T140,IF(6=Element_Stiffness!$E$110,Element_Stiffness!Z140,0)),0)),0)+IF(Element_Stiffness!$C$146,IF(Element_Stiffness!$C$145=6,IF(6=Element_Stiffness!$C$145,Element_Stiffness!T169,IF(6=Element_Stiffness!$E$145,Element_Stiffness!Z169,0)),IF(Element_Stiffness!$E$145=6,IF(6=Element_Stiffness!$C$145,Element_Stiffness!T175,IF(6=Element_Stiffness!$E$145,Element_Stiffness!Z175,0)),0)),0)+IF(Element_Stiffness!$C$181,IF(Element_Stiffness!$C$180=6,IF(6=Element_Stiffness!$C$180,Element_Stiffness!T204,IF(6=Element_Stiffness!$E$180,Element_Stiffness!Z204,0)),IF(Element_Stiffness!$E$180=6,IF(6=Element_Stiffness!$C$180,Element_Stiffness!T210,IF(6=Element_Stiffness!$E$180,Element_Stiffness!Z210,0)),0)),0)+IF(Element_Stiffness!$C$216,IF(Element_Stiffness!$C$215=6,IF(6=Element_Stiffness!$C$215,Element_Stiffness!T239,IF(6=Element_Stiffness!$E$215,Element_Stiffness!Z239,0)),IF(Element_Stiffness!$E$215=6,IF(6=Element_Stiffness!$C$215,Element_Stiffness!T245,IF(6=Element_Stiffness!$E$215,Element_Stiffness!Z245,0)),0)),0)</f>
        <v/>
      </c>
      <c r="AR44" s="21">
        <f>IF(Element_Stiffness!$C$6,IF(Element_Stiffness!$C$5=6,IF(6=Element_Stiffness!$C$5,Element_Stiffness!U29,IF(6=Element_Stiffness!$E$5,Element_Stiffness!AA29,0)),IF(Element_Stiffness!$E$5=6,IF(6=Element_Stiffness!$C$5,Element_Stiffness!U35,IF(6=Element_Stiffness!$E$5,Element_Stiffness!AA35,0)),0)),0)+IF(Element_Stiffness!$C$41,IF(Element_Stiffness!$C$40=6,IF(6=Element_Stiffness!$C$40,Element_Stiffness!U64,IF(6=Element_Stiffness!$E$40,Element_Stiffness!AA64,0)),IF(Element_Stiffness!$E$40=6,IF(6=Element_Stiffness!$C$40,Element_Stiffness!U70,IF(6=Element_Stiffness!$E$40,Element_Stiffness!AA70,0)),0)),0)+IF(Element_Stiffness!$C$76,IF(Element_Stiffness!$C$75=6,IF(6=Element_Stiffness!$C$75,Element_Stiffness!U99,IF(6=Element_Stiffness!$E$75,Element_Stiffness!AA99,0)),IF(Element_Stiffness!$E$75=6,IF(6=Element_Stiffness!$C$75,Element_Stiffness!U105,IF(6=Element_Stiffness!$E$75,Element_Stiffness!AA105,0)),0)),0)+IF(Element_Stiffness!$C$111,IF(Element_Stiffness!$C$110=6,IF(6=Element_Stiffness!$C$110,Element_Stiffness!U134,IF(6=Element_Stiffness!$E$110,Element_Stiffness!AA134,0)),IF(Element_Stiffness!$E$110=6,IF(6=Element_Stiffness!$C$110,Element_Stiffness!U140,IF(6=Element_Stiffness!$E$110,Element_Stiffness!AA140,0)),0)),0)+IF(Element_Stiffness!$C$146,IF(Element_Stiffness!$C$145=6,IF(6=Element_Stiffness!$C$145,Element_Stiffness!U169,IF(6=Element_Stiffness!$E$145,Element_Stiffness!AA169,0)),IF(Element_Stiffness!$E$145=6,IF(6=Element_Stiffness!$C$145,Element_Stiffness!U175,IF(6=Element_Stiffness!$E$145,Element_Stiffness!AA175,0)),0)),0)+IF(Element_Stiffness!$C$181,IF(Element_Stiffness!$C$180=6,IF(6=Element_Stiffness!$C$180,Element_Stiffness!U204,IF(6=Element_Stiffness!$E$180,Element_Stiffness!AA204,0)),IF(Element_Stiffness!$E$180=6,IF(6=Element_Stiffness!$C$180,Element_Stiffness!U210,IF(6=Element_Stiffness!$E$180,Element_Stiffness!AA210,0)),0)),0)+IF(Element_Stiffness!$C$216,IF(Element_Stiffness!$C$215=6,IF(6=Element_Stiffness!$C$215,Element_Stiffness!U239,IF(6=Element_Stiffness!$E$215,Element_Stiffness!AA239,0)),IF(Element_Stiffness!$E$215=6,IF(6=Element_Stiffness!$C$215,Element_Stiffness!U245,IF(6=Element_Stiffness!$E$215,Element_Stiffness!AA245,0)),0)),0)</f>
        <v/>
      </c>
      <c r="AS44" s="21">
        <f>IF(Element_Stiffness!$C$6,IF(Element_Stiffness!$C$5=6,IF(7=Element_Stiffness!$C$5,Element_Stiffness!P29,IF(7=Element_Stiffness!$E$5,Element_Stiffness!V29,0)),IF(Element_Stiffness!$E$5=6,IF(7=Element_Stiffness!$C$5,Element_Stiffness!P35,IF(7=Element_Stiffness!$E$5,Element_Stiffness!V35,0)),0)),0)+IF(Element_Stiffness!$C$41,IF(Element_Stiffness!$C$40=6,IF(7=Element_Stiffness!$C$40,Element_Stiffness!P64,IF(7=Element_Stiffness!$E$40,Element_Stiffness!V64,0)),IF(Element_Stiffness!$E$40=6,IF(7=Element_Stiffness!$C$40,Element_Stiffness!P70,IF(7=Element_Stiffness!$E$40,Element_Stiffness!V70,0)),0)),0)+IF(Element_Stiffness!$C$76,IF(Element_Stiffness!$C$75=6,IF(7=Element_Stiffness!$C$75,Element_Stiffness!P99,IF(7=Element_Stiffness!$E$75,Element_Stiffness!V99,0)),IF(Element_Stiffness!$E$75=6,IF(7=Element_Stiffness!$C$75,Element_Stiffness!P105,IF(7=Element_Stiffness!$E$75,Element_Stiffness!V105,0)),0)),0)+IF(Element_Stiffness!$C$111,IF(Element_Stiffness!$C$110=6,IF(7=Element_Stiffness!$C$110,Element_Stiffness!P134,IF(7=Element_Stiffness!$E$110,Element_Stiffness!V134,0)),IF(Element_Stiffness!$E$110=6,IF(7=Element_Stiffness!$C$110,Element_Stiffness!P140,IF(7=Element_Stiffness!$E$110,Element_Stiffness!V140,0)),0)),0)+IF(Element_Stiffness!$C$146,IF(Element_Stiffness!$C$145=6,IF(7=Element_Stiffness!$C$145,Element_Stiffness!P169,IF(7=Element_Stiffness!$E$145,Element_Stiffness!V169,0)),IF(Element_Stiffness!$E$145=6,IF(7=Element_Stiffness!$C$145,Element_Stiffness!P175,IF(7=Element_Stiffness!$E$145,Element_Stiffness!V175,0)),0)),0)+IF(Element_Stiffness!$C$181,IF(Element_Stiffness!$C$180=6,IF(7=Element_Stiffness!$C$180,Element_Stiffness!P204,IF(7=Element_Stiffness!$E$180,Element_Stiffness!V204,0)),IF(Element_Stiffness!$E$180=6,IF(7=Element_Stiffness!$C$180,Element_Stiffness!P210,IF(7=Element_Stiffness!$E$180,Element_Stiffness!V210,0)),0)),0)+IF(Element_Stiffness!$C$216,IF(Element_Stiffness!$C$215=6,IF(7=Element_Stiffness!$C$215,Element_Stiffness!P239,IF(7=Element_Stiffness!$E$215,Element_Stiffness!V239,0)),IF(Element_Stiffness!$E$215=6,IF(7=Element_Stiffness!$C$215,Element_Stiffness!P245,IF(7=Element_Stiffness!$E$215,Element_Stiffness!V245,0)),0)),0)</f>
        <v/>
      </c>
      <c r="AT44" s="21">
        <f>IF(Element_Stiffness!$C$6,IF(Element_Stiffness!$C$5=6,IF(7=Element_Stiffness!$C$5,Element_Stiffness!Q29,IF(7=Element_Stiffness!$E$5,Element_Stiffness!W29,0)),IF(Element_Stiffness!$E$5=6,IF(7=Element_Stiffness!$C$5,Element_Stiffness!Q35,IF(7=Element_Stiffness!$E$5,Element_Stiffness!W35,0)),0)),0)+IF(Element_Stiffness!$C$41,IF(Element_Stiffness!$C$40=6,IF(7=Element_Stiffness!$C$40,Element_Stiffness!Q64,IF(7=Element_Stiffness!$E$40,Element_Stiffness!W64,0)),IF(Element_Stiffness!$E$40=6,IF(7=Element_Stiffness!$C$40,Element_Stiffness!Q70,IF(7=Element_Stiffness!$E$40,Element_Stiffness!W70,0)),0)),0)+IF(Element_Stiffness!$C$76,IF(Element_Stiffness!$C$75=6,IF(7=Element_Stiffness!$C$75,Element_Stiffness!Q99,IF(7=Element_Stiffness!$E$75,Element_Stiffness!W99,0)),IF(Element_Stiffness!$E$75=6,IF(7=Element_Stiffness!$C$75,Element_Stiffness!Q105,IF(7=Element_Stiffness!$E$75,Element_Stiffness!W105,0)),0)),0)+IF(Element_Stiffness!$C$111,IF(Element_Stiffness!$C$110=6,IF(7=Element_Stiffness!$C$110,Element_Stiffness!Q134,IF(7=Element_Stiffness!$E$110,Element_Stiffness!W134,0)),IF(Element_Stiffness!$E$110=6,IF(7=Element_Stiffness!$C$110,Element_Stiffness!Q140,IF(7=Element_Stiffness!$E$110,Element_Stiffness!W140,0)),0)),0)+IF(Element_Stiffness!$C$146,IF(Element_Stiffness!$C$145=6,IF(7=Element_Stiffness!$C$145,Element_Stiffness!Q169,IF(7=Element_Stiffness!$E$145,Element_Stiffness!W169,0)),IF(Element_Stiffness!$E$145=6,IF(7=Element_Stiffness!$C$145,Element_Stiffness!Q175,IF(7=Element_Stiffness!$E$145,Element_Stiffness!W175,0)),0)),0)+IF(Element_Stiffness!$C$181,IF(Element_Stiffness!$C$180=6,IF(7=Element_Stiffness!$C$180,Element_Stiffness!Q204,IF(7=Element_Stiffness!$E$180,Element_Stiffness!W204,0)),IF(Element_Stiffness!$E$180=6,IF(7=Element_Stiffness!$C$180,Element_Stiffness!Q210,IF(7=Element_Stiffness!$E$180,Element_Stiffness!W210,0)),0)),0)+IF(Element_Stiffness!$C$216,IF(Element_Stiffness!$C$215=6,IF(7=Element_Stiffness!$C$215,Element_Stiffness!Q239,IF(7=Element_Stiffness!$E$215,Element_Stiffness!W239,0)),IF(Element_Stiffness!$E$215=6,IF(7=Element_Stiffness!$C$215,Element_Stiffness!Q245,IF(7=Element_Stiffness!$E$215,Element_Stiffness!W245,0)),0)),0)</f>
        <v/>
      </c>
      <c r="AU44" s="21">
        <f>IF(Element_Stiffness!$C$6,IF(Element_Stiffness!$C$5=6,IF(7=Element_Stiffness!$C$5,Element_Stiffness!R29,IF(7=Element_Stiffness!$E$5,Element_Stiffness!X29,0)),IF(Element_Stiffness!$E$5=6,IF(7=Element_Stiffness!$C$5,Element_Stiffness!R35,IF(7=Element_Stiffness!$E$5,Element_Stiffness!X35,0)),0)),0)+IF(Element_Stiffness!$C$41,IF(Element_Stiffness!$C$40=6,IF(7=Element_Stiffness!$C$40,Element_Stiffness!R64,IF(7=Element_Stiffness!$E$40,Element_Stiffness!X64,0)),IF(Element_Stiffness!$E$40=6,IF(7=Element_Stiffness!$C$40,Element_Stiffness!R70,IF(7=Element_Stiffness!$E$40,Element_Stiffness!X70,0)),0)),0)+IF(Element_Stiffness!$C$76,IF(Element_Stiffness!$C$75=6,IF(7=Element_Stiffness!$C$75,Element_Stiffness!R99,IF(7=Element_Stiffness!$E$75,Element_Stiffness!X99,0)),IF(Element_Stiffness!$E$75=6,IF(7=Element_Stiffness!$C$75,Element_Stiffness!R105,IF(7=Element_Stiffness!$E$75,Element_Stiffness!X105,0)),0)),0)+IF(Element_Stiffness!$C$111,IF(Element_Stiffness!$C$110=6,IF(7=Element_Stiffness!$C$110,Element_Stiffness!R134,IF(7=Element_Stiffness!$E$110,Element_Stiffness!X134,0)),IF(Element_Stiffness!$E$110=6,IF(7=Element_Stiffness!$C$110,Element_Stiffness!R140,IF(7=Element_Stiffness!$E$110,Element_Stiffness!X140,0)),0)),0)+IF(Element_Stiffness!$C$146,IF(Element_Stiffness!$C$145=6,IF(7=Element_Stiffness!$C$145,Element_Stiffness!R169,IF(7=Element_Stiffness!$E$145,Element_Stiffness!X169,0)),IF(Element_Stiffness!$E$145=6,IF(7=Element_Stiffness!$C$145,Element_Stiffness!R175,IF(7=Element_Stiffness!$E$145,Element_Stiffness!X175,0)),0)),0)+IF(Element_Stiffness!$C$181,IF(Element_Stiffness!$C$180=6,IF(7=Element_Stiffness!$C$180,Element_Stiffness!R204,IF(7=Element_Stiffness!$E$180,Element_Stiffness!X204,0)),IF(Element_Stiffness!$E$180=6,IF(7=Element_Stiffness!$C$180,Element_Stiffness!R210,IF(7=Element_Stiffness!$E$180,Element_Stiffness!X210,0)),0)),0)+IF(Element_Stiffness!$C$216,IF(Element_Stiffness!$C$215=6,IF(7=Element_Stiffness!$C$215,Element_Stiffness!R239,IF(7=Element_Stiffness!$E$215,Element_Stiffness!X239,0)),IF(Element_Stiffness!$E$215=6,IF(7=Element_Stiffness!$C$215,Element_Stiffness!R245,IF(7=Element_Stiffness!$E$215,Element_Stiffness!X245,0)),0)),0)</f>
        <v/>
      </c>
      <c r="AV44" s="21">
        <f>IF(Element_Stiffness!$C$6,IF(Element_Stiffness!$C$5=6,IF(7=Element_Stiffness!$C$5,Element_Stiffness!S29,IF(7=Element_Stiffness!$E$5,Element_Stiffness!Y29,0)),IF(Element_Stiffness!$E$5=6,IF(7=Element_Stiffness!$C$5,Element_Stiffness!S35,IF(7=Element_Stiffness!$E$5,Element_Stiffness!Y35,0)),0)),0)+IF(Element_Stiffness!$C$41,IF(Element_Stiffness!$C$40=6,IF(7=Element_Stiffness!$C$40,Element_Stiffness!S64,IF(7=Element_Stiffness!$E$40,Element_Stiffness!Y64,0)),IF(Element_Stiffness!$E$40=6,IF(7=Element_Stiffness!$C$40,Element_Stiffness!S70,IF(7=Element_Stiffness!$E$40,Element_Stiffness!Y70,0)),0)),0)+IF(Element_Stiffness!$C$76,IF(Element_Stiffness!$C$75=6,IF(7=Element_Stiffness!$C$75,Element_Stiffness!S99,IF(7=Element_Stiffness!$E$75,Element_Stiffness!Y99,0)),IF(Element_Stiffness!$E$75=6,IF(7=Element_Stiffness!$C$75,Element_Stiffness!S105,IF(7=Element_Stiffness!$E$75,Element_Stiffness!Y105,0)),0)),0)+IF(Element_Stiffness!$C$111,IF(Element_Stiffness!$C$110=6,IF(7=Element_Stiffness!$C$110,Element_Stiffness!S134,IF(7=Element_Stiffness!$E$110,Element_Stiffness!Y134,0)),IF(Element_Stiffness!$E$110=6,IF(7=Element_Stiffness!$C$110,Element_Stiffness!S140,IF(7=Element_Stiffness!$E$110,Element_Stiffness!Y140,0)),0)),0)+IF(Element_Stiffness!$C$146,IF(Element_Stiffness!$C$145=6,IF(7=Element_Stiffness!$C$145,Element_Stiffness!S169,IF(7=Element_Stiffness!$E$145,Element_Stiffness!Y169,0)),IF(Element_Stiffness!$E$145=6,IF(7=Element_Stiffness!$C$145,Element_Stiffness!S175,IF(7=Element_Stiffness!$E$145,Element_Stiffness!Y175,0)),0)),0)+IF(Element_Stiffness!$C$181,IF(Element_Stiffness!$C$180=6,IF(7=Element_Stiffness!$C$180,Element_Stiffness!S204,IF(7=Element_Stiffness!$E$180,Element_Stiffness!Y204,0)),IF(Element_Stiffness!$E$180=6,IF(7=Element_Stiffness!$C$180,Element_Stiffness!S210,IF(7=Element_Stiffness!$E$180,Element_Stiffness!Y210,0)),0)),0)+IF(Element_Stiffness!$C$216,IF(Element_Stiffness!$C$215=6,IF(7=Element_Stiffness!$C$215,Element_Stiffness!S239,IF(7=Element_Stiffness!$E$215,Element_Stiffness!Y239,0)),IF(Element_Stiffness!$E$215=6,IF(7=Element_Stiffness!$C$215,Element_Stiffness!S245,IF(7=Element_Stiffness!$E$215,Element_Stiffness!Y245,0)),0)),0)</f>
        <v/>
      </c>
      <c r="AW44" s="21">
        <f>IF(Element_Stiffness!$C$6,IF(Element_Stiffness!$C$5=6,IF(7=Element_Stiffness!$C$5,Element_Stiffness!T29,IF(7=Element_Stiffness!$E$5,Element_Stiffness!Z29,0)),IF(Element_Stiffness!$E$5=6,IF(7=Element_Stiffness!$C$5,Element_Stiffness!T35,IF(7=Element_Stiffness!$E$5,Element_Stiffness!Z35,0)),0)),0)+IF(Element_Stiffness!$C$41,IF(Element_Stiffness!$C$40=6,IF(7=Element_Stiffness!$C$40,Element_Stiffness!T64,IF(7=Element_Stiffness!$E$40,Element_Stiffness!Z64,0)),IF(Element_Stiffness!$E$40=6,IF(7=Element_Stiffness!$C$40,Element_Stiffness!T70,IF(7=Element_Stiffness!$E$40,Element_Stiffness!Z70,0)),0)),0)+IF(Element_Stiffness!$C$76,IF(Element_Stiffness!$C$75=6,IF(7=Element_Stiffness!$C$75,Element_Stiffness!T99,IF(7=Element_Stiffness!$E$75,Element_Stiffness!Z99,0)),IF(Element_Stiffness!$E$75=6,IF(7=Element_Stiffness!$C$75,Element_Stiffness!T105,IF(7=Element_Stiffness!$E$75,Element_Stiffness!Z105,0)),0)),0)+IF(Element_Stiffness!$C$111,IF(Element_Stiffness!$C$110=6,IF(7=Element_Stiffness!$C$110,Element_Stiffness!T134,IF(7=Element_Stiffness!$E$110,Element_Stiffness!Z134,0)),IF(Element_Stiffness!$E$110=6,IF(7=Element_Stiffness!$C$110,Element_Stiffness!T140,IF(7=Element_Stiffness!$E$110,Element_Stiffness!Z140,0)),0)),0)+IF(Element_Stiffness!$C$146,IF(Element_Stiffness!$C$145=6,IF(7=Element_Stiffness!$C$145,Element_Stiffness!T169,IF(7=Element_Stiffness!$E$145,Element_Stiffness!Z169,0)),IF(Element_Stiffness!$E$145=6,IF(7=Element_Stiffness!$C$145,Element_Stiffness!T175,IF(7=Element_Stiffness!$E$145,Element_Stiffness!Z175,0)),0)),0)+IF(Element_Stiffness!$C$181,IF(Element_Stiffness!$C$180=6,IF(7=Element_Stiffness!$C$180,Element_Stiffness!T204,IF(7=Element_Stiffness!$E$180,Element_Stiffness!Z204,0)),IF(Element_Stiffness!$E$180=6,IF(7=Element_Stiffness!$C$180,Element_Stiffness!T210,IF(7=Element_Stiffness!$E$180,Element_Stiffness!Z210,0)),0)),0)+IF(Element_Stiffness!$C$216,IF(Element_Stiffness!$C$215=6,IF(7=Element_Stiffness!$C$215,Element_Stiffness!T239,IF(7=Element_Stiffness!$E$215,Element_Stiffness!Z239,0)),IF(Element_Stiffness!$E$215=6,IF(7=Element_Stiffness!$C$215,Element_Stiffness!T245,IF(7=Element_Stiffness!$E$215,Element_Stiffness!Z245,0)),0)),0)</f>
        <v/>
      </c>
      <c r="AX44" s="21">
        <f>IF(Element_Stiffness!$C$6,IF(Element_Stiffness!$C$5=6,IF(7=Element_Stiffness!$C$5,Element_Stiffness!U29,IF(7=Element_Stiffness!$E$5,Element_Stiffness!AA29,0)),IF(Element_Stiffness!$E$5=6,IF(7=Element_Stiffness!$C$5,Element_Stiffness!U35,IF(7=Element_Stiffness!$E$5,Element_Stiffness!AA35,0)),0)),0)+IF(Element_Stiffness!$C$41,IF(Element_Stiffness!$C$40=6,IF(7=Element_Stiffness!$C$40,Element_Stiffness!U64,IF(7=Element_Stiffness!$E$40,Element_Stiffness!AA64,0)),IF(Element_Stiffness!$E$40=6,IF(7=Element_Stiffness!$C$40,Element_Stiffness!U70,IF(7=Element_Stiffness!$E$40,Element_Stiffness!AA70,0)),0)),0)+IF(Element_Stiffness!$C$76,IF(Element_Stiffness!$C$75=6,IF(7=Element_Stiffness!$C$75,Element_Stiffness!U99,IF(7=Element_Stiffness!$E$75,Element_Stiffness!AA99,0)),IF(Element_Stiffness!$E$75=6,IF(7=Element_Stiffness!$C$75,Element_Stiffness!U105,IF(7=Element_Stiffness!$E$75,Element_Stiffness!AA105,0)),0)),0)+IF(Element_Stiffness!$C$111,IF(Element_Stiffness!$C$110=6,IF(7=Element_Stiffness!$C$110,Element_Stiffness!U134,IF(7=Element_Stiffness!$E$110,Element_Stiffness!AA134,0)),IF(Element_Stiffness!$E$110=6,IF(7=Element_Stiffness!$C$110,Element_Stiffness!U140,IF(7=Element_Stiffness!$E$110,Element_Stiffness!AA140,0)),0)),0)+IF(Element_Stiffness!$C$146,IF(Element_Stiffness!$C$145=6,IF(7=Element_Stiffness!$C$145,Element_Stiffness!U169,IF(7=Element_Stiffness!$E$145,Element_Stiffness!AA169,0)),IF(Element_Stiffness!$E$145=6,IF(7=Element_Stiffness!$C$145,Element_Stiffness!U175,IF(7=Element_Stiffness!$E$145,Element_Stiffness!AA175,0)),0)),0)+IF(Element_Stiffness!$C$181,IF(Element_Stiffness!$C$180=6,IF(7=Element_Stiffness!$C$180,Element_Stiffness!U204,IF(7=Element_Stiffness!$E$180,Element_Stiffness!AA204,0)),IF(Element_Stiffness!$E$180=6,IF(7=Element_Stiffness!$C$180,Element_Stiffness!U210,IF(7=Element_Stiffness!$E$180,Element_Stiffness!AA210,0)),0)),0)+IF(Element_Stiffness!$C$216,IF(Element_Stiffness!$C$215=6,IF(7=Element_Stiffness!$C$215,Element_Stiffness!U239,IF(7=Element_Stiffness!$E$215,Element_Stiffness!AA239,0)),IF(Element_Stiffness!$E$215=6,IF(7=Element_Stiffness!$C$215,Element_Stiffness!U245,IF(7=Element_Stiffness!$E$215,Element_Stiffness!AA245,0)),0)),0)</f>
        <v/>
      </c>
      <c r="AY44" s="21" t="n">
        <v>0</v>
      </c>
      <c r="AZ44" s="21">
        <f>IF(Element_Stiffness!$C$6,IF(Element_Stiffness!$C$5=6,Element_Stiffness!C29,IF(Element_Stiffness!$E$5=6,Element_Stiffness!C35,0)),0)+IF(Element_Stiffness!$C$41,IF(Element_Stiffness!$C$40=6,Element_Stiffness!C64,IF(Element_Stiffness!$E$40=6,Element_Stiffness!C70,0)),0)+IF(Element_Stiffness!$C$76,IF(Element_Stiffness!$C$75=6,Element_Stiffness!C99,IF(Element_Stiffness!$E$75=6,Element_Stiffness!C105,0)),0)+IF(Element_Stiffness!$C$111,IF(Element_Stiffness!$C$110=6,Element_Stiffness!C134,IF(Element_Stiffness!$E$110=6,Element_Stiffness!C140,0)),0)+IF(Element_Stiffness!$C$146,IF(Element_Stiffness!$C$145=6,Element_Stiffness!C169,IF(Element_Stiffness!$E$145=6,Element_Stiffness!C175,0)),0)+IF(Element_Stiffness!$C$181,IF(Element_Stiffness!$C$180=6,Element_Stiffness!C204,IF(Element_Stiffness!$E$180=6,Element_Stiffness!C210,0)),0)+IF(Element_Stiffness!$C$216,IF(Element_Stiffness!$C$215=6,Element_Stiffness!C239,IF(Element_Stiffness!$E$215=6,Element_Stiffness!C245,0)),0)</f>
        <v/>
      </c>
      <c r="BB44" s="28">
        <f>INDEX(MMULT(MINVERSE(C5:AX52), AY5:AY52), 40, 1)</f>
        <v/>
      </c>
      <c r="BC44" s="28">
        <f>INDEX(MMULT(MINVERSE(C5:AX52), AZ5:AZ52), 40, 1)</f>
        <v/>
      </c>
    </row>
    <row r="45">
      <c r="B45" s="27" t="inlineStr">
        <is>
          <t>N6_ry</t>
        </is>
      </c>
      <c r="C45" s="21">
        <f>IF(Element_Stiffness!$C$6,IF(Element_Stiffness!$C$5=6,IF(0=Element_Stiffness!$C$5,Element_Stiffness!P30,IF(0=Element_Stiffness!$E$5,Element_Stiffness!V30,0)),IF(Element_Stiffness!$E$5=6,IF(0=Element_Stiffness!$C$5,Element_Stiffness!P36,IF(0=Element_Stiffness!$E$5,Element_Stiffness!V36,0)),0)),0)+IF(Element_Stiffness!$C$41,IF(Element_Stiffness!$C$40=6,IF(0=Element_Stiffness!$C$40,Element_Stiffness!P65,IF(0=Element_Stiffness!$E$40,Element_Stiffness!V65,0)),IF(Element_Stiffness!$E$40=6,IF(0=Element_Stiffness!$C$40,Element_Stiffness!P71,IF(0=Element_Stiffness!$E$40,Element_Stiffness!V71,0)),0)),0)+IF(Element_Stiffness!$C$76,IF(Element_Stiffness!$C$75=6,IF(0=Element_Stiffness!$C$75,Element_Stiffness!P100,IF(0=Element_Stiffness!$E$75,Element_Stiffness!V100,0)),IF(Element_Stiffness!$E$75=6,IF(0=Element_Stiffness!$C$75,Element_Stiffness!P106,IF(0=Element_Stiffness!$E$75,Element_Stiffness!V106,0)),0)),0)+IF(Element_Stiffness!$C$111,IF(Element_Stiffness!$C$110=6,IF(0=Element_Stiffness!$C$110,Element_Stiffness!P135,IF(0=Element_Stiffness!$E$110,Element_Stiffness!V135,0)),IF(Element_Stiffness!$E$110=6,IF(0=Element_Stiffness!$C$110,Element_Stiffness!P141,IF(0=Element_Stiffness!$E$110,Element_Stiffness!V141,0)),0)),0)+IF(Element_Stiffness!$C$146,IF(Element_Stiffness!$C$145=6,IF(0=Element_Stiffness!$C$145,Element_Stiffness!P170,IF(0=Element_Stiffness!$E$145,Element_Stiffness!V170,0)),IF(Element_Stiffness!$E$145=6,IF(0=Element_Stiffness!$C$145,Element_Stiffness!P176,IF(0=Element_Stiffness!$E$145,Element_Stiffness!V176,0)),0)),0)+IF(Element_Stiffness!$C$181,IF(Element_Stiffness!$C$180=6,IF(0=Element_Stiffness!$C$180,Element_Stiffness!P205,IF(0=Element_Stiffness!$E$180,Element_Stiffness!V205,0)),IF(Element_Stiffness!$E$180=6,IF(0=Element_Stiffness!$C$180,Element_Stiffness!P211,IF(0=Element_Stiffness!$E$180,Element_Stiffness!V211,0)),0)),0)+IF(Element_Stiffness!$C$216,IF(Element_Stiffness!$C$215=6,IF(0=Element_Stiffness!$C$215,Element_Stiffness!P240,IF(0=Element_Stiffness!$E$215,Element_Stiffness!V240,0)),IF(Element_Stiffness!$E$215=6,IF(0=Element_Stiffness!$C$215,Element_Stiffness!P246,IF(0=Element_Stiffness!$E$215,Element_Stiffness!V246,0)),0)),0)</f>
        <v/>
      </c>
      <c r="D45" s="21">
        <f>IF(Element_Stiffness!$C$6,IF(Element_Stiffness!$C$5=6,IF(0=Element_Stiffness!$C$5,Element_Stiffness!Q30,IF(0=Element_Stiffness!$E$5,Element_Stiffness!W30,0)),IF(Element_Stiffness!$E$5=6,IF(0=Element_Stiffness!$C$5,Element_Stiffness!Q36,IF(0=Element_Stiffness!$E$5,Element_Stiffness!W36,0)),0)),0)+IF(Element_Stiffness!$C$41,IF(Element_Stiffness!$C$40=6,IF(0=Element_Stiffness!$C$40,Element_Stiffness!Q65,IF(0=Element_Stiffness!$E$40,Element_Stiffness!W65,0)),IF(Element_Stiffness!$E$40=6,IF(0=Element_Stiffness!$C$40,Element_Stiffness!Q71,IF(0=Element_Stiffness!$E$40,Element_Stiffness!W71,0)),0)),0)+IF(Element_Stiffness!$C$76,IF(Element_Stiffness!$C$75=6,IF(0=Element_Stiffness!$C$75,Element_Stiffness!Q100,IF(0=Element_Stiffness!$E$75,Element_Stiffness!W100,0)),IF(Element_Stiffness!$E$75=6,IF(0=Element_Stiffness!$C$75,Element_Stiffness!Q106,IF(0=Element_Stiffness!$E$75,Element_Stiffness!W106,0)),0)),0)+IF(Element_Stiffness!$C$111,IF(Element_Stiffness!$C$110=6,IF(0=Element_Stiffness!$C$110,Element_Stiffness!Q135,IF(0=Element_Stiffness!$E$110,Element_Stiffness!W135,0)),IF(Element_Stiffness!$E$110=6,IF(0=Element_Stiffness!$C$110,Element_Stiffness!Q141,IF(0=Element_Stiffness!$E$110,Element_Stiffness!W141,0)),0)),0)+IF(Element_Stiffness!$C$146,IF(Element_Stiffness!$C$145=6,IF(0=Element_Stiffness!$C$145,Element_Stiffness!Q170,IF(0=Element_Stiffness!$E$145,Element_Stiffness!W170,0)),IF(Element_Stiffness!$E$145=6,IF(0=Element_Stiffness!$C$145,Element_Stiffness!Q176,IF(0=Element_Stiffness!$E$145,Element_Stiffness!W176,0)),0)),0)+IF(Element_Stiffness!$C$181,IF(Element_Stiffness!$C$180=6,IF(0=Element_Stiffness!$C$180,Element_Stiffness!Q205,IF(0=Element_Stiffness!$E$180,Element_Stiffness!W205,0)),IF(Element_Stiffness!$E$180=6,IF(0=Element_Stiffness!$C$180,Element_Stiffness!Q211,IF(0=Element_Stiffness!$E$180,Element_Stiffness!W211,0)),0)),0)+IF(Element_Stiffness!$C$216,IF(Element_Stiffness!$C$215=6,IF(0=Element_Stiffness!$C$215,Element_Stiffness!Q240,IF(0=Element_Stiffness!$E$215,Element_Stiffness!W240,0)),IF(Element_Stiffness!$E$215=6,IF(0=Element_Stiffness!$C$215,Element_Stiffness!Q246,IF(0=Element_Stiffness!$E$215,Element_Stiffness!W246,0)),0)),0)</f>
        <v/>
      </c>
      <c r="E45" s="21">
        <f>IF(Element_Stiffness!$C$6,IF(Element_Stiffness!$C$5=6,IF(0=Element_Stiffness!$C$5,Element_Stiffness!R30,IF(0=Element_Stiffness!$E$5,Element_Stiffness!X30,0)),IF(Element_Stiffness!$E$5=6,IF(0=Element_Stiffness!$C$5,Element_Stiffness!R36,IF(0=Element_Stiffness!$E$5,Element_Stiffness!X36,0)),0)),0)+IF(Element_Stiffness!$C$41,IF(Element_Stiffness!$C$40=6,IF(0=Element_Stiffness!$C$40,Element_Stiffness!R65,IF(0=Element_Stiffness!$E$40,Element_Stiffness!X65,0)),IF(Element_Stiffness!$E$40=6,IF(0=Element_Stiffness!$C$40,Element_Stiffness!R71,IF(0=Element_Stiffness!$E$40,Element_Stiffness!X71,0)),0)),0)+IF(Element_Stiffness!$C$76,IF(Element_Stiffness!$C$75=6,IF(0=Element_Stiffness!$C$75,Element_Stiffness!R100,IF(0=Element_Stiffness!$E$75,Element_Stiffness!X100,0)),IF(Element_Stiffness!$E$75=6,IF(0=Element_Stiffness!$C$75,Element_Stiffness!R106,IF(0=Element_Stiffness!$E$75,Element_Stiffness!X106,0)),0)),0)+IF(Element_Stiffness!$C$111,IF(Element_Stiffness!$C$110=6,IF(0=Element_Stiffness!$C$110,Element_Stiffness!R135,IF(0=Element_Stiffness!$E$110,Element_Stiffness!X135,0)),IF(Element_Stiffness!$E$110=6,IF(0=Element_Stiffness!$C$110,Element_Stiffness!R141,IF(0=Element_Stiffness!$E$110,Element_Stiffness!X141,0)),0)),0)+IF(Element_Stiffness!$C$146,IF(Element_Stiffness!$C$145=6,IF(0=Element_Stiffness!$C$145,Element_Stiffness!R170,IF(0=Element_Stiffness!$E$145,Element_Stiffness!X170,0)),IF(Element_Stiffness!$E$145=6,IF(0=Element_Stiffness!$C$145,Element_Stiffness!R176,IF(0=Element_Stiffness!$E$145,Element_Stiffness!X176,0)),0)),0)+IF(Element_Stiffness!$C$181,IF(Element_Stiffness!$C$180=6,IF(0=Element_Stiffness!$C$180,Element_Stiffness!R205,IF(0=Element_Stiffness!$E$180,Element_Stiffness!X205,0)),IF(Element_Stiffness!$E$180=6,IF(0=Element_Stiffness!$C$180,Element_Stiffness!R211,IF(0=Element_Stiffness!$E$180,Element_Stiffness!X211,0)),0)),0)+IF(Element_Stiffness!$C$216,IF(Element_Stiffness!$C$215=6,IF(0=Element_Stiffness!$C$215,Element_Stiffness!R240,IF(0=Element_Stiffness!$E$215,Element_Stiffness!X240,0)),IF(Element_Stiffness!$E$215=6,IF(0=Element_Stiffness!$C$215,Element_Stiffness!R246,IF(0=Element_Stiffness!$E$215,Element_Stiffness!X246,0)),0)),0)</f>
        <v/>
      </c>
      <c r="F45" s="21">
        <f>IF(Element_Stiffness!$C$6,IF(Element_Stiffness!$C$5=6,IF(0=Element_Stiffness!$C$5,Element_Stiffness!S30,IF(0=Element_Stiffness!$E$5,Element_Stiffness!Y30,0)),IF(Element_Stiffness!$E$5=6,IF(0=Element_Stiffness!$C$5,Element_Stiffness!S36,IF(0=Element_Stiffness!$E$5,Element_Stiffness!Y36,0)),0)),0)+IF(Element_Stiffness!$C$41,IF(Element_Stiffness!$C$40=6,IF(0=Element_Stiffness!$C$40,Element_Stiffness!S65,IF(0=Element_Stiffness!$E$40,Element_Stiffness!Y65,0)),IF(Element_Stiffness!$E$40=6,IF(0=Element_Stiffness!$C$40,Element_Stiffness!S71,IF(0=Element_Stiffness!$E$40,Element_Stiffness!Y71,0)),0)),0)+IF(Element_Stiffness!$C$76,IF(Element_Stiffness!$C$75=6,IF(0=Element_Stiffness!$C$75,Element_Stiffness!S100,IF(0=Element_Stiffness!$E$75,Element_Stiffness!Y100,0)),IF(Element_Stiffness!$E$75=6,IF(0=Element_Stiffness!$C$75,Element_Stiffness!S106,IF(0=Element_Stiffness!$E$75,Element_Stiffness!Y106,0)),0)),0)+IF(Element_Stiffness!$C$111,IF(Element_Stiffness!$C$110=6,IF(0=Element_Stiffness!$C$110,Element_Stiffness!S135,IF(0=Element_Stiffness!$E$110,Element_Stiffness!Y135,0)),IF(Element_Stiffness!$E$110=6,IF(0=Element_Stiffness!$C$110,Element_Stiffness!S141,IF(0=Element_Stiffness!$E$110,Element_Stiffness!Y141,0)),0)),0)+IF(Element_Stiffness!$C$146,IF(Element_Stiffness!$C$145=6,IF(0=Element_Stiffness!$C$145,Element_Stiffness!S170,IF(0=Element_Stiffness!$E$145,Element_Stiffness!Y170,0)),IF(Element_Stiffness!$E$145=6,IF(0=Element_Stiffness!$C$145,Element_Stiffness!S176,IF(0=Element_Stiffness!$E$145,Element_Stiffness!Y176,0)),0)),0)+IF(Element_Stiffness!$C$181,IF(Element_Stiffness!$C$180=6,IF(0=Element_Stiffness!$C$180,Element_Stiffness!S205,IF(0=Element_Stiffness!$E$180,Element_Stiffness!Y205,0)),IF(Element_Stiffness!$E$180=6,IF(0=Element_Stiffness!$C$180,Element_Stiffness!S211,IF(0=Element_Stiffness!$E$180,Element_Stiffness!Y211,0)),0)),0)+IF(Element_Stiffness!$C$216,IF(Element_Stiffness!$C$215=6,IF(0=Element_Stiffness!$C$215,Element_Stiffness!S240,IF(0=Element_Stiffness!$E$215,Element_Stiffness!Y240,0)),IF(Element_Stiffness!$E$215=6,IF(0=Element_Stiffness!$C$215,Element_Stiffness!S246,IF(0=Element_Stiffness!$E$215,Element_Stiffness!Y246,0)),0)),0)</f>
        <v/>
      </c>
      <c r="G45" s="21">
        <f>IF(Element_Stiffness!$C$6,IF(Element_Stiffness!$C$5=6,IF(0=Element_Stiffness!$C$5,Element_Stiffness!T30,IF(0=Element_Stiffness!$E$5,Element_Stiffness!Z30,0)),IF(Element_Stiffness!$E$5=6,IF(0=Element_Stiffness!$C$5,Element_Stiffness!T36,IF(0=Element_Stiffness!$E$5,Element_Stiffness!Z36,0)),0)),0)+IF(Element_Stiffness!$C$41,IF(Element_Stiffness!$C$40=6,IF(0=Element_Stiffness!$C$40,Element_Stiffness!T65,IF(0=Element_Stiffness!$E$40,Element_Stiffness!Z65,0)),IF(Element_Stiffness!$E$40=6,IF(0=Element_Stiffness!$C$40,Element_Stiffness!T71,IF(0=Element_Stiffness!$E$40,Element_Stiffness!Z71,0)),0)),0)+IF(Element_Stiffness!$C$76,IF(Element_Stiffness!$C$75=6,IF(0=Element_Stiffness!$C$75,Element_Stiffness!T100,IF(0=Element_Stiffness!$E$75,Element_Stiffness!Z100,0)),IF(Element_Stiffness!$E$75=6,IF(0=Element_Stiffness!$C$75,Element_Stiffness!T106,IF(0=Element_Stiffness!$E$75,Element_Stiffness!Z106,0)),0)),0)+IF(Element_Stiffness!$C$111,IF(Element_Stiffness!$C$110=6,IF(0=Element_Stiffness!$C$110,Element_Stiffness!T135,IF(0=Element_Stiffness!$E$110,Element_Stiffness!Z135,0)),IF(Element_Stiffness!$E$110=6,IF(0=Element_Stiffness!$C$110,Element_Stiffness!T141,IF(0=Element_Stiffness!$E$110,Element_Stiffness!Z141,0)),0)),0)+IF(Element_Stiffness!$C$146,IF(Element_Stiffness!$C$145=6,IF(0=Element_Stiffness!$C$145,Element_Stiffness!T170,IF(0=Element_Stiffness!$E$145,Element_Stiffness!Z170,0)),IF(Element_Stiffness!$E$145=6,IF(0=Element_Stiffness!$C$145,Element_Stiffness!T176,IF(0=Element_Stiffness!$E$145,Element_Stiffness!Z176,0)),0)),0)+IF(Element_Stiffness!$C$181,IF(Element_Stiffness!$C$180=6,IF(0=Element_Stiffness!$C$180,Element_Stiffness!T205,IF(0=Element_Stiffness!$E$180,Element_Stiffness!Z205,0)),IF(Element_Stiffness!$E$180=6,IF(0=Element_Stiffness!$C$180,Element_Stiffness!T211,IF(0=Element_Stiffness!$E$180,Element_Stiffness!Z211,0)),0)),0)+IF(Element_Stiffness!$C$216,IF(Element_Stiffness!$C$215=6,IF(0=Element_Stiffness!$C$215,Element_Stiffness!T240,IF(0=Element_Stiffness!$E$215,Element_Stiffness!Z240,0)),IF(Element_Stiffness!$E$215=6,IF(0=Element_Stiffness!$C$215,Element_Stiffness!T246,IF(0=Element_Stiffness!$E$215,Element_Stiffness!Z246,0)),0)),0)</f>
        <v/>
      </c>
      <c r="H45" s="21">
        <f>IF(Element_Stiffness!$C$6,IF(Element_Stiffness!$C$5=6,IF(0=Element_Stiffness!$C$5,Element_Stiffness!U30,IF(0=Element_Stiffness!$E$5,Element_Stiffness!AA30,0)),IF(Element_Stiffness!$E$5=6,IF(0=Element_Stiffness!$C$5,Element_Stiffness!U36,IF(0=Element_Stiffness!$E$5,Element_Stiffness!AA36,0)),0)),0)+IF(Element_Stiffness!$C$41,IF(Element_Stiffness!$C$40=6,IF(0=Element_Stiffness!$C$40,Element_Stiffness!U65,IF(0=Element_Stiffness!$E$40,Element_Stiffness!AA65,0)),IF(Element_Stiffness!$E$40=6,IF(0=Element_Stiffness!$C$40,Element_Stiffness!U71,IF(0=Element_Stiffness!$E$40,Element_Stiffness!AA71,0)),0)),0)+IF(Element_Stiffness!$C$76,IF(Element_Stiffness!$C$75=6,IF(0=Element_Stiffness!$C$75,Element_Stiffness!U100,IF(0=Element_Stiffness!$E$75,Element_Stiffness!AA100,0)),IF(Element_Stiffness!$E$75=6,IF(0=Element_Stiffness!$C$75,Element_Stiffness!U106,IF(0=Element_Stiffness!$E$75,Element_Stiffness!AA106,0)),0)),0)+IF(Element_Stiffness!$C$111,IF(Element_Stiffness!$C$110=6,IF(0=Element_Stiffness!$C$110,Element_Stiffness!U135,IF(0=Element_Stiffness!$E$110,Element_Stiffness!AA135,0)),IF(Element_Stiffness!$E$110=6,IF(0=Element_Stiffness!$C$110,Element_Stiffness!U141,IF(0=Element_Stiffness!$E$110,Element_Stiffness!AA141,0)),0)),0)+IF(Element_Stiffness!$C$146,IF(Element_Stiffness!$C$145=6,IF(0=Element_Stiffness!$C$145,Element_Stiffness!U170,IF(0=Element_Stiffness!$E$145,Element_Stiffness!AA170,0)),IF(Element_Stiffness!$E$145=6,IF(0=Element_Stiffness!$C$145,Element_Stiffness!U176,IF(0=Element_Stiffness!$E$145,Element_Stiffness!AA176,0)),0)),0)+IF(Element_Stiffness!$C$181,IF(Element_Stiffness!$C$180=6,IF(0=Element_Stiffness!$C$180,Element_Stiffness!U205,IF(0=Element_Stiffness!$E$180,Element_Stiffness!AA205,0)),IF(Element_Stiffness!$E$180=6,IF(0=Element_Stiffness!$C$180,Element_Stiffness!U211,IF(0=Element_Stiffness!$E$180,Element_Stiffness!AA211,0)),0)),0)+IF(Element_Stiffness!$C$216,IF(Element_Stiffness!$C$215=6,IF(0=Element_Stiffness!$C$215,Element_Stiffness!U240,IF(0=Element_Stiffness!$E$215,Element_Stiffness!AA240,0)),IF(Element_Stiffness!$E$215=6,IF(0=Element_Stiffness!$C$215,Element_Stiffness!U246,IF(0=Element_Stiffness!$E$215,Element_Stiffness!AA246,0)),0)),0)</f>
        <v/>
      </c>
      <c r="I45" s="21">
        <f>IF(Element_Stiffness!$C$6,IF(Element_Stiffness!$C$5=6,IF(1=Element_Stiffness!$C$5,Element_Stiffness!P30,IF(1=Element_Stiffness!$E$5,Element_Stiffness!V30,0)),IF(Element_Stiffness!$E$5=6,IF(1=Element_Stiffness!$C$5,Element_Stiffness!P36,IF(1=Element_Stiffness!$E$5,Element_Stiffness!V36,0)),0)),0)+IF(Element_Stiffness!$C$41,IF(Element_Stiffness!$C$40=6,IF(1=Element_Stiffness!$C$40,Element_Stiffness!P65,IF(1=Element_Stiffness!$E$40,Element_Stiffness!V65,0)),IF(Element_Stiffness!$E$40=6,IF(1=Element_Stiffness!$C$40,Element_Stiffness!P71,IF(1=Element_Stiffness!$E$40,Element_Stiffness!V71,0)),0)),0)+IF(Element_Stiffness!$C$76,IF(Element_Stiffness!$C$75=6,IF(1=Element_Stiffness!$C$75,Element_Stiffness!P100,IF(1=Element_Stiffness!$E$75,Element_Stiffness!V100,0)),IF(Element_Stiffness!$E$75=6,IF(1=Element_Stiffness!$C$75,Element_Stiffness!P106,IF(1=Element_Stiffness!$E$75,Element_Stiffness!V106,0)),0)),0)+IF(Element_Stiffness!$C$111,IF(Element_Stiffness!$C$110=6,IF(1=Element_Stiffness!$C$110,Element_Stiffness!P135,IF(1=Element_Stiffness!$E$110,Element_Stiffness!V135,0)),IF(Element_Stiffness!$E$110=6,IF(1=Element_Stiffness!$C$110,Element_Stiffness!P141,IF(1=Element_Stiffness!$E$110,Element_Stiffness!V141,0)),0)),0)+IF(Element_Stiffness!$C$146,IF(Element_Stiffness!$C$145=6,IF(1=Element_Stiffness!$C$145,Element_Stiffness!P170,IF(1=Element_Stiffness!$E$145,Element_Stiffness!V170,0)),IF(Element_Stiffness!$E$145=6,IF(1=Element_Stiffness!$C$145,Element_Stiffness!P176,IF(1=Element_Stiffness!$E$145,Element_Stiffness!V176,0)),0)),0)+IF(Element_Stiffness!$C$181,IF(Element_Stiffness!$C$180=6,IF(1=Element_Stiffness!$C$180,Element_Stiffness!P205,IF(1=Element_Stiffness!$E$180,Element_Stiffness!V205,0)),IF(Element_Stiffness!$E$180=6,IF(1=Element_Stiffness!$C$180,Element_Stiffness!P211,IF(1=Element_Stiffness!$E$180,Element_Stiffness!V211,0)),0)),0)+IF(Element_Stiffness!$C$216,IF(Element_Stiffness!$C$215=6,IF(1=Element_Stiffness!$C$215,Element_Stiffness!P240,IF(1=Element_Stiffness!$E$215,Element_Stiffness!V240,0)),IF(Element_Stiffness!$E$215=6,IF(1=Element_Stiffness!$C$215,Element_Stiffness!P246,IF(1=Element_Stiffness!$E$215,Element_Stiffness!V246,0)),0)),0)</f>
        <v/>
      </c>
      <c r="J45" s="21">
        <f>IF(Element_Stiffness!$C$6,IF(Element_Stiffness!$C$5=6,IF(1=Element_Stiffness!$C$5,Element_Stiffness!Q30,IF(1=Element_Stiffness!$E$5,Element_Stiffness!W30,0)),IF(Element_Stiffness!$E$5=6,IF(1=Element_Stiffness!$C$5,Element_Stiffness!Q36,IF(1=Element_Stiffness!$E$5,Element_Stiffness!W36,0)),0)),0)+IF(Element_Stiffness!$C$41,IF(Element_Stiffness!$C$40=6,IF(1=Element_Stiffness!$C$40,Element_Stiffness!Q65,IF(1=Element_Stiffness!$E$40,Element_Stiffness!W65,0)),IF(Element_Stiffness!$E$40=6,IF(1=Element_Stiffness!$C$40,Element_Stiffness!Q71,IF(1=Element_Stiffness!$E$40,Element_Stiffness!W71,0)),0)),0)+IF(Element_Stiffness!$C$76,IF(Element_Stiffness!$C$75=6,IF(1=Element_Stiffness!$C$75,Element_Stiffness!Q100,IF(1=Element_Stiffness!$E$75,Element_Stiffness!W100,0)),IF(Element_Stiffness!$E$75=6,IF(1=Element_Stiffness!$C$75,Element_Stiffness!Q106,IF(1=Element_Stiffness!$E$75,Element_Stiffness!W106,0)),0)),0)+IF(Element_Stiffness!$C$111,IF(Element_Stiffness!$C$110=6,IF(1=Element_Stiffness!$C$110,Element_Stiffness!Q135,IF(1=Element_Stiffness!$E$110,Element_Stiffness!W135,0)),IF(Element_Stiffness!$E$110=6,IF(1=Element_Stiffness!$C$110,Element_Stiffness!Q141,IF(1=Element_Stiffness!$E$110,Element_Stiffness!W141,0)),0)),0)+IF(Element_Stiffness!$C$146,IF(Element_Stiffness!$C$145=6,IF(1=Element_Stiffness!$C$145,Element_Stiffness!Q170,IF(1=Element_Stiffness!$E$145,Element_Stiffness!W170,0)),IF(Element_Stiffness!$E$145=6,IF(1=Element_Stiffness!$C$145,Element_Stiffness!Q176,IF(1=Element_Stiffness!$E$145,Element_Stiffness!W176,0)),0)),0)+IF(Element_Stiffness!$C$181,IF(Element_Stiffness!$C$180=6,IF(1=Element_Stiffness!$C$180,Element_Stiffness!Q205,IF(1=Element_Stiffness!$E$180,Element_Stiffness!W205,0)),IF(Element_Stiffness!$E$180=6,IF(1=Element_Stiffness!$C$180,Element_Stiffness!Q211,IF(1=Element_Stiffness!$E$180,Element_Stiffness!W211,0)),0)),0)+IF(Element_Stiffness!$C$216,IF(Element_Stiffness!$C$215=6,IF(1=Element_Stiffness!$C$215,Element_Stiffness!Q240,IF(1=Element_Stiffness!$E$215,Element_Stiffness!W240,0)),IF(Element_Stiffness!$E$215=6,IF(1=Element_Stiffness!$C$215,Element_Stiffness!Q246,IF(1=Element_Stiffness!$E$215,Element_Stiffness!W246,0)),0)),0)</f>
        <v/>
      </c>
      <c r="K45" s="21">
        <f>IF(Element_Stiffness!$C$6,IF(Element_Stiffness!$C$5=6,IF(1=Element_Stiffness!$C$5,Element_Stiffness!R30,IF(1=Element_Stiffness!$E$5,Element_Stiffness!X30,0)),IF(Element_Stiffness!$E$5=6,IF(1=Element_Stiffness!$C$5,Element_Stiffness!R36,IF(1=Element_Stiffness!$E$5,Element_Stiffness!X36,0)),0)),0)+IF(Element_Stiffness!$C$41,IF(Element_Stiffness!$C$40=6,IF(1=Element_Stiffness!$C$40,Element_Stiffness!R65,IF(1=Element_Stiffness!$E$40,Element_Stiffness!X65,0)),IF(Element_Stiffness!$E$40=6,IF(1=Element_Stiffness!$C$40,Element_Stiffness!R71,IF(1=Element_Stiffness!$E$40,Element_Stiffness!X71,0)),0)),0)+IF(Element_Stiffness!$C$76,IF(Element_Stiffness!$C$75=6,IF(1=Element_Stiffness!$C$75,Element_Stiffness!R100,IF(1=Element_Stiffness!$E$75,Element_Stiffness!X100,0)),IF(Element_Stiffness!$E$75=6,IF(1=Element_Stiffness!$C$75,Element_Stiffness!R106,IF(1=Element_Stiffness!$E$75,Element_Stiffness!X106,0)),0)),0)+IF(Element_Stiffness!$C$111,IF(Element_Stiffness!$C$110=6,IF(1=Element_Stiffness!$C$110,Element_Stiffness!R135,IF(1=Element_Stiffness!$E$110,Element_Stiffness!X135,0)),IF(Element_Stiffness!$E$110=6,IF(1=Element_Stiffness!$C$110,Element_Stiffness!R141,IF(1=Element_Stiffness!$E$110,Element_Stiffness!X141,0)),0)),0)+IF(Element_Stiffness!$C$146,IF(Element_Stiffness!$C$145=6,IF(1=Element_Stiffness!$C$145,Element_Stiffness!R170,IF(1=Element_Stiffness!$E$145,Element_Stiffness!X170,0)),IF(Element_Stiffness!$E$145=6,IF(1=Element_Stiffness!$C$145,Element_Stiffness!R176,IF(1=Element_Stiffness!$E$145,Element_Stiffness!X176,0)),0)),0)+IF(Element_Stiffness!$C$181,IF(Element_Stiffness!$C$180=6,IF(1=Element_Stiffness!$C$180,Element_Stiffness!R205,IF(1=Element_Stiffness!$E$180,Element_Stiffness!X205,0)),IF(Element_Stiffness!$E$180=6,IF(1=Element_Stiffness!$C$180,Element_Stiffness!R211,IF(1=Element_Stiffness!$E$180,Element_Stiffness!X211,0)),0)),0)+IF(Element_Stiffness!$C$216,IF(Element_Stiffness!$C$215=6,IF(1=Element_Stiffness!$C$215,Element_Stiffness!R240,IF(1=Element_Stiffness!$E$215,Element_Stiffness!X240,0)),IF(Element_Stiffness!$E$215=6,IF(1=Element_Stiffness!$C$215,Element_Stiffness!R246,IF(1=Element_Stiffness!$E$215,Element_Stiffness!X246,0)),0)),0)</f>
        <v/>
      </c>
      <c r="L45" s="21">
        <f>IF(Element_Stiffness!$C$6,IF(Element_Stiffness!$C$5=6,IF(1=Element_Stiffness!$C$5,Element_Stiffness!S30,IF(1=Element_Stiffness!$E$5,Element_Stiffness!Y30,0)),IF(Element_Stiffness!$E$5=6,IF(1=Element_Stiffness!$C$5,Element_Stiffness!S36,IF(1=Element_Stiffness!$E$5,Element_Stiffness!Y36,0)),0)),0)+IF(Element_Stiffness!$C$41,IF(Element_Stiffness!$C$40=6,IF(1=Element_Stiffness!$C$40,Element_Stiffness!S65,IF(1=Element_Stiffness!$E$40,Element_Stiffness!Y65,0)),IF(Element_Stiffness!$E$40=6,IF(1=Element_Stiffness!$C$40,Element_Stiffness!S71,IF(1=Element_Stiffness!$E$40,Element_Stiffness!Y71,0)),0)),0)+IF(Element_Stiffness!$C$76,IF(Element_Stiffness!$C$75=6,IF(1=Element_Stiffness!$C$75,Element_Stiffness!S100,IF(1=Element_Stiffness!$E$75,Element_Stiffness!Y100,0)),IF(Element_Stiffness!$E$75=6,IF(1=Element_Stiffness!$C$75,Element_Stiffness!S106,IF(1=Element_Stiffness!$E$75,Element_Stiffness!Y106,0)),0)),0)+IF(Element_Stiffness!$C$111,IF(Element_Stiffness!$C$110=6,IF(1=Element_Stiffness!$C$110,Element_Stiffness!S135,IF(1=Element_Stiffness!$E$110,Element_Stiffness!Y135,0)),IF(Element_Stiffness!$E$110=6,IF(1=Element_Stiffness!$C$110,Element_Stiffness!S141,IF(1=Element_Stiffness!$E$110,Element_Stiffness!Y141,0)),0)),0)+IF(Element_Stiffness!$C$146,IF(Element_Stiffness!$C$145=6,IF(1=Element_Stiffness!$C$145,Element_Stiffness!S170,IF(1=Element_Stiffness!$E$145,Element_Stiffness!Y170,0)),IF(Element_Stiffness!$E$145=6,IF(1=Element_Stiffness!$C$145,Element_Stiffness!S176,IF(1=Element_Stiffness!$E$145,Element_Stiffness!Y176,0)),0)),0)+IF(Element_Stiffness!$C$181,IF(Element_Stiffness!$C$180=6,IF(1=Element_Stiffness!$C$180,Element_Stiffness!S205,IF(1=Element_Stiffness!$E$180,Element_Stiffness!Y205,0)),IF(Element_Stiffness!$E$180=6,IF(1=Element_Stiffness!$C$180,Element_Stiffness!S211,IF(1=Element_Stiffness!$E$180,Element_Stiffness!Y211,0)),0)),0)+IF(Element_Stiffness!$C$216,IF(Element_Stiffness!$C$215=6,IF(1=Element_Stiffness!$C$215,Element_Stiffness!S240,IF(1=Element_Stiffness!$E$215,Element_Stiffness!Y240,0)),IF(Element_Stiffness!$E$215=6,IF(1=Element_Stiffness!$C$215,Element_Stiffness!S246,IF(1=Element_Stiffness!$E$215,Element_Stiffness!Y246,0)),0)),0)</f>
        <v/>
      </c>
      <c r="M45" s="21">
        <f>IF(Element_Stiffness!$C$6,IF(Element_Stiffness!$C$5=6,IF(1=Element_Stiffness!$C$5,Element_Stiffness!T30,IF(1=Element_Stiffness!$E$5,Element_Stiffness!Z30,0)),IF(Element_Stiffness!$E$5=6,IF(1=Element_Stiffness!$C$5,Element_Stiffness!T36,IF(1=Element_Stiffness!$E$5,Element_Stiffness!Z36,0)),0)),0)+IF(Element_Stiffness!$C$41,IF(Element_Stiffness!$C$40=6,IF(1=Element_Stiffness!$C$40,Element_Stiffness!T65,IF(1=Element_Stiffness!$E$40,Element_Stiffness!Z65,0)),IF(Element_Stiffness!$E$40=6,IF(1=Element_Stiffness!$C$40,Element_Stiffness!T71,IF(1=Element_Stiffness!$E$40,Element_Stiffness!Z71,0)),0)),0)+IF(Element_Stiffness!$C$76,IF(Element_Stiffness!$C$75=6,IF(1=Element_Stiffness!$C$75,Element_Stiffness!T100,IF(1=Element_Stiffness!$E$75,Element_Stiffness!Z100,0)),IF(Element_Stiffness!$E$75=6,IF(1=Element_Stiffness!$C$75,Element_Stiffness!T106,IF(1=Element_Stiffness!$E$75,Element_Stiffness!Z106,0)),0)),0)+IF(Element_Stiffness!$C$111,IF(Element_Stiffness!$C$110=6,IF(1=Element_Stiffness!$C$110,Element_Stiffness!T135,IF(1=Element_Stiffness!$E$110,Element_Stiffness!Z135,0)),IF(Element_Stiffness!$E$110=6,IF(1=Element_Stiffness!$C$110,Element_Stiffness!T141,IF(1=Element_Stiffness!$E$110,Element_Stiffness!Z141,0)),0)),0)+IF(Element_Stiffness!$C$146,IF(Element_Stiffness!$C$145=6,IF(1=Element_Stiffness!$C$145,Element_Stiffness!T170,IF(1=Element_Stiffness!$E$145,Element_Stiffness!Z170,0)),IF(Element_Stiffness!$E$145=6,IF(1=Element_Stiffness!$C$145,Element_Stiffness!T176,IF(1=Element_Stiffness!$E$145,Element_Stiffness!Z176,0)),0)),0)+IF(Element_Stiffness!$C$181,IF(Element_Stiffness!$C$180=6,IF(1=Element_Stiffness!$C$180,Element_Stiffness!T205,IF(1=Element_Stiffness!$E$180,Element_Stiffness!Z205,0)),IF(Element_Stiffness!$E$180=6,IF(1=Element_Stiffness!$C$180,Element_Stiffness!T211,IF(1=Element_Stiffness!$E$180,Element_Stiffness!Z211,0)),0)),0)+IF(Element_Stiffness!$C$216,IF(Element_Stiffness!$C$215=6,IF(1=Element_Stiffness!$C$215,Element_Stiffness!T240,IF(1=Element_Stiffness!$E$215,Element_Stiffness!Z240,0)),IF(Element_Stiffness!$E$215=6,IF(1=Element_Stiffness!$C$215,Element_Stiffness!T246,IF(1=Element_Stiffness!$E$215,Element_Stiffness!Z246,0)),0)),0)</f>
        <v/>
      </c>
      <c r="N45" s="21">
        <f>IF(Element_Stiffness!$C$6,IF(Element_Stiffness!$C$5=6,IF(1=Element_Stiffness!$C$5,Element_Stiffness!U30,IF(1=Element_Stiffness!$E$5,Element_Stiffness!AA30,0)),IF(Element_Stiffness!$E$5=6,IF(1=Element_Stiffness!$C$5,Element_Stiffness!U36,IF(1=Element_Stiffness!$E$5,Element_Stiffness!AA36,0)),0)),0)+IF(Element_Stiffness!$C$41,IF(Element_Stiffness!$C$40=6,IF(1=Element_Stiffness!$C$40,Element_Stiffness!U65,IF(1=Element_Stiffness!$E$40,Element_Stiffness!AA65,0)),IF(Element_Stiffness!$E$40=6,IF(1=Element_Stiffness!$C$40,Element_Stiffness!U71,IF(1=Element_Stiffness!$E$40,Element_Stiffness!AA71,0)),0)),0)+IF(Element_Stiffness!$C$76,IF(Element_Stiffness!$C$75=6,IF(1=Element_Stiffness!$C$75,Element_Stiffness!U100,IF(1=Element_Stiffness!$E$75,Element_Stiffness!AA100,0)),IF(Element_Stiffness!$E$75=6,IF(1=Element_Stiffness!$C$75,Element_Stiffness!U106,IF(1=Element_Stiffness!$E$75,Element_Stiffness!AA106,0)),0)),0)+IF(Element_Stiffness!$C$111,IF(Element_Stiffness!$C$110=6,IF(1=Element_Stiffness!$C$110,Element_Stiffness!U135,IF(1=Element_Stiffness!$E$110,Element_Stiffness!AA135,0)),IF(Element_Stiffness!$E$110=6,IF(1=Element_Stiffness!$C$110,Element_Stiffness!U141,IF(1=Element_Stiffness!$E$110,Element_Stiffness!AA141,0)),0)),0)+IF(Element_Stiffness!$C$146,IF(Element_Stiffness!$C$145=6,IF(1=Element_Stiffness!$C$145,Element_Stiffness!U170,IF(1=Element_Stiffness!$E$145,Element_Stiffness!AA170,0)),IF(Element_Stiffness!$E$145=6,IF(1=Element_Stiffness!$C$145,Element_Stiffness!U176,IF(1=Element_Stiffness!$E$145,Element_Stiffness!AA176,0)),0)),0)+IF(Element_Stiffness!$C$181,IF(Element_Stiffness!$C$180=6,IF(1=Element_Stiffness!$C$180,Element_Stiffness!U205,IF(1=Element_Stiffness!$E$180,Element_Stiffness!AA205,0)),IF(Element_Stiffness!$E$180=6,IF(1=Element_Stiffness!$C$180,Element_Stiffness!U211,IF(1=Element_Stiffness!$E$180,Element_Stiffness!AA211,0)),0)),0)+IF(Element_Stiffness!$C$216,IF(Element_Stiffness!$C$215=6,IF(1=Element_Stiffness!$C$215,Element_Stiffness!U240,IF(1=Element_Stiffness!$E$215,Element_Stiffness!AA240,0)),IF(Element_Stiffness!$E$215=6,IF(1=Element_Stiffness!$C$215,Element_Stiffness!U246,IF(1=Element_Stiffness!$E$215,Element_Stiffness!AA246,0)),0)),0)</f>
        <v/>
      </c>
      <c r="O45" s="21">
        <f>IF(Element_Stiffness!$C$6,IF(Element_Stiffness!$C$5=6,IF(2=Element_Stiffness!$C$5,Element_Stiffness!P30,IF(2=Element_Stiffness!$E$5,Element_Stiffness!V30,0)),IF(Element_Stiffness!$E$5=6,IF(2=Element_Stiffness!$C$5,Element_Stiffness!P36,IF(2=Element_Stiffness!$E$5,Element_Stiffness!V36,0)),0)),0)+IF(Element_Stiffness!$C$41,IF(Element_Stiffness!$C$40=6,IF(2=Element_Stiffness!$C$40,Element_Stiffness!P65,IF(2=Element_Stiffness!$E$40,Element_Stiffness!V65,0)),IF(Element_Stiffness!$E$40=6,IF(2=Element_Stiffness!$C$40,Element_Stiffness!P71,IF(2=Element_Stiffness!$E$40,Element_Stiffness!V71,0)),0)),0)+IF(Element_Stiffness!$C$76,IF(Element_Stiffness!$C$75=6,IF(2=Element_Stiffness!$C$75,Element_Stiffness!P100,IF(2=Element_Stiffness!$E$75,Element_Stiffness!V100,0)),IF(Element_Stiffness!$E$75=6,IF(2=Element_Stiffness!$C$75,Element_Stiffness!P106,IF(2=Element_Stiffness!$E$75,Element_Stiffness!V106,0)),0)),0)+IF(Element_Stiffness!$C$111,IF(Element_Stiffness!$C$110=6,IF(2=Element_Stiffness!$C$110,Element_Stiffness!P135,IF(2=Element_Stiffness!$E$110,Element_Stiffness!V135,0)),IF(Element_Stiffness!$E$110=6,IF(2=Element_Stiffness!$C$110,Element_Stiffness!P141,IF(2=Element_Stiffness!$E$110,Element_Stiffness!V141,0)),0)),0)+IF(Element_Stiffness!$C$146,IF(Element_Stiffness!$C$145=6,IF(2=Element_Stiffness!$C$145,Element_Stiffness!P170,IF(2=Element_Stiffness!$E$145,Element_Stiffness!V170,0)),IF(Element_Stiffness!$E$145=6,IF(2=Element_Stiffness!$C$145,Element_Stiffness!P176,IF(2=Element_Stiffness!$E$145,Element_Stiffness!V176,0)),0)),0)+IF(Element_Stiffness!$C$181,IF(Element_Stiffness!$C$180=6,IF(2=Element_Stiffness!$C$180,Element_Stiffness!P205,IF(2=Element_Stiffness!$E$180,Element_Stiffness!V205,0)),IF(Element_Stiffness!$E$180=6,IF(2=Element_Stiffness!$C$180,Element_Stiffness!P211,IF(2=Element_Stiffness!$E$180,Element_Stiffness!V211,0)),0)),0)+IF(Element_Stiffness!$C$216,IF(Element_Stiffness!$C$215=6,IF(2=Element_Stiffness!$C$215,Element_Stiffness!P240,IF(2=Element_Stiffness!$E$215,Element_Stiffness!V240,0)),IF(Element_Stiffness!$E$215=6,IF(2=Element_Stiffness!$C$215,Element_Stiffness!P246,IF(2=Element_Stiffness!$E$215,Element_Stiffness!V246,0)),0)),0)</f>
        <v/>
      </c>
      <c r="P45" s="21">
        <f>IF(Element_Stiffness!$C$6,IF(Element_Stiffness!$C$5=6,IF(2=Element_Stiffness!$C$5,Element_Stiffness!Q30,IF(2=Element_Stiffness!$E$5,Element_Stiffness!W30,0)),IF(Element_Stiffness!$E$5=6,IF(2=Element_Stiffness!$C$5,Element_Stiffness!Q36,IF(2=Element_Stiffness!$E$5,Element_Stiffness!W36,0)),0)),0)+IF(Element_Stiffness!$C$41,IF(Element_Stiffness!$C$40=6,IF(2=Element_Stiffness!$C$40,Element_Stiffness!Q65,IF(2=Element_Stiffness!$E$40,Element_Stiffness!W65,0)),IF(Element_Stiffness!$E$40=6,IF(2=Element_Stiffness!$C$40,Element_Stiffness!Q71,IF(2=Element_Stiffness!$E$40,Element_Stiffness!W71,0)),0)),0)+IF(Element_Stiffness!$C$76,IF(Element_Stiffness!$C$75=6,IF(2=Element_Stiffness!$C$75,Element_Stiffness!Q100,IF(2=Element_Stiffness!$E$75,Element_Stiffness!W100,0)),IF(Element_Stiffness!$E$75=6,IF(2=Element_Stiffness!$C$75,Element_Stiffness!Q106,IF(2=Element_Stiffness!$E$75,Element_Stiffness!W106,0)),0)),0)+IF(Element_Stiffness!$C$111,IF(Element_Stiffness!$C$110=6,IF(2=Element_Stiffness!$C$110,Element_Stiffness!Q135,IF(2=Element_Stiffness!$E$110,Element_Stiffness!W135,0)),IF(Element_Stiffness!$E$110=6,IF(2=Element_Stiffness!$C$110,Element_Stiffness!Q141,IF(2=Element_Stiffness!$E$110,Element_Stiffness!W141,0)),0)),0)+IF(Element_Stiffness!$C$146,IF(Element_Stiffness!$C$145=6,IF(2=Element_Stiffness!$C$145,Element_Stiffness!Q170,IF(2=Element_Stiffness!$E$145,Element_Stiffness!W170,0)),IF(Element_Stiffness!$E$145=6,IF(2=Element_Stiffness!$C$145,Element_Stiffness!Q176,IF(2=Element_Stiffness!$E$145,Element_Stiffness!W176,0)),0)),0)+IF(Element_Stiffness!$C$181,IF(Element_Stiffness!$C$180=6,IF(2=Element_Stiffness!$C$180,Element_Stiffness!Q205,IF(2=Element_Stiffness!$E$180,Element_Stiffness!W205,0)),IF(Element_Stiffness!$E$180=6,IF(2=Element_Stiffness!$C$180,Element_Stiffness!Q211,IF(2=Element_Stiffness!$E$180,Element_Stiffness!W211,0)),0)),0)+IF(Element_Stiffness!$C$216,IF(Element_Stiffness!$C$215=6,IF(2=Element_Stiffness!$C$215,Element_Stiffness!Q240,IF(2=Element_Stiffness!$E$215,Element_Stiffness!W240,0)),IF(Element_Stiffness!$E$215=6,IF(2=Element_Stiffness!$C$215,Element_Stiffness!Q246,IF(2=Element_Stiffness!$E$215,Element_Stiffness!W246,0)),0)),0)</f>
        <v/>
      </c>
      <c r="Q45" s="21">
        <f>IF(Element_Stiffness!$C$6,IF(Element_Stiffness!$C$5=6,IF(2=Element_Stiffness!$C$5,Element_Stiffness!R30,IF(2=Element_Stiffness!$E$5,Element_Stiffness!X30,0)),IF(Element_Stiffness!$E$5=6,IF(2=Element_Stiffness!$C$5,Element_Stiffness!R36,IF(2=Element_Stiffness!$E$5,Element_Stiffness!X36,0)),0)),0)+IF(Element_Stiffness!$C$41,IF(Element_Stiffness!$C$40=6,IF(2=Element_Stiffness!$C$40,Element_Stiffness!R65,IF(2=Element_Stiffness!$E$40,Element_Stiffness!X65,0)),IF(Element_Stiffness!$E$40=6,IF(2=Element_Stiffness!$C$40,Element_Stiffness!R71,IF(2=Element_Stiffness!$E$40,Element_Stiffness!X71,0)),0)),0)+IF(Element_Stiffness!$C$76,IF(Element_Stiffness!$C$75=6,IF(2=Element_Stiffness!$C$75,Element_Stiffness!R100,IF(2=Element_Stiffness!$E$75,Element_Stiffness!X100,0)),IF(Element_Stiffness!$E$75=6,IF(2=Element_Stiffness!$C$75,Element_Stiffness!R106,IF(2=Element_Stiffness!$E$75,Element_Stiffness!X106,0)),0)),0)+IF(Element_Stiffness!$C$111,IF(Element_Stiffness!$C$110=6,IF(2=Element_Stiffness!$C$110,Element_Stiffness!R135,IF(2=Element_Stiffness!$E$110,Element_Stiffness!X135,0)),IF(Element_Stiffness!$E$110=6,IF(2=Element_Stiffness!$C$110,Element_Stiffness!R141,IF(2=Element_Stiffness!$E$110,Element_Stiffness!X141,0)),0)),0)+IF(Element_Stiffness!$C$146,IF(Element_Stiffness!$C$145=6,IF(2=Element_Stiffness!$C$145,Element_Stiffness!R170,IF(2=Element_Stiffness!$E$145,Element_Stiffness!X170,0)),IF(Element_Stiffness!$E$145=6,IF(2=Element_Stiffness!$C$145,Element_Stiffness!R176,IF(2=Element_Stiffness!$E$145,Element_Stiffness!X176,0)),0)),0)+IF(Element_Stiffness!$C$181,IF(Element_Stiffness!$C$180=6,IF(2=Element_Stiffness!$C$180,Element_Stiffness!R205,IF(2=Element_Stiffness!$E$180,Element_Stiffness!X205,0)),IF(Element_Stiffness!$E$180=6,IF(2=Element_Stiffness!$C$180,Element_Stiffness!R211,IF(2=Element_Stiffness!$E$180,Element_Stiffness!X211,0)),0)),0)+IF(Element_Stiffness!$C$216,IF(Element_Stiffness!$C$215=6,IF(2=Element_Stiffness!$C$215,Element_Stiffness!R240,IF(2=Element_Stiffness!$E$215,Element_Stiffness!X240,0)),IF(Element_Stiffness!$E$215=6,IF(2=Element_Stiffness!$C$215,Element_Stiffness!R246,IF(2=Element_Stiffness!$E$215,Element_Stiffness!X246,0)),0)),0)</f>
        <v/>
      </c>
      <c r="R45" s="21">
        <f>IF(Element_Stiffness!$C$6,IF(Element_Stiffness!$C$5=6,IF(2=Element_Stiffness!$C$5,Element_Stiffness!S30,IF(2=Element_Stiffness!$E$5,Element_Stiffness!Y30,0)),IF(Element_Stiffness!$E$5=6,IF(2=Element_Stiffness!$C$5,Element_Stiffness!S36,IF(2=Element_Stiffness!$E$5,Element_Stiffness!Y36,0)),0)),0)+IF(Element_Stiffness!$C$41,IF(Element_Stiffness!$C$40=6,IF(2=Element_Stiffness!$C$40,Element_Stiffness!S65,IF(2=Element_Stiffness!$E$40,Element_Stiffness!Y65,0)),IF(Element_Stiffness!$E$40=6,IF(2=Element_Stiffness!$C$40,Element_Stiffness!S71,IF(2=Element_Stiffness!$E$40,Element_Stiffness!Y71,0)),0)),0)+IF(Element_Stiffness!$C$76,IF(Element_Stiffness!$C$75=6,IF(2=Element_Stiffness!$C$75,Element_Stiffness!S100,IF(2=Element_Stiffness!$E$75,Element_Stiffness!Y100,0)),IF(Element_Stiffness!$E$75=6,IF(2=Element_Stiffness!$C$75,Element_Stiffness!S106,IF(2=Element_Stiffness!$E$75,Element_Stiffness!Y106,0)),0)),0)+IF(Element_Stiffness!$C$111,IF(Element_Stiffness!$C$110=6,IF(2=Element_Stiffness!$C$110,Element_Stiffness!S135,IF(2=Element_Stiffness!$E$110,Element_Stiffness!Y135,0)),IF(Element_Stiffness!$E$110=6,IF(2=Element_Stiffness!$C$110,Element_Stiffness!S141,IF(2=Element_Stiffness!$E$110,Element_Stiffness!Y141,0)),0)),0)+IF(Element_Stiffness!$C$146,IF(Element_Stiffness!$C$145=6,IF(2=Element_Stiffness!$C$145,Element_Stiffness!S170,IF(2=Element_Stiffness!$E$145,Element_Stiffness!Y170,0)),IF(Element_Stiffness!$E$145=6,IF(2=Element_Stiffness!$C$145,Element_Stiffness!S176,IF(2=Element_Stiffness!$E$145,Element_Stiffness!Y176,0)),0)),0)+IF(Element_Stiffness!$C$181,IF(Element_Stiffness!$C$180=6,IF(2=Element_Stiffness!$C$180,Element_Stiffness!S205,IF(2=Element_Stiffness!$E$180,Element_Stiffness!Y205,0)),IF(Element_Stiffness!$E$180=6,IF(2=Element_Stiffness!$C$180,Element_Stiffness!S211,IF(2=Element_Stiffness!$E$180,Element_Stiffness!Y211,0)),0)),0)+IF(Element_Stiffness!$C$216,IF(Element_Stiffness!$C$215=6,IF(2=Element_Stiffness!$C$215,Element_Stiffness!S240,IF(2=Element_Stiffness!$E$215,Element_Stiffness!Y240,0)),IF(Element_Stiffness!$E$215=6,IF(2=Element_Stiffness!$C$215,Element_Stiffness!S246,IF(2=Element_Stiffness!$E$215,Element_Stiffness!Y246,0)),0)),0)</f>
        <v/>
      </c>
      <c r="S45" s="21">
        <f>IF(Element_Stiffness!$C$6,IF(Element_Stiffness!$C$5=6,IF(2=Element_Stiffness!$C$5,Element_Stiffness!T30,IF(2=Element_Stiffness!$E$5,Element_Stiffness!Z30,0)),IF(Element_Stiffness!$E$5=6,IF(2=Element_Stiffness!$C$5,Element_Stiffness!T36,IF(2=Element_Stiffness!$E$5,Element_Stiffness!Z36,0)),0)),0)+IF(Element_Stiffness!$C$41,IF(Element_Stiffness!$C$40=6,IF(2=Element_Stiffness!$C$40,Element_Stiffness!T65,IF(2=Element_Stiffness!$E$40,Element_Stiffness!Z65,0)),IF(Element_Stiffness!$E$40=6,IF(2=Element_Stiffness!$C$40,Element_Stiffness!T71,IF(2=Element_Stiffness!$E$40,Element_Stiffness!Z71,0)),0)),0)+IF(Element_Stiffness!$C$76,IF(Element_Stiffness!$C$75=6,IF(2=Element_Stiffness!$C$75,Element_Stiffness!T100,IF(2=Element_Stiffness!$E$75,Element_Stiffness!Z100,0)),IF(Element_Stiffness!$E$75=6,IF(2=Element_Stiffness!$C$75,Element_Stiffness!T106,IF(2=Element_Stiffness!$E$75,Element_Stiffness!Z106,0)),0)),0)+IF(Element_Stiffness!$C$111,IF(Element_Stiffness!$C$110=6,IF(2=Element_Stiffness!$C$110,Element_Stiffness!T135,IF(2=Element_Stiffness!$E$110,Element_Stiffness!Z135,0)),IF(Element_Stiffness!$E$110=6,IF(2=Element_Stiffness!$C$110,Element_Stiffness!T141,IF(2=Element_Stiffness!$E$110,Element_Stiffness!Z141,0)),0)),0)+IF(Element_Stiffness!$C$146,IF(Element_Stiffness!$C$145=6,IF(2=Element_Stiffness!$C$145,Element_Stiffness!T170,IF(2=Element_Stiffness!$E$145,Element_Stiffness!Z170,0)),IF(Element_Stiffness!$E$145=6,IF(2=Element_Stiffness!$C$145,Element_Stiffness!T176,IF(2=Element_Stiffness!$E$145,Element_Stiffness!Z176,0)),0)),0)+IF(Element_Stiffness!$C$181,IF(Element_Stiffness!$C$180=6,IF(2=Element_Stiffness!$C$180,Element_Stiffness!T205,IF(2=Element_Stiffness!$E$180,Element_Stiffness!Z205,0)),IF(Element_Stiffness!$E$180=6,IF(2=Element_Stiffness!$C$180,Element_Stiffness!T211,IF(2=Element_Stiffness!$E$180,Element_Stiffness!Z211,0)),0)),0)+IF(Element_Stiffness!$C$216,IF(Element_Stiffness!$C$215=6,IF(2=Element_Stiffness!$C$215,Element_Stiffness!T240,IF(2=Element_Stiffness!$E$215,Element_Stiffness!Z240,0)),IF(Element_Stiffness!$E$215=6,IF(2=Element_Stiffness!$C$215,Element_Stiffness!T246,IF(2=Element_Stiffness!$E$215,Element_Stiffness!Z246,0)),0)),0)</f>
        <v/>
      </c>
      <c r="T45" s="21">
        <f>IF(Element_Stiffness!$C$6,IF(Element_Stiffness!$C$5=6,IF(2=Element_Stiffness!$C$5,Element_Stiffness!U30,IF(2=Element_Stiffness!$E$5,Element_Stiffness!AA30,0)),IF(Element_Stiffness!$E$5=6,IF(2=Element_Stiffness!$C$5,Element_Stiffness!U36,IF(2=Element_Stiffness!$E$5,Element_Stiffness!AA36,0)),0)),0)+IF(Element_Stiffness!$C$41,IF(Element_Stiffness!$C$40=6,IF(2=Element_Stiffness!$C$40,Element_Stiffness!U65,IF(2=Element_Stiffness!$E$40,Element_Stiffness!AA65,0)),IF(Element_Stiffness!$E$40=6,IF(2=Element_Stiffness!$C$40,Element_Stiffness!U71,IF(2=Element_Stiffness!$E$40,Element_Stiffness!AA71,0)),0)),0)+IF(Element_Stiffness!$C$76,IF(Element_Stiffness!$C$75=6,IF(2=Element_Stiffness!$C$75,Element_Stiffness!U100,IF(2=Element_Stiffness!$E$75,Element_Stiffness!AA100,0)),IF(Element_Stiffness!$E$75=6,IF(2=Element_Stiffness!$C$75,Element_Stiffness!U106,IF(2=Element_Stiffness!$E$75,Element_Stiffness!AA106,0)),0)),0)+IF(Element_Stiffness!$C$111,IF(Element_Stiffness!$C$110=6,IF(2=Element_Stiffness!$C$110,Element_Stiffness!U135,IF(2=Element_Stiffness!$E$110,Element_Stiffness!AA135,0)),IF(Element_Stiffness!$E$110=6,IF(2=Element_Stiffness!$C$110,Element_Stiffness!U141,IF(2=Element_Stiffness!$E$110,Element_Stiffness!AA141,0)),0)),0)+IF(Element_Stiffness!$C$146,IF(Element_Stiffness!$C$145=6,IF(2=Element_Stiffness!$C$145,Element_Stiffness!U170,IF(2=Element_Stiffness!$E$145,Element_Stiffness!AA170,0)),IF(Element_Stiffness!$E$145=6,IF(2=Element_Stiffness!$C$145,Element_Stiffness!U176,IF(2=Element_Stiffness!$E$145,Element_Stiffness!AA176,0)),0)),0)+IF(Element_Stiffness!$C$181,IF(Element_Stiffness!$C$180=6,IF(2=Element_Stiffness!$C$180,Element_Stiffness!U205,IF(2=Element_Stiffness!$E$180,Element_Stiffness!AA205,0)),IF(Element_Stiffness!$E$180=6,IF(2=Element_Stiffness!$C$180,Element_Stiffness!U211,IF(2=Element_Stiffness!$E$180,Element_Stiffness!AA211,0)),0)),0)+IF(Element_Stiffness!$C$216,IF(Element_Stiffness!$C$215=6,IF(2=Element_Stiffness!$C$215,Element_Stiffness!U240,IF(2=Element_Stiffness!$E$215,Element_Stiffness!AA240,0)),IF(Element_Stiffness!$E$215=6,IF(2=Element_Stiffness!$C$215,Element_Stiffness!U246,IF(2=Element_Stiffness!$E$215,Element_Stiffness!AA246,0)),0)),0)</f>
        <v/>
      </c>
      <c r="U45" s="21">
        <f>IF(Element_Stiffness!$C$6,IF(Element_Stiffness!$C$5=6,IF(3=Element_Stiffness!$C$5,Element_Stiffness!P30,IF(3=Element_Stiffness!$E$5,Element_Stiffness!V30,0)),IF(Element_Stiffness!$E$5=6,IF(3=Element_Stiffness!$C$5,Element_Stiffness!P36,IF(3=Element_Stiffness!$E$5,Element_Stiffness!V36,0)),0)),0)+IF(Element_Stiffness!$C$41,IF(Element_Stiffness!$C$40=6,IF(3=Element_Stiffness!$C$40,Element_Stiffness!P65,IF(3=Element_Stiffness!$E$40,Element_Stiffness!V65,0)),IF(Element_Stiffness!$E$40=6,IF(3=Element_Stiffness!$C$40,Element_Stiffness!P71,IF(3=Element_Stiffness!$E$40,Element_Stiffness!V71,0)),0)),0)+IF(Element_Stiffness!$C$76,IF(Element_Stiffness!$C$75=6,IF(3=Element_Stiffness!$C$75,Element_Stiffness!P100,IF(3=Element_Stiffness!$E$75,Element_Stiffness!V100,0)),IF(Element_Stiffness!$E$75=6,IF(3=Element_Stiffness!$C$75,Element_Stiffness!P106,IF(3=Element_Stiffness!$E$75,Element_Stiffness!V106,0)),0)),0)+IF(Element_Stiffness!$C$111,IF(Element_Stiffness!$C$110=6,IF(3=Element_Stiffness!$C$110,Element_Stiffness!P135,IF(3=Element_Stiffness!$E$110,Element_Stiffness!V135,0)),IF(Element_Stiffness!$E$110=6,IF(3=Element_Stiffness!$C$110,Element_Stiffness!P141,IF(3=Element_Stiffness!$E$110,Element_Stiffness!V141,0)),0)),0)+IF(Element_Stiffness!$C$146,IF(Element_Stiffness!$C$145=6,IF(3=Element_Stiffness!$C$145,Element_Stiffness!P170,IF(3=Element_Stiffness!$E$145,Element_Stiffness!V170,0)),IF(Element_Stiffness!$E$145=6,IF(3=Element_Stiffness!$C$145,Element_Stiffness!P176,IF(3=Element_Stiffness!$E$145,Element_Stiffness!V176,0)),0)),0)+IF(Element_Stiffness!$C$181,IF(Element_Stiffness!$C$180=6,IF(3=Element_Stiffness!$C$180,Element_Stiffness!P205,IF(3=Element_Stiffness!$E$180,Element_Stiffness!V205,0)),IF(Element_Stiffness!$E$180=6,IF(3=Element_Stiffness!$C$180,Element_Stiffness!P211,IF(3=Element_Stiffness!$E$180,Element_Stiffness!V211,0)),0)),0)+IF(Element_Stiffness!$C$216,IF(Element_Stiffness!$C$215=6,IF(3=Element_Stiffness!$C$215,Element_Stiffness!P240,IF(3=Element_Stiffness!$E$215,Element_Stiffness!V240,0)),IF(Element_Stiffness!$E$215=6,IF(3=Element_Stiffness!$C$215,Element_Stiffness!P246,IF(3=Element_Stiffness!$E$215,Element_Stiffness!V246,0)),0)),0)</f>
        <v/>
      </c>
      <c r="V45" s="21">
        <f>IF(Element_Stiffness!$C$6,IF(Element_Stiffness!$C$5=6,IF(3=Element_Stiffness!$C$5,Element_Stiffness!Q30,IF(3=Element_Stiffness!$E$5,Element_Stiffness!W30,0)),IF(Element_Stiffness!$E$5=6,IF(3=Element_Stiffness!$C$5,Element_Stiffness!Q36,IF(3=Element_Stiffness!$E$5,Element_Stiffness!W36,0)),0)),0)+IF(Element_Stiffness!$C$41,IF(Element_Stiffness!$C$40=6,IF(3=Element_Stiffness!$C$40,Element_Stiffness!Q65,IF(3=Element_Stiffness!$E$40,Element_Stiffness!W65,0)),IF(Element_Stiffness!$E$40=6,IF(3=Element_Stiffness!$C$40,Element_Stiffness!Q71,IF(3=Element_Stiffness!$E$40,Element_Stiffness!W71,0)),0)),0)+IF(Element_Stiffness!$C$76,IF(Element_Stiffness!$C$75=6,IF(3=Element_Stiffness!$C$75,Element_Stiffness!Q100,IF(3=Element_Stiffness!$E$75,Element_Stiffness!W100,0)),IF(Element_Stiffness!$E$75=6,IF(3=Element_Stiffness!$C$75,Element_Stiffness!Q106,IF(3=Element_Stiffness!$E$75,Element_Stiffness!W106,0)),0)),0)+IF(Element_Stiffness!$C$111,IF(Element_Stiffness!$C$110=6,IF(3=Element_Stiffness!$C$110,Element_Stiffness!Q135,IF(3=Element_Stiffness!$E$110,Element_Stiffness!W135,0)),IF(Element_Stiffness!$E$110=6,IF(3=Element_Stiffness!$C$110,Element_Stiffness!Q141,IF(3=Element_Stiffness!$E$110,Element_Stiffness!W141,0)),0)),0)+IF(Element_Stiffness!$C$146,IF(Element_Stiffness!$C$145=6,IF(3=Element_Stiffness!$C$145,Element_Stiffness!Q170,IF(3=Element_Stiffness!$E$145,Element_Stiffness!W170,0)),IF(Element_Stiffness!$E$145=6,IF(3=Element_Stiffness!$C$145,Element_Stiffness!Q176,IF(3=Element_Stiffness!$E$145,Element_Stiffness!W176,0)),0)),0)+IF(Element_Stiffness!$C$181,IF(Element_Stiffness!$C$180=6,IF(3=Element_Stiffness!$C$180,Element_Stiffness!Q205,IF(3=Element_Stiffness!$E$180,Element_Stiffness!W205,0)),IF(Element_Stiffness!$E$180=6,IF(3=Element_Stiffness!$C$180,Element_Stiffness!Q211,IF(3=Element_Stiffness!$E$180,Element_Stiffness!W211,0)),0)),0)+IF(Element_Stiffness!$C$216,IF(Element_Stiffness!$C$215=6,IF(3=Element_Stiffness!$C$215,Element_Stiffness!Q240,IF(3=Element_Stiffness!$E$215,Element_Stiffness!W240,0)),IF(Element_Stiffness!$E$215=6,IF(3=Element_Stiffness!$C$215,Element_Stiffness!Q246,IF(3=Element_Stiffness!$E$215,Element_Stiffness!W246,0)),0)),0)</f>
        <v/>
      </c>
      <c r="W45" s="21">
        <f>IF(Element_Stiffness!$C$6,IF(Element_Stiffness!$C$5=6,IF(3=Element_Stiffness!$C$5,Element_Stiffness!R30,IF(3=Element_Stiffness!$E$5,Element_Stiffness!X30,0)),IF(Element_Stiffness!$E$5=6,IF(3=Element_Stiffness!$C$5,Element_Stiffness!R36,IF(3=Element_Stiffness!$E$5,Element_Stiffness!X36,0)),0)),0)+IF(Element_Stiffness!$C$41,IF(Element_Stiffness!$C$40=6,IF(3=Element_Stiffness!$C$40,Element_Stiffness!R65,IF(3=Element_Stiffness!$E$40,Element_Stiffness!X65,0)),IF(Element_Stiffness!$E$40=6,IF(3=Element_Stiffness!$C$40,Element_Stiffness!R71,IF(3=Element_Stiffness!$E$40,Element_Stiffness!X71,0)),0)),0)+IF(Element_Stiffness!$C$76,IF(Element_Stiffness!$C$75=6,IF(3=Element_Stiffness!$C$75,Element_Stiffness!R100,IF(3=Element_Stiffness!$E$75,Element_Stiffness!X100,0)),IF(Element_Stiffness!$E$75=6,IF(3=Element_Stiffness!$C$75,Element_Stiffness!R106,IF(3=Element_Stiffness!$E$75,Element_Stiffness!X106,0)),0)),0)+IF(Element_Stiffness!$C$111,IF(Element_Stiffness!$C$110=6,IF(3=Element_Stiffness!$C$110,Element_Stiffness!R135,IF(3=Element_Stiffness!$E$110,Element_Stiffness!X135,0)),IF(Element_Stiffness!$E$110=6,IF(3=Element_Stiffness!$C$110,Element_Stiffness!R141,IF(3=Element_Stiffness!$E$110,Element_Stiffness!X141,0)),0)),0)+IF(Element_Stiffness!$C$146,IF(Element_Stiffness!$C$145=6,IF(3=Element_Stiffness!$C$145,Element_Stiffness!R170,IF(3=Element_Stiffness!$E$145,Element_Stiffness!X170,0)),IF(Element_Stiffness!$E$145=6,IF(3=Element_Stiffness!$C$145,Element_Stiffness!R176,IF(3=Element_Stiffness!$E$145,Element_Stiffness!X176,0)),0)),0)+IF(Element_Stiffness!$C$181,IF(Element_Stiffness!$C$180=6,IF(3=Element_Stiffness!$C$180,Element_Stiffness!R205,IF(3=Element_Stiffness!$E$180,Element_Stiffness!X205,0)),IF(Element_Stiffness!$E$180=6,IF(3=Element_Stiffness!$C$180,Element_Stiffness!R211,IF(3=Element_Stiffness!$E$180,Element_Stiffness!X211,0)),0)),0)+IF(Element_Stiffness!$C$216,IF(Element_Stiffness!$C$215=6,IF(3=Element_Stiffness!$C$215,Element_Stiffness!R240,IF(3=Element_Stiffness!$E$215,Element_Stiffness!X240,0)),IF(Element_Stiffness!$E$215=6,IF(3=Element_Stiffness!$C$215,Element_Stiffness!R246,IF(3=Element_Stiffness!$E$215,Element_Stiffness!X246,0)),0)),0)</f>
        <v/>
      </c>
      <c r="X45" s="21">
        <f>IF(Element_Stiffness!$C$6,IF(Element_Stiffness!$C$5=6,IF(3=Element_Stiffness!$C$5,Element_Stiffness!S30,IF(3=Element_Stiffness!$E$5,Element_Stiffness!Y30,0)),IF(Element_Stiffness!$E$5=6,IF(3=Element_Stiffness!$C$5,Element_Stiffness!S36,IF(3=Element_Stiffness!$E$5,Element_Stiffness!Y36,0)),0)),0)+IF(Element_Stiffness!$C$41,IF(Element_Stiffness!$C$40=6,IF(3=Element_Stiffness!$C$40,Element_Stiffness!S65,IF(3=Element_Stiffness!$E$40,Element_Stiffness!Y65,0)),IF(Element_Stiffness!$E$40=6,IF(3=Element_Stiffness!$C$40,Element_Stiffness!S71,IF(3=Element_Stiffness!$E$40,Element_Stiffness!Y71,0)),0)),0)+IF(Element_Stiffness!$C$76,IF(Element_Stiffness!$C$75=6,IF(3=Element_Stiffness!$C$75,Element_Stiffness!S100,IF(3=Element_Stiffness!$E$75,Element_Stiffness!Y100,0)),IF(Element_Stiffness!$E$75=6,IF(3=Element_Stiffness!$C$75,Element_Stiffness!S106,IF(3=Element_Stiffness!$E$75,Element_Stiffness!Y106,0)),0)),0)+IF(Element_Stiffness!$C$111,IF(Element_Stiffness!$C$110=6,IF(3=Element_Stiffness!$C$110,Element_Stiffness!S135,IF(3=Element_Stiffness!$E$110,Element_Stiffness!Y135,0)),IF(Element_Stiffness!$E$110=6,IF(3=Element_Stiffness!$C$110,Element_Stiffness!S141,IF(3=Element_Stiffness!$E$110,Element_Stiffness!Y141,0)),0)),0)+IF(Element_Stiffness!$C$146,IF(Element_Stiffness!$C$145=6,IF(3=Element_Stiffness!$C$145,Element_Stiffness!S170,IF(3=Element_Stiffness!$E$145,Element_Stiffness!Y170,0)),IF(Element_Stiffness!$E$145=6,IF(3=Element_Stiffness!$C$145,Element_Stiffness!S176,IF(3=Element_Stiffness!$E$145,Element_Stiffness!Y176,0)),0)),0)+IF(Element_Stiffness!$C$181,IF(Element_Stiffness!$C$180=6,IF(3=Element_Stiffness!$C$180,Element_Stiffness!S205,IF(3=Element_Stiffness!$E$180,Element_Stiffness!Y205,0)),IF(Element_Stiffness!$E$180=6,IF(3=Element_Stiffness!$C$180,Element_Stiffness!S211,IF(3=Element_Stiffness!$E$180,Element_Stiffness!Y211,0)),0)),0)+IF(Element_Stiffness!$C$216,IF(Element_Stiffness!$C$215=6,IF(3=Element_Stiffness!$C$215,Element_Stiffness!S240,IF(3=Element_Stiffness!$E$215,Element_Stiffness!Y240,0)),IF(Element_Stiffness!$E$215=6,IF(3=Element_Stiffness!$C$215,Element_Stiffness!S246,IF(3=Element_Stiffness!$E$215,Element_Stiffness!Y246,0)),0)),0)</f>
        <v/>
      </c>
      <c r="Y45" s="21">
        <f>IF(Element_Stiffness!$C$6,IF(Element_Stiffness!$C$5=6,IF(3=Element_Stiffness!$C$5,Element_Stiffness!T30,IF(3=Element_Stiffness!$E$5,Element_Stiffness!Z30,0)),IF(Element_Stiffness!$E$5=6,IF(3=Element_Stiffness!$C$5,Element_Stiffness!T36,IF(3=Element_Stiffness!$E$5,Element_Stiffness!Z36,0)),0)),0)+IF(Element_Stiffness!$C$41,IF(Element_Stiffness!$C$40=6,IF(3=Element_Stiffness!$C$40,Element_Stiffness!T65,IF(3=Element_Stiffness!$E$40,Element_Stiffness!Z65,0)),IF(Element_Stiffness!$E$40=6,IF(3=Element_Stiffness!$C$40,Element_Stiffness!T71,IF(3=Element_Stiffness!$E$40,Element_Stiffness!Z71,0)),0)),0)+IF(Element_Stiffness!$C$76,IF(Element_Stiffness!$C$75=6,IF(3=Element_Stiffness!$C$75,Element_Stiffness!T100,IF(3=Element_Stiffness!$E$75,Element_Stiffness!Z100,0)),IF(Element_Stiffness!$E$75=6,IF(3=Element_Stiffness!$C$75,Element_Stiffness!T106,IF(3=Element_Stiffness!$E$75,Element_Stiffness!Z106,0)),0)),0)+IF(Element_Stiffness!$C$111,IF(Element_Stiffness!$C$110=6,IF(3=Element_Stiffness!$C$110,Element_Stiffness!T135,IF(3=Element_Stiffness!$E$110,Element_Stiffness!Z135,0)),IF(Element_Stiffness!$E$110=6,IF(3=Element_Stiffness!$C$110,Element_Stiffness!T141,IF(3=Element_Stiffness!$E$110,Element_Stiffness!Z141,0)),0)),0)+IF(Element_Stiffness!$C$146,IF(Element_Stiffness!$C$145=6,IF(3=Element_Stiffness!$C$145,Element_Stiffness!T170,IF(3=Element_Stiffness!$E$145,Element_Stiffness!Z170,0)),IF(Element_Stiffness!$E$145=6,IF(3=Element_Stiffness!$C$145,Element_Stiffness!T176,IF(3=Element_Stiffness!$E$145,Element_Stiffness!Z176,0)),0)),0)+IF(Element_Stiffness!$C$181,IF(Element_Stiffness!$C$180=6,IF(3=Element_Stiffness!$C$180,Element_Stiffness!T205,IF(3=Element_Stiffness!$E$180,Element_Stiffness!Z205,0)),IF(Element_Stiffness!$E$180=6,IF(3=Element_Stiffness!$C$180,Element_Stiffness!T211,IF(3=Element_Stiffness!$E$180,Element_Stiffness!Z211,0)),0)),0)+IF(Element_Stiffness!$C$216,IF(Element_Stiffness!$C$215=6,IF(3=Element_Stiffness!$C$215,Element_Stiffness!T240,IF(3=Element_Stiffness!$E$215,Element_Stiffness!Z240,0)),IF(Element_Stiffness!$E$215=6,IF(3=Element_Stiffness!$C$215,Element_Stiffness!T246,IF(3=Element_Stiffness!$E$215,Element_Stiffness!Z246,0)),0)),0)</f>
        <v/>
      </c>
      <c r="Z45" s="21">
        <f>IF(Element_Stiffness!$C$6,IF(Element_Stiffness!$C$5=6,IF(3=Element_Stiffness!$C$5,Element_Stiffness!U30,IF(3=Element_Stiffness!$E$5,Element_Stiffness!AA30,0)),IF(Element_Stiffness!$E$5=6,IF(3=Element_Stiffness!$C$5,Element_Stiffness!U36,IF(3=Element_Stiffness!$E$5,Element_Stiffness!AA36,0)),0)),0)+IF(Element_Stiffness!$C$41,IF(Element_Stiffness!$C$40=6,IF(3=Element_Stiffness!$C$40,Element_Stiffness!U65,IF(3=Element_Stiffness!$E$40,Element_Stiffness!AA65,0)),IF(Element_Stiffness!$E$40=6,IF(3=Element_Stiffness!$C$40,Element_Stiffness!U71,IF(3=Element_Stiffness!$E$40,Element_Stiffness!AA71,0)),0)),0)+IF(Element_Stiffness!$C$76,IF(Element_Stiffness!$C$75=6,IF(3=Element_Stiffness!$C$75,Element_Stiffness!U100,IF(3=Element_Stiffness!$E$75,Element_Stiffness!AA100,0)),IF(Element_Stiffness!$E$75=6,IF(3=Element_Stiffness!$C$75,Element_Stiffness!U106,IF(3=Element_Stiffness!$E$75,Element_Stiffness!AA106,0)),0)),0)+IF(Element_Stiffness!$C$111,IF(Element_Stiffness!$C$110=6,IF(3=Element_Stiffness!$C$110,Element_Stiffness!U135,IF(3=Element_Stiffness!$E$110,Element_Stiffness!AA135,0)),IF(Element_Stiffness!$E$110=6,IF(3=Element_Stiffness!$C$110,Element_Stiffness!U141,IF(3=Element_Stiffness!$E$110,Element_Stiffness!AA141,0)),0)),0)+IF(Element_Stiffness!$C$146,IF(Element_Stiffness!$C$145=6,IF(3=Element_Stiffness!$C$145,Element_Stiffness!U170,IF(3=Element_Stiffness!$E$145,Element_Stiffness!AA170,0)),IF(Element_Stiffness!$E$145=6,IF(3=Element_Stiffness!$C$145,Element_Stiffness!U176,IF(3=Element_Stiffness!$E$145,Element_Stiffness!AA176,0)),0)),0)+IF(Element_Stiffness!$C$181,IF(Element_Stiffness!$C$180=6,IF(3=Element_Stiffness!$C$180,Element_Stiffness!U205,IF(3=Element_Stiffness!$E$180,Element_Stiffness!AA205,0)),IF(Element_Stiffness!$E$180=6,IF(3=Element_Stiffness!$C$180,Element_Stiffness!U211,IF(3=Element_Stiffness!$E$180,Element_Stiffness!AA211,0)),0)),0)+IF(Element_Stiffness!$C$216,IF(Element_Stiffness!$C$215=6,IF(3=Element_Stiffness!$C$215,Element_Stiffness!U240,IF(3=Element_Stiffness!$E$215,Element_Stiffness!AA240,0)),IF(Element_Stiffness!$E$215=6,IF(3=Element_Stiffness!$C$215,Element_Stiffness!U246,IF(3=Element_Stiffness!$E$215,Element_Stiffness!AA246,0)),0)),0)</f>
        <v/>
      </c>
      <c r="AA45" s="21">
        <f>IF(Element_Stiffness!$C$6,IF(Element_Stiffness!$C$5=6,IF(4=Element_Stiffness!$C$5,Element_Stiffness!P30,IF(4=Element_Stiffness!$E$5,Element_Stiffness!V30,0)),IF(Element_Stiffness!$E$5=6,IF(4=Element_Stiffness!$C$5,Element_Stiffness!P36,IF(4=Element_Stiffness!$E$5,Element_Stiffness!V36,0)),0)),0)+IF(Element_Stiffness!$C$41,IF(Element_Stiffness!$C$40=6,IF(4=Element_Stiffness!$C$40,Element_Stiffness!P65,IF(4=Element_Stiffness!$E$40,Element_Stiffness!V65,0)),IF(Element_Stiffness!$E$40=6,IF(4=Element_Stiffness!$C$40,Element_Stiffness!P71,IF(4=Element_Stiffness!$E$40,Element_Stiffness!V71,0)),0)),0)+IF(Element_Stiffness!$C$76,IF(Element_Stiffness!$C$75=6,IF(4=Element_Stiffness!$C$75,Element_Stiffness!P100,IF(4=Element_Stiffness!$E$75,Element_Stiffness!V100,0)),IF(Element_Stiffness!$E$75=6,IF(4=Element_Stiffness!$C$75,Element_Stiffness!P106,IF(4=Element_Stiffness!$E$75,Element_Stiffness!V106,0)),0)),0)+IF(Element_Stiffness!$C$111,IF(Element_Stiffness!$C$110=6,IF(4=Element_Stiffness!$C$110,Element_Stiffness!P135,IF(4=Element_Stiffness!$E$110,Element_Stiffness!V135,0)),IF(Element_Stiffness!$E$110=6,IF(4=Element_Stiffness!$C$110,Element_Stiffness!P141,IF(4=Element_Stiffness!$E$110,Element_Stiffness!V141,0)),0)),0)+IF(Element_Stiffness!$C$146,IF(Element_Stiffness!$C$145=6,IF(4=Element_Stiffness!$C$145,Element_Stiffness!P170,IF(4=Element_Stiffness!$E$145,Element_Stiffness!V170,0)),IF(Element_Stiffness!$E$145=6,IF(4=Element_Stiffness!$C$145,Element_Stiffness!P176,IF(4=Element_Stiffness!$E$145,Element_Stiffness!V176,0)),0)),0)+IF(Element_Stiffness!$C$181,IF(Element_Stiffness!$C$180=6,IF(4=Element_Stiffness!$C$180,Element_Stiffness!P205,IF(4=Element_Stiffness!$E$180,Element_Stiffness!V205,0)),IF(Element_Stiffness!$E$180=6,IF(4=Element_Stiffness!$C$180,Element_Stiffness!P211,IF(4=Element_Stiffness!$E$180,Element_Stiffness!V211,0)),0)),0)+IF(Element_Stiffness!$C$216,IF(Element_Stiffness!$C$215=6,IF(4=Element_Stiffness!$C$215,Element_Stiffness!P240,IF(4=Element_Stiffness!$E$215,Element_Stiffness!V240,0)),IF(Element_Stiffness!$E$215=6,IF(4=Element_Stiffness!$C$215,Element_Stiffness!P246,IF(4=Element_Stiffness!$E$215,Element_Stiffness!V246,0)),0)),0)</f>
        <v/>
      </c>
      <c r="AB45" s="21">
        <f>IF(Element_Stiffness!$C$6,IF(Element_Stiffness!$C$5=6,IF(4=Element_Stiffness!$C$5,Element_Stiffness!Q30,IF(4=Element_Stiffness!$E$5,Element_Stiffness!W30,0)),IF(Element_Stiffness!$E$5=6,IF(4=Element_Stiffness!$C$5,Element_Stiffness!Q36,IF(4=Element_Stiffness!$E$5,Element_Stiffness!W36,0)),0)),0)+IF(Element_Stiffness!$C$41,IF(Element_Stiffness!$C$40=6,IF(4=Element_Stiffness!$C$40,Element_Stiffness!Q65,IF(4=Element_Stiffness!$E$40,Element_Stiffness!W65,0)),IF(Element_Stiffness!$E$40=6,IF(4=Element_Stiffness!$C$40,Element_Stiffness!Q71,IF(4=Element_Stiffness!$E$40,Element_Stiffness!W71,0)),0)),0)+IF(Element_Stiffness!$C$76,IF(Element_Stiffness!$C$75=6,IF(4=Element_Stiffness!$C$75,Element_Stiffness!Q100,IF(4=Element_Stiffness!$E$75,Element_Stiffness!W100,0)),IF(Element_Stiffness!$E$75=6,IF(4=Element_Stiffness!$C$75,Element_Stiffness!Q106,IF(4=Element_Stiffness!$E$75,Element_Stiffness!W106,0)),0)),0)+IF(Element_Stiffness!$C$111,IF(Element_Stiffness!$C$110=6,IF(4=Element_Stiffness!$C$110,Element_Stiffness!Q135,IF(4=Element_Stiffness!$E$110,Element_Stiffness!W135,0)),IF(Element_Stiffness!$E$110=6,IF(4=Element_Stiffness!$C$110,Element_Stiffness!Q141,IF(4=Element_Stiffness!$E$110,Element_Stiffness!W141,0)),0)),0)+IF(Element_Stiffness!$C$146,IF(Element_Stiffness!$C$145=6,IF(4=Element_Stiffness!$C$145,Element_Stiffness!Q170,IF(4=Element_Stiffness!$E$145,Element_Stiffness!W170,0)),IF(Element_Stiffness!$E$145=6,IF(4=Element_Stiffness!$C$145,Element_Stiffness!Q176,IF(4=Element_Stiffness!$E$145,Element_Stiffness!W176,0)),0)),0)+IF(Element_Stiffness!$C$181,IF(Element_Stiffness!$C$180=6,IF(4=Element_Stiffness!$C$180,Element_Stiffness!Q205,IF(4=Element_Stiffness!$E$180,Element_Stiffness!W205,0)),IF(Element_Stiffness!$E$180=6,IF(4=Element_Stiffness!$C$180,Element_Stiffness!Q211,IF(4=Element_Stiffness!$E$180,Element_Stiffness!W211,0)),0)),0)+IF(Element_Stiffness!$C$216,IF(Element_Stiffness!$C$215=6,IF(4=Element_Stiffness!$C$215,Element_Stiffness!Q240,IF(4=Element_Stiffness!$E$215,Element_Stiffness!W240,0)),IF(Element_Stiffness!$E$215=6,IF(4=Element_Stiffness!$C$215,Element_Stiffness!Q246,IF(4=Element_Stiffness!$E$215,Element_Stiffness!W246,0)),0)),0)</f>
        <v/>
      </c>
      <c r="AC45" s="21">
        <f>IF(Element_Stiffness!$C$6,IF(Element_Stiffness!$C$5=6,IF(4=Element_Stiffness!$C$5,Element_Stiffness!R30,IF(4=Element_Stiffness!$E$5,Element_Stiffness!X30,0)),IF(Element_Stiffness!$E$5=6,IF(4=Element_Stiffness!$C$5,Element_Stiffness!R36,IF(4=Element_Stiffness!$E$5,Element_Stiffness!X36,0)),0)),0)+IF(Element_Stiffness!$C$41,IF(Element_Stiffness!$C$40=6,IF(4=Element_Stiffness!$C$40,Element_Stiffness!R65,IF(4=Element_Stiffness!$E$40,Element_Stiffness!X65,0)),IF(Element_Stiffness!$E$40=6,IF(4=Element_Stiffness!$C$40,Element_Stiffness!R71,IF(4=Element_Stiffness!$E$40,Element_Stiffness!X71,0)),0)),0)+IF(Element_Stiffness!$C$76,IF(Element_Stiffness!$C$75=6,IF(4=Element_Stiffness!$C$75,Element_Stiffness!R100,IF(4=Element_Stiffness!$E$75,Element_Stiffness!X100,0)),IF(Element_Stiffness!$E$75=6,IF(4=Element_Stiffness!$C$75,Element_Stiffness!R106,IF(4=Element_Stiffness!$E$75,Element_Stiffness!X106,0)),0)),0)+IF(Element_Stiffness!$C$111,IF(Element_Stiffness!$C$110=6,IF(4=Element_Stiffness!$C$110,Element_Stiffness!R135,IF(4=Element_Stiffness!$E$110,Element_Stiffness!X135,0)),IF(Element_Stiffness!$E$110=6,IF(4=Element_Stiffness!$C$110,Element_Stiffness!R141,IF(4=Element_Stiffness!$E$110,Element_Stiffness!X141,0)),0)),0)+IF(Element_Stiffness!$C$146,IF(Element_Stiffness!$C$145=6,IF(4=Element_Stiffness!$C$145,Element_Stiffness!R170,IF(4=Element_Stiffness!$E$145,Element_Stiffness!X170,0)),IF(Element_Stiffness!$E$145=6,IF(4=Element_Stiffness!$C$145,Element_Stiffness!R176,IF(4=Element_Stiffness!$E$145,Element_Stiffness!X176,0)),0)),0)+IF(Element_Stiffness!$C$181,IF(Element_Stiffness!$C$180=6,IF(4=Element_Stiffness!$C$180,Element_Stiffness!R205,IF(4=Element_Stiffness!$E$180,Element_Stiffness!X205,0)),IF(Element_Stiffness!$E$180=6,IF(4=Element_Stiffness!$C$180,Element_Stiffness!R211,IF(4=Element_Stiffness!$E$180,Element_Stiffness!X211,0)),0)),0)+IF(Element_Stiffness!$C$216,IF(Element_Stiffness!$C$215=6,IF(4=Element_Stiffness!$C$215,Element_Stiffness!R240,IF(4=Element_Stiffness!$E$215,Element_Stiffness!X240,0)),IF(Element_Stiffness!$E$215=6,IF(4=Element_Stiffness!$C$215,Element_Stiffness!R246,IF(4=Element_Stiffness!$E$215,Element_Stiffness!X246,0)),0)),0)</f>
        <v/>
      </c>
      <c r="AD45" s="21">
        <f>IF(Element_Stiffness!$C$6,IF(Element_Stiffness!$C$5=6,IF(4=Element_Stiffness!$C$5,Element_Stiffness!S30,IF(4=Element_Stiffness!$E$5,Element_Stiffness!Y30,0)),IF(Element_Stiffness!$E$5=6,IF(4=Element_Stiffness!$C$5,Element_Stiffness!S36,IF(4=Element_Stiffness!$E$5,Element_Stiffness!Y36,0)),0)),0)+IF(Element_Stiffness!$C$41,IF(Element_Stiffness!$C$40=6,IF(4=Element_Stiffness!$C$40,Element_Stiffness!S65,IF(4=Element_Stiffness!$E$40,Element_Stiffness!Y65,0)),IF(Element_Stiffness!$E$40=6,IF(4=Element_Stiffness!$C$40,Element_Stiffness!S71,IF(4=Element_Stiffness!$E$40,Element_Stiffness!Y71,0)),0)),0)+IF(Element_Stiffness!$C$76,IF(Element_Stiffness!$C$75=6,IF(4=Element_Stiffness!$C$75,Element_Stiffness!S100,IF(4=Element_Stiffness!$E$75,Element_Stiffness!Y100,0)),IF(Element_Stiffness!$E$75=6,IF(4=Element_Stiffness!$C$75,Element_Stiffness!S106,IF(4=Element_Stiffness!$E$75,Element_Stiffness!Y106,0)),0)),0)+IF(Element_Stiffness!$C$111,IF(Element_Stiffness!$C$110=6,IF(4=Element_Stiffness!$C$110,Element_Stiffness!S135,IF(4=Element_Stiffness!$E$110,Element_Stiffness!Y135,0)),IF(Element_Stiffness!$E$110=6,IF(4=Element_Stiffness!$C$110,Element_Stiffness!S141,IF(4=Element_Stiffness!$E$110,Element_Stiffness!Y141,0)),0)),0)+IF(Element_Stiffness!$C$146,IF(Element_Stiffness!$C$145=6,IF(4=Element_Stiffness!$C$145,Element_Stiffness!S170,IF(4=Element_Stiffness!$E$145,Element_Stiffness!Y170,0)),IF(Element_Stiffness!$E$145=6,IF(4=Element_Stiffness!$C$145,Element_Stiffness!S176,IF(4=Element_Stiffness!$E$145,Element_Stiffness!Y176,0)),0)),0)+IF(Element_Stiffness!$C$181,IF(Element_Stiffness!$C$180=6,IF(4=Element_Stiffness!$C$180,Element_Stiffness!S205,IF(4=Element_Stiffness!$E$180,Element_Stiffness!Y205,0)),IF(Element_Stiffness!$E$180=6,IF(4=Element_Stiffness!$C$180,Element_Stiffness!S211,IF(4=Element_Stiffness!$E$180,Element_Stiffness!Y211,0)),0)),0)+IF(Element_Stiffness!$C$216,IF(Element_Stiffness!$C$215=6,IF(4=Element_Stiffness!$C$215,Element_Stiffness!S240,IF(4=Element_Stiffness!$E$215,Element_Stiffness!Y240,0)),IF(Element_Stiffness!$E$215=6,IF(4=Element_Stiffness!$C$215,Element_Stiffness!S246,IF(4=Element_Stiffness!$E$215,Element_Stiffness!Y246,0)),0)),0)</f>
        <v/>
      </c>
      <c r="AE45" s="21">
        <f>IF(Element_Stiffness!$C$6,IF(Element_Stiffness!$C$5=6,IF(4=Element_Stiffness!$C$5,Element_Stiffness!T30,IF(4=Element_Stiffness!$E$5,Element_Stiffness!Z30,0)),IF(Element_Stiffness!$E$5=6,IF(4=Element_Stiffness!$C$5,Element_Stiffness!T36,IF(4=Element_Stiffness!$E$5,Element_Stiffness!Z36,0)),0)),0)+IF(Element_Stiffness!$C$41,IF(Element_Stiffness!$C$40=6,IF(4=Element_Stiffness!$C$40,Element_Stiffness!T65,IF(4=Element_Stiffness!$E$40,Element_Stiffness!Z65,0)),IF(Element_Stiffness!$E$40=6,IF(4=Element_Stiffness!$C$40,Element_Stiffness!T71,IF(4=Element_Stiffness!$E$40,Element_Stiffness!Z71,0)),0)),0)+IF(Element_Stiffness!$C$76,IF(Element_Stiffness!$C$75=6,IF(4=Element_Stiffness!$C$75,Element_Stiffness!T100,IF(4=Element_Stiffness!$E$75,Element_Stiffness!Z100,0)),IF(Element_Stiffness!$E$75=6,IF(4=Element_Stiffness!$C$75,Element_Stiffness!T106,IF(4=Element_Stiffness!$E$75,Element_Stiffness!Z106,0)),0)),0)+IF(Element_Stiffness!$C$111,IF(Element_Stiffness!$C$110=6,IF(4=Element_Stiffness!$C$110,Element_Stiffness!T135,IF(4=Element_Stiffness!$E$110,Element_Stiffness!Z135,0)),IF(Element_Stiffness!$E$110=6,IF(4=Element_Stiffness!$C$110,Element_Stiffness!T141,IF(4=Element_Stiffness!$E$110,Element_Stiffness!Z141,0)),0)),0)+IF(Element_Stiffness!$C$146,IF(Element_Stiffness!$C$145=6,IF(4=Element_Stiffness!$C$145,Element_Stiffness!T170,IF(4=Element_Stiffness!$E$145,Element_Stiffness!Z170,0)),IF(Element_Stiffness!$E$145=6,IF(4=Element_Stiffness!$C$145,Element_Stiffness!T176,IF(4=Element_Stiffness!$E$145,Element_Stiffness!Z176,0)),0)),0)+IF(Element_Stiffness!$C$181,IF(Element_Stiffness!$C$180=6,IF(4=Element_Stiffness!$C$180,Element_Stiffness!T205,IF(4=Element_Stiffness!$E$180,Element_Stiffness!Z205,0)),IF(Element_Stiffness!$E$180=6,IF(4=Element_Stiffness!$C$180,Element_Stiffness!T211,IF(4=Element_Stiffness!$E$180,Element_Stiffness!Z211,0)),0)),0)+IF(Element_Stiffness!$C$216,IF(Element_Stiffness!$C$215=6,IF(4=Element_Stiffness!$C$215,Element_Stiffness!T240,IF(4=Element_Stiffness!$E$215,Element_Stiffness!Z240,0)),IF(Element_Stiffness!$E$215=6,IF(4=Element_Stiffness!$C$215,Element_Stiffness!T246,IF(4=Element_Stiffness!$E$215,Element_Stiffness!Z246,0)),0)),0)</f>
        <v/>
      </c>
      <c r="AF45" s="21">
        <f>IF(Element_Stiffness!$C$6,IF(Element_Stiffness!$C$5=6,IF(4=Element_Stiffness!$C$5,Element_Stiffness!U30,IF(4=Element_Stiffness!$E$5,Element_Stiffness!AA30,0)),IF(Element_Stiffness!$E$5=6,IF(4=Element_Stiffness!$C$5,Element_Stiffness!U36,IF(4=Element_Stiffness!$E$5,Element_Stiffness!AA36,0)),0)),0)+IF(Element_Stiffness!$C$41,IF(Element_Stiffness!$C$40=6,IF(4=Element_Stiffness!$C$40,Element_Stiffness!U65,IF(4=Element_Stiffness!$E$40,Element_Stiffness!AA65,0)),IF(Element_Stiffness!$E$40=6,IF(4=Element_Stiffness!$C$40,Element_Stiffness!U71,IF(4=Element_Stiffness!$E$40,Element_Stiffness!AA71,0)),0)),0)+IF(Element_Stiffness!$C$76,IF(Element_Stiffness!$C$75=6,IF(4=Element_Stiffness!$C$75,Element_Stiffness!U100,IF(4=Element_Stiffness!$E$75,Element_Stiffness!AA100,0)),IF(Element_Stiffness!$E$75=6,IF(4=Element_Stiffness!$C$75,Element_Stiffness!U106,IF(4=Element_Stiffness!$E$75,Element_Stiffness!AA106,0)),0)),0)+IF(Element_Stiffness!$C$111,IF(Element_Stiffness!$C$110=6,IF(4=Element_Stiffness!$C$110,Element_Stiffness!U135,IF(4=Element_Stiffness!$E$110,Element_Stiffness!AA135,0)),IF(Element_Stiffness!$E$110=6,IF(4=Element_Stiffness!$C$110,Element_Stiffness!U141,IF(4=Element_Stiffness!$E$110,Element_Stiffness!AA141,0)),0)),0)+IF(Element_Stiffness!$C$146,IF(Element_Stiffness!$C$145=6,IF(4=Element_Stiffness!$C$145,Element_Stiffness!U170,IF(4=Element_Stiffness!$E$145,Element_Stiffness!AA170,0)),IF(Element_Stiffness!$E$145=6,IF(4=Element_Stiffness!$C$145,Element_Stiffness!U176,IF(4=Element_Stiffness!$E$145,Element_Stiffness!AA176,0)),0)),0)+IF(Element_Stiffness!$C$181,IF(Element_Stiffness!$C$180=6,IF(4=Element_Stiffness!$C$180,Element_Stiffness!U205,IF(4=Element_Stiffness!$E$180,Element_Stiffness!AA205,0)),IF(Element_Stiffness!$E$180=6,IF(4=Element_Stiffness!$C$180,Element_Stiffness!U211,IF(4=Element_Stiffness!$E$180,Element_Stiffness!AA211,0)),0)),0)+IF(Element_Stiffness!$C$216,IF(Element_Stiffness!$C$215=6,IF(4=Element_Stiffness!$C$215,Element_Stiffness!U240,IF(4=Element_Stiffness!$E$215,Element_Stiffness!AA240,0)),IF(Element_Stiffness!$E$215=6,IF(4=Element_Stiffness!$C$215,Element_Stiffness!U246,IF(4=Element_Stiffness!$E$215,Element_Stiffness!AA246,0)),0)),0)</f>
        <v/>
      </c>
      <c r="AG45" s="21">
        <f>IF(Element_Stiffness!$C$6,IF(Element_Stiffness!$C$5=6,IF(5=Element_Stiffness!$C$5,Element_Stiffness!P30,IF(5=Element_Stiffness!$E$5,Element_Stiffness!V30,0)),IF(Element_Stiffness!$E$5=6,IF(5=Element_Stiffness!$C$5,Element_Stiffness!P36,IF(5=Element_Stiffness!$E$5,Element_Stiffness!V36,0)),0)),0)+IF(Element_Stiffness!$C$41,IF(Element_Stiffness!$C$40=6,IF(5=Element_Stiffness!$C$40,Element_Stiffness!P65,IF(5=Element_Stiffness!$E$40,Element_Stiffness!V65,0)),IF(Element_Stiffness!$E$40=6,IF(5=Element_Stiffness!$C$40,Element_Stiffness!P71,IF(5=Element_Stiffness!$E$40,Element_Stiffness!V71,0)),0)),0)+IF(Element_Stiffness!$C$76,IF(Element_Stiffness!$C$75=6,IF(5=Element_Stiffness!$C$75,Element_Stiffness!P100,IF(5=Element_Stiffness!$E$75,Element_Stiffness!V100,0)),IF(Element_Stiffness!$E$75=6,IF(5=Element_Stiffness!$C$75,Element_Stiffness!P106,IF(5=Element_Stiffness!$E$75,Element_Stiffness!V106,0)),0)),0)+IF(Element_Stiffness!$C$111,IF(Element_Stiffness!$C$110=6,IF(5=Element_Stiffness!$C$110,Element_Stiffness!P135,IF(5=Element_Stiffness!$E$110,Element_Stiffness!V135,0)),IF(Element_Stiffness!$E$110=6,IF(5=Element_Stiffness!$C$110,Element_Stiffness!P141,IF(5=Element_Stiffness!$E$110,Element_Stiffness!V141,0)),0)),0)+IF(Element_Stiffness!$C$146,IF(Element_Stiffness!$C$145=6,IF(5=Element_Stiffness!$C$145,Element_Stiffness!P170,IF(5=Element_Stiffness!$E$145,Element_Stiffness!V170,0)),IF(Element_Stiffness!$E$145=6,IF(5=Element_Stiffness!$C$145,Element_Stiffness!P176,IF(5=Element_Stiffness!$E$145,Element_Stiffness!V176,0)),0)),0)+IF(Element_Stiffness!$C$181,IF(Element_Stiffness!$C$180=6,IF(5=Element_Stiffness!$C$180,Element_Stiffness!P205,IF(5=Element_Stiffness!$E$180,Element_Stiffness!V205,0)),IF(Element_Stiffness!$E$180=6,IF(5=Element_Stiffness!$C$180,Element_Stiffness!P211,IF(5=Element_Stiffness!$E$180,Element_Stiffness!V211,0)),0)),0)+IF(Element_Stiffness!$C$216,IF(Element_Stiffness!$C$215=6,IF(5=Element_Stiffness!$C$215,Element_Stiffness!P240,IF(5=Element_Stiffness!$E$215,Element_Stiffness!V240,0)),IF(Element_Stiffness!$E$215=6,IF(5=Element_Stiffness!$C$215,Element_Stiffness!P246,IF(5=Element_Stiffness!$E$215,Element_Stiffness!V246,0)),0)),0)</f>
        <v/>
      </c>
      <c r="AH45" s="21">
        <f>IF(Element_Stiffness!$C$6,IF(Element_Stiffness!$C$5=6,IF(5=Element_Stiffness!$C$5,Element_Stiffness!Q30,IF(5=Element_Stiffness!$E$5,Element_Stiffness!W30,0)),IF(Element_Stiffness!$E$5=6,IF(5=Element_Stiffness!$C$5,Element_Stiffness!Q36,IF(5=Element_Stiffness!$E$5,Element_Stiffness!W36,0)),0)),0)+IF(Element_Stiffness!$C$41,IF(Element_Stiffness!$C$40=6,IF(5=Element_Stiffness!$C$40,Element_Stiffness!Q65,IF(5=Element_Stiffness!$E$40,Element_Stiffness!W65,0)),IF(Element_Stiffness!$E$40=6,IF(5=Element_Stiffness!$C$40,Element_Stiffness!Q71,IF(5=Element_Stiffness!$E$40,Element_Stiffness!W71,0)),0)),0)+IF(Element_Stiffness!$C$76,IF(Element_Stiffness!$C$75=6,IF(5=Element_Stiffness!$C$75,Element_Stiffness!Q100,IF(5=Element_Stiffness!$E$75,Element_Stiffness!W100,0)),IF(Element_Stiffness!$E$75=6,IF(5=Element_Stiffness!$C$75,Element_Stiffness!Q106,IF(5=Element_Stiffness!$E$75,Element_Stiffness!W106,0)),0)),0)+IF(Element_Stiffness!$C$111,IF(Element_Stiffness!$C$110=6,IF(5=Element_Stiffness!$C$110,Element_Stiffness!Q135,IF(5=Element_Stiffness!$E$110,Element_Stiffness!W135,0)),IF(Element_Stiffness!$E$110=6,IF(5=Element_Stiffness!$C$110,Element_Stiffness!Q141,IF(5=Element_Stiffness!$E$110,Element_Stiffness!W141,0)),0)),0)+IF(Element_Stiffness!$C$146,IF(Element_Stiffness!$C$145=6,IF(5=Element_Stiffness!$C$145,Element_Stiffness!Q170,IF(5=Element_Stiffness!$E$145,Element_Stiffness!W170,0)),IF(Element_Stiffness!$E$145=6,IF(5=Element_Stiffness!$C$145,Element_Stiffness!Q176,IF(5=Element_Stiffness!$E$145,Element_Stiffness!W176,0)),0)),0)+IF(Element_Stiffness!$C$181,IF(Element_Stiffness!$C$180=6,IF(5=Element_Stiffness!$C$180,Element_Stiffness!Q205,IF(5=Element_Stiffness!$E$180,Element_Stiffness!W205,0)),IF(Element_Stiffness!$E$180=6,IF(5=Element_Stiffness!$C$180,Element_Stiffness!Q211,IF(5=Element_Stiffness!$E$180,Element_Stiffness!W211,0)),0)),0)+IF(Element_Stiffness!$C$216,IF(Element_Stiffness!$C$215=6,IF(5=Element_Stiffness!$C$215,Element_Stiffness!Q240,IF(5=Element_Stiffness!$E$215,Element_Stiffness!W240,0)),IF(Element_Stiffness!$E$215=6,IF(5=Element_Stiffness!$C$215,Element_Stiffness!Q246,IF(5=Element_Stiffness!$E$215,Element_Stiffness!W246,0)),0)),0)</f>
        <v/>
      </c>
      <c r="AI45" s="21">
        <f>IF(Element_Stiffness!$C$6,IF(Element_Stiffness!$C$5=6,IF(5=Element_Stiffness!$C$5,Element_Stiffness!R30,IF(5=Element_Stiffness!$E$5,Element_Stiffness!X30,0)),IF(Element_Stiffness!$E$5=6,IF(5=Element_Stiffness!$C$5,Element_Stiffness!R36,IF(5=Element_Stiffness!$E$5,Element_Stiffness!X36,0)),0)),0)+IF(Element_Stiffness!$C$41,IF(Element_Stiffness!$C$40=6,IF(5=Element_Stiffness!$C$40,Element_Stiffness!R65,IF(5=Element_Stiffness!$E$40,Element_Stiffness!X65,0)),IF(Element_Stiffness!$E$40=6,IF(5=Element_Stiffness!$C$40,Element_Stiffness!R71,IF(5=Element_Stiffness!$E$40,Element_Stiffness!X71,0)),0)),0)+IF(Element_Stiffness!$C$76,IF(Element_Stiffness!$C$75=6,IF(5=Element_Stiffness!$C$75,Element_Stiffness!R100,IF(5=Element_Stiffness!$E$75,Element_Stiffness!X100,0)),IF(Element_Stiffness!$E$75=6,IF(5=Element_Stiffness!$C$75,Element_Stiffness!R106,IF(5=Element_Stiffness!$E$75,Element_Stiffness!X106,0)),0)),0)+IF(Element_Stiffness!$C$111,IF(Element_Stiffness!$C$110=6,IF(5=Element_Stiffness!$C$110,Element_Stiffness!R135,IF(5=Element_Stiffness!$E$110,Element_Stiffness!X135,0)),IF(Element_Stiffness!$E$110=6,IF(5=Element_Stiffness!$C$110,Element_Stiffness!R141,IF(5=Element_Stiffness!$E$110,Element_Stiffness!X141,0)),0)),0)+IF(Element_Stiffness!$C$146,IF(Element_Stiffness!$C$145=6,IF(5=Element_Stiffness!$C$145,Element_Stiffness!R170,IF(5=Element_Stiffness!$E$145,Element_Stiffness!X170,0)),IF(Element_Stiffness!$E$145=6,IF(5=Element_Stiffness!$C$145,Element_Stiffness!R176,IF(5=Element_Stiffness!$E$145,Element_Stiffness!X176,0)),0)),0)+IF(Element_Stiffness!$C$181,IF(Element_Stiffness!$C$180=6,IF(5=Element_Stiffness!$C$180,Element_Stiffness!R205,IF(5=Element_Stiffness!$E$180,Element_Stiffness!X205,0)),IF(Element_Stiffness!$E$180=6,IF(5=Element_Stiffness!$C$180,Element_Stiffness!R211,IF(5=Element_Stiffness!$E$180,Element_Stiffness!X211,0)),0)),0)+IF(Element_Stiffness!$C$216,IF(Element_Stiffness!$C$215=6,IF(5=Element_Stiffness!$C$215,Element_Stiffness!R240,IF(5=Element_Stiffness!$E$215,Element_Stiffness!X240,0)),IF(Element_Stiffness!$E$215=6,IF(5=Element_Stiffness!$C$215,Element_Stiffness!R246,IF(5=Element_Stiffness!$E$215,Element_Stiffness!X246,0)),0)),0)</f>
        <v/>
      </c>
      <c r="AJ45" s="21">
        <f>IF(Element_Stiffness!$C$6,IF(Element_Stiffness!$C$5=6,IF(5=Element_Stiffness!$C$5,Element_Stiffness!S30,IF(5=Element_Stiffness!$E$5,Element_Stiffness!Y30,0)),IF(Element_Stiffness!$E$5=6,IF(5=Element_Stiffness!$C$5,Element_Stiffness!S36,IF(5=Element_Stiffness!$E$5,Element_Stiffness!Y36,0)),0)),0)+IF(Element_Stiffness!$C$41,IF(Element_Stiffness!$C$40=6,IF(5=Element_Stiffness!$C$40,Element_Stiffness!S65,IF(5=Element_Stiffness!$E$40,Element_Stiffness!Y65,0)),IF(Element_Stiffness!$E$40=6,IF(5=Element_Stiffness!$C$40,Element_Stiffness!S71,IF(5=Element_Stiffness!$E$40,Element_Stiffness!Y71,0)),0)),0)+IF(Element_Stiffness!$C$76,IF(Element_Stiffness!$C$75=6,IF(5=Element_Stiffness!$C$75,Element_Stiffness!S100,IF(5=Element_Stiffness!$E$75,Element_Stiffness!Y100,0)),IF(Element_Stiffness!$E$75=6,IF(5=Element_Stiffness!$C$75,Element_Stiffness!S106,IF(5=Element_Stiffness!$E$75,Element_Stiffness!Y106,0)),0)),0)+IF(Element_Stiffness!$C$111,IF(Element_Stiffness!$C$110=6,IF(5=Element_Stiffness!$C$110,Element_Stiffness!S135,IF(5=Element_Stiffness!$E$110,Element_Stiffness!Y135,0)),IF(Element_Stiffness!$E$110=6,IF(5=Element_Stiffness!$C$110,Element_Stiffness!S141,IF(5=Element_Stiffness!$E$110,Element_Stiffness!Y141,0)),0)),0)+IF(Element_Stiffness!$C$146,IF(Element_Stiffness!$C$145=6,IF(5=Element_Stiffness!$C$145,Element_Stiffness!S170,IF(5=Element_Stiffness!$E$145,Element_Stiffness!Y170,0)),IF(Element_Stiffness!$E$145=6,IF(5=Element_Stiffness!$C$145,Element_Stiffness!S176,IF(5=Element_Stiffness!$E$145,Element_Stiffness!Y176,0)),0)),0)+IF(Element_Stiffness!$C$181,IF(Element_Stiffness!$C$180=6,IF(5=Element_Stiffness!$C$180,Element_Stiffness!S205,IF(5=Element_Stiffness!$E$180,Element_Stiffness!Y205,0)),IF(Element_Stiffness!$E$180=6,IF(5=Element_Stiffness!$C$180,Element_Stiffness!S211,IF(5=Element_Stiffness!$E$180,Element_Stiffness!Y211,0)),0)),0)+IF(Element_Stiffness!$C$216,IF(Element_Stiffness!$C$215=6,IF(5=Element_Stiffness!$C$215,Element_Stiffness!S240,IF(5=Element_Stiffness!$E$215,Element_Stiffness!Y240,0)),IF(Element_Stiffness!$E$215=6,IF(5=Element_Stiffness!$C$215,Element_Stiffness!S246,IF(5=Element_Stiffness!$E$215,Element_Stiffness!Y246,0)),0)),0)</f>
        <v/>
      </c>
      <c r="AK45" s="21">
        <f>IF(Element_Stiffness!$C$6,IF(Element_Stiffness!$C$5=6,IF(5=Element_Stiffness!$C$5,Element_Stiffness!T30,IF(5=Element_Stiffness!$E$5,Element_Stiffness!Z30,0)),IF(Element_Stiffness!$E$5=6,IF(5=Element_Stiffness!$C$5,Element_Stiffness!T36,IF(5=Element_Stiffness!$E$5,Element_Stiffness!Z36,0)),0)),0)+IF(Element_Stiffness!$C$41,IF(Element_Stiffness!$C$40=6,IF(5=Element_Stiffness!$C$40,Element_Stiffness!T65,IF(5=Element_Stiffness!$E$40,Element_Stiffness!Z65,0)),IF(Element_Stiffness!$E$40=6,IF(5=Element_Stiffness!$C$40,Element_Stiffness!T71,IF(5=Element_Stiffness!$E$40,Element_Stiffness!Z71,0)),0)),0)+IF(Element_Stiffness!$C$76,IF(Element_Stiffness!$C$75=6,IF(5=Element_Stiffness!$C$75,Element_Stiffness!T100,IF(5=Element_Stiffness!$E$75,Element_Stiffness!Z100,0)),IF(Element_Stiffness!$E$75=6,IF(5=Element_Stiffness!$C$75,Element_Stiffness!T106,IF(5=Element_Stiffness!$E$75,Element_Stiffness!Z106,0)),0)),0)+IF(Element_Stiffness!$C$111,IF(Element_Stiffness!$C$110=6,IF(5=Element_Stiffness!$C$110,Element_Stiffness!T135,IF(5=Element_Stiffness!$E$110,Element_Stiffness!Z135,0)),IF(Element_Stiffness!$E$110=6,IF(5=Element_Stiffness!$C$110,Element_Stiffness!T141,IF(5=Element_Stiffness!$E$110,Element_Stiffness!Z141,0)),0)),0)+IF(Element_Stiffness!$C$146,IF(Element_Stiffness!$C$145=6,IF(5=Element_Stiffness!$C$145,Element_Stiffness!T170,IF(5=Element_Stiffness!$E$145,Element_Stiffness!Z170,0)),IF(Element_Stiffness!$E$145=6,IF(5=Element_Stiffness!$C$145,Element_Stiffness!T176,IF(5=Element_Stiffness!$E$145,Element_Stiffness!Z176,0)),0)),0)+IF(Element_Stiffness!$C$181,IF(Element_Stiffness!$C$180=6,IF(5=Element_Stiffness!$C$180,Element_Stiffness!T205,IF(5=Element_Stiffness!$E$180,Element_Stiffness!Z205,0)),IF(Element_Stiffness!$E$180=6,IF(5=Element_Stiffness!$C$180,Element_Stiffness!T211,IF(5=Element_Stiffness!$E$180,Element_Stiffness!Z211,0)),0)),0)+IF(Element_Stiffness!$C$216,IF(Element_Stiffness!$C$215=6,IF(5=Element_Stiffness!$C$215,Element_Stiffness!T240,IF(5=Element_Stiffness!$E$215,Element_Stiffness!Z240,0)),IF(Element_Stiffness!$E$215=6,IF(5=Element_Stiffness!$C$215,Element_Stiffness!T246,IF(5=Element_Stiffness!$E$215,Element_Stiffness!Z246,0)),0)),0)</f>
        <v/>
      </c>
      <c r="AL45" s="21">
        <f>IF(Element_Stiffness!$C$6,IF(Element_Stiffness!$C$5=6,IF(5=Element_Stiffness!$C$5,Element_Stiffness!U30,IF(5=Element_Stiffness!$E$5,Element_Stiffness!AA30,0)),IF(Element_Stiffness!$E$5=6,IF(5=Element_Stiffness!$C$5,Element_Stiffness!U36,IF(5=Element_Stiffness!$E$5,Element_Stiffness!AA36,0)),0)),0)+IF(Element_Stiffness!$C$41,IF(Element_Stiffness!$C$40=6,IF(5=Element_Stiffness!$C$40,Element_Stiffness!U65,IF(5=Element_Stiffness!$E$40,Element_Stiffness!AA65,0)),IF(Element_Stiffness!$E$40=6,IF(5=Element_Stiffness!$C$40,Element_Stiffness!U71,IF(5=Element_Stiffness!$E$40,Element_Stiffness!AA71,0)),0)),0)+IF(Element_Stiffness!$C$76,IF(Element_Stiffness!$C$75=6,IF(5=Element_Stiffness!$C$75,Element_Stiffness!U100,IF(5=Element_Stiffness!$E$75,Element_Stiffness!AA100,0)),IF(Element_Stiffness!$E$75=6,IF(5=Element_Stiffness!$C$75,Element_Stiffness!U106,IF(5=Element_Stiffness!$E$75,Element_Stiffness!AA106,0)),0)),0)+IF(Element_Stiffness!$C$111,IF(Element_Stiffness!$C$110=6,IF(5=Element_Stiffness!$C$110,Element_Stiffness!U135,IF(5=Element_Stiffness!$E$110,Element_Stiffness!AA135,0)),IF(Element_Stiffness!$E$110=6,IF(5=Element_Stiffness!$C$110,Element_Stiffness!U141,IF(5=Element_Stiffness!$E$110,Element_Stiffness!AA141,0)),0)),0)+IF(Element_Stiffness!$C$146,IF(Element_Stiffness!$C$145=6,IF(5=Element_Stiffness!$C$145,Element_Stiffness!U170,IF(5=Element_Stiffness!$E$145,Element_Stiffness!AA170,0)),IF(Element_Stiffness!$E$145=6,IF(5=Element_Stiffness!$C$145,Element_Stiffness!U176,IF(5=Element_Stiffness!$E$145,Element_Stiffness!AA176,0)),0)),0)+IF(Element_Stiffness!$C$181,IF(Element_Stiffness!$C$180=6,IF(5=Element_Stiffness!$C$180,Element_Stiffness!U205,IF(5=Element_Stiffness!$E$180,Element_Stiffness!AA205,0)),IF(Element_Stiffness!$E$180=6,IF(5=Element_Stiffness!$C$180,Element_Stiffness!U211,IF(5=Element_Stiffness!$E$180,Element_Stiffness!AA211,0)),0)),0)+IF(Element_Stiffness!$C$216,IF(Element_Stiffness!$C$215=6,IF(5=Element_Stiffness!$C$215,Element_Stiffness!U240,IF(5=Element_Stiffness!$E$215,Element_Stiffness!AA240,0)),IF(Element_Stiffness!$E$215=6,IF(5=Element_Stiffness!$C$215,Element_Stiffness!U246,IF(5=Element_Stiffness!$E$215,Element_Stiffness!AA246,0)),0)),0)</f>
        <v/>
      </c>
      <c r="AM45" s="21">
        <f>IF(Element_Stiffness!$C$6,IF(Element_Stiffness!$C$5=6,IF(6=Element_Stiffness!$C$5,Element_Stiffness!P30,IF(6=Element_Stiffness!$E$5,Element_Stiffness!V30,0)),IF(Element_Stiffness!$E$5=6,IF(6=Element_Stiffness!$C$5,Element_Stiffness!P36,IF(6=Element_Stiffness!$E$5,Element_Stiffness!V36,0)),0)),0)+IF(Element_Stiffness!$C$41,IF(Element_Stiffness!$C$40=6,IF(6=Element_Stiffness!$C$40,Element_Stiffness!P65,IF(6=Element_Stiffness!$E$40,Element_Stiffness!V65,0)),IF(Element_Stiffness!$E$40=6,IF(6=Element_Stiffness!$C$40,Element_Stiffness!P71,IF(6=Element_Stiffness!$E$40,Element_Stiffness!V71,0)),0)),0)+IF(Element_Stiffness!$C$76,IF(Element_Stiffness!$C$75=6,IF(6=Element_Stiffness!$C$75,Element_Stiffness!P100,IF(6=Element_Stiffness!$E$75,Element_Stiffness!V100,0)),IF(Element_Stiffness!$E$75=6,IF(6=Element_Stiffness!$C$75,Element_Stiffness!P106,IF(6=Element_Stiffness!$E$75,Element_Stiffness!V106,0)),0)),0)+IF(Element_Stiffness!$C$111,IF(Element_Stiffness!$C$110=6,IF(6=Element_Stiffness!$C$110,Element_Stiffness!P135,IF(6=Element_Stiffness!$E$110,Element_Stiffness!V135,0)),IF(Element_Stiffness!$E$110=6,IF(6=Element_Stiffness!$C$110,Element_Stiffness!P141,IF(6=Element_Stiffness!$E$110,Element_Stiffness!V141,0)),0)),0)+IF(Element_Stiffness!$C$146,IF(Element_Stiffness!$C$145=6,IF(6=Element_Stiffness!$C$145,Element_Stiffness!P170,IF(6=Element_Stiffness!$E$145,Element_Stiffness!V170,0)),IF(Element_Stiffness!$E$145=6,IF(6=Element_Stiffness!$C$145,Element_Stiffness!P176,IF(6=Element_Stiffness!$E$145,Element_Stiffness!V176,0)),0)),0)+IF(Element_Stiffness!$C$181,IF(Element_Stiffness!$C$180=6,IF(6=Element_Stiffness!$C$180,Element_Stiffness!P205,IF(6=Element_Stiffness!$E$180,Element_Stiffness!V205,0)),IF(Element_Stiffness!$E$180=6,IF(6=Element_Stiffness!$C$180,Element_Stiffness!P211,IF(6=Element_Stiffness!$E$180,Element_Stiffness!V211,0)),0)),0)+IF(Element_Stiffness!$C$216,IF(Element_Stiffness!$C$215=6,IF(6=Element_Stiffness!$C$215,Element_Stiffness!P240,IF(6=Element_Stiffness!$E$215,Element_Stiffness!V240,0)),IF(Element_Stiffness!$E$215=6,IF(6=Element_Stiffness!$C$215,Element_Stiffness!P246,IF(6=Element_Stiffness!$E$215,Element_Stiffness!V246,0)),0)),0)</f>
        <v/>
      </c>
      <c r="AN45" s="21">
        <f>IF(Element_Stiffness!$C$6,IF(Element_Stiffness!$C$5=6,IF(6=Element_Stiffness!$C$5,Element_Stiffness!Q30,IF(6=Element_Stiffness!$E$5,Element_Stiffness!W30,0)),IF(Element_Stiffness!$E$5=6,IF(6=Element_Stiffness!$C$5,Element_Stiffness!Q36,IF(6=Element_Stiffness!$E$5,Element_Stiffness!W36,0)),0)),0)+IF(Element_Stiffness!$C$41,IF(Element_Stiffness!$C$40=6,IF(6=Element_Stiffness!$C$40,Element_Stiffness!Q65,IF(6=Element_Stiffness!$E$40,Element_Stiffness!W65,0)),IF(Element_Stiffness!$E$40=6,IF(6=Element_Stiffness!$C$40,Element_Stiffness!Q71,IF(6=Element_Stiffness!$E$40,Element_Stiffness!W71,0)),0)),0)+IF(Element_Stiffness!$C$76,IF(Element_Stiffness!$C$75=6,IF(6=Element_Stiffness!$C$75,Element_Stiffness!Q100,IF(6=Element_Stiffness!$E$75,Element_Stiffness!W100,0)),IF(Element_Stiffness!$E$75=6,IF(6=Element_Stiffness!$C$75,Element_Stiffness!Q106,IF(6=Element_Stiffness!$E$75,Element_Stiffness!W106,0)),0)),0)+IF(Element_Stiffness!$C$111,IF(Element_Stiffness!$C$110=6,IF(6=Element_Stiffness!$C$110,Element_Stiffness!Q135,IF(6=Element_Stiffness!$E$110,Element_Stiffness!W135,0)),IF(Element_Stiffness!$E$110=6,IF(6=Element_Stiffness!$C$110,Element_Stiffness!Q141,IF(6=Element_Stiffness!$E$110,Element_Stiffness!W141,0)),0)),0)+IF(Element_Stiffness!$C$146,IF(Element_Stiffness!$C$145=6,IF(6=Element_Stiffness!$C$145,Element_Stiffness!Q170,IF(6=Element_Stiffness!$E$145,Element_Stiffness!W170,0)),IF(Element_Stiffness!$E$145=6,IF(6=Element_Stiffness!$C$145,Element_Stiffness!Q176,IF(6=Element_Stiffness!$E$145,Element_Stiffness!W176,0)),0)),0)+IF(Element_Stiffness!$C$181,IF(Element_Stiffness!$C$180=6,IF(6=Element_Stiffness!$C$180,Element_Stiffness!Q205,IF(6=Element_Stiffness!$E$180,Element_Stiffness!W205,0)),IF(Element_Stiffness!$E$180=6,IF(6=Element_Stiffness!$C$180,Element_Stiffness!Q211,IF(6=Element_Stiffness!$E$180,Element_Stiffness!W211,0)),0)),0)+IF(Element_Stiffness!$C$216,IF(Element_Stiffness!$C$215=6,IF(6=Element_Stiffness!$C$215,Element_Stiffness!Q240,IF(6=Element_Stiffness!$E$215,Element_Stiffness!W240,0)),IF(Element_Stiffness!$E$215=6,IF(6=Element_Stiffness!$C$215,Element_Stiffness!Q246,IF(6=Element_Stiffness!$E$215,Element_Stiffness!W246,0)),0)),0)</f>
        <v/>
      </c>
      <c r="AO45" s="21">
        <f>IF(Element_Stiffness!$C$6,IF(Element_Stiffness!$C$5=6,IF(6=Element_Stiffness!$C$5,Element_Stiffness!R30,IF(6=Element_Stiffness!$E$5,Element_Stiffness!X30,0)),IF(Element_Stiffness!$E$5=6,IF(6=Element_Stiffness!$C$5,Element_Stiffness!R36,IF(6=Element_Stiffness!$E$5,Element_Stiffness!X36,0)),0)),0)+IF(Element_Stiffness!$C$41,IF(Element_Stiffness!$C$40=6,IF(6=Element_Stiffness!$C$40,Element_Stiffness!R65,IF(6=Element_Stiffness!$E$40,Element_Stiffness!X65,0)),IF(Element_Stiffness!$E$40=6,IF(6=Element_Stiffness!$C$40,Element_Stiffness!R71,IF(6=Element_Stiffness!$E$40,Element_Stiffness!X71,0)),0)),0)+IF(Element_Stiffness!$C$76,IF(Element_Stiffness!$C$75=6,IF(6=Element_Stiffness!$C$75,Element_Stiffness!R100,IF(6=Element_Stiffness!$E$75,Element_Stiffness!X100,0)),IF(Element_Stiffness!$E$75=6,IF(6=Element_Stiffness!$C$75,Element_Stiffness!R106,IF(6=Element_Stiffness!$E$75,Element_Stiffness!X106,0)),0)),0)+IF(Element_Stiffness!$C$111,IF(Element_Stiffness!$C$110=6,IF(6=Element_Stiffness!$C$110,Element_Stiffness!R135,IF(6=Element_Stiffness!$E$110,Element_Stiffness!X135,0)),IF(Element_Stiffness!$E$110=6,IF(6=Element_Stiffness!$C$110,Element_Stiffness!R141,IF(6=Element_Stiffness!$E$110,Element_Stiffness!X141,0)),0)),0)+IF(Element_Stiffness!$C$146,IF(Element_Stiffness!$C$145=6,IF(6=Element_Stiffness!$C$145,Element_Stiffness!R170,IF(6=Element_Stiffness!$E$145,Element_Stiffness!X170,0)),IF(Element_Stiffness!$E$145=6,IF(6=Element_Stiffness!$C$145,Element_Stiffness!R176,IF(6=Element_Stiffness!$E$145,Element_Stiffness!X176,0)),0)),0)+IF(Element_Stiffness!$C$181,IF(Element_Stiffness!$C$180=6,IF(6=Element_Stiffness!$C$180,Element_Stiffness!R205,IF(6=Element_Stiffness!$E$180,Element_Stiffness!X205,0)),IF(Element_Stiffness!$E$180=6,IF(6=Element_Stiffness!$C$180,Element_Stiffness!R211,IF(6=Element_Stiffness!$E$180,Element_Stiffness!X211,0)),0)),0)+IF(Element_Stiffness!$C$216,IF(Element_Stiffness!$C$215=6,IF(6=Element_Stiffness!$C$215,Element_Stiffness!R240,IF(6=Element_Stiffness!$E$215,Element_Stiffness!X240,0)),IF(Element_Stiffness!$E$215=6,IF(6=Element_Stiffness!$C$215,Element_Stiffness!R246,IF(6=Element_Stiffness!$E$215,Element_Stiffness!X246,0)),0)),0)</f>
        <v/>
      </c>
      <c r="AP45" s="21">
        <f>IF(Element_Stiffness!$C$6,IF(Element_Stiffness!$C$5=6,IF(6=Element_Stiffness!$C$5,Element_Stiffness!S30,IF(6=Element_Stiffness!$E$5,Element_Stiffness!Y30,0)),IF(Element_Stiffness!$E$5=6,IF(6=Element_Stiffness!$C$5,Element_Stiffness!S36,IF(6=Element_Stiffness!$E$5,Element_Stiffness!Y36,0)),0)),0)+IF(Element_Stiffness!$C$41,IF(Element_Stiffness!$C$40=6,IF(6=Element_Stiffness!$C$40,Element_Stiffness!S65,IF(6=Element_Stiffness!$E$40,Element_Stiffness!Y65,0)),IF(Element_Stiffness!$E$40=6,IF(6=Element_Stiffness!$C$40,Element_Stiffness!S71,IF(6=Element_Stiffness!$E$40,Element_Stiffness!Y71,0)),0)),0)+IF(Element_Stiffness!$C$76,IF(Element_Stiffness!$C$75=6,IF(6=Element_Stiffness!$C$75,Element_Stiffness!S100,IF(6=Element_Stiffness!$E$75,Element_Stiffness!Y100,0)),IF(Element_Stiffness!$E$75=6,IF(6=Element_Stiffness!$C$75,Element_Stiffness!S106,IF(6=Element_Stiffness!$E$75,Element_Stiffness!Y106,0)),0)),0)+IF(Element_Stiffness!$C$111,IF(Element_Stiffness!$C$110=6,IF(6=Element_Stiffness!$C$110,Element_Stiffness!S135,IF(6=Element_Stiffness!$E$110,Element_Stiffness!Y135,0)),IF(Element_Stiffness!$E$110=6,IF(6=Element_Stiffness!$C$110,Element_Stiffness!S141,IF(6=Element_Stiffness!$E$110,Element_Stiffness!Y141,0)),0)),0)+IF(Element_Stiffness!$C$146,IF(Element_Stiffness!$C$145=6,IF(6=Element_Stiffness!$C$145,Element_Stiffness!S170,IF(6=Element_Stiffness!$E$145,Element_Stiffness!Y170,0)),IF(Element_Stiffness!$E$145=6,IF(6=Element_Stiffness!$C$145,Element_Stiffness!S176,IF(6=Element_Stiffness!$E$145,Element_Stiffness!Y176,0)),0)),0)+IF(Element_Stiffness!$C$181,IF(Element_Stiffness!$C$180=6,IF(6=Element_Stiffness!$C$180,Element_Stiffness!S205,IF(6=Element_Stiffness!$E$180,Element_Stiffness!Y205,0)),IF(Element_Stiffness!$E$180=6,IF(6=Element_Stiffness!$C$180,Element_Stiffness!S211,IF(6=Element_Stiffness!$E$180,Element_Stiffness!Y211,0)),0)),0)+IF(Element_Stiffness!$C$216,IF(Element_Stiffness!$C$215=6,IF(6=Element_Stiffness!$C$215,Element_Stiffness!S240,IF(6=Element_Stiffness!$E$215,Element_Stiffness!Y240,0)),IF(Element_Stiffness!$E$215=6,IF(6=Element_Stiffness!$C$215,Element_Stiffness!S246,IF(6=Element_Stiffness!$E$215,Element_Stiffness!Y246,0)),0)),0)</f>
        <v/>
      </c>
      <c r="AQ45" s="21">
        <f>IF(Element_Stiffness!$C$6,IF(Element_Stiffness!$C$5=6,IF(6=Element_Stiffness!$C$5,Element_Stiffness!T30,IF(6=Element_Stiffness!$E$5,Element_Stiffness!Z30,0)),IF(Element_Stiffness!$E$5=6,IF(6=Element_Stiffness!$C$5,Element_Stiffness!T36,IF(6=Element_Stiffness!$E$5,Element_Stiffness!Z36,0)),0)),0)+IF(Element_Stiffness!$C$41,IF(Element_Stiffness!$C$40=6,IF(6=Element_Stiffness!$C$40,Element_Stiffness!T65,IF(6=Element_Stiffness!$E$40,Element_Stiffness!Z65,0)),IF(Element_Stiffness!$E$40=6,IF(6=Element_Stiffness!$C$40,Element_Stiffness!T71,IF(6=Element_Stiffness!$E$40,Element_Stiffness!Z71,0)),0)),0)+IF(Element_Stiffness!$C$76,IF(Element_Stiffness!$C$75=6,IF(6=Element_Stiffness!$C$75,Element_Stiffness!T100,IF(6=Element_Stiffness!$E$75,Element_Stiffness!Z100,0)),IF(Element_Stiffness!$E$75=6,IF(6=Element_Stiffness!$C$75,Element_Stiffness!T106,IF(6=Element_Stiffness!$E$75,Element_Stiffness!Z106,0)),0)),0)+IF(Element_Stiffness!$C$111,IF(Element_Stiffness!$C$110=6,IF(6=Element_Stiffness!$C$110,Element_Stiffness!T135,IF(6=Element_Stiffness!$E$110,Element_Stiffness!Z135,0)),IF(Element_Stiffness!$E$110=6,IF(6=Element_Stiffness!$C$110,Element_Stiffness!T141,IF(6=Element_Stiffness!$E$110,Element_Stiffness!Z141,0)),0)),0)+IF(Element_Stiffness!$C$146,IF(Element_Stiffness!$C$145=6,IF(6=Element_Stiffness!$C$145,Element_Stiffness!T170,IF(6=Element_Stiffness!$E$145,Element_Stiffness!Z170,0)),IF(Element_Stiffness!$E$145=6,IF(6=Element_Stiffness!$C$145,Element_Stiffness!T176,IF(6=Element_Stiffness!$E$145,Element_Stiffness!Z176,0)),0)),0)+IF(Element_Stiffness!$C$181,IF(Element_Stiffness!$C$180=6,IF(6=Element_Stiffness!$C$180,Element_Stiffness!T205,IF(6=Element_Stiffness!$E$180,Element_Stiffness!Z205,0)),IF(Element_Stiffness!$E$180=6,IF(6=Element_Stiffness!$C$180,Element_Stiffness!T211,IF(6=Element_Stiffness!$E$180,Element_Stiffness!Z211,0)),0)),0)+IF(Element_Stiffness!$C$216,IF(Element_Stiffness!$C$215=6,IF(6=Element_Stiffness!$C$215,Element_Stiffness!T240,IF(6=Element_Stiffness!$E$215,Element_Stiffness!Z240,0)),IF(Element_Stiffness!$E$215=6,IF(6=Element_Stiffness!$C$215,Element_Stiffness!T246,IF(6=Element_Stiffness!$E$215,Element_Stiffness!Z246,0)),0)),0)+IF(Inputs!G46=TRUE,1E15,IF(ISNUMBER(Inputs!G46),Inputs!G46,0))</f>
        <v/>
      </c>
      <c r="AR45" s="21">
        <f>IF(Element_Stiffness!$C$6,IF(Element_Stiffness!$C$5=6,IF(6=Element_Stiffness!$C$5,Element_Stiffness!U30,IF(6=Element_Stiffness!$E$5,Element_Stiffness!AA30,0)),IF(Element_Stiffness!$E$5=6,IF(6=Element_Stiffness!$C$5,Element_Stiffness!U36,IF(6=Element_Stiffness!$E$5,Element_Stiffness!AA36,0)),0)),0)+IF(Element_Stiffness!$C$41,IF(Element_Stiffness!$C$40=6,IF(6=Element_Stiffness!$C$40,Element_Stiffness!U65,IF(6=Element_Stiffness!$E$40,Element_Stiffness!AA65,0)),IF(Element_Stiffness!$E$40=6,IF(6=Element_Stiffness!$C$40,Element_Stiffness!U71,IF(6=Element_Stiffness!$E$40,Element_Stiffness!AA71,0)),0)),0)+IF(Element_Stiffness!$C$76,IF(Element_Stiffness!$C$75=6,IF(6=Element_Stiffness!$C$75,Element_Stiffness!U100,IF(6=Element_Stiffness!$E$75,Element_Stiffness!AA100,0)),IF(Element_Stiffness!$E$75=6,IF(6=Element_Stiffness!$C$75,Element_Stiffness!U106,IF(6=Element_Stiffness!$E$75,Element_Stiffness!AA106,0)),0)),0)+IF(Element_Stiffness!$C$111,IF(Element_Stiffness!$C$110=6,IF(6=Element_Stiffness!$C$110,Element_Stiffness!U135,IF(6=Element_Stiffness!$E$110,Element_Stiffness!AA135,0)),IF(Element_Stiffness!$E$110=6,IF(6=Element_Stiffness!$C$110,Element_Stiffness!U141,IF(6=Element_Stiffness!$E$110,Element_Stiffness!AA141,0)),0)),0)+IF(Element_Stiffness!$C$146,IF(Element_Stiffness!$C$145=6,IF(6=Element_Stiffness!$C$145,Element_Stiffness!U170,IF(6=Element_Stiffness!$E$145,Element_Stiffness!AA170,0)),IF(Element_Stiffness!$E$145=6,IF(6=Element_Stiffness!$C$145,Element_Stiffness!U176,IF(6=Element_Stiffness!$E$145,Element_Stiffness!AA176,0)),0)),0)+IF(Element_Stiffness!$C$181,IF(Element_Stiffness!$C$180=6,IF(6=Element_Stiffness!$C$180,Element_Stiffness!U205,IF(6=Element_Stiffness!$E$180,Element_Stiffness!AA205,0)),IF(Element_Stiffness!$E$180=6,IF(6=Element_Stiffness!$C$180,Element_Stiffness!U211,IF(6=Element_Stiffness!$E$180,Element_Stiffness!AA211,0)),0)),0)+IF(Element_Stiffness!$C$216,IF(Element_Stiffness!$C$215=6,IF(6=Element_Stiffness!$C$215,Element_Stiffness!U240,IF(6=Element_Stiffness!$E$215,Element_Stiffness!AA240,0)),IF(Element_Stiffness!$E$215=6,IF(6=Element_Stiffness!$C$215,Element_Stiffness!U246,IF(6=Element_Stiffness!$E$215,Element_Stiffness!AA246,0)),0)),0)</f>
        <v/>
      </c>
      <c r="AS45" s="21">
        <f>IF(Element_Stiffness!$C$6,IF(Element_Stiffness!$C$5=6,IF(7=Element_Stiffness!$C$5,Element_Stiffness!P30,IF(7=Element_Stiffness!$E$5,Element_Stiffness!V30,0)),IF(Element_Stiffness!$E$5=6,IF(7=Element_Stiffness!$C$5,Element_Stiffness!P36,IF(7=Element_Stiffness!$E$5,Element_Stiffness!V36,0)),0)),0)+IF(Element_Stiffness!$C$41,IF(Element_Stiffness!$C$40=6,IF(7=Element_Stiffness!$C$40,Element_Stiffness!P65,IF(7=Element_Stiffness!$E$40,Element_Stiffness!V65,0)),IF(Element_Stiffness!$E$40=6,IF(7=Element_Stiffness!$C$40,Element_Stiffness!P71,IF(7=Element_Stiffness!$E$40,Element_Stiffness!V71,0)),0)),0)+IF(Element_Stiffness!$C$76,IF(Element_Stiffness!$C$75=6,IF(7=Element_Stiffness!$C$75,Element_Stiffness!P100,IF(7=Element_Stiffness!$E$75,Element_Stiffness!V100,0)),IF(Element_Stiffness!$E$75=6,IF(7=Element_Stiffness!$C$75,Element_Stiffness!P106,IF(7=Element_Stiffness!$E$75,Element_Stiffness!V106,0)),0)),0)+IF(Element_Stiffness!$C$111,IF(Element_Stiffness!$C$110=6,IF(7=Element_Stiffness!$C$110,Element_Stiffness!P135,IF(7=Element_Stiffness!$E$110,Element_Stiffness!V135,0)),IF(Element_Stiffness!$E$110=6,IF(7=Element_Stiffness!$C$110,Element_Stiffness!P141,IF(7=Element_Stiffness!$E$110,Element_Stiffness!V141,0)),0)),0)+IF(Element_Stiffness!$C$146,IF(Element_Stiffness!$C$145=6,IF(7=Element_Stiffness!$C$145,Element_Stiffness!P170,IF(7=Element_Stiffness!$E$145,Element_Stiffness!V170,0)),IF(Element_Stiffness!$E$145=6,IF(7=Element_Stiffness!$C$145,Element_Stiffness!P176,IF(7=Element_Stiffness!$E$145,Element_Stiffness!V176,0)),0)),0)+IF(Element_Stiffness!$C$181,IF(Element_Stiffness!$C$180=6,IF(7=Element_Stiffness!$C$180,Element_Stiffness!P205,IF(7=Element_Stiffness!$E$180,Element_Stiffness!V205,0)),IF(Element_Stiffness!$E$180=6,IF(7=Element_Stiffness!$C$180,Element_Stiffness!P211,IF(7=Element_Stiffness!$E$180,Element_Stiffness!V211,0)),0)),0)+IF(Element_Stiffness!$C$216,IF(Element_Stiffness!$C$215=6,IF(7=Element_Stiffness!$C$215,Element_Stiffness!P240,IF(7=Element_Stiffness!$E$215,Element_Stiffness!V240,0)),IF(Element_Stiffness!$E$215=6,IF(7=Element_Stiffness!$C$215,Element_Stiffness!P246,IF(7=Element_Stiffness!$E$215,Element_Stiffness!V246,0)),0)),0)</f>
        <v/>
      </c>
      <c r="AT45" s="21">
        <f>IF(Element_Stiffness!$C$6,IF(Element_Stiffness!$C$5=6,IF(7=Element_Stiffness!$C$5,Element_Stiffness!Q30,IF(7=Element_Stiffness!$E$5,Element_Stiffness!W30,0)),IF(Element_Stiffness!$E$5=6,IF(7=Element_Stiffness!$C$5,Element_Stiffness!Q36,IF(7=Element_Stiffness!$E$5,Element_Stiffness!W36,0)),0)),0)+IF(Element_Stiffness!$C$41,IF(Element_Stiffness!$C$40=6,IF(7=Element_Stiffness!$C$40,Element_Stiffness!Q65,IF(7=Element_Stiffness!$E$40,Element_Stiffness!W65,0)),IF(Element_Stiffness!$E$40=6,IF(7=Element_Stiffness!$C$40,Element_Stiffness!Q71,IF(7=Element_Stiffness!$E$40,Element_Stiffness!W71,0)),0)),0)+IF(Element_Stiffness!$C$76,IF(Element_Stiffness!$C$75=6,IF(7=Element_Stiffness!$C$75,Element_Stiffness!Q100,IF(7=Element_Stiffness!$E$75,Element_Stiffness!W100,0)),IF(Element_Stiffness!$E$75=6,IF(7=Element_Stiffness!$C$75,Element_Stiffness!Q106,IF(7=Element_Stiffness!$E$75,Element_Stiffness!W106,0)),0)),0)+IF(Element_Stiffness!$C$111,IF(Element_Stiffness!$C$110=6,IF(7=Element_Stiffness!$C$110,Element_Stiffness!Q135,IF(7=Element_Stiffness!$E$110,Element_Stiffness!W135,0)),IF(Element_Stiffness!$E$110=6,IF(7=Element_Stiffness!$C$110,Element_Stiffness!Q141,IF(7=Element_Stiffness!$E$110,Element_Stiffness!W141,0)),0)),0)+IF(Element_Stiffness!$C$146,IF(Element_Stiffness!$C$145=6,IF(7=Element_Stiffness!$C$145,Element_Stiffness!Q170,IF(7=Element_Stiffness!$E$145,Element_Stiffness!W170,0)),IF(Element_Stiffness!$E$145=6,IF(7=Element_Stiffness!$C$145,Element_Stiffness!Q176,IF(7=Element_Stiffness!$E$145,Element_Stiffness!W176,0)),0)),0)+IF(Element_Stiffness!$C$181,IF(Element_Stiffness!$C$180=6,IF(7=Element_Stiffness!$C$180,Element_Stiffness!Q205,IF(7=Element_Stiffness!$E$180,Element_Stiffness!W205,0)),IF(Element_Stiffness!$E$180=6,IF(7=Element_Stiffness!$C$180,Element_Stiffness!Q211,IF(7=Element_Stiffness!$E$180,Element_Stiffness!W211,0)),0)),0)+IF(Element_Stiffness!$C$216,IF(Element_Stiffness!$C$215=6,IF(7=Element_Stiffness!$C$215,Element_Stiffness!Q240,IF(7=Element_Stiffness!$E$215,Element_Stiffness!W240,0)),IF(Element_Stiffness!$E$215=6,IF(7=Element_Stiffness!$C$215,Element_Stiffness!Q246,IF(7=Element_Stiffness!$E$215,Element_Stiffness!W246,0)),0)),0)</f>
        <v/>
      </c>
      <c r="AU45" s="21">
        <f>IF(Element_Stiffness!$C$6,IF(Element_Stiffness!$C$5=6,IF(7=Element_Stiffness!$C$5,Element_Stiffness!R30,IF(7=Element_Stiffness!$E$5,Element_Stiffness!X30,0)),IF(Element_Stiffness!$E$5=6,IF(7=Element_Stiffness!$C$5,Element_Stiffness!R36,IF(7=Element_Stiffness!$E$5,Element_Stiffness!X36,0)),0)),0)+IF(Element_Stiffness!$C$41,IF(Element_Stiffness!$C$40=6,IF(7=Element_Stiffness!$C$40,Element_Stiffness!R65,IF(7=Element_Stiffness!$E$40,Element_Stiffness!X65,0)),IF(Element_Stiffness!$E$40=6,IF(7=Element_Stiffness!$C$40,Element_Stiffness!R71,IF(7=Element_Stiffness!$E$40,Element_Stiffness!X71,0)),0)),0)+IF(Element_Stiffness!$C$76,IF(Element_Stiffness!$C$75=6,IF(7=Element_Stiffness!$C$75,Element_Stiffness!R100,IF(7=Element_Stiffness!$E$75,Element_Stiffness!X100,0)),IF(Element_Stiffness!$E$75=6,IF(7=Element_Stiffness!$C$75,Element_Stiffness!R106,IF(7=Element_Stiffness!$E$75,Element_Stiffness!X106,0)),0)),0)+IF(Element_Stiffness!$C$111,IF(Element_Stiffness!$C$110=6,IF(7=Element_Stiffness!$C$110,Element_Stiffness!R135,IF(7=Element_Stiffness!$E$110,Element_Stiffness!X135,0)),IF(Element_Stiffness!$E$110=6,IF(7=Element_Stiffness!$C$110,Element_Stiffness!R141,IF(7=Element_Stiffness!$E$110,Element_Stiffness!X141,0)),0)),0)+IF(Element_Stiffness!$C$146,IF(Element_Stiffness!$C$145=6,IF(7=Element_Stiffness!$C$145,Element_Stiffness!R170,IF(7=Element_Stiffness!$E$145,Element_Stiffness!X170,0)),IF(Element_Stiffness!$E$145=6,IF(7=Element_Stiffness!$C$145,Element_Stiffness!R176,IF(7=Element_Stiffness!$E$145,Element_Stiffness!X176,0)),0)),0)+IF(Element_Stiffness!$C$181,IF(Element_Stiffness!$C$180=6,IF(7=Element_Stiffness!$C$180,Element_Stiffness!R205,IF(7=Element_Stiffness!$E$180,Element_Stiffness!X205,0)),IF(Element_Stiffness!$E$180=6,IF(7=Element_Stiffness!$C$180,Element_Stiffness!R211,IF(7=Element_Stiffness!$E$180,Element_Stiffness!X211,0)),0)),0)+IF(Element_Stiffness!$C$216,IF(Element_Stiffness!$C$215=6,IF(7=Element_Stiffness!$C$215,Element_Stiffness!R240,IF(7=Element_Stiffness!$E$215,Element_Stiffness!X240,0)),IF(Element_Stiffness!$E$215=6,IF(7=Element_Stiffness!$C$215,Element_Stiffness!R246,IF(7=Element_Stiffness!$E$215,Element_Stiffness!X246,0)),0)),0)</f>
        <v/>
      </c>
      <c r="AV45" s="21">
        <f>IF(Element_Stiffness!$C$6,IF(Element_Stiffness!$C$5=6,IF(7=Element_Stiffness!$C$5,Element_Stiffness!S30,IF(7=Element_Stiffness!$E$5,Element_Stiffness!Y30,0)),IF(Element_Stiffness!$E$5=6,IF(7=Element_Stiffness!$C$5,Element_Stiffness!S36,IF(7=Element_Stiffness!$E$5,Element_Stiffness!Y36,0)),0)),0)+IF(Element_Stiffness!$C$41,IF(Element_Stiffness!$C$40=6,IF(7=Element_Stiffness!$C$40,Element_Stiffness!S65,IF(7=Element_Stiffness!$E$40,Element_Stiffness!Y65,0)),IF(Element_Stiffness!$E$40=6,IF(7=Element_Stiffness!$C$40,Element_Stiffness!S71,IF(7=Element_Stiffness!$E$40,Element_Stiffness!Y71,0)),0)),0)+IF(Element_Stiffness!$C$76,IF(Element_Stiffness!$C$75=6,IF(7=Element_Stiffness!$C$75,Element_Stiffness!S100,IF(7=Element_Stiffness!$E$75,Element_Stiffness!Y100,0)),IF(Element_Stiffness!$E$75=6,IF(7=Element_Stiffness!$C$75,Element_Stiffness!S106,IF(7=Element_Stiffness!$E$75,Element_Stiffness!Y106,0)),0)),0)+IF(Element_Stiffness!$C$111,IF(Element_Stiffness!$C$110=6,IF(7=Element_Stiffness!$C$110,Element_Stiffness!S135,IF(7=Element_Stiffness!$E$110,Element_Stiffness!Y135,0)),IF(Element_Stiffness!$E$110=6,IF(7=Element_Stiffness!$C$110,Element_Stiffness!S141,IF(7=Element_Stiffness!$E$110,Element_Stiffness!Y141,0)),0)),0)+IF(Element_Stiffness!$C$146,IF(Element_Stiffness!$C$145=6,IF(7=Element_Stiffness!$C$145,Element_Stiffness!S170,IF(7=Element_Stiffness!$E$145,Element_Stiffness!Y170,0)),IF(Element_Stiffness!$E$145=6,IF(7=Element_Stiffness!$C$145,Element_Stiffness!S176,IF(7=Element_Stiffness!$E$145,Element_Stiffness!Y176,0)),0)),0)+IF(Element_Stiffness!$C$181,IF(Element_Stiffness!$C$180=6,IF(7=Element_Stiffness!$C$180,Element_Stiffness!S205,IF(7=Element_Stiffness!$E$180,Element_Stiffness!Y205,0)),IF(Element_Stiffness!$E$180=6,IF(7=Element_Stiffness!$C$180,Element_Stiffness!S211,IF(7=Element_Stiffness!$E$180,Element_Stiffness!Y211,0)),0)),0)+IF(Element_Stiffness!$C$216,IF(Element_Stiffness!$C$215=6,IF(7=Element_Stiffness!$C$215,Element_Stiffness!S240,IF(7=Element_Stiffness!$E$215,Element_Stiffness!Y240,0)),IF(Element_Stiffness!$E$215=6,IF(7=Element_Stiffness!$C$215,Element_Stiffness!S246,IF(7=Element_Stiffness!$E$215,Element_Stiffness!Y246,0)),0)),0)</f>
        <v/>
      </c>
      <c r="AW45" s="21">
        <f>IF(Element_Stiffness!$C$6,IF(Element_Stiffness!$C$5=6,IF(7=Element_Stiffness!$C$5,Element_Stiffness!T30,IF(7=Element_Stiffness!$E$5,Element_Stiffness!Z30,0)),IF(Element_Stiffness!$E$5=6,IF(7=Element_Stiffness!$C$5,Element_Stiffness!T36,IF(7=Element_Stiffness!$E$5,Element_Stiffness!Z36,0)),0)),0)+IF(Element_Stiffness!$C$41,IF(Element_Stiffness!$C$40=6,IF(7=Element_Stiffness!$C$40,Element_Stiffness!T65,IF(7=Element_Stiffness!$E$40,Element_Stiffness!Z65,0)),IF(Element_Stiffness!$E$40=6,IF(7=Element_Stiffness!$C$40,Element_Stiffness!T71,IF(7=Element_Stiffness!$E$40,Element_Stiffness!Z71,0)),0)),0)+IF(Element_Stiffness!$C$76,IF(Element_Stiffness!$C$75=6,IF(7=Element_Stiffness!$C$75,Element_Stiffness!T100,IF(7=Element_Stiffness!$E$75,Element_Stiffness!Z100,0)),IF(Element_Stiffness!$E$75=6,IF(7=Element_Stiffness!$C$75,Element_Stiffness!T106,IF(7=Element_Stiffness!$E$75,Element_Stiffness!Z106,0)),0)),0)+IF(Element_Stiffness!$C$111,IF(Element_Stiffness!$C$110=6,IF(7=Element_Stiffness!$C$110,Element_Stiffness!T135,IF(7=Element_Stiffness!$E$110,Element_Stiffness!Z135,0)),IF(Element_Stiffness!$E$110=6,IF(7=Element_Stiffness!$C$110,Element_Stiffness!T141,IF(7=Element_Stiffness!$E$110,Element_Stiffness!Z141,0)),0)),0)+IF(Element_Stiffness!$C$146,IF(Element_Stiffness!$C$145=6,IF(7=Element_Stiffness!$C$145,Element_Stiffness!T170,IF(7=Element_Stiffness!$E$145,Element_Stiffness!Z170,0)),IF(Element_Stiffness!$E$145=6,IF(7=Element_Stiffness!$C$145,Element_Stiffness!T176,IF(7=Element_Stiffness!$E$145,Element_Stiffness!Z176,0)),0)),0)+IF(Element_Stiffness!$C$181,IF(Element_Stiffness!$C$180=6,IF(7=Element_Stiffness!$C$180,Element_Stiffness!T205,IF(7=Element_Stiffness!$E$180,Element_Stiffness!Z205,0)),IF(Element_Stiffness!$E$180=6,IF(7=Element_Stiffness!$C$180,Element_Stiffness!T211,IF(7=Element_Stiffness!$E$180,Element_Stiffness!Z211,0)),0)),0)+IF(Element_Stiffness!$C$216,IF(Element_Stiffness!$C$215=6,IF(7=Element_Stiffness!$C$215,Element_Stiffness!T240,IF(7=Element_Stiffness!$E$215,Element_Stiffness!Z240,0)),IF(Element_Stiffness!$E$215=6,IF(7=Element_Stiffness!$C$215,Element_Stiffness!T246,IF(7=Element_Stiffness!$E$215,Element_Stiffness!Z246,0)),0)),0)</f>
        <v/>
      </c>
      <c r="AX45" s="21">
        <f>IF(Element_Stiffness!$C$6,IF(Element_Stiffness!$C$5=6,IF(7=Element_Stiffness!$C$5,Element_Stiffness!U30,IF(7=Element_Stiffness!$E$5,Element_Stiffness!AA30,0)),IF(Element_Stiffness!$E$5=6,IF(7=Element_Stiffness!$C$5,Element_Stiffness!U36,IF(7=Element_Stiffness!$E$5,Element_Stiffness!AA36,0)),0)),0)+IF(Element_Stiffness!$C$41,IF(Element_Stiffness!$C$40=6,IF(7=Element_Stiffness!$C$40,Element_Stiffness!U65,IF(7=Element_Stiffness!$E$40,Element_Stiffness!AA65,0)),IF(Element_Stiffness!$E$40=6,IF(7=Element_Stiffness!$C$40,Element_Stiffness!U71,IF(7=Element_Stiffness!$E$40,Element_Stiffness!AA71,0)),0)),0)+IF(Element_Stiffness!$C$76,IF(Element_Stiffness!$C$75=6,IF(7=Element_Stiffness!$C$75,Element_Stiffness!U100,IF(7=Element_Stiffness!$E$75,Element_Stiffness!AA100,0)),IF(Element_Stiffness!$E$75=6,IF(7=Element_Stiffness!$C$75,Element_Stiffness!U106,IF(7=Element_Stiffness!$E$75,Element_Stiffness!AA106,0)),0)),0)+IF(Element_Stiffness!$C$111,IF(Element_Stiffness!$C$110=6,IF(7=Element_Stiffness!$C$110,Element_Stiffness!U135,IF(7=Element_Stiffness!$E$110,Element_Stiffness!AA135,0)),IF(Element_Stiffness!$E$110=6,IF(7=Element_Stiffness!$C$110,Element_Stiffness!U141,IF(7=Element_Stiffness!$E$110,Element_Stiffness!AA141,0)),0)),0)+IF(Element_Stiffness!$C$146,IF(Element_Stiffness!$C$145=6,IF(7=Element_Stiffness!$C$145,Element_Stiffness!U170,IF(7=Element_Stiffness!$E$145,Element_Stiffness!AA170,0)),IF(Element_Stiffness!$E$145=6,IF(7=Element_Stiffness!$C$145,Element_Stiffness!U176,IF(7=Element_Stiffness!$E$145,Element_Stiffness!AA176,0)),0)),0)+IF(Element_Stiffness!$C$181,IF(Element_Stiffness!$C$180=6,IF(7=Element_Stiffness!$C$180,Element_Stiffness!U205,IF(7=Element_Stiffness!$E$180,Element_Stiffness!AA205,0)),IF(Element_Stiffness!$E$180=6,IF(7=Element_Stiffness!$C$180,Element_Stiffness!U211,IF(7=Element_Stiffness!$E$180,Element_Stiffness!AA211,0)),0)),0)+IF(Element_Stiffness!$C$216,IF(Element_Stiffness!$C$215=6,IF(7=Element_Stiffness!$C$215,Element_Stiffness!U240,IF(7=Element_Stiffness!$E$215,Element_Stiffness!AA240,0)),IF(Element_Stiffness!$E$215=6,IF(7=Element_Stiffness!$C$215,Element_Stiffness!U246,IF(7=Element_Stiffness!$E$215,Element_Stiffness!AA246,0)),0)),0)</f>
        <v/>
      </c>
      <c r="AY45" s="21" t="n">
        <v>0</v>
      </c>
      <c r="AZ45" s="21">
        <f>IF(Element_Stiffness!$C$6,IF(Element_Stiffness!$C$5=6,Element_Stiffness!C30,IF(Element_Stiffness!$E$5=6,Element_Stiffness!C36,0)),0)+IF(Element_Stiffness!$C$41,IF(Element_Stiffness!$C$40=6,Element_Stiffness!C65,IF(Element_Stiffness!$E$40=6,Element_Stiffness!C71,0)),0)+IF(Element_Stiffness!$C$76,IF(Element_Stiffness!$C$75=6,Element_Stiffness!C100,IF(Element_Stiffness!$E$75=6,Element_Stiffness!C106,0)),0)+IF(Element_Stiffness!$C$111,IF(Element_Stiffness!$C$110=6,Element_Stiffness!C135,IF(Element_Stiffness!$E$110=6,Element_Stiffness!C141,0)),0)+IF(Element_Stiffness!$C$146,IF(Element_Stiffness!$C$145=6,Element_Stiffness!C170,IF(Element_Stiffness!$E$145=6,Element_Stiffness!C176,0)),0)+IF(Element_Stiffness!$C$181,IF(Element_Stiffness!$C$180=6,Element_Stiffness!C205,IF(Element_Stiffness!$E$180=6,Element_Stiffness!C211,0)),0)+IF(Element_Stiffness!$C$216,IF(Element_Stiffness!$C$215=6,Element_Stiffness!C240,IF(Element_Stiffness!$E$215=6,Element_Stiffness!C246,0)),0)</f>
        <v/>
      </c>
      <c r="BB45" s="28">
        <f>INDEX(MMULT(MINVERSE(C5:AX52), AY5:AY52), 41, 1)</f>
        <v/>
      </c>
      <c r="BC45" s="28">
        <f>INDEX(MMULT(MINVERSE(C5:AX52), AZ5:AZ52), 41, 1)</f>
        <v/>
      </c>
    </row>
    <row r="46">
      <c r="B46" s="27" t="inlineStr">
        <is>
          <t>N6_rz</t>
        </is>
      </c>
      <c r="C46" s="21">
        <f>IF(Element_Stiffness!$C$6,IF(Element_Stiffness!$C$5=6,IF(0=Element_Stiffness!$C$5,Element_Stiffness!P31,IF(0=Element_Stiffness!$E$5,Element_Stiffness!V31,0)),IF(Element_Stiffness!$E$5=6,IF(0=Element_Stiffness!$C$5,Element_Stiffness!P37,IF(0=Element_Stiffness!$E$5,Element_Stiffness!V37,0)),0)),0)+IF(Element_Stiffness!$C$41,IF(Element_Stiffness!$C$40=6,IF(0=Element_Stiffness!$C$40,Element_Stiffness!P66,IF(0=Element_Stiffness!$E$40,Element_Stiffness!V66,0)),IF(Element_Stiffness!$E$40=6,IF(0=Element_Stiffness!$C$40,Element_Stiffness!P72,IF(0=Element_Stiffness!$E$40,Element_Stiffness!V72,0)),0)),0)+IF(Element_Stiffness!$C$76,IF(Element_Stiffness!$C$75=6,IF(0=Element_Stiffness!$C$75,Element_Stiffness!P101,IF(0=Element_Stiffness!$E$75,Element_Stiffness!V101,0)),IF(Element_Stiffness!$E$75=6,IF(0=Element_Stiffness!$C$75,Element_Stiffness!P107,IF(0=Element_Stiffness!$E$75,Element_Stiffness!V107,0)),0)),0)+IF(Element_Stiffness!$C$111,IF(Element_Stiffness!$C$110=6,IF(0=Element_Stiffness!$C$110,Element_Stiffness!P136,IF(0=Element_Stiffness!$E$110,Element_Stiffness!V136,0)),IF(Element_Stiffness!$E$110=6,IF(0=Element_Stiffness!$C$110,Element_Stiffness!P142,IF(0=Element_Stiffness!$E$110,Element_Stiffness!V142,0)),0)),0)+IF(Element_Stiffness!$C$146,IF(Element_Stiffness!$C$145=6,IF(0=Element_Stiffness!$C$145,Element_Stiffness!P171,IF(0=Element_Stiffness!$E$145,Element_Stiffness!V171,0)),IF(Element_Stiffness!$E$145=6,IF(0=Element_Stiffness!$C$145,Element_Stiffness!P177,IF(0=Element_Stiffness!$E$145,Element_Stiffness!V177,0)),0)),0)+IF(Element_Stiffness!$C$181,IF(Element_Stiffness!$C$180=6,IF(0=Element_Stiffness!$C$180,Element_Stiffness!P206,IF(0=Element_Stiffness!$E$180,Element_Stiffness!V206,0)),IF(Element_Stiffness!$E$180=6,IF(0=Element_Stiffness!$C$180,Element_Stiffness!P212,IF(0=Element_Stiffness!$E$180,Element_Stiffness!V212,0)),0)),0)+IF(Element_Stiffness!$C$216,IF(Element_Stiffness!$C$215=6,IF(0=Element_Stiffness!$C$215,Element_Stiffness!P241,IF(0=Element_Stiffness!$E$215,Element_Stiffness!V241,0)),IF(Element_Stiffness!$E$215=6,IF(0=Element_Stiffness!$C$215,Element_Stiffness!P247,IF(0=Element_Stiffness!$E$215,Element_Stiffness!V247,0)),0)),0)</f>
        <v/>
      </c>
      <c r="D46" s="21">
        <f>IF(Element_Stiffness!$C$6,IF(Element_Stiffness!$C$5=6,IF(0=Element_Stiffness!$C$5,Element_Stiffness!Q31,IF(0=Element_Stiffness!$E$5,Element_Stiffness!W31,0)),IF(Element_Stiffness!$E$5=6,IF(0=Element_Stiffness!$C$5,Element_Stiffness!Q37,IF(0=Element_Stiffness!$E$5,Element_Stiffness!W37,0)),0)),0)+IF(Element_Stiffness!$C$41,IF(Element_Stiffness!$C$40=6,IF(0=Element_Stiffness!$C$40,Element_Stiffness!Q66,IF(0=Element_Stiffness!$E$40,Element_Stiffness!W66,0)),IF(Element_Stiffness!$E$40=6,IF(0=Element_Stiffness!$C$40,Element_Stiffness!Q72,IF(0=Element_Stiffness!$E$40,Element_Stiffness!W72,0)),0)),0)+IF(Element_Stiffness!$C$76,IF(Element_Stiffness!$C$75=6,IF(0=Element_Stiffness!$C$75,Element_Stiffness!Q101,IF(0=Element_Stiffness!$E$75,Element_Stiffness!W101,0)),IF(Element_Stiffness!$E$75=6,IF(0=Element_Stiffness!$C$75,Element_Stiffness!Q107,IF(0=Element_Stiffness!$E$75,Element_Stiffness!W107,0)),0)),0)+IF(Element_Stiffness!$C$111,IF(Element_Stiffness!$C$110=6,IF(0=Element_Stiffness!$C$110,Element_Stiffness!Q136,IF(0=Element_Stiffness!$E$110,Element_Stiffness!W136,0)),IF(Element_Stiffness!$E$110=6,IF(0=Element_Stiffness!$C$110,Element_Stiffness!Q142,IF(0=Element_Stiffness!$E$110,Element_Stiffness!W142,0)),0)),0)+IF(Element_Stiffness!$C$146,IF(Element_Stiffness!$C$145=6,IF(0=Element_Stiffness!$C$145,Element_Stiffness!Q171,IF(0=Element_Stiffness!$E$145,Element_Stiffness!W171,0)),IF(Element_Stiffness!$E$145=6,IF(0=Element_Stiffness!$C$145,Element_Stiffness!Q177,IF(0=Element_Stiffness!$E$145,Element_Stiffness!W177,0)),0)),0)+IF(Element_Stiffness!$C$181,IF(Element_Stiffness!$C$180=6,IF(0=Element_Stiffness!$C$180,Element_Stiffness!Q206,IF(0=Element_Stiffness!$E$180,Element_Stiffness!W206,0)),IF(Element_Stiffness!$E$180=6,IF(0=Element_Stiffness!$C$180,Element_Stiffness!Q212,IF(0=Element_Stiffness!$E$180,Element_Stiffness!W212,0)),0)),0)+IF(Element_Stiffness!$C$216,IF(Element_Stiffness!$C$215=6,IF(0=Element_Stiffness!$C$215,Element_Stiffness!Q241,IF(0=Element_Stiffness!$E$215,Element_Stiffness!W241,0)),IF(Element_Stiffness!$E$215=6,IF(0=Element_Stiffness!$C$215,Element_Stiffness!Q247,IF(0=Element_Stiffness!$E$215,Element_Stiffness!W247,0)),0)),0)</f>
        <v/>
      </c>
      <c r="E46" s="21">
        <f>IF(Element_Stiffness!$C$6,IF(Element_Stiffness!$C$5=6,IF(0=Element_Stiffness!$C$5,Element_Stiffness!R31,IF(0=Element_Stiffness!$E$5,Element_Stiffness!X31,0)),IF(Element_Stiffness!$E$5=6,IF(0=Element_Stiffness!$C$5,Element_Stiffness!R37,IF(0=Element_Stiffness!$E$5,Element_Stiffness!X37,0)),0)),0)+IF(Element_Stiffness!$C$41,IF(Element_Stiffness!$C$40=6,IF(0=Element_Stiffness!$C$40,Element_Stiffness!R66,IF(0=Element_Stiffness!$E$40,Element_Stiffness!X66,0)),IF(Element_Stiffness!$E$40=6,IF(0=Element_Stiffness!$C$40,Element_Stiffness!R72,IF(0=Element_Stiffness!$E$40,Element_Stiffness!X72,0)),0)),0)+IF(Element_Stiffness!$C$76,IF(Element_Stiffness!$C$75=6,IF(0=Element_Stiffness!$C$75,Element_Stiffness!R101,IF(0=Element_Stiffness!$E$75,Element_Stiffness!X101,0)),IF(Element_Stiffness!$E$75=6,IF(0=Element_Stiffness!$C$75,Element_Stiffness!R107,IF(0=Element_Stiffness!$E$75,Element_Stiffness!X107,0)),0)),0)+IF(Element_Stiffness!$C$111,IF(Element_Stiffness!$C$110=6,IF(0=Element_Stiffness!$C$110,Element_Stiffness!R136,IF(0=Element_Stiffness!$E$110,Element_Stiffness!X136,0)),IF(Element_Stiffness!$E$110=6,IF(0=Element_Stiffness!$C$110,Element_Stiffness!R142,IF(0=Element_Stiffness!$E$110,Element_Stiffness!X142,0)),0)),0)+IF(Element_Stiffness!$C$146,IF(Element_Stiffness!$C$145=6,IF(0=Element_Stiffness!$C$145,Element_Stiffness!R171,IF(0=Element_Stiffness!$E$145,Element_Stiffness!X171,0)),IF(Element_Stiffness!$E$145=6,IF(0=Element_Stiffness!$C$145,Element_Stiffness!R177,IF(0=Element_Stiffness!$E$145,Element_Stiffness!X177,0)),0)),0)+IF(Element_Stiffness!$C$181,IF(Element_Stiffness!$C$180=6,IF(0=Element_Stiffness!$C$180,Element_Stiffness!R206,IF(0=Element_Stiffness!$E$180,Element_Stiffness!X206,0)),IF(Element_Stiffness!$E$180=6,IF(0=Element_Stiffness!$C$180,Element_Stiffness!R212,IF(0=Element_Stiffness!$E$180,Element_Stiffness!X212,0)),0)),0)+IF(Element_Stiffness!$C$216,IF(Element_Stiffness!$C$215=6,IF(0=Element_Stiffness!$C$215,Element_Stiffness!R241,IF(0=Element_Stiffness!$E$215,Element_Stiffness!X241,0)),IF(Element_Stiffness!$E$215=6,IF(0=Element_Stiffness!$C$215,Element_Stiffness!R247,IF(0=Element_Stiffness!$E$215,Element_Stiffness!X247,0)),0)),0)</f>
        <v/>
      </c>
      <c r="F46" s="21">
        <f>IF(Element_Stiffness!$C$6,IF(Element_Stiffness!$C$5=6,IF(0=Element_Stiffness!$C$5,Element_Stiffness!S31,IF(0=Element_Stiffness!$E$5,Element_Stiffness!Y31,0)),IF(Element_Stiffness!$E$5=6,IF(0=Element_Stiffness!$C$5,Element_Stiffness!S37,IF(0=Element_Stiffness!$E$5,Element_Stiffness!Y37,0)),0)),0)+IF(Element_Stiffness!$C$41,IF(Element_Stiffness!$C$40=6,IF(0=Element_Stiffness!$C$40,Element_Stiffness!S66,IF(0=Element_Stiffness!$E$40,Element_Stiffness!Y66,0)),IF(Element_Stiffness!$E$40=6,IF(0=Element_Stiffness!$C$40,Element_Stiffness!S72,IF(0=Element_Stiffness!$E$40,Element_Stiffness!Y72,0)),0)),0)+IF(Element_Stiffness!$C$76,IF(Element_Stiffness!$C$75=6,IF(0=Element_Stiffness!$C$75,Element_Stiffness!S101,IF(0=Element_Stiffness!$E$75,Element_Stiffness!Y101,0)),IF(Element_Stiffness!$E$75=6,IF(0=Element_Stiffness!$C$75,Element_Stiffness!S107,IF(0=Element_Stiffness!$E$75,Element_Stiffness!Y107,0)),0)),0)+IF(Element_Stiffness!$C$111,IF(Element_Stiffness!$C$110=6,IF(0=Element_Stiffness!$C$110,Element_Stiffness!S136,IF(0=Element_Stiffness!$E$110,Element_Stiffness!Y136,0)),IF(Element_Stiffness!$E$110=6,IF(0=Element_Stiffness!$C$110,Element_Stiffness!S142,IF(0=Element_Stiffness!$E$110,Element_Stiffness!Y142,0)),0)),0)+IF(Element_Stiffness!$C$146,IF(Element_Stiffness!$C$145=6,IF(0=Element_Stiffness!$C$145,Element_Stiffness!S171,IF(0=Element_Stiffness!$E$145,Element_Stiffness!Y171,0)),IF(Element_Stiffness!$E$145=6,IF(0=Element_Stiffness!$C$145,Element_Stiffness!S177,IF(0=Element_Stiffness!$E$145,Element_Stiffness!Y177,0)),0)),0)+IF(Element_Stiffness!$C$181,IF(Element_Stiffness!$C$180=6,IF(0=Element_Stiffness!$C$180,Element_Stiffness!S206,IF(0=Element_Stiffness!$E$180,Element_Stiffness!Y206,0)),IF(Element_Stiffness!$E$180=6,IF(0=Element_Stiffness!$C$180,Element_Stiffness!S212,IF(0=Element_Stiffness!$E$180,Element_Stiffness!Y212,0)),0)),0)+IF(Element_Stiffness!$C$216,IF(Element_Stiffness!$C$215=6,IF(0=Element_Stiffness!$C$215,Element_Stiffness!S241,IF(0=Element_Stiffness!$E$215,Element_Stiffness!Y241,0)),IF(Element_Stiffness!$E$215=6,IF(0=Element_Stiffness!$C$215,Element_Stiffness!S247,IF(0=Element_Stiffness!$E$215,Element_Stiffness!Y247,0)),0)),0)</f>
        <v/>
      </c>
      <c r="G46" s="21">
        <f>IF(Element_Stiffness!$C$6,IF(Element_Stiffness!$C$5=6,IF(0=Element_Stiffness!$C$5,Element_Stiffness!T31,IF(0=Element_Stiffness!$E$5,Element_Stiffness!Z31,0)),IF(Element_Stiffness!$E$5=6,IF(0=Element_Stiffness!$C$5,Element_Stiffness!T37,IF(0=Element_Stiffness!$E$5,Element_Stiffness!Z37,0)),0)),0)+IF(Element_Stiffness!$C$41,IF(Element_Stiffness!$C$40=6,IF(0=Element_Stiffness!$C$40,Element_Stiffness!T66,IF(0=Element_Stiffness!$E$40,Element_Stiffness!Z66,0)),IF(Element_Stiffness!$E$40=6,IF(0=Element_Stiffness!$C$40,Element_Stiffness!T72,IF(0=Element_Stiffness!$E$40,Element_Stiffness!Z72,0)),0)),0)+IF(Element_Stiffness!$C$76,IF(Element_Stiffness!$C$75=6,IF(0=Element_Stiffness!$C$75,Element_Stiffness!T101,IF(0=Element_Stiffness!$E$75,Element_Stiffness!Z101,0)),IF(Element_Stiffness!$E$75=6,IF(0=Element_Stiffness!$C$75,Element_Stiffness!T107,IF(0=Element_Stiffness!$E$75,Element_Stiffness!Z107,0)),0)),0)+IF(Element_Stiffness!$C$111,IF(Element_Stiffness!$C$110=6,IF(0=Element_Stiffness!$C$110,Element_Stiffness!T136,IF(0=Element_Stiffness!$E$110,Element_Stiffness!Z136,0)),IF(Element_Stiffness!$E$110=6,IF(0=Element_Stiffness!$C$110,Element_Stiffness!T142,IF(0=Element_Stiffness!$E$110,Element_Stiffness!Z142,0)),0)),0)+IF(Element_Stiffness!$C$146,IF(Element_Stiffness!$C$145=6,IF(0=Element_Stiffness!$C$145,Element_Stiffness!T171,IF(0=Element_Stiffness!$E$145,Element_Stiffness!Z171,0)),IF(Element_Stiffness!$E$145=6,IF(0=Element_Stiffness!$C$145,Element_Stiffness!T177,IF(0=Element_Stiffness!$E$145,Element_Stiffness!Z177,0)),0)),0)+IF(Element_Stiffness!$C$181,IF(Element_Stiffness!$C$180=6,IF(0=Element_Stiffness!$C$180,Element_Stiffness!T206,IF(0=Element_Stiffness!$E$180,Element_Stiffness!Z206,0)),IF(Element_Stiffness!$E$180=6,IF(0=Element_Stiffness!$C$180,Element_Stiffness!T212,IF(0=Element_Stiffness!$E$180,Element_Stiffness!Z212,0)),0)),0)+IF(Element_Stiffness!$C$216,IF(Element_Stiffness!$C$215=6,IF(0=Element_Stiffness!$C$215,Element_Stiffness!T241,IF(0=Element_Stiffness!$E$215,Element_Stiffness!Z241,0)),IF(Element_Stiffness!$E$215=6,IF(0=Element_Stiffness!$C$215,Element_Stiffness!T247,IF(0=Element_Stiffness!$E$215,Element_Stiffness!Z247,0)),0)),0)</f>
        <v/>
      </c>
      <c r="H46" s="21">
        <f>IF(Element_Stiffness!$C$6,IF(Element_Stiffness!$C$5=6,IF(0=Element_Stiffness!$C$5,Element_Stiffness!U31,IF(0=Element_Stiffness!$E$5,Element_Stiffness!AA31,0)),IF(Element_Stiffness!$E$5=6,IF(0=Element_Stiffness!$C$5,Element_Stiffness!U37,IF(0=Element_Stiffness!$E$5,Element_Stiffness!AA37,0)),0)),0)+IF(Element_Stiffness!$C$41,IF(Element_Stiffness!$C$40=6,IF(0=Element_Stiffness!$C$40,Element_Stiffness!U66,IF(0=Element_Stiffness!$E$40,Element_Stiffness!AA66,0)),IF(Element_Stiffness!$E$40=6,IF(0=Element_Stiffness!$C$40,Element_Stiffness!U72,IF(0=Element_Stiffness!$E$40,Element_Stiffness!AA72,0)),0)),0)+IF(Element_Stiffness!$C$76,IF(Element_Stiffness!$C$75=6,IF(0=Element_Stiffness!$C$75,Element_Stiffness!U101,IF(0=Element_Stiffness!$E$75,Element_Stiffness!AA101,0)),IF(Element_Stiffness!$E$75=6,IF(0=Element_Stiffness!$C$75,Element_Stiffness!U107,IF(0=Element_Stiffness!$E$75,Element_Stiffness!AA107,0)),0)),0)+IF(Element_Stiffness!$C$111,IF(Element_Stiffness!$C$110=6,IF(0=Element_Stiffness!$C$110,Element_Stiffness!U136,IF(0=Element_Stiffness!$E$110,Element_Stiffness!AA136,0)),IF(Element_Stiffness!$E$110=6,IF(0=Element_Stiffness!$C$110,Element_Stiffness!U142,IF(0=Element_Stiffness!$E$110,Element_Stiffness!AA142,0)),0)),0)+IF(Element_Stiffness!$C$146,IF(Element_Stiffness!$C$145=6,IF(0=Element_Stiffness!$C$145,Element_Stiffness!U171,IF(0=Element_Stiffness!$E$145,Element_Stiffness!AA171,0)),IF(Element_Stiffness!$E$145=6,IF(0=Element_Stiffness!$C$145,Element_Stiffness!U177,IF(0=Element_Stiffness!$E$145,Element_Stiffness!AA177,0)),0)),0)+IF(Element_Stiffness!$C$181,IF(Element_Stiffness!$C$180=6,IF(0=Element_Stiffness!$C$180,Element_Stiffness!U206,IF(0=Element_Stiffness!$E$180,Element_Stiffness!AA206,0)),IF(Element_Stiffness!$E$180=6,IF(0=Element_Stiffness!$C$180,Element_Stiffness!U212,IF(0=Element_Stiffness!$E$180,Element_Stiffness!AA212,0)),0)),0)+IF(Element_Stiffness!$C$216,IF(Element_Stiffness!$C$215=6,IF(0=Element_Stiffness!$C$215,Element_Stiffness!U241,IF(0=Element_Stiffness!$E$215,Element_Stiffness!AA241,0)),IF(Element_Stiffness!$E$215=6,IF(0=Element_Stiffness!$C$215,Element_Stiffness!U247,IF(0=Element_Stiffness!$E$215,Element_Stiffness!AA247,0)),0)),0)</f>
        <v/>
      </c>
      <c r="I46" s="21">
        <f>IF(Element_Stiffness!$C$6,IF(Element_Stiffness!$C$5=6,IF(1=Element_Stiffness!$C$5,Element_Stiffness!P31,IF(1=Element_Stiffness!$E$5,Element_Stiffness!V31,0)),IF(Element_Stiffness!$E$5=6,IF(1=Element_Stiffness!$C$5,Element_Stiffness!P37,IF(1=Element_Stiffness!$E$5,Element_Stiffness!V37,0)),0)),0)+IF(Element_Stiffness!$C$41,IF(Element_Stiffness!$C$40=6,IF(1=Element_Stiffness!$C$40,Element_Stiffness!P66,IF(1=Element_Stiffness!$E$40,Element_Stiffness!V66,0)),IF(Element_Stiffness!$E$40=6,IF(1=Element_Stiffness!$C$40,Element_Stiffness!P72,IF(1=Element_Stiffness!$E$40,Element_Stiffness!V72,0)),0)),0)+IF(Element_Stiffness!$C$76,IF(Element_Stiffness!$C$75=6,IF(1=Element_Stiffness!$C$75,Element_Stiffness!P101,IF(1=Element_Stiffness!$E$75,Element_Stiffness!V101,0)),IF(Element_Stiffness!$E$75=6,IF(1=Element_Stiffness!$C$75,Element_Stiffness!P107,IF(1=Element_Stiffness!$E$75,Element_Stiffness!V107,0)),0)),0)+IF(Element_Stiffness!$C$111,IF(Element_Stiffness!$C$110=6,IF(1=Element_Stiffness!$C$110,Element_Stiffness!P136,IF(1=Element_Stiffness!$E$110,Element_Stiffness!V136,0)),IF(Element_Stiffness!$E$110=6,IF(1=Element_Stiffness!$C$110,Element_Stiffness!P142,IF(1=Element_Stiffness!$E$110,Element_Stiffness!V142,0)),0)),0)+IF(Element_Stiffness!$C$146,IF(Element_Stiffness!$C$145=6,IF(1=Element_Stiffness!$C$145,Element_Stiffness!P171,IF(1=Element_Stiffness!$E$145,Element_Stiffness!V171,0)),IF(Element_Stiffness!$E$145=6,IF(1=Element_Stiffness!$C$145,Element_Stiffness!P177,IF(1=Element_Stiffness!$E$145,Element_Stiffness!V177,0)),0)),0)+IF(Element_Stiffness!$C$181,IF(Element_Stiffness!$C$180=6,IF(1=Element_Stiffness!$C$180,Element_Stiffness!P206,IF(1=Element_Stiffness!$E$180,Element_Stiffness!V206,0)),IF(Element_Stiffness!$E$180=6,IF(1=Element_Stiffness!$C$180,Element_Stiffness!P212,IF(1=Element_Stiffness!$E$180,Element_Stiffness!V212,0)),0)),0)+IF(Element_Stiffness!$C$216,IF(Element_Stiffness!$C$215=6,IF(1=Element_Stiffness!$C$215,Element_Stiffness!P241,IF(1=Element_Stiffness!$E$215,Element_Stiffness!V241,0)),IF(Element_Stiffness!$E$215=6,IF(1=Element_Stiffness!$C$215,Element_Stiffness!P247,IF(1=Element_Stiffness!$E$215,Element_Stiffness!V247,0)),0)),0)</f>
        <v/>
      </c>
      <c r="J46" s="21">
        <f>IF(Element_Stiffness!$C$6,IF(Element_Stiffness!$C$5=6,IF(1=Element_Stiffness!$C$5,Element_Stiffness!Q31,IF(1=Element_Stiffness!$E$5,Element_Stiffness!W31,0)),IF(Element_Stiffness!$E$5=6,IF(1=Element_Stiffness!$C$5,Element_Stiffness!Q37,IF(1=Element_Stiffness!$E$5,Element_Stiffness!W37,0)),0)),0)+IF(Element_Stiffness!$C$41,IF(Element_Stiffness!$C$40=6,IF(1=Element_Stiffness!$C$40,Element_Stiffness!Q66,IF(1=Element_Stiffness!$E$40,Element_Stiffness!W66,0)),IF(Element_Stiffness!$E$40=6,IF(1=Element_Stiffness!$C$40,Element_Stiffness!Q72,IF(1=Element_Stiffness!$E$40,Element_Stiffness!W72,0)),0)),0)+IF(Element_Stiffness!$C$76,IF(Element_Stiffness!$C$75=6,IF(1=Element_Stiffness!$C$75,Element_Stiffness!Q101,IF(1=Element_Stiffness!$E$75,Element_Stiffness!W101,0)),IF(Element_Stiffness!$E$75=6,IF(1=Element_Stiffness!$C$75,Element_Stiffness!Q107,IF(1=Element_Stiffness!$E$75,Element_Stiffness!W107,0)),0)),0)+IF(Element_Stiffness!$C$111,IF(Element_Stiffness!$C$110=6,IF(1=Element_Stiffness!$C$110,Element_Stiffness!Q136,IF(1=Element_Stiffness!$E$110,Element_Stiffness!W136,0)),IF(Element_Stiffness!$E$110=6,IF(1=Element_Stiffness!$C$110,Element_Stiffness!Q142,IF(1=Element_Stiffness!$E$110,Element_Stiffness!W142,0)),0)),0)+IF(Element_Stiffness!$C$146,IF(Element_Stiffness!$C$145=6,IF(1=Element_Stiffness!$C$145,Element_Stiffness!Q171,IF(1=Element_Stiffness!$E$145,Element_Stiffness!W171,0)),IF(Element_Stiffness!$E$145=6,IF(1=Element_Stiffness!$C$145,Element_Stiffness!Q177,IF(1=Element_Stiffness!$E$145,Element_Stiffness!W177,0)),0)),0)+IF(Element_Stiffness!$C$181,IF(Element_Stiffness!$C$180=6,IF(1=Element_Stiffness!$C$180,Element_Stiffness!Q206,IF(1=Element_Stiffness!$E$180,Element_Stiffness!W206,0)),IF(Element_Stiffness!$E$180=6,IF(1=Element_Stiffness!$C$180,Element_Stiffness!Q212,IF(1=Element_Stiffness!$E$180,Element_Stiffness!W212,0)),0)),0)+IF(Element_Stiffness!$C$216,IF(Element_Stiffness!$C$215=6,IF(1=Element_Stiffness!$C$215,Element_Stiffness!Q241,IF(1=Element_Stiffness!$E$215,Element_Stiffness!W241,0)),IF(Element_Stiffness!$E$215=6,IF(1=Element_Stiffness!$C$215,Element_Stiffness!Q247,IF(1=Element_Stiffness!$E$215,Element_Stiffness!W247,0)),0)),0)</f>
        <v/>
      </c>
      <c r="K46" s="21">
        <f>IF(Element_Stiffness!$C$6,IF(Element_Stiffness!$C$5=6,IF(1=Element_Stiffness!$C$5,Element_Stiffness!R31,IF(1=Element_Stiffness!$E$5,Element_Stiffness!X31,0)),IF(Element_Stiffness!$E$5=6,IF(1=Element_Stiffness!$C$5,Element_Stiffness!R37,IF(1=Element_Stiffness!$E$5,Element_Stiffness!X37,0)),0)),0)+IF(Element_Stiffness!$C$41,IF(Element_Stiffness!$C$40=6,IF(1=Element_Stiffness!$C$40,Element_Stiffness!R66,IF(1=Element_Stiffness!$E$40,Element_Stiffness!X66,0)),IF(Element_Stiffness!$E$40=6,IF(1=Element_Stiffness!$C$40,Element_Stiffness!R72,IF(1=Element_Stiffness!$E$40,Element_Stiffness!X72,0)),0)),0)+IF(Element_Stiffness!$C$76,IF(Element_Stiffness!$C$75=6,IF(1=Element_Stiffness!$C$75,Element_Stiffness!R101,IF(1=Element_Stiffness!$E$75,Element_Stiffness!X101,0)),IF(Element_Stiffness!$E$75=6,IF(1=Element_Stiffness!$C$75,Element_Stiffness!R107,IF(1=Element_Stiffness!$E$75,Element_Stiffness!X107,0)),0)),0)+IF(Element_Stiffness!$C$111,IF(Element_Stiffness!$C$110=6,IF(1=Element_Stiffness!$C$110,Element_Stiffness!R136,IF(1=Element_Stiffness!$E$110,Element_Stiffness!X136,0)),IF(Element_Stiffness!$E$110=6,IF(1=Element_Stiffness!$C$110,Element_Stiffness!R142,IF(1=Element_Stiffness!$E$110,Element_Stiffness!X142,0)),0)),0)+IF(Element_Stiffness!$C$146,IF(Element_Stiffness!$C$145=6,IF(1=Element_Stiffness!$C$145,Element_Stiffness!R171,IF(1=Element_Stiffness!$E$145,Element_Stiffness!X171,0)),IF(Element_Stiffness!$E$145=6,IF(1=Element_Stiffness!$C$145,Element_Stiffness!R177,IF(1=Element_Stiffness!$E$145,Element_Stiffness!X177,0)),0)),0)+IF(Element_Stiffness!$C$181,IF(Element_Stiffness!$C$180=6,IF(1=Element_Stiffness!$C$180,Element_Stiffness!R206,IF(1=Element_Stiffness!$E$180,Element_Stiffness!X206,0)),IF(Element_Stiffness!$E$180=6,IF(1=Element_Stiffness!$C$180,Element_Stiffness!R212,IF(1=Element_Stiffness!$E$180,Element_Stiffness!X212,0)),0)),0)+IF(Element_Stiffness!$C$216,IF(Element_Stiffness!$C$215=6,IF(1=Element_Stiffness!$C$215,Element_Stiffness!R241,IF(1=Element_Stiffness!$E$215,Element_Stiffness!X241,0)),IF(Element_Stiffness!$E$215=6,IF(1=Element_Stiffness!$C$215,Element_Stiffness!R247,IF(1=Element_Stiffness!$E$215,Element_Stiffness!X247,0)),0)),0)</f>
        <v/>
      </c>
      <c r="L46" s="21">
        <f>IF(Element_Stiffness!$C$6,IF(Element_Stiffness!$C$5=6,IF(1=Element_Stiffness!$C$5,Element_Stiffness!S31,IF(1=Element_Stiffness!$E$5,Element_Stiffness!Y31,0)),IF(Element_Stiffness!$E$5=6,IF(1=Element_Stiffness!$C$5,Element_Stiffness!S37,IF(1=Element_Stiffness!$E$5,Element_Stiffness!Y37,0)),0)),0)+IF(Element_Stiffness!$C$41,IF(Element_Stiffness!$C$40=6,IF(1=Element_Stiffness!$C$40,Element_Stiffness!S66,IF(1=Element_Stiffness!$E$40,Element_Stiffness!Y66,0)),IF(Element_Stiffness!$E$40=6,IF(1=Element_Stiffness!$C$40,Element_Stiffness!S72,IF(1=Element_Stiffness!$E$40,Element_Stiffness!Y72,0)),0)),0)+IF(Element_Stiffness!$C$76,IF(Element_Stiffness!$C$75=6,IF(1=Element_Stiffness!$C$75,Element_Stiffness!S101,IF(1=Element_Stiffness!$E$75,Element_Stiffness!Y101,0)),IF(Element_Stiffness!$E$75=6,IF(1=Element_Stiffness!$C$75,Element_Stiffness!S107,IF(1=Element_Stiffness!$E$75,Element_Stiffness!Y107,0)),0)),0)+IF(Element_Stiffness!$C$111,IF(Element_Stiffness!$C$110=6,IF(1=Element_Stiffness!$C$110,Element_Stiffness!S136,IF(1=Element_Stiffness!$E$110,Element_Stiffness!Y136,0)),IF(Element_Stiffness!$E$110=6,IF(1=Element_Stiffness!$C$110,Element_Stiffness!S142,IF(1=Element_Stiffness!$E$110,Element_Stiffness!Y142,0)),0)),0)+IF(Element_Stiffness!$C$146,IF(Element_Stiffness!$C$145=6,IF(1=Element_Stiffness!$C$145,Element_Stiffness!S171,IF(1=Element_Stiffness!$E$145,Element_Stiffness!Y171,0)),IF(Element_Stiffness!$E$145=6,IF(1=Element_Stiffness!$C$145,Element_Stiffness!S177,IF(1=Element_Stiffness!$E$145,Element_Stiffness!Y177,0)),0)),0)+IF(Element_Stiffness!$C$181,IF(Element_Stiffness!$C$180=6,IF(1=Element_Stiffness!$C$180,Element_Stiffness!S206,IF(1=Element_Stiffness!$E$180,Element_Stiffness!Y206,0)),IF(Element_Stiffness!$E$180=6,IF(1=Element_Stiffness!$C$180,Element_Stiffness!S212,IF(1=Element_Stiffness!$E$180,Element_Stiffness!Y212,0)),0)),0)+IF(Element_Stiffness!$C$216,IF(Element_Stiffness!$C$215=6,IF(1=Element_Stiffness!$C$215,Element_Stiffness!S241,IF(1=Element_Stiffness!$E$215,Element_Stiffness!Y241,0)),IF(Element_Stiffness!$E$215=6,IF(1=Element_Stiffness!$C$215,Element_Stiffness!S247,IF(1=Element_Stiffness!$E$215,Element_Stiffness!Y247,0)),0)),0)</f>
        <v/>
      </c>
      <c r="M46" s="21">
        <f>IF(Element_Stiffness!$C$6,IF(Element_Stiffness!$C$5=6,IF(1=Element_Stiffness!$C$5,Element_Stiffness!T31,IF(1=Element_Stiffness!$E$5,Element_Stiffness!Z31,0)),IF(Element_Stiffness!$E$5=6,IF(1=Element_Stiffness!$C$5,Element_Stiffness!T37,IF(1=Element_Stiffness!$E$5,Element_Stiffness!Z37,0)),0)),0)+IF(Element_Stiffness!$C$41,IF(Element_Stiffness!$C$40=6,IF(1=Element_Stiffness!$C$40,Element_Stiffness!T66,IF(1=Element_Stiffness!$E$40,Element_Stiffness!Z66,0)),IF(Element_Stiffness!$E$40=6,IF(1=Element_Stiffness!$C$40,Element_Stiffness!T72,IF(1=Element_Stiffness!$E$40,Element_Stiffness!Z72,0)),0)),0)+IF(Element_Stiffness!$C$76,IF(Element_Stiffness!$C$75=6,IF(1=Element_Stiffness!$C$75,Element_Stiffness!T101,IF(1=Element_Stiffness!$E$75,Element_Stiffness!Z101,0)),IF(Element_Stiffness!$E$75=6,IF(1=Element_Stiffness!$C$75,Element_Stiffness!T107,IF(1=Element_Stiffness!$E$75,Element_Stiffness!Z107,0)),0)),0)+IF(Element_Stiffness!$C$111,IF(Element_Stiffness!$C$110=6,IF(1=Element_Stiffness!$C$110,Element_Stiffness!T136,IF(1=Element_Stiffness!$E$110,Element_Stiffness!Z136,0)),IF(Element_Stiffness!$E$110=6,IF(1=Element_Stiffness!$C$110,Element_Stiffness!T142,IF(1=Element_Stiffness!$E$110,Element_Stiffness!Z142,0)),0)),0)+IF(Element_Stiffness!$C$146,IF(Element_Stiffness!$C$145=6,IF(1=Element_Stiffness!$C$145,Element_Stiffness!T171,IF(1=Element_Stiffness!$E$145,Element_Stiffness!Z171,0)),IF(Element_Stiffness!$E$145=6,IF(1=Element_Stiffness!$C$145,Element_Stiffness!T177,IF(1=Element_Stiffness!$E$145,Element_Stiffness!Z177,0)),0)),0)+IF(Element_Stiffness!$C$181,IF(Element_Stiffness!$C$180=6,IF(1=Element_Stiffness!$C$180,Element_Stiffness!T206,IF(1=Element_Stiffness!$E$180,Element_Stiffness!Z206,0)),IF(Element_Stiffness!$E$180=6,IF(1=Element_Stiffness!$C$180,Element_Stiffness!T212,IF(1=Element_Stiffness!$E$180,Element_Stiffness!Z212,0)),0)),0)+IF(Element_Stiffness!$C$216,IF(Element_Stiffness!$C$215=6,IF(1=Element_Stiffness!$C$215,Element_Stiffness!T241,IF(1=Element_Stiffness!$E$215,Element_Stiffness!Z241,0)),IF(Element_Stiffness!$E$215=6,IF(1=Element_Stiffness!$C$215,Element_Stiffness!T247,IF(1=Element_Stiffness!$E$215,Element_Stiffness!Z247,0)),0)),0)</f>
        <v/>
      </c>
      <c r="N46" s="21">
        <f>IF(Element_Stiffness!$C$6,IF(Element_Stiffness!$C$5=6,IF(1=Element_Stiffness!$C$5,Element_Stiffness!U31,IF(1=Element_Stiffness!$E$5,Element_Stiffness!AA31,0)),IF(Element_Stiffness!$E$5=6,IF(1=Element_Stiffness!$C$5,Element_Stiffness!U37,IF(1=Element_Stiffness!$E$5,Element_Stiffness!AA37,0)),0)),0)+IF(Element_Stiffness!$C$41,IF(Element_Stiffness!$C$40=6,IF(1=Element_Stiffness!$C$40,Element_Stiffness!U66,IF(1=Element_Stiffness!$E$40,Element_Stiffness!AA66,0)),IF(Element_Stiffness!$E$40=6,IF(1=Element_Stiffness!$C$40,Element_Stiffness!U72,IF(1=Element_Stiffness!$E$40,Element_Stiffness!AA72,0)),0)),0)+IF(Element_Stiffness!$C$76,IF(Element_Stiffness!$C$75=6,IF(1=Element_Stiffness!$C$75,Element_Stiffness!U101,IF(1=Element_Stiffness!$E$75,Element_Stiffness!AA101,0)),IF(Element_Stiffness!$E$75=6,IF(1=Element_Stiffness!$C$75,Element_Stiffness!U107,IF(1=Element_Stiffness!$E$75,Element_Stiffness!AA107,0)),0)),0)+IF(Element_Stiffness!$C$111,IF(Element_Stiffness!$C$110=6,IF(1=Element_Stiffness!$C$110,Element_Stiffness!U136,IF(1=Element_Stiffness!$E$110,Element_Stiffness!AA136,0)),IF(Element_Stiffness!$E$110=6,IF(1=Element_Stiffness!$C$110,Element_Stiffness!U142,IF(1=Element_Stiffness!$E$110,Element_Stiffness!AA142,0)),0)),0)+IF(Element_Stiffness!$C$146,IF(Element_Stiffness!$C$145=6,IF(1=Element_Stiffness!$C$145,Element_Stiffness!U171,IF(1=Element_Stiffness!$E$145,Element_Stiffness!AA171,0)),IF(Element_Stiffness!$E$145=6,IF(1=Element_Stiffness!$C$145,Element_Stiffness!U177,IF(1=Element_Stiffness!$E$145,Element_Stiffness!AA177,0)),0)),0)+IF(Element_Stiffness!$C$181,IF(Element_Stiffness!$C$180=6,IF(1=Element_Stiffness!$C$180,Element_Stiffness!U206,IF(1=Element_Stiffness!$E$180,Element_Stiffness!AA206,0)),IF(Element_Stiffness!$E$180=6,IF(1=Element_Stiffness!$C$180,Element_Stiffness!U212,IF(1=Element_Stiffness!$E$180,Element_Stiffness!AA212,0)),0)),0)+IF(Element_Stiffness!$C$216,IF(Element_Stiffness!$C$215=6,IF(1=Element_Stiffness!$C$215,Element_Stiffness!U241,IF(1=Element_Stiffness!$E$215,Element_Stiffness!AA241,0)),IF(Element_Stiffness!$E$215=6,IF(1=Element_Stiffness!$C$215,Element_Stiffness!U247,IF(1=Element_Stiffness!$E$215,Element_Stiffness!AA247,0)),0)),0)</f>
        <v/>
      </c>
      <c r="O46" s="21">
        <f>IF(Element_Stiffness!$C$6,IF(Element_Stiffness!$C$5=6,IF(2=Element_Stiffness!$C$5,Element_Stiffness!P31,IF(2=Element_Stiffness!$E$5,Element_Stiffness!V31,0)),IF(Element_Stiffness!$E$5=6,IF(2=Element_Stiffness!$C$5,Element_Stiffness!P37,IF(2=Element_Stiffness!$E$5,Element_Stiffness!V37,0)),0)),0)+IF(Element_Stiffness!$C$41,IF(Element_Stiffness!$C$40=6,IF(2=Element_Stiffness!$C$40,Element_Stiffness!P66,IF(2=Element_Stiffness!$E$40,Element_Stiffness!V66,0)),IF(Element_Stiffness!$E$40=6,IF(2=Element_Stiffness!$C$40,Element_Stiffness!P72,IF(2=Element_Stiffness!$E$40,Element_Stiffness!V72,0)),0)),0)+IF(Element_Stiffness!$C$76,IF(Element_Stiffness!$C$75=6,IF(2=Element_Stiffness!$C$75,Element_Stiffness!P101,IF(2=Element_Stiffness!$E$75,Element_Stiffness!V101,0)),IF(Element_Stiffness!$E$75=6,IF(2=Element_Stiffness!$C$75,Element_Stiffness!P107,IF(2=Element_Stiffness!$E$75,Element_Stiffness!V107,0)),0)),0)+IF(Element_Stiffness!$C$111,IF(Element_Stiffness!$C$110=6,IF(2=Element_Stiffness!$C$110,Element_Stiffness!P136,IF(2=Element_Stiffness!$E$110,Element_Stiffness!V136,0)),IF(Element_Stiffness!$E$110=6,IF(2=Element_Stiffness!$C$110,Element_Stiffness!P142,IF(2=Element_Stiffness!$E$110,Element_Stiffness!V142,0)),0)),0)+IF(Element_Stiffness!$C$146,IF(Element_Stiffness!$C$145=6,IF(2=Element_Stiffness!$C$145,Element_Stiffness!P171,IF(2=Element_Stiffness!$E$145,Element_Stiffness!V171,0)),IF(Element_Stiffness!$E$145=6,IF(2=Element_Stiffness!$C$145,Element_Stiffness!P177,IF(2=Element_Stiffness!$E$145,Element_Stiffness!V177,0)),0)),0)+IF(Element_Stiffness!$C$181,IF(Element_Stiffness!$C$180=6,IF(2=Element_Stiffness!$C$180,Element_Stiffness!P206,IF(2=Element_Stiffness!$E$180,Element_Stiffness!V206,0)),IF(Element_Stiffness!$E$180=6,IF(2=Element_Stiffness!$C$180,Element_Stiffness!P212,IF(2=Element_Stiffness!$E$180,Element_Stiffness!V212,0)),0)),0)+IF(Element_Stiffness!$C$216,IF(Element_Stiffness!$C$215=6,IF(2=Element_Stiffness!$C$215,Element_Stiffness!P241,IF(2=Element_Stiffness!$E$215,Element_Stiffness!V241,0)),IF(Element_Stiffness!$E$215=6,IF(2=Element_Stiffness!$C$215,Element_Stiffness!P247,IF(2=Element_Stiffness!$E$215,Element_Stiffness!V247,0)),0)),0)</f>
        <v/>
      </c>
      <c r="P46" s="21">
        <f>IF(Element_Stiffness!$C$6,IF(Element_Stiffness!$C$5=6,IF(2=Element_Stiffness!$C$5,Element_Stiffness!Q31,IF(2=Element_Stiffness!$E$5,Element_Stiffness!W31,0)),IF(Element_Stiffness!$E$5=6,IF(2=Element_Stiffness!$C$5,Element_Stiffness!Q37,IF(2=Element_Stiffness!$E$5,Element_Stiffness!W37,0)),0)),0)+IF(Element_Stiffness!$C$41,IF(Element_Stiffness!$C$40=6,IF(2=Element_Stiffness!$C$40,Element_Stiffness!Q66,IF(2=Element_Stiffness!$E$40,Element_Stiffness!W66,0)),IF(Element_Stiffness!$E$40=6,IF(2=Element_Stiffness!$C$40,Element_Stiffness!Q72,IF(2=Element_Stiffness!$E$40,Element_Stiffness!W72,0)),0)),0)+IF(Element_Stiffness!$C$76,IF(Element_Stiffness!$C$75=6,IF(2=Element_Stiffness!$C$75,Element_Stiffness!Q101,IF(2=Element_Stiffness!$E$75,Element_Stiffness!W101,0)),IF(Element_Stiffness!$E$75=6,IF(2=Element_Stiffness!$C$75,Element_Stiffness!Q107,IF(2=Element_Stiffness!$E$75,Element_Stiffness!W107,0)),0)),0)+IF(Element_Stiffness!$C$111,IF(Element_Stiffness!$C$110=6,IF(2=Element_Stiffness!$C$110,Element_Stiffness!Q136,IF(2=Element_Stiffness!$E$110,Element_Stiffness!W136,0)),IF(Element_Stiffness!$E$110=6,IF(2=Element_Stiffness!$C$110,Element_Stiffness!Q142,IF(2=Element_Stiffness!$E$110,Element_Stiffness!W142,0)),0)),0)+IF(Element_Stiffness!$C$146,IF(Element_Stiffness!$C$145=6,IF(2=Element_Stiffness!$C$145,Element_Stiffness!Q171,IF(2=Element_Stiffness!$E$145,Element_Stiffness!W171,0)),IF(Element_Stiffness!$E$145=6,IF(2=Element_Stiffness!$C$145,Element_Stiffness!Q177,IF(2=Element_Stiffness!$E$145,Element_Stiffness!W177,0)),0)),0)+IF(Element_Stiffness!$C$181,IF(Element_Stiffness!$C$180=6,IF(2=Element_Stiffness!$C$180,Element_Stiffness!Q206,IF(2=Element_Stiffness!$E$180,Element_Stiffness!W206,0)),IF(Element_Stiffness!$E$180=6,IF(2=Element_Stiffness!$C$180,Element_Stiffness!Q212,IF(2=Element_Stiffness!$E$180,Element_Stiffness!W212,0)),0)),0)+IF(Element_Stiffness!$C$216,IF(Element_Stiffness!$C$215=6,IF(2=Element_Stiffness!$C$215,Element_Stiffness!Q241,IF(2=Element_Stiffness!$E$215,Element_Stiffness!W241,0)),IF(Element_Stiffness!$E$215=6,IF(2=Element_Stiffness!$C$215,Element_Stiffness!Q247,IF(2=Element_Stiffness!$E$215,Element_Stiffness!W247,0)),0)),0)</f>
        <v/>
      </c>
      <c r="Q46" s="21">
        <f>IF(Element_Stiffness!$C$6,IF(Element_Stiffness!$C$5=6,IF(2=Element_Stiffness!$C$5,Element_Stiffness!R31,IF(2=Element_Stiffness!$E$5,Element_Stiffness!X31,0)),IF(Element_Stiffness!$E$5=6,IF(2=Element_Stiffness!$C$5,Element_Stiffness!R37,IF(2=Element_Stiffness!$E$5,Element_Stiffness!X37,0)),0)),0)+IF(Element_Stiffness!$C$41,IF(Element_Stiffness!$C$40=6,IF(2=Element_Stiffness!$C$40,Element_Stiffness!R66,IF(2=Element_Stiffness!$E$40,Element_Stiffness!X66,0)),IF(Element_Stiffness!$E$40=6,IF(2=Element_Stiffness!$C$40,Element_Stiffness!R72,IF(2=Element_Stiffness!$E$40,Element_Stiffness!X72,0)),0)),0)+IF(Element_Stiffness!$C$76,IF(Element_Stiffness!$C$75=6,IF(2=Element_Stiffness!$C$75,Element_Stiffness!R101,IF(2=Element_Stiffness!$E$75,Element_Stiffness!X101,0)),IF(Element_Stiffness!$E$75=6,IF(2=Element_Stiffness!$C$75,Element_Stiffness!R107,IF(2=Element_Stiffness!$E$75,Element_Stiffness!X107,0)),0)),0)+IF(Element_Stiffness!$C$111,IF(Element_Stiffness!$C$110=6,IF(2=Element_Stiffness!$C$110,Element_Stiffness!R136,IF(2=Element_Stiffness!$E$110,Element_Stiffness!X136,0)),IF(Element_Stiffness!$E$110=6,IF(2=Element_Stiffness!$C$110,Element_Stiffness!R142,IF(2=Element_Stiffness!$E$110,Element_Stiffness!X142,0)),0)),0)+IF(Element_Stiffness!$C$146,IF(Element_Stiffness!$C$145=6,IF(2=Element_Stiffness!$C$145,Element_Stiffness!R171,IF(2=Element_Stiffness!$E$145,Element_Stiffness!X171,0)),IF(Element_Stiffness!$E$145=6,IF(2=Element_Stiffness!$C$145,Element_Stiffness!R177,IF(2=Element_Stiffness!$E$145,Element_Stiffness!X177,0)),0)),0)+IF(Element_Stiffness!$C$181,IF(Element_Stiffness!$C$180=6,IF(2=Element_Stiffness!$C$180,Element_Stiffness!R206,IF(2=Element_Stiffness!$E$180,Element_Stiffness!X206,0)),IF(Element_Stiffness!$E$180=6,IF(2=Element_Stiffness!$C$180,Element_Stiffness!R212,IF(2=Element_Stiffness!$E$180,Element_Stiffness!X212,0)),0)),0)+IF(Element_Stiffness!$C$216,IF(Element_Stiffness!$C$215=6,IF(2=Element_Stiffness!$C$215,Element_Stiffness!R241,IF(2=Element_Stiffness!$E$215,Element_Stiffness!X241,0)),IF(Element_Stiffness!$E$215=6,IF(2=Element_Stiffness!$C$215,Element_Stiffness!R247,IF(2=Element_Stiffness!$E$215,Element_Stiffness!X247,0)),0)),0)</f>
        <v/>
      </c>
      <c r="R46" s="21">
        <f>IF(Element_Stiffness!$C$6,IF(Element_Stiffness!$C$5=6,IF(2=Element_Stiffness!$C$5,Element_Stiffness!S31,IF(2=Element_Stiffness!$E$5,Element_Stiffness!Y31,0)),IF(Element_Stiffness!$E$5=6,IF(2=Element_Stiffness!$C$5,Element_Stiffness!S37,IF(2=Element_Stiffness!$E$5,Element_Stiffness!Y37,0)),0)),0)+IF(Element_Stiffness!$C$41,IF(Element_Stiffness!$C$40=6,IF(2=Element_Stiffness!$C$40,Element_Stiffness!S66,IF(2=Element_Stiffness!$E$40,Element_Stiffness!Y66,0)),IF(Element_Stiffness!$E$40=6,IF(2=Element_Stiffness!$C$40,Element_Stiffness!S72,IF(2=Element_Stiffness!$E$40,Element_Stiffness!Y72,0)),0)),0)+IF(Element_Stiffness!$C$76,IF(Element_Stiffness!$C$75=6,IF(2=Element_Stiffness!$C$75,Element_Stiffness!S101,IF(2=Element_Stiffness!$E$75,Element_Stiffness!Y101,0)),IF(Element_Stiffness!$E$75=6,IF(2=Element_Stiffness!$C$75,Element_Stiffness!S107,IF(2=Element_Stiffness!$E$75,Element_Stiffness!Y107,0)),0)),0)+IF(Element_Stiffness!$C$111,IF(Element_Stiffness!$C$110=6,IF(2=Element_Stiffness!$C$110,Element_Stiffness!S136,IF(2=Element_Stiffness!$E$110,Element_Stiffness!Y136,0)),IF(Element_Stiffness!$E$110=6,IF(2=Element_Stiffness!$C$110,Element_Stiffness!S142,IF(2=Element_Stiffness!$E$110,Element_Stiffness!Y142,0)),0)),0)+IF(Element_Stiffness!$C$146,IF(Element_Stiffness!$C$145=6,IF(2=Element_Stiffness!$C$145,Element_Stiffness!S171,IF(2=Element_Stiffness!$E$145,Element_Stiffness!Y171,0)),IF(Element_Stiffness!$E$145=6,IF(2=Element_Stiffness!$C$145,Element_Stiffness!S177,IF(2=Element_Stiffness!$E$145,Element_Stiffness!Y177,0)),0)),0)+IF(Element_Stiffness!$C$181,IF(Element_Stiffness!$C$180=6,IF(2=Element_Stiffness!$C$180,Element_Stiffness!S206,IF(2=Element_Stiffness!$E$180,Element_Stiffness!Y206,0)),IF(Element_Stiffness!$E$180=6,IF(2=Element_Stiffness!$C$180,Element_Stiffness!S212,IF(2=Element_Stiffness!$E$180,Element_Stiffness!Y212,0)),0)),0)+IF(Element_Stiffness!$C$216,IF(Element_Stiffness!$C$215=6,IF(2=Element_Stiffness!$C$215,Element_Stiffness!S241,IF(2=Element_Stiffness!$E$215,Element_Stiffness!Y241,0)),IF(Element_Stiffness!$E$215=6,IF(2=Element_Stiffness!$C$215,Element_Stiffness!S247,IF(2=Element_Stiffness!$E$215,Element_Stiffness!Y247,0)),0)),0)</f>
        <v/>
      </c>
      <c r="S46" s="21">
        <f>IF(Element_Stiffness!$C$6,IF(Element_Stiffness!$C$5=6,IF(2=Element_Stiffness!$C$5,Element_Stiffness!T31,IF(2=Element_Stiffness!$E$5,Element_Stiffness!Z31,0)),IF(Element_Stiffness!$E$5=6,IF(2=Element_Stiffness!$C$5,Element_Stiffness!T37,IF(2=Element_Stiffness!$E$5,Element_Stiffness!Z37,0)),0)),0)+IF(Element_Stiffness!$C$41,IF(Element_Stiffness!$C$40=6,IF(2=Element_Stiffness!$C$40,Element_Stiffness!T66,IF(2=Element_Stiffness!$E$40,Element_Stiffness!Z66,0)),IF(Element_Stiffness!$E$40=6,IF(2=Element_Stiffness!$C$40,Element_Stiffness!T72,IF(2=Element_Stiffness!$E$40,Element_Stiffness!Z72,0)),0)),0)+IF(Element_Stiffness!$C$76,IF(Element_Stiffness!$C$75=6,IF(2=Element_Stiffness!$C$75,Element_Stiffness!T101,IF(2=Element_Stiffness!$E$75,Element_Stiffness!Z101,0)),IF(Element_Stiffness!$E$75=6,IF(2=Element_Stiffness!$C$75,Element_Stiffness!T107,IF(2=Element_Stiffness!$E$75,Element_Stiffness!Z107,0)),0)),0)+IF(Element_Stiffness!$C$111,IF(Element_Stiffness!$C$110=6,IF(2=Element_Stiffness!$C$110,Element_Stiffness!T136,IF(2=Element_Stiffness!$E$110,Element_Stiffness!Z136,0)),IF(Element_Stiffness!$E$110=6,IF(2=Element_Stiffness!$C$110,Element_Stiffness!T142,IF(2=Element_Stiffness!$E$110,Element_Stiffness!Z142,0)),0)),0)+IF(Element_Stiffness!$C$146,IF(Element_Stiffness!$C$145=6,IF(2=Element_Stiffness!$C$145,Element_Stiffness!T171,IF(2=Element_Stiffness!$E$145,Element_Stiffness!Z171,0)),IF(Element_Stiffness!$E$145=6,IF(2=Element_Stiffness!$C$145,Element_Stiffness!T177,IF(2=Element_Stiffness!$E$145,Element_Stiffness!Z177,0)),0)),0)+IF(Element_Stiffness!$C$181,IF(Element_Stiffness!$C$180=6,IF(2=Element_Stiffness!$C$180,Element_Stiffness!T206,IF(2=Element_Stiffness!$E$180,Element_Stiffness!Z206,0)),IF(Element_Stiffness!$E$180=6,IF(2=Element_Stiffness!$C$180,Element_Stiffness!T212,IF(2=Element_Stiffness!$E$180,Element_Stiffness!Z212,0)),0)),0)+IF(Element_Stiffness!$C$216,IF(Element_Stiffness!$C$215=6,IF(2=Element_Stiffness!$C$215,Element_Stiffness!T241,IF(2=Element_Stiffness!$E$215,Element_Stiffness!Z241,0)),IF(Element_Stiffness!$E$215=6,IF(2=Element_Stiffness!$C$215,Element_Stiffness!T247,IF(2=Element_Stiffness!$E$215,Element_Stiffness!Z247,0)),0)),0)</f>
        <v/>
      </c>
      <c r="T46" s="21">
        <f>IF(Element_Stiffness!$C$6,IF(Element_Stiffness!$C$5=6,IF(2=Element_Stiffness!$C$5,Element_Stiffness!U31,IF(2=Element_Stiffness!$E$5,Element_Stiffness!AA31,0)),IF(Element_Stiffness!$E$5=6,IF(2=Element_Stiffness!$C$5,Element_Stiffness!U37,IF(2=Element_Stiffness!$E$5,Element_Stiffness!AA37,0)),0)),0)+IF(Element_Stiffness!$C$41,IF(Element_Stiffness!$C$40=6,IF(2=Element_Stiffness!$C$40,Element_Stiffness!U66,IF(2=Element_Stiffness!$E$40,Element_Stiffness!AA66,0)),IF(Element_Stiffness!$E$40=6,IF(2=Element_Stiffness!$C$40,Element_Stiffness!U72,IF(2=Element_Stiffness!$E$40,Element_Stiffness!AA72,0)),0)),0)+IF(Element_Stiffness!$C$76,IF(Element_Stiffness!$C$75=6,IF(2=Element_Stiffness!$C$75,Element_Stiffness!U101,IF(2=Element_Stiffness!$E$75,Element_Stiffness!AA101,0)),IF(Element_Stiffness!$E$75=6,IF(2=Element_Stiffness!$C$75,Element_Stiffness!U107,IF(2=Element_Stiffness!$E$75,Element_Stiffness!AA107,0)),0)),0)+IF(Element_Stiffness!$C$111,IF(Element_Stiffness!$C$110=6,IF(2=Element_Stiffness!$C$110,Element_Stiffness!U136,IF(2=Element_Stiffness!$E$110,Element_Stiffness!AA136,0)),IF(Element_Stiffness!$E$110=6,IF(2=Element_Stiffness!$C$110,Element_Stiffness!U142,IF(2=Element_Stiffness!$E$110,Element_Stiffness!AA142,0)),0)),0)+IF(Element_Stiffness!$C$146,IF(Element_Stiffness!$C$145=6,IF(2=Element_Stiffness!$C$145,Element_Stiffness!U171,IF(2=Element_Stiffness!$E$145,Element_Stiffness!AA171,0)),IF(Element_Stiffness!$E$145=6,IF(2=Element_Stiffness!$C$145,Element_Stiffness!U177,IF(2=Element_Stiffness!$E$145,Element_Stiffness!AA177,0)),0)),0)+IF(Element_Stiffness!$C$181,IF(Element_Stiffness!$C$180=6,IF(2=Element_Stiffness!$C$180,Element_Stiffness!U206,IF(2=Element_Stiffness!$E$180,Element_Stiffness!AA206,0)),IF(Element_Stiffness!$E$180=6,IF(2=Element_Stiffness!$C$180,Element_Stiffness!U212,IF(2=Element_Stiffness!$E$180,Element_Stiffness!AA212,0)),0)),0)+IF(Element_Stiffness!$C$216,IF(Element_Stiffness!$C$215=6,IF(2=Element_Stiffness!$C$215,Element_Stiffness!U241,IF(2=Element_Stiffness!$E$215,Element_Stiffness!AA241,0)),IF(Element_Stiffness!$E$215=6,IF(2=Element_Stiffness!$C$215,Element_Stiffness!U247,IF(2=Element_Stiffness!$E$215,Element_Stiffness!AA247,0)),0)),0)</f>
        <v/>
      </c>
      <c r="U46" s="21">
        <f>IF(Element_Stiffness!$C$6,IF(Element_Stiffness!$C$5=6,IF(3=Element_Stiffness!$C$5,Element_Stiffness!P31,IF(3=Element_Stiffness!$E$5,Element_Stiffness!V31,0)),IF(Element_Stiffness!$E$5=6,IF(3=Element_Stiffness!$C$5,Element_Stiffness!P37,IF(3=Element_Stiffness!$E$5,Element_Stiffness!V37,0)),0)),0)+IF(Element_Stiffness!$C$41,IF(Element_Stiffness!$C$40=6,IF(3=Element_Stiffness!$C$40,Element_Stiffness!P66,IF(3=Element_Stiffness!$E$40,Element_Stiffness!V66,0)),IF(Element_Stiffness!$E$40=6,IF(3=Element_Stiffness!$C$40,Element_Stiffness!P72,IF(3=Element_Stiffness!$E$40,Element_Stiffness!V72,0)),0)),0)+IF(Element_Stiffness!$C$76,IF(Element_Stiffness!$C$75=6,IF(3=Element_Stiffness!$C$75,Element_Stiffness!P101,IF(3=Element_Stiffness!$E$75,Element_Stiffness!V101,0)),IF(Element_Stiffness!$E$75=6,IF(3=Element_Stiffness!$C$75,Element_Stiffness!P107,IF(3=Element_Stiffness!$E$75,Element_Stiffness!V107,0)),0)),0)+IF(Element_Stiffness!$C$111,IF(Element_Stiffness!$C$110=6,IF(3=Element_Stiffness!$C$110,Element_Stiffness!P136,IF(3=Element_Stiffness!$E$110,Element_Stiffness!V136,0)),IF(Element_Stiffness!$E$110=6,IF(3=Element_Stiffness!$C$110,Element_Stiffness!P142,IF(3=Element_Stiffness!$E$110,Element_Stiffness!V142,0)),0)),0)+IF(Element_Stiffness!$C$146,IF(Element_Stiffness!$C$145=6,IF(3=Element_Stiffness!$C$145,Element_Stiffness!P171,IF(3=Element_Stiffness!$E$145,Element_Stiffness!V171,0)),IF(Element_Stiffness!$E$145=6,IF(3=Element_Stiffness!$C$145,Element_Stiffness!P177,IF(3=Element_Stiffness!$E$145,Element_Stiffness!V177,0)),0)),0)+IF(Element_Stiffness!$C$181,IF(Element_Stiffness!$C$180=6,IF(3=Element_Stiffness!$C$180,Element_Stiffness!P206,IF(3=Element_Stiffness!$E$180,Element_Stiffness!V206,0)),IF(Element_Stiffness!$E$180=6,IF(3=Element_Stiffness!$C$180,Element_Stiffness!P212,IF(3=Element_Stiffness!$E$180,Element_Stiffness!V212,0)),0)),0)+IF(Element_Stiffness!$C$216,IF(Element_Stiffness!$C$215=6,IF(3=Element_Stiffness!$C$215,Element_Stiffness!P241,IF(3=Element_Stiffness!$E$215,Element_Stiffness!V241,0)),IF(Element_Stiffness!$E$215=6,IF(3=Element_Stiffness!$C$215,Element_Stiffness!P247,IF(3=Element_Stiffness!$E$215,Element_Stiffness!V247,0)),0)),0)</f>
        <v/>
      </c>
      <c r="V46" s="21">
        <f>IF(Element_Stiffness!$C$6,IF(Element_Stiffness!$C$5=6,IF(3=Element_Stiffness!$C$5,Element_Stiffness!Q31,IF(3=Element_Stiffness!$E$5,Element_Stiffness!W31,0)),IF(Element_Stiffness!$E$5=6,IF(3=Element_Stiffness!$C$5,Element_Stiffness!Q37,IF(3=Element_Stiffness!$E$5,Element_Stiffness!W37,0)),0)),0)+IF(Element_Stiffness!$C$41,IF(Element_Stiffness!$C$40=6,IF(3=Element_Stiffness!$C$40,Element_Stiffness!Q66,IF(3=Element_Stiffness!$E$40,Element_Stiffness!W66,0)),IF(Element_Stiffness!$E$40=6,IF(3=Element_Stiffness!$C$40,Element_Stiffness!Q72,IF(3=Element_Stiffness!$E$40,Element_Stiffness!W72,0)),0)),0)+IF(Element_Stiffness!$C$76,IF(Element_Stiffness!$C$75=6,IF(3=Element_Stiffness!$C$75,Element_Stiffness!Q101,IF(3=Element_Stiffness!$E$75,Element_Stiffness!W101,0)),IF(Element_Stiffness!$E$75=6,IF(3=Element_Stiffness!$C$75,Element_Stiffness!Q107,IF(3=Element_Stiffness!$E$75,Element_Stiffness!W107,0)),0)),0)+IF(Element_Stiffness!$C$111,IF(Element_Stiffness!$C$110=6,IF(3=Element_Stiffness!$C$110,Element_Stiffness!Q136,IF(3=Element_Stiffness!$E$110,Element_Stiffness!W136,0)),IF(Element_Stiffness!$E$110=6,IF(3=Element_Stiffness!$C$110,Element_Stiffness!Q142,IF(3=Element_Stiffness!$E$110,Element_Stiffness!W142,0)),0)),0)+IF(Element_Stiffness!$C$146,IF(Element_Stiffness!$C$145=6,IF(3=Element_Stiffness!$C$145,Element_Stiffness!Q171,IF(3=Element_Stiffness!$E$145,Element_Stiffness!W171,0)),IF(Element_Stiffness!$E$145=6,IF(3=Element_Stiffness!$C$145,Element_Stiffness!Q177,IF(3=Element_Stiffness!$E$145,Element_Stiffness!W177,0)),0)),0)+IF(Element_Stiffness!$C$181,IF(Element_Stiffness!$C$180=6,IF(3=Element_Stiffness!$C$180,Element_Stiffness!Q206,IF(3=Element_Stiffness!$E$180,Element_Stiffness!W206,0)),IF(Element_Stiffness!$E$180=6,IF(3=Element_Stiffness!$C$180,Element_Stiffness!Q212,IF(3=Element_Stiffness!$E$180,Element_Stiffness!W212,0)),0)),0)+IF(Element_Stiffness!$C$216,IF(Element_Stiffness!$C$215=6,IF(3=Element_Stiffness!$C$215,Element_Stiffness!Q241,IF(3=Element_Stiffness!$E$215,Element_Stiffness!W241,0)),IF(Element_Stiffness!$E$215=6,IF(3=Element_Stiffness!$C$215,Element_Stiffness!Q247,IF(3=Element_Stiffness!$E$215,Element_Stiffness!W247,0)),0)),0)</f>
        <v/>
      </c>
      <c r="W46" s="21">
        <f>IF(Element_Stiffness!$C$6,IF(Element_Stiffness!$C$5=6,IF(3=Element_Stiffness!$C$5,Element_Stiffness!R31,IF(3=Element_Stiffness!$E$5,Element_Stiffness!X31,0)),IF(Element_Stiffness!$E$5=6,IF(3=Element_Stiffness!$C$5,Element_Stiffness!R37,IF(3=Element_Stiffness!$E$5,Element_Stiffness!X37,0)),0)),0)+IF(Element_Stiffness!$C$41,IF(Element_Stiffness!$C$40=6,IF(3=Element_Stiffness!$C$40,Element_Stiffness!R66,IF(3=Element_Stiffness!$E$40,Element_Stiffness!X66,0)),IF(Element_Stiffness!$E$40=6,IF(3=Element_Stiffness!$C$40,Element_Stiffness!R72,IF(3=Element_Stiffness!$E$40,Element_Stiffness!X72,0)),0)),0)+IF(Element_Stiffness!$C$76,IF(Element_Stiffness!$C$75=6,IF(3=Element_Stiffness!$C$75,Element_Stiffness!R101,IF(3=Element_Stiffness!$E$75,Element_Stiffness!X101,0)),IF(Element_Stiffness!$E$75=6,IF(3=Element_Stiffness!$C$75,Element_Stiffness!R107,IF(3=Element_Stiffness!$E$75,Element_Stiffness!X107,0)),0)),0)+IF(Element_Stiffness!$C$111,IF(Element_Stiffness!$C$110=6,IF(3=Element_Stiffness!$C$110,Element_Stiffness!R136,IF(3=Element_Stiffness!$E$110,Element_Stiffness!X136,0)),IF(Element_Stiffness!$E$110=6,IF(3=Element_Stiffness!$C$110,Element_Stiffness!R142,IF(3=Element_Stiffness!$E$110,Element_Stiffness!X142,0)),0)),0)+IF(Element_Stiffness!$C$146,IF(Element_Stiffness!$C$145=6,IF(3=Element_Stiffness!$C$145,Element_Stiffness!R171,IF(3=Element_Stiffness!$E$145,Element_Stiffness!X171,0)),IF(Element_Stiffness!$E$145=6,IF(3=Element_Stiffness!$C$145,Element_Stiffness!R177,IF(3=Element_Stiffness!$E$145,Element_Stiffness!X177,0)),0)),0)+IF(Element_Stiffness!$C$181,IF(Element_Stiffness!$C$180=6,IF(3=Element_Stiffness!$C$180,Element_Stiffness!R206,IF(3=Element_Stiffness!$E$180,Element_Stiffness!X206,0)),IF(Element_Stiffness!$E$180=6,IF(3=Element_Stiffness!$C$180,Element_Stiffness!R212,IF(3=Element_Stiffness!$E$180,Element_Stiffness!X212,0)),0)),0)+IF(Element_Stiffness!$C$216,IF(Element_Stiffness!$C$215=6,IF(3=Element_Stiffness!$C$215,Element_Stiffness!R241,IF(3=Element_Stiffness!$E$215,Element_Stiffness!X241,0)),IF(Element_Stiffness!$E$215=6,IF(3=Element_Stiffness!$C$215,Element_Stiffness!R247,IF(3=Element_Stiffness!$E$215,Element_Stiffness!X247,0)),0)),0)</f>
        <v/>
      </c>
      <c r="X46" s="21">
        <f>IF(Element_Stiffness!$C$6,IF(Element_Stiffness!$C$5=6,IF(3=Element_Stiffness!$C$5,Element_Stiffness!S31,IF(3=Element_Stiffness!$E$5,Element_Stiffness!Y31,0)),IF(Element_Stiffness!$E$5=6,IF(3=Element_Stiffness!$C$5,Element_Stiffness!S37,IF(3=Element_Stiffness!$E$5,Element_Stiffness!Y37,0)),0)),0)+IF(Element_Stiffness!$C$41,IF(Element_Stiffness!$C$40=6,IF(3=Element_Stiffness!$C$40,Element_Stiffness!S66,IF(3=Element_Stiffness!$E$40,Element_Stiffness!Y66,0)),IF(Element_Stiffness!$E$40=6,IF(3=Element_Stiffness!$C$40,Element_Stiffness!S72,IF(3=Element_Stiffness!$E$40,Element_Stiffness!Y72,0)),0)),0)+IF(Element_Stiffness!$C$76,IF(Element_Stiffness!$C$75=6,IF(3=Element_Stiffness!$C$75,Element_Stiffness!S101,IF(3=Element_Stiffness!$E$75,Element_Stiffness!Y101,0)),IF(Element_Stiffness!$E$75=6,IF(3=Element_Stiffness!$C$75,Element_Stiffness!S107,IF(3=Element_Stiffness!$E$75,Element_Stiffness!Y107,0)),0)),0)+IF(Element_Stiffness!$C$111,IF(Element_Stiffness!$C$110=6,IF(3=Element_Stiffness!$C$110,Element_Stiffness!S136,IF(3=Element_Stiffness!$E$110,Element_Stiffness!Y136,0)),IF(Element_Stiffness!$E$110=6,IF(3=Element_Stiffness!$C$110,Element_Stiffness!S142,IF(3=Element_Stiffness!$E$110,Element_Stiffness!Y142,0)),0)),0)+IF(Element_Stiffness!$C$146,IF(Element_Stiffness!$C$145=6,IF(3=Element_Stiffness!$C$145,Element_Stiffness!S171,IF(3=Element_Stiffness!$E$145,Element_Stiffness!Y171,0)),IF(Element_Stiffness!$E$145=6,IF(3=Element_Stiffness!$C$145,Element_Stiffness!S177,IF(3=Element_Stiffness!$E$145,Element_Stiffness!Y177,0)),0)),0)+IF(Element_Stiffness!$C$181,IF(Element_Stiffness!$C$180=6,IF(3=Element_Stiffness!$C$180,Element_Stiffness!S206,IF(3=Element_Stiffness!$E$180,Element_Stiffness!Y206,0)),IF(Element_Stiffness!$E$180=6,IF(3=Element_Stiffness!$C$180,Element_Stiffness!S212,IF(3=Element_Stiffness!$E$180,Element_Stiffness!Y212,0)),0)),0)+IF(Element_Stiffness!$C$216,IF(Element_Stiffness!$C$215=6,IF(3=Element_Stiffness!$C$215,Element_Stiffness!S241,IF(3=Element_Stiffness!$E$215,Element_Stiffness!Y241,0)),IF(Element_Stiffness!$E$215=6,IF(3=Element_Stiffness!$C$215,Element_Stiffness!S247,IF(3=Element_Stiffness!$E$215,Element_Stiffness!Y247,0)),0)),0)</f>
        <v/>
      </c>
      <c r="Y46" s="21">
        <f>IF(Element_Stiffness!$C$6,IF(Element_Stiffness!$C$5=6,IF(3=Element_Stiffness!$C$5,Element_Stiffness!T31,IF(3=Element_Stiffness!$E$5,Element_Stiffness!Z31,0)),IF(Element_Stiffness!$E$5=6,IF(3=Element_Stiffness!$C$5,Element_Stiffness!T37,IF(3=Element_Stiffness!$E$5,Element_Stiffness!Z37,0)),0)),0)+IF(Element_Stiffness!$C$41,IF(Element_Stiffness!$C$40=6,IF(3=Element_Stiffness!$C$40,Element_Stiffness!T66,IF(3=Element_Stiffness!$E$40,Element_Stiffness!Z66,0)),IF(Element_Stiffness!$E$40=6,IF(3=Element_Stiffness!$C$40,Element_Stiffness!T72,IF(3=Element_Stiffness!$E$40,Element_Stiffness!Z72,0)),0)),0)+IF(Element_Stiffness!$C$76,IF(Element_Stiffness!$C$75=6,IF(3=Element_Stiffness!$C$75,Element_Stiffness!T101,IF(3=Element_Stiffness!$E$75,Element_Stiffness!Z101,0)),IF(Element_Stiffness!$E$75=6,IF(3=Element_Stiffness!$C$75,Element_Stiffness!T107,IF(3=Element_Stiffness!$E$75,Element_Stiffness!Z107,0)),0)),0)+IF(Element_Stiffness!$C$111,IF(Element_Stiffness!$C$110=6,IF(3=Element_Stiffness!$C$110,Element_Stiffness!T136,IF(3=Element_Stiffness!$E$110,Element_Stiffness!Z136,0)),IF(Element_Stiffness!$E$110=6,IF(3=Element_Stiffness!$C$110,Element_Stiffness!T142,IF(3=Element_Stiffness!$E$110,Element_Stiffness!Z142,0)),0)),0)+IF(Element_Stiffness!$C$146,IF(Element_Stiffness!$C$145=6,IF(3=Element_Stiffness!$C$145,Element_Stiffness!T171,IF(3=Element_Stiffness!$E$145,Element_Stiffness!Z171,0)),IF(Element_Stiffness!$E$145=6,IF(3=Element_Stiffness!$C$145,Element_Stiffness!T177,IF(3=Element_Stiffness!$E$145,Element_Stiffness!Z177,0)),0)),0)+IF(Element_Stiffness!$C$181,IF(Element_Stiffness!$C$180=6,IF(3=Element_Stiffness!$C$180,Element_Stiffness!T206,IF(3=Element_Stiffness!$E$180,Element_Stiffness!Z206,0)),IF(Element_Stiffness!$E$180=6,IF(3=Element_Stiffness!$C$180,Element_Stiffness!T212,IF(3=Element_Stiffness!$E$180,Element_Stiffness!Z212,0)),0)),0)+IF(Element_Stiffness!$C$216,IF(Element_Stiffness!$C$215=6,IF(3=Element_Stiffness!$C$215,Element_Stiffness!T241,IF(3=Element_Stiffness!$E$215,Element_Stiffness!Z241,0)),IF(Element_Stiffness!$E$215=6,IF(3=Element_Stiffness!$C$215,Element_Stiffness!T247,IF(3=Element_Stiffness!$E$215,Element_Stiffness!Z247,0)),0)),0)</f>
        <v/>
      </c>
      <c r="Z46" s="21">
        <f>IF(Element_Stiffness!$C$6,IF(Element_Stiffness!$C$5=6,IF(3=Element_Stiffness!$C$5,Element_Stiffness!U31,IF(3=Element_Stiffness!$E$5,Element_Stiffness!AA31,0)),IF(Element_Stiffness!$E$5=6,IF(3=Element_Stiffness!$C$5,Element_Stiffness!U37,IF(3=Element_Stiffness!$E$5,Element_Stiffness!AA37,0)),0)),0)+IF(Element_Stiffness!$C$41,IF(Element_Stiffness!$C$40=6,IF(3=Element_Stiffness!$C$40,Element_Stiffness!U66,IF(3=Element_Stiffness!$E$40,Element_Stiffness!AA66,0)),IF(Element_Stiffness!$E$40=6,IF(3=Element_Stiffness!$C$40,Element_Stiffness!U72,IF(3=Element_Stiffness!$E$40,Element_Stiffness!AA72,0)),0)),0)+IF(Element_Stiffness!$C$76,IF(Element_Stiffness!$C$75=6,IF(3=Element_Stiffness!$C$75,Element_Stiffness!U101,IF(3=Element_Stiffness!$E$75,Element_Stiffness!AA101,0)),IF(Element_Stiffness!$E$75=6,IF(3=Element_Stiffness!$C$75,Element_Stiffness!U107,IF(3=Element_Stiffness!$E$75,Element_Stiffness!AA107,0)),0)),0)+IF(Element_Stiffness!$C$111,IF(Element_Stiffness!$C$110=6,IF(3=Element_Stiffness!$C$110,Element_Stiffness!U136,IF(3=Element_Stiffness!$E$110,Element_Stiffness!AA136,0)),IF(Element_Stiffness!$E$110=6,IF(3=Element_Stiffness!$C$110,Element_Stiffness!U142,IF(3=Element_Stiffness!$E$110,Element_Stiffness!AA142,0)),0)),0)+IF(Element_Stiffness!$C$146,IF(Element_Stiffness!$C$145=6,IF(3=Element_Stiffness!$C$145,Element_Stiffness!U171,IF(3=Element_Stiffness!$E$145,Element_Stiffness!AA171,0)),IF(Element_Stiffness!$E$145=6,IF(3=Element_Stiffness!$C$145,Element_Stiffness!U177,IF(3=Element_Stiffness!$E$145,Element_Stiffness!AA177,0)),0)),0)+IF(Element_Stiffness!$C$181,IF(Element_Stiffness!$C$180=6,IF(3=Element_Stiffness!$C$180,Element_Stiffness!U206,IF(3=Element_Stiffness!$E$180,Element_Stiffness!AA206,0)),IF(Element_Stiffness!$E$180=6,IF(3=Element_Stiffness!$C$180,Element_Stiffness!U212,IF(3=Element_Stiffness!$E$180,Element_Stiffness!AA212,0)),0)),0)+IF(Element_Stiffness!$C$216,IF(Element_Stiffness!$C$215=6,IF(3=Element_Stiffness!$C$215,Element_Stiffness!U241,IF(3=Element_Stiffness!$E$215,Element_Stiffness!AA241,0)),IF(Element_Stiffness!$E$215=6,IF(3=Element_Stiffness!$C$215,Element_Stiffness!U247,IF(3=Element_Stiffness!$E$215,Element_Stiffness!AA247,0)),0)),0)</f>
        <v/>
      </c>
      <c r="AA46" s="21">
        <f>IF(Element_Stiffness!$C$6,IF(Element_Stiffness!$C$5=6,IF(4=Element_Stiffness!$C$5,Element_Stiffness!P31,IF(4=Element_Stiffness!$E$5,Element_Stiffness!V31,0)),IF(Element_Stiffness!$E$5=6,IF(4=Element_Stiffness!$C$5,Element_Stiffness!P37,IF(4=Element_Stiffness!$E$5,Element_Stiffness!V37,0)),0)),0)+IF(Element_Stiffness!$C$41,IF(Element_Stiffness!$C$40=6,IF(4=Element_Stiffness!$C$40,Element_Stiffness!P66,IF(4=Element_Stiffness!$E$40,Element_Stiffness!V66,0)),IF(Element_Stiffness!$E$40=6,IF(4=Element_Stiffness!$C$40,Element_Stiffness!P72,IF(4=Element_Stiffness!$E$40,Element_Stiffness!V72,0)),0)),0)+IF(Element_Stiffness!$C$76,IF(Element_Stiffness!$C$75=6,IF(4=Element_Stiffness!$C$75,Element_Stiffness!P101,IF(4=Element_Stiffness!$E$75,Element_Stiffness!V101,0)),IF(Element_Stiffness!$E$75=6,IF(4=Element_Stiffness!$C$75,Element_Stiffness!P107,IF(4=Element_Stiffness!$E$75,Element_Stiffness!V107,0)),0)),0)+IF(Element_Stiffness!$C$111,IF(Element_Stiffness!$C$110=6,IF(4=Element_Stiffness!$C$110,Element_Stiffness!P136,IF(4=Element_Stiffness!$E$110,Element_Stiffness!V136,0)),IF(Element_Stiffness!$E$110=6,IF(4=Element_Stiffness!$C$110,Element_Stiffness!P142,IF(4=Element_Stiffness!$E$110,Element_Stiffness!V142,0)),0)),0)+IF(Element_Stiffness!$C$146,IF(Element_Stiffness!$C$145=6,IF(4=Element_Stiffness!$C$145,Element_Stiffness!P171,IF(4=Element_Stiffness!$E$145,Element_Stiffness!V171,0)),IF(Element_Stiffness!$E$145=6,IF(4=Element_Stiffness!$C$145,Element_Stiffness!P177,IF(4=Element_Stiffness!$E$145,Element_Stiffness!V177,0)),0)),0)+IF(Element_Stiffness!$C$181,IF(Element_Stiffness!$C$180=6,IF(4=Element_Stiffness!$C$180,Element_Stiffness!P206,IF(4=Element_Stiffness!$E$180,Element_Stiffness!V206,0)),IF(Element_Stiffness!$E$180=6,IF(4=Element_Stiffness!$C$180,Element_Stiffness!P212,IF(4=Element_Stiffness!$E$180,Element_Stiffness!V212,0)),0)),0)+IF(Element_Stiffness!$C$216,IF(Element_Stiffness!$C$215=6,IF(4=Element_Stiffness!$C$215,Element_Stiffness!P241,IF(4=Element_Stiffness!$E$215,Element_Stiffness!V241,0)),IF(Element_Stiffness!$E$215=6,IF(4=Element_Stiffness!$C$215,Element_Stiffness!P247,IF(4=Element_Stiffness!$E$215,Element_Stiffness!V247,0)),0)),0)</f>
        <v/>
      </c>
      <c r="AB46" s="21">
        <f>IF(Element_Stiffness!$C$6,IF(Element_Stiffness!$C$5=6,IF(4=Element_Stiffness!$C$5,Element_Stiffness!Q31,IF(4=Element_Stiffness!$E$5,Element_Stiffness!W31,0)),IF(Element_Stiffness!$E$5=6,IF(4=Element_Stiffness!$C$5,Element_Stiffness!Q37,IF(4=Element_Stiffness!$E$5,Element_Stiffness!W37,0)),0)),0)+IF(Element_Stiffness!$C$41,IF(Element_Stiffness!$C$40=6,IF(4=Element_Stiffness!$C$40,Element_Stiffness!Q66,IF(4=Element_Stiffness!$E$40,Element_Stiffness!W66,0)),IF(Element_Stiffness!$E$40=6,IF(4=Element_Stiffness!$C$40,Element_Stiffness!Q72,IF(4=Element_Stiffness!$E$40,Element_Stiffness!W72,0)),0)),0)+IF(Element_Stiffness!$C$76,IF(Element_Stiffness!$C$75=6,IF(4=Element_Stiffness!$C$75,Element_Stiffness!Q101,IF(4=Element_Stiffness!$E$75,Element_Stiffness!W101,0)),IF(Element_Stiffness!$E$75=6,IF(4=Element_Stiffness!$C$75,Element_Stiffness!Q107,IF(4=Element_Stiffness!$E$75,Element_Stiffness!W107,0)),0)),0)+IF(Element_Stiffness!$C$111,IF(Element_Stiffness!$C$110=6,IF(4=Element_Stiffness!$C$110,Element_Stiffness!Q136,IF(4=Element_Stiffness!$E$110,Element_Stiffness!W136,0)),IF(Element_Stiffness!$E$110=6,IF(4=Element_Stiffness!$C$110,Element_Stiffness!Q142,IF(4=Element_Stiffness!$E$110,Element_Stiffness!W142,0)),0)),0)+IF(Element_Stiffness!$C$146,IF(Element_Stiffness!$C$145=6,IF(4=Element_Stiffness!$C$145,Element_Stiffness!Q171,IF(4=Element_Stiffness!$E$145,Element_Stiffness!W171,0)),IF(Element_Stiffness!$E$145=6,IF(4=Element_Stiffness!$C$145,Element_Stiffness!Q177,IF(4=Element_Stiffness!$E$145,Element_Stiffness!W177,0)),0)),0)+IF(Element_Stiffness!$C$181,IF(Element_Stiffness!$C$180=6,IF(4=Element_Stiffness!$C$180,Element_Stiffness!Q206,IF(4=Element_Stiffness!$E$180,Element_Stiffness!W206,0)),IF(Element_Stiffness!$E$180=6,IF(4=Element_Stiffness!$C$180,Element_Stiffness!Q212,IF(4=Element_Stiffness!$E$180,Element_Stiffness!W212,0)),0)),0)+IF(Element_Stiffness!$C$216,IF(Element_Stiffness!$C$215=6,IF(4=Element_Stiffness!$C$215,Element_Stiffness!Q241,IF(4=Element_Stiffness!$E$215,Element_Stiffness!W241,0)),IF(Element_Stiffness!$E$215=6,IF(4=Element_Stiffness!$C$215,Element_Stiffness!Q247,IF(4=Element_Stiffness!$E$215,Element_Stiffness!W247,0)),0)),0)</f>
        <v/>
      </c>
      <c r="AC46" s="21">
        <f>IF(Element_Stiffness!$C$6,IF(Element_Stiffness!$C$5=6,IF(4=Element_Stiffness!$C$5,Element_Stiffness!R31,IF(4=Element_Stiffness!$E$5,Element_Stiffness!X31,0)),IF(Element_Stiffness!$E$5=6,IF(4=Element_Stiffness!$C$5,Element_Stiffness!R37,IF(4=Element_Stiffness!$E$5,Element_Stiffness!X37,0)),0)),0)+IF(Element_Stiffness!$C$41,IF(Element_Stiffness!$C$40=6,IF(4=Element_Stiffness!$C$40,Element_Stiffness!R66,IF(4=Element_Stiffness!$E$40,Element_Stiffness!X66,0)),IF(Element_Stiffness!$E$40=6,IF(4=Element_Stiffness!$C$40,Element_Stiffness!R72,IF(4=Element_Stiffness!$E$40,Element_Stiffness!X72,0)),0)),0)+IF(Element_Stiffness!$C$76,IF(Element_Stiffness!$C$75=6,IF(4=Element_Stiffness!$C$75,Element_Stiffness!R101,IF(4=Element_Stiffness!$E$75,Element_Stiffness!X101,0)),IF(Element_Stiffness!$E$75=6,IF(4=Element_Stiffness!$C$75,Element_Stiffness!R107,IF(4=Element_Stiffness!$E$75,Element_Stiffness!X107,0)),0)),0)+IF(Element_Stiffness!$C$111,IF(Element_Stiffness!$C$110=6,IF(4=Element_Stiffness!$C$110,Element_Stiffness!R136,IF(4=Element_Stiffness!$E$110,Element_Stiffness!X136,0)),IF(Element_Stiffness!$E$110=6,IF(4=Element_Stiffness!$C$110,Element_Stiffness!R142,IF(4=Element_Stiffness!$E$110,Element_Stiffness!X142,0)),0)),0)+IF(Element_Stiffness!$C$146,IF(Element_Stiffness!$C$145=6,IF(4=Element_Stiffness!$C$145,Element_Stiffness!R171,IF(4=Element_Stiffness!$E$145,Element_Stiffness!X171,0)),IF(Element_Stiffness!$E$145=6,IF(4=Element_Stiffness!$C$145,Element_Stiffness!R177,IF(4=Element_Stiffness!$E$145,Element_Stiffness!X177,0)),0)),0)+IF(Element_Stiffness!$C$181,IF(Element_Stiffness!$C$180=6,IF(4=Element_Stiffness!$C$180,Element_Stiffness!R206,IF(4=Element_Stiffness!$E$180,Element_Stiffness!X206,0)),IF(Element_Stiffness!$E$180=6,IF(4=Element_Stiffness!$C$180,Element_Stiffness!R212,IF(4=Element_Stiffness!$E$180,Element_Stiffness!X212,0)),0)),0)+IF(Element_Stiffness!$C$216,IF(Element_Stiffness!$C$215=6,IF(4=Element_Stiffness!$C$215,Element_Stiffness!R241,IF(4=Element_Stiffness!$E$215,Element_Stiffness!X241,0)),IF(Element_Stiffness!$E$215=6,IF(4=Element_Stiffness!$C$215,Element_Stiffness!R247,IF(4=Element_Stiffness!$E$215,Element_Stiffness!X247,0)),0)),0)</f>
        <v/>
      </c>
      <c r="AD46" s="21">
        <f>IF(Element_Stiffness!$C$6,IF(Element_Stiffness!$C$5=6,IF(4=Element_Stiffness!$C$5,Element_Stiffness!S31,IF(4=Element_Stiffness!$E$5,Element_Stiffness!Y31,0)),IF(Element_Stiffness!$E$5=6,IF(4=Element_Stiffness!$C$5,Element_Stiffness!S37,IF(4=Element_Stiffness!$E$5,Element_Stiffness!Y37,0)),0)),0)+IF(Element_Stiffness!$C$41,IF(Element_Stiffness!$C$40=6,IF(4=Element_Stiffness!$C$40,Element_Stiffness!S66,IF(4=Element_Stiffness!$E$40,Element_Stiffness!Y66,0)),IF(Element_Stiffness!$E$40=6,IF(4=Element_Stiffness!$C$40,Element_Stiffness!S72,IF(4=Element_Stiffness!$E$40,Element_Stiffness!Y72,0)),0)),0)+IF(Element_Stiffness!$C$76,IF(Element_Stiffness!$C$75=6,IF(4=Element_Stiffness!$C$75,Element_Stiffness!S101,IF(4=Element_Stiffness!$E$75,Element_Stiffness!Y101,0)),IF(Element_Stiffness!$E$75=6,IF(4=Element_Stiffness!$C$75,Element_Stiffness!S107,IF(4=Element_Stiffness!$E$75,Element_Stiffness!Y107,0)),0)),0)+IF(Element_Stiffness!$C$111,IF(Element_Stiffness!$C$110=6,IF(4=Element_Stiffness!$C$110,Element_Stiffness!S136,IF(4=Element_Stiffness!$E$110,Element_Stiffness!Y136,0)),IF(Element_Stiffness!$E$110=6,IF(4=Element_Stiffness!$C$110,Element_Stiffness!S142,IF(4=Element_Stiffness!$E$110,Element_Stiffness!Y142,0)),0)),0)+IF(Element_Stiffness!$C$146,IF(Element_Stiffness!$C$145=6,IF(4=Element_Stiffness!$C$145,Element_Stiffness!S171,IF(4=Element_Stiffness!$E$145,Element_Stiffness!Y171,0)),IF(Element_Stiffness!$E$145=6,IF(4=Element_Stiffness!$C$145,Element_Stiffness!S177,IF(4=Element_Stiffness!$E$145,Element_Stiffness!Y177,0)),0)),0)+IF(Element_Stiffness!$C$181,IF(Element_Stiffness!$C$180=6,IF(4=Element_Stiffness!$C$180,Element_Stiffness!S206,IF(4=Element_Stiffness!$E$180,Element_Stiffness!Y206,0)),IF(Element_Stiffness!$E$180=6,IF(4=Element_Stiffness!$C$180,Element_Stiffness!S212,IF(4=Element_Stiffness!$E$180,Element_Stiffness!Y212,0)),0)),0)+IF(Element_Stiffness!$C$216,IF(Element_Stiffness!$C$215=6,IF(4=Element_Stiffness!$C$215,Element_Stiffness!S241,IF(4=Element_Stiffness!$E$215,Element_Stiffness!Y241,0)),IF(Element_Stiffness!$E$215=6,IF(4=Element_Stiffness!$C$215,Element_Stiffness!S247,IF(4=Element_Stiffness!$E$215,Element_Stiffness!Y247,0)),0)),0)</f>
        <v/>
      </c>
      <c r="AE46" s="21">
        <f>IF(Element_Stiffness!$C$6,IF(Element_Stiffness!$C$5=6,IF(4=Element_Stiffness!$C$5,Element_Stiffness!T31,IF(4=Element_Stiffness!$E$5,Element_Stiffness!Z31,0)),IF(Element_Stiffness!$E$5=6,IF(4=Element_Stiffness!$C$5,Element_Stiffness!T37,IF(4=Element_Stiffness!$E$5,Element_Stiffness!Z37,0)),0)),0)+IF(Element_Stiffness!$C$41,IF(Element_Stiffness!$C$40=6,IF(4=Element_Stiffness!$C$40,Element_Stiffness!T66,IF(4=Element_Stiffness!$E$40,Element_Stiffness!Z66,0)),IF(Element_Stiffness!$E$40=6,IF(4=Element_Stiffness!$C$40,Element_Stiffness!T72,IF(4=Element_Stiffness!$E$40,Element_Stiffness!Z72,0)),0)),0)+IF(Element_Stiffness!$C$76,IF(Element_Stiffness!$C$75=6,IF(4=Element_Stiffness!$C$75,Element_Stiffness!T101,IF(4=Element_Stiffness!$E$75,Element_Stiffness!Z101,0)),IF(Element_Stiffness!$E$75=6,IF(4=Element_Stiffness!$C$75,Element_Stiffness!T107,IF(4=Element_Stiffness!$E$75,Element_Stiffness!Z107,0)),0)),0)+IF(Element_Stiffness!$C$111,IF(Element_Stiffness!$C$110=6,IF(4=Element_Stiffness!$C$110,Element_Stiffness!T136,IF(4=Element_Stiffness!$E$110,Element_Stiffness!Z136,0)),IF(Element_Stiffness!$E$110=6,IF(4=Element_Stiffness!$C$110,Element_Stiffness!T142,IF(4=Element_Stiffness!$E$110,Element_Stiffness!Z142,0)),0)),0)+IF(Element_Stiffness!$C$146,IF(Element_Stiffness!$C$145=6,IF(4=Element_Stiffness!$C$145,Element_Stiffness!T171,IF(4=Element_Stiffness!$E$145,Element_Stiffness!Z171,0)),IF(Element_Stiffness!$E$145=6,IF(4=Element_Stiffness!$C$145,Element_Stiffness!T177,IF(4=Element_Stiffness!$E$145,Element_Stiffness!Z177,0)),0)),0)+IF(Element_Stiffness!$C$181,IF(Element_Stiffness!$C$180=6,IF(4=Element_Stiffness!$C$180,Element_Stiffness!T206,IF(4=Element_Stiffness!$E$180,Element_Stiffness!Z206,0)),IF(Element_Stiffness!$E$180=6,IF(4=Element_Stiffness!$C$180,Element_Stiffness!T212,IF(4=Element_Stiffness!$E$180,Element_Stiffness!Z212,0)),0)),0)+IF(Element_Stiffness!$C$216,IF(Element_Stiffness!$C$215=6,IF(4=Element_Stiffness!$C$215,Element_Stiffness!T241,IF(4=Element_Stiffness!$E$215,Element_Stiffness!Z241,0)),IF(Element_Stiffness!$E$215=6,IF(4=Element_Stiffness!$C$215,Element_Stiffness!T247,IF(4=Element_Stiffness!$E$215,Element_Stiffness!Z247,0)),0)),0)</f>
        <v/>
      </c>
      <c r="AF46" s="21">
        <f>IF(Element_Stiffness!$C$6,IF(Element_Stiffness!$C$5=6,IF(4=Element_Stiffness!$C$5,Element_Stiffness!U31,IF(4=Element_Stiffness!$E$5,Element_Stiffness!AA31,0)),IF(Element_Stiffness!$E$5=6,IF(4=Element_Stiffness!$C$5,Element_Stiffness!U37,IF(4=Element_Stiffness!$E$5,Element_Stiffness!AA37,0)),0)),0)+IF(Element_Stiffness!$C$41,IF(Element_Stiffness!$C$40=6,IF(4=Element_Stiffness!$C$40,Element_Stiffness!U66,IF(4=Element_Stiffness!$E$40,Element_Stiffness!AA66,0)),IF(Element_Stiffness!$E$40=6,IF(4=Element_Stiffness!$C$40,Element_Stiffness!U72,IF(4=Element_Stiffness!$E$40,Element_Stiffness!AA72,0)),0)),0)+IF(Element_Stiffness!$C$76,IF(Element_Stiffness!$C$75=6,IF(4=Element_Stiffness!$C$75,Element_Stiffness!U101,IF(4=Element_Stiffness!$E$75,Element_Stiffness!AA101,0)),IF(Element_Stiffness!$E$75=6,IF(4=Element_Stiffness!$C$75,Element_Stiffness!U107,IF(4=Element_Stiffness!$E$75,Element_Stiffness!AA107,0)),0)),0)+IF(Element_Stiffness!$C$111,IF(Element_Stiffness!$C$110=6,IF(4=Element_Stiffness!$C$110,Element_Stiffness!U136,IF(4=Element_Stiffness!$E$110,Element_Stiffness!AA136,0)),IF(Element_Stiffness!$E$110=6,IF(4=Element_Stiffness!$C$110,Element_Stiffness!U142,IF(4=Element_Stiffness!$E$110,Element_Stiffness!AA142,0)),0)),0)+IF(Element_Stiffness!$C$146,IF(Element_Stiffness!$C$145=6,IF(4=Element_Stiffness!$C$145,Element_Stiffness!U171,IF(4=Element_Stiffness!$E$145,Element_Stiffness!AA171,0)),IF(Element_Stiffness!$E$145=6,IF(4=Element_Stiffness!$C$145,Element_Stiffness!U177,IF(4=Element_Stiffness!$E$145,Element_Stiffness!AA177,0)),0)),0)+IF(Element_Stiffness!$C$181,IF(Element_Stiffness!$C$180=6,IF(4=Element_Stiffness!$C$180,Element_Stiffness!U206,IF(4=Element_Stiffness!$E$180,Element_Stiffness!AA206,0)),IF(Element_Stiffness!$E$180=6,IF(4=Element_Stiffness!$C$180,Element_Stiffness!U212,IF(4=Element_Stiffness!$E$180,Element_Stiffness!AA212,0)),0)),0)+IF(Element_Stiffness!$C$216,IF(Element_Stiffness!$C$215=6,IF(4=Element_Stiffness!$C$215,Element_Stiffness!U241,IF(4=Element_Stiffness!$E$215,Element_Stiffness!AA241,0)),IF(Element_Stiffness!$E$215=6,IF(4=Element_Stiffness!$C$215,Element_Stiffness!U247,IF(4=Element_Stiffness!$E$215,Element_Stiffness!AA247,0)),0)),0)</f>
        <v/>
      </c>
      <c r="AG46" s="21">
        <f>IF(Element_Stiffness!$C$6,IF(Element_Stiffness!$C$5=6,IF(5=Element_Stiffness!$C$5,Element_Stiffness!P31,IF(5=Element_Stiffness!$E$5,Element_Stiffness!V31,0)),IF(Element_Stiffness!$E$5=6,IF(5=Element_Stiffness!$C$5,Element_Stiffness!P37,IF(5=Element_Stiffness!$E$5,Element_Stiffness!V37,0)),0)),0)+IF(Element_Stiffness!$C$41,IF(Element_Stiffness!$C$40=6,IF(5=Element_Stiffness!$C$40,Element_Stiffness!P66,IF(5=Element_Stiffness!$E$40,Element_Stiffness!V66,0)),IF(Element_Stiffness!$E$40=6,IF(5=Element_Stiffness!$C$40,Element_Stiffness!P72,IF(5=Element_Stiffness!$E$40,Element_Stiffness!V72,0)),0)),0)+IF(Element_Stiffness!$C$76,IF(Element_Stiffness!$C$75=6,IF(5=Element_Stiffness!$C$75,Element_Stiffness!P101,IF(5=Element_Stiffness!$E$75,Element_Stiffness!V101,0)),IF(Element_Stiffness!$E$75=6,IF(5=Element_Stiffness!$C$75,Element_Stiffness!P107,IF(5=Element_Stiffness!$E$75,Element_Stiffness!V107,0)),0)),0)+IF(Element_Stiffness!$C$111,IF(Element_Stiffness!$C$110=6,IF(5=Element_Stiffness!$C$110,Element_Stiffness!P136,IF(5=Element_Stiffness!$E$110,Element_Stiffness!V136,0)),IF(Element_Stiffness!$E$110=6,IF(5=Element_Stiffness!$C$110,Element_Stiffness!P142,IF(5=Element_Stiffness!$E$110,Element_Stiffness!V142,0)),0)),0)+IF(Element_Stiffness!$C$146,IF(Element_Stiffness!$C$145=6,IF(5=Element_Stiffness!$C$145,Element_Stiffness!P171,IF(5=Element_Stiffness!$E$145,Element_Stiffness!V171,0)),IF(Element_Stiffness!$E$145=6,IF(5=Element_Stiffness!$C$145,Element_Stiffness!P177,IF(5=Element_Stiffness!$E$145,Element_Stiffness!V177,0)),0)),0)+IF(Element_Stiffness!$C$181,IF(Element_Stiffness!$C$180=6,IF(5=Element_Stiffness!$C$180,Element_Stiffness!P206,IF(5=Element_Stiffness!$E$180,Element_Stiffness!V206,0)),IF(Element_Stiffness!$E$180=6,IF(5=Element_Stiffness!$C$180,Element_Stiffness!P212,IF(5=Element_Stiffness!$E$180,Element_Stiffness!V212,0)),0)),0)+IF(Element_Stiffness!$C$216,IF(Element_Stiffness!$C$215=6,IF(5=Element_Stiffness!$C$215,Element_Stiffness!P241,IF(5=Element_Stiffness!$E$215,Element_Stiffness!V241,0)),IF(Element_Stiffness!$E$215=6,IF(5=Element_Stiffness!$C$215,Element_Stiffness!P247,IF(5=Element_Stiffness!$E$215,Element_Stiffness!V247,0)),0)),0)</f>
        <v/>
      </c>
      <c r="AH46" s="21">
        <f>IF(Element_Stiffness!$C$6,IF(Element_Stiffness!$C$5=6,IF(5=Element_Stiffness!$C$5,Element_Stiffness!Q31,IF(5=Element_Stiffness!$E$5,Element_Stiffness!W31,0)),IF(Element_Stiffness!$E$5=6,IF(5=Element_Stiffness!$C$5,Element_Stiffness!Q37,IF(5=Element_Stiffness!$E$5,Element_Stiffness!W37,0)),0)),0)+IF(Element_Stiffness!$C$41,IF(Element_Stiffness!$C$40=6,IF(5=Element_Stiffness!$C$40,Element_Stiffness!Q66,IF(5=Element_Stiffness!$E$40,Element_Stiffness!W66,0)),IF(Element_Stiffness!$E$40=6,IF(5=Element_Stiffness!$C$40,Element_Stiffness!Q72,IF(5=Element_Stiffness!$E$40,Element_Stiffness!W72,0)),0)),0)+IF(Element_Stiffness!$C$76,IF(Element_Stiffness!$C$75=6,IF(5=Element_Stiffness!$C$75,Element_Stiffness!Q101,IF(5=Element_Stiffness!$E$75,Element_Stiffness!W101,0)),IF(Element_Stiffness!$E$75=6,IF(5=Element_Stiffness!$C$75,Element_Stiffness!Q107,IF(5=Element_Stiffness!$E$75,Element_Stiffness!W107,0)),0)),0)+IF(Element_Stiffness!$C$111,IF(Element_Stiffness!$C$110=6,IF(5=Element_Stiffness!$C$110,Element_Stiffness!Q136,IF(5=Element_Stiffness!$E$110,Element_Stiffness!W136,0)),IF(Element_Stiffness!$E$110=6,IF(5=Element_Stiffness!$C$110,Element_Stiffness!Q142,IF(5=Element_Stiffness!$E$110,Element_Stiffness!W142,0)),0)),0)+IF(Element_Stiffness!$C$146,IF(Element_Stiffness!$C$145=6,IF(5=Element_Stiffness!$C$145,Element_Stiffness!Q171,IF(5=Element_Stiffness!$E$145,Element_Stiffness!W171,0)),IF(Element_Stiffness!$E$145=6,IF(5=Element_Stiffness!$C$145,Element_Stiffness!Q177,IF(5=Element_Stiffness!$E$145,Element_Stiffness!W177,0)),0)),0)+IF(Element_Stiffness!$C$181,IF(Element_Stiffness!$C$180=6,IF(5=Element_Stiffness!$C$180,Element_Stiffness!Q206,IF(5=Element_Stiffness!$E$180,Element_Stiffness!W206,0)),IF(Element_Stiffness!$E$180=6,IF(5=Element_Stiffness!$C$180,Element_Stiffness!Q212,IF(5=Element_Stiffness!$E$180,Element_Stiffness!W212,0)),0)),0)+IF(Element_Stiffness!$C$216,IF(Element_Stiffness!$C$215=6,IF(5=Element_Stiffness!$C$215,Element_Stiffness!Q241,IF(5=Element_Stiffness!$E$215,Element_Stiffness!W241,0)),IF(Element_Stiffness!$E$215=6,IF(5=Element_Stiffness!$C$215,Element_Stiffness!Q247,IF(5=Element_Stiffness!$E$215,Element_Stiffness!W247,0)),0)),0)</f>
        <v/>
      </c>
      <c r="AI46" s="21">
        <f>IF(Element_Stiffness!$C$6,IF(Element_Stiffness!$C$5=6,IF(5=Element_Stiffness!$C$5,Element_Stiffness!R31,IF(5=Element_Stiffness!$E$5,Element_Stiffness!X31,0)),IF(Element_Stiffness!$E$5=6,IF(5=Element_Stiffness!$C$5,Element_Stiffness!R37,IF(5=Element_Stiffness!$E$5,Element_Stiffness!X37,0)),0)),0)+IF(Element_Stiffness!$C$41,IF(Element_Stiffness!$C$40=6,IF(5=Element_Stiffness!$C$40,Element_Stiffness!R66,IF(5=Element_Stiffness!$E$40,Element_Stiffness!X66,0)),IF(Element_Stiffness!$E$40=6,IF(5=Element_Stiffness!$C$40,Element_Stiffness!R72,IF(5=Element_Stiffness!$E$40,Element_Stiffness!X72,0)),0)),0)+IF(Element_Stiffness!$C$76,IF(Element_Stiffness!$C$75=6,IF(5=Element_Stiffness!$C$75,Element_Stiffness!R101,IF(5=Element_Stiffness!$E$75,Element_Stiffness!X101,0)),IF(Element_Stiffness!$E$75=6,IF(5=Element_Stiffness!$C$75,Element_Stiffness!R107,IF(5=Element_Stiffness!$E$75,Element_Stiffness!X107,0)),0)),0)+IF(Element_Stiffness!$C$111,IF(Element_Stiffness!$C$110=6,IF(5=Element_Stiffness!$C$110,Element_Stiffness!R136,IF(5=Element_Stiffness!$E$110,Element_Stiffness!X136,0)),IF(Element_Stiffness!$E$110=6,IF(5=Element_Stiffness!$C$110,Element_Stiffness!R142,IF(5=Element_Stiffness!$E$110,Element_Stiffness!X142,0)),0)),0)+IF(Element_Stiffness!$C$146,IF(Element_Stiffness!$C$145=6,IF(5=Element_Stiffness!$C$145,Element_Stiffness!R171,IF(5=Element_Stiffness!$E$145,Element_Stiffness!X171,0)),IF(Element_Stiffness!$E$145=6,IF(5=Element_Stiffness!$C$145,Element_Stiffness!R177,IF(5=Element_Stiffness!$E$145,Element_Stiffness!X177,0)),0)),0)+IF(Element_Stiffness!$C$181,IF(Element_Stiffness!$C$180=6,IF(5=Element_Stiffness!$C$180,Element_Stiffness!R206,IF(5=Element_Stiffness!$E$180,Element_Stiffness!X206,0)),IF(Element_Stiffness!$E$180=6,IF(5=Element_Stiffness!$C$180,Element_Stiffness!R212,IF(5=Element_Stiffness!$E$180,Element_Stiffness!X212,0)),0)),0)+IF(Element_Stiffness!$C$216,IF(Element_Stiffness!$C$215=6,IF(5=Element_Stiffness!$C$215,Element_Stiffness!R241,IF(5=Element_Stiffness!$E$215,Element_Stiffness!X241,0)),IF(Element_Stiffness!$E$215=6,IF(5=Element_Stiffness!$C$215,Element_Stiffness!R247,IF(5=Element_Stiffness!$E$215,Element_Stiffness!X247,0)),0)),0)</f>
        <v/>
      </c>
      <c r="AJ46" s="21">
        <f>IF(Element_Stiffness!$C$6,IF(Element_Stiffness!$C$5=6,IF(5=Element_Stiffness!$C$5,Element_Stiffness!S31,IF(5=Element_Stiffness!$E$5,Element_Stiffness!Y31,0)),IF(Element_Stiffness!$E$5=6,IF(5=Element_Stiffness!$C$5,Element_Stiffness!S37,IF(5=Element_Stiffness!$E$5,Element_Stiffness!Y37,0)),0)),0)+IF(Element_Stiffness!$C$41,IF(Element_Stiffness!$C$40=6,IF(5=Element_Stiffness!$C$40,Element_Stiffness!S66,IF(5=Element_Stiffness!$E$40,Element_Stiffness!Y66,0)),IF(Element_Stiffness!$E$40=6,IF(5=Element_Stiffness!$C$40,Element_Stiffness!S72,IF(5=Element_Stiffness!$E$40,Element_Stiffness!Y72,0)),0)),0)+IF(Element_Stiffness!$C$76,IF(Element_Stiffness!$C$75=6,IF(5=Element_Stiffness!$C$75,Element_Stiffness!S101,IF(5=Element_Stiffness!$E$75,Element_Stiffness!Y101,0)),IF(Element_Stiffness!$E$75=6,IF(5=Element_Stiffness!$C$75,Element_Stiffness!S107,IF(5=Element_Stiffness!$E$75,Element_Stiffness!Y107,0)),0)),0)+IF(Element_Stiffness!$C$111,IF(Element_Stiffness!$C$110=6,IF(5=Element_Stiffness!$C$110,Element_Stiffness!S136,IF(5=Element_Stiffness!$E$110,Element_Stiffness!Y136,0)),IF(Element_Stiffness!$E$110=6,IF(5=Element_Stiffness!$C$110,Element_Stiffness!S142,IF(5=Element_Stiffness!$E$110,Element_Stiffness!Y142,0)),0)),0)+IF(Element_Stiffness!$C$146,IF(Element_Stiffness!$C$145=6,IF(5=Element_Stiffness!$C$145,Element_Stiffness!S171,IF(5=Element_Stiffness!$E$145,Element_Stiffness!Y171,0)),IF(Element_Stiffness!$E$145=6,IF(5=Element_Stiffness!$C$145,Element_Stiffness!S177,IF(5=Element_Stiffness!$E$145,Element_Stiffness!Y177,0)),0)),0)+IF(Element_Stiffness!$C$181,IF(Element_Stiffness!$C$180=6,IF(5=Element_Stiffness!$C$180,Element_Stiffness!S206,IF(5=Element_Stiffness!$E$180,Element_Stiffness!Y206,0)),IF(Element_Stiffness!$E$180=6,IF(5=Element_Stiffness!$C$180,Element_Stiffness!S212,IF(5=Element_Stiffness!$E$180,Element_Stiffness!Y212,0)),0)),0)+IF(Element_Stiffness!$C$216,IF(Element_Stiffness!$C$215=6,IF(5=Element_Stiffness!$C$215,Element_Stiffness!S241,IF(5=Element_Stiffness!$E$215,Element_Stiffness!Y241,0)),IF(Element_Stiffness!$E$215=6,IF(5=Element_Stiffness!$C$215,Element_Stiffness!S247,IF(5=Element_Stiffness!$E$215,Element_Stiffness!Y247,0)),0)),0)</f>
        <v/>
      </c>
      <c r="AK46" s="21">
        <f>IF(Element_Stiffness!$C$6,IF(Element_Stiffness!$C$5=6,IF(5=Element_Stiffness!$C$5,Element_Stiffness!T31,IF(5=Element_Stiffness!$E$5,Element_Stiffness!Z31,0)),IF(Element_Stiffness!$E$5=6,IF(5=Element_Stiffness!$C$5,Element_Stiffness!T37,IF(5=Element_Stiffness!$E$5,Element_Stiffness!Z37,0)),0)),0)+IF(Element_Stiffness!$C$41,IF(Element_Stiffness!$C$40=6,IF(5=Element_Stiffness!$C$40,Element_Stiffness!T66,IF(5=Element_Stiffness!$E$40,Element_Stiffness!Z66,0)),IF(Element_Stiffness!$E$40=6,IF(5=Element_Stiffness!$C$40,Element_Stiffness!T72,IF(5=Element_Stiffness!$E$40,Element_Stiffness!Z72,0)),0)),0)+IF(Element_Stiffness!$C$76,IF(Element_Stiffness!$C$75=6,IF(5=Element_Stiffness!$C$75,Element_Stiffness!T101,IF(5=Element_Stiffness!$E$75,Element_Stiffness!Z101,0)),IF(Element_Stiffness!$E$75=6,IF(5=Element_Stiffness!$C$75,Element_Stiffness!T107,IF(5=Element_Stiffness!$E$75,Element_Stiffness!Z107,0)),0)),0)+IF(Element_Stiffness!$C$111,IF(Element_Stiffness!$C$110=6,IF(5=Element_Stiffness!$C$110,Element_Stiffness!T136,IF(5=Element_Stiffness!$E$110,Element_Stiffness!Z136,0)),IF(Element_Stiffness!$E$110=6,IF(5=Element_Stiffness!$C$110,Element_Stiffness!T142,IF(5=Element_Stiffness!$E$110,Element_Stiffness!Z142,0)),0)),0)+IF(Element_Stiffness!$C$146,IF(Element_Stiffness!$C$145=6,IF(5=Element_Stiffness!$C$145,Element_Stiffness!T171,IF(5=Element_Stiffness!$E$145,Element_Stiffness!Z171,0)),IF(Element_Stiffness!$E$145=6,IF(5=Element_Stiffness!$C$145,Element_Stiffness!T177,IF(5=Element_Stiffness!$E$145,Element_Stiffness!Z177,0)),0)),0)+IF(Element_Stiffness!$C$181,IF(Element_Stiffness!$C$180=6,IF(5=Element_Stiffness!$C$180,Element_Stiffness!T206,IF(5=Element_Stiffness!$E$180,Element_Stiffness!Z206,0)),IF(Element_Stiffness!$E$180=6,IF(5=Element_Stiffness!$C$180,Element_Stiffness!T212,IF(5=Element_Stiffness!$E$180,Element_Stiffness!Z212,0)),0)),0)+IF(Element_Stiffness!$C$216,IF(Element_Stiffness!$C$215=6,IF(5=Element_Stiffness!$C$215,Element_Stiffness!T241,IF(5=Element_Stiffness!$E$215,Element_Stiffness!Z241,0)),IF(Element_Stiffness!$E$215=6,IF(5=Element_Stiffness!$C$215,Element_Stiffness!T247,IF(5=Element_Stiffness!$E$215,Element_Stiffness!Z247,0)),0)),0)</f>
        <v/>
      </c>
      <c r="AL46" s="21">
        <f>IF(Element_Stiffness!$C$6,IF(Element_Stiffness!$C$5=6,IF(5=Element_Stiffness!$C$5,Element_Stiffness!U31,IF(5=Element_Stiffness!$E$5,Element_Stiffness!AA31,0)),IF(Element_Stiffness!$E$5=6,IF(5=Element_Stiffness!$C$5,Element_Stiffness!U37,IF(5=Element_Stiffness!$E$5,Element_Stiffness!AA37,0)),0)),0)+IF(Element_Stiffness!$C$41,IF(Element_Stiffness!$C$40=6,IF(5=Element_Stiffness!$C$40,Element_Stiffness!U66,IF(5=Element_Stiffness!$E$40,Element_Stiffness!AA66,0)),IF(Element_Stiffness!$E$40=6,IF(5=Element_Stiffness!$C$40,Element_Stiffness!U72,IF(5=Element_Stiffness!$E$40,Element_Stiffness!AA72,0)),0)),0)+IF(Element_Stiffness!$C$76,IF(Element_Stiffness!$C$75=6,IF(5=Element_Stiffness!$C$75,Element_Stiffness!U101,IF(5=Element_Stiffness!$E$75,Element_Stiffness!AA101,0)),IF(Element_Stiffness!$E$75=6,IF(5=Element_Stiffness!$C$75,Element_Stiffness!U107,IF(5=Element_Stiffness!$E$75,Element_Stiffness!AA107,0)),0)),0)+IF(Element_Stiffness!$C$111,IF(Element_Stiffness!$C$110=6,IF(5=Element_Stiffness!$C$110,Element_Stiffness!U136,IF(5=Element_Stiffness!$E$110,Element_Stiffness!AA136,0)),IF(Element_Stiffness!$E$110=6,IF(5=Element_Stiffness!$C$110,Element_Stiffness!U142,IF(5=Element_Stiffness!$E$110,Element_Stiffness!AA142,0)),0)),0)+IF(Element_Stiffness!$C$146,IF(Element_Stiffness!$C$145=6,IF(5=Element_Stiffness!$C$145,Element_Stiffness!U171,IF(5=Element_Stiffness!$E$145,Element_Stiffness!AA171,0)),IF(Element_Stiffness!$E$145=6,IF(5=Element_Stiffness!$C$145,Element_Stiffness!U177,IF(5=Element_Stiffness!$E$145,Element_Stiffness!AA177,0)),0)),0)+IF(Element_Stiffness!$C$181,IF(Element_Stiffness!$C$180=6,IF(5=Element_Stiffness!$C$180,Element_Stiffness!U206,IF(5=Element_Stiffness!$E$180,Element_Stiffness!AA206,0)),IF(Element_Stiffness!$E$180=6,IF(5=Element_Stiffness!$C$180,Element_Stiffness!U212,IF(5=Element_Stiffness!$E$180,Element_Stiffness!AA212,0)),0)),0)+IF(Element_Stiffness!$C$216,IF(Element_Stiffness!$C$215=6,IF(5=Element_Stiffness!$C$215,Element_Stiffness!U241,IF(5=Element_Stiffness!$E$215,Element_Stiffness!AA241,0)),IF(Element_Stiffness!$E$215=6,IF(5=Element_Stiffness!$C$215,Element_Stiffness!U247,IF(5=Element_Stiffness!$E$215,Element_Stiffness!AA247,0)),0)),0)</f>
        <v/>
      </c>
      <c r="AM46" s="21">
        <f>IF(Element_Stiffness!$C$6,IF(Element_Stiffness!$C$5=6,IF(6=Element_Stiffness!$C$5,Element_Stiffness!P31,IF(6=Element_Stiffness!$E$5,Element_Stiffness!V31,0)),IF(Element_Stiffness!$E$5=6,IF(6=Element_Stiffness!$C$5,Element_Stiffness!P37,IF(6=Element_Stiffness!$E$5,Element_Stiffness!V37,0)),0)),0)+IF(Element_Stiffness!$C$41,IF(Element_Stiffness!$C$40=6,IF(6=Element_Stiffness!$C$40,Element_Stiffness!P66,IF(6=Element_Stiffness!$E$40,Element_Stiffness!V66,0)),IF(Element_Stiffness!$E$40=6,IF(6=Element_Stiffness!$C$40,Element_Stiffness!P72,IF(6=Element_Stiffness!$E$40,Element_Stiffness!V72,0)),0)),0)+IF(Element_Stiffness!$C$76,IF(Element_Stiffness!$C$75=6,IF(6=Element_Stiffness!$C$75,Element_Stiffness!P101,IF(6=Element_Stiffness!$E$75,Element_Stiffness!V101,0)),IF(Element_Stiffness!$E$75=6,IF(6=Element_Stiffness!$C$75,Element_Stiffness!P107,IF(6=Element_Stiffness!$E$75,Element_Stiffness!V107,0)),0)),0)+IF(Element_Stiffness!$C$111,IF(Element_Stiffness!$C$110=6,IF(6=Element_Stiffness!$C$110,Element_Stiffness!P136,IF(6=Element_Stiffness!$E$110,Element_Stiffness!V136,0)),IF(Element_Stiffness!$E$110=6,IF(6=Element_Stiffness!$C$110,Element_Stiffness!P142,IF(6=Element_Stiffness!$E$110,Element_Stiffness!V142,0)),0)),0)+IF(Element_Stiffness!$C$146,IF(Element_Stiffness!$C$145=6,IF(6=Element_Stiffness!$C$145,Element_Stiffness!P171,IF(6=Element_Stiffness!$E$145,Element_Stiffness!V171,0)),IF(Element_Stiffness!$E$145=6,IF(6=Element_Stiffness!$C$145,Element_Stiffness!P177,IF(6=Element_Stiffness!$E$145,Element_Stiffness!V177,0)),0)),0)+IF(Element_Stiffness!$C$181,IF(Element_Stiffness!$C$180=6,IF(6=Element_Stiffness!$C$180,Element_Stiffness!P206,IF(6=Element_Stiffness!$E$180,Element_Stiffness!V206,0)),IF(Element_Stiffness!$E$180=6,IF(6=Element_Stiffness!$C$180,Element_Stiffness!P212,IF(6=Element_Stiffness!$E$180,Element_Stiffness!V212,0)),0)),0)+IF(Element_Stiffness!$C$216,IF(Element_Stiffness!$C$215=6,IF(6=Element_Stiffness!$C$215,Element_Stiffness!P241,IF(6=Element_Stiffness!$E$215,Element_Stiffness!V241,0)),IF(Element_Stiffness!$E$215=6,IF(6=Element_Stiffness!$C$215,Element_Stiffness!P247,IF(6=Element_Stiffness!$E$215,Element_Stiffness!V247,0)),0)),0)</f>
        <v/>
      </c>
      <c r="AN46" s="21">
        <f>IF(Element_Stiffness!$C$6,IF(Element_Stiffness!$C$5=6,IF(6=Element_Stiffness!$C$5,Element_Stiffness!Q31,IF(6=Element_Stiffness!$E$5,Element_Stiffness!W31,0)),IF(Element_Stiffness!$E$5=6,IF(6=Element_Stiffness!$C$5,Element_Stiffness!Q37,IF(6=Element_Stiffness!$E$5,Element_Stiffness!W37,0)),0)),0)+IF(Element_Stiffness!$C$41,IF(Element_Stiffness!$C$40=6,IF(6=Element_Stiffness!$C$40,Element_Stiffness!Q66,IF(6=Element_Stiffness!$E$40,Element_Stiffness!W66,0)),IF(Element_Stiffness!$E$40=6,IF(6=Element_Stiffness!$C$40,Element_Stiffness!Q72,IF(6=Element_Stiffness!$E$40,Element_Stiffness!W72,0)),0)),0)+IF(Element_Stiffness!$C$76,IF(Element_Stiffness!$C$75=6,IF(6=Element_Stiffness!$C$75,Element_Stiffness!Q101,IF(6=Element_Stiffness!$E$75,Element_Stiffness!W101,0)),IF(Element_Stiffness!$E$75=6,IF(6=Element_Stiffness!$C$75,Element_Stiffness!Q107,IF(6=Element_Stiffness!$E$75,Element_Stiffness!W107,0)),0)),0)+IF(Element_Stiffness!$C$111,IF(Element_Stiffness!$C$110=6,IF(6=Element_Stiffness!$C$110,Element_Stiffness!Q136,IF(6=Element_Stiffness!$E$110,Element_Stiffness!W136,0)),IF(Element_Stiffness!$E$110=6,IF(6=Element_Stiffness!$C$110,Element_Stiffness!Q142,IF(6=Element_Stiffness!$E$110,Element_Stiffness!W142,0)),0)),0)+IF(Element_Stiffness!$C$146,IF(Element_Stiffness!$C$145=6,IF(6=Element_Stiffness!$C$145,Element_Stiffness!Q171,IF(6=Element_Stiffness!$E$145,Element_Stiffness!W171,0)),IF(Element_Stiffness!$E$145=6,IF(6=Element_Stiffness!$C$145,Element_Stiffness!Q177,IF(6=Element_Stiffness!$E$145,Element_Stiffness!W177,0)),0)),0)+IF(Element_Stiffness!$C$181,IF(Element_Stiffness!$C$180=6,IF(6=Element_Stiffness!$C$180,Element_Stiffness!Q206,IF(6=Element_Stiffness!$E$180,Element_Stiffness!W206,0)),IF(Element_Stiffness!$E$180=6,IF(6=Element_Stiffness!$C$180,Element_Stiffness!Q212,IF(6=Element_Stiffness!$E$180,Element_Stiffness!W212,0)),0)),0)+IF(Element_Stiffness!$C$216,IF(Element_Stiffness!$C$215=6,IF(6=Element_Stiffness!$C$215,Element_Stiffness!Q241,IF(6=Element_Stiffness!$E$215,Element_Stiffness!W241,0)),IF(Element_Stiffness!$E$215=6,IF(6=Element_Stiffness!$C$215,Element_Stiffness!Q247,IF(6=Element_Stiffness!$E$215,Element_Stiffness!W247,0)),0)),0)</f>
        <v/>
      </c>
      <c r="AO46" s="21">
        <f>IF(Element_Stiffness!$C$6,IF(Element_Stiffness!$C$5=6,IF(6=Element_Stiffness!$C$5,Element_Stiffness!R31,IF(6=Element_Stiffness!$E$5,Element_Stiffness!X31,0)),IF(Element_Stiffness!$E$5=6,IF(6=Element_Stiffness!$C$5,Element_Stiffness!R37,IF(6=Element_Stiffness!$E$5,Element_Stiffness!X37,0)),0)),0)+IF(Element_Stiffness!$C$41,IF(Element_Stiffness!$C$40=6,IF(6=Element_Stiffness!$C$40,Element_Stiffness!R66,IF(6=Element_Stiffness!$E$40,Element_Stiffness!X66,0)),IF(Element_Stiffness!$E$40=6,IF(6=Element_Stiffness!$C$40,Element_Stiffness!R72,IF(6=Element_Stiffness!$E$40,Element_Stiffness!X72,0)),0)),0)+IF(Element_Stiffness!$C$76,IF(Element_Stiffness!$C$75=6,IF(6=Element_Stiffness!$C$75,Element_Stiffness!R101,IF(6=Element_Stiffness!$E$75,Element_Stiffness!X101,0)),IF(Element_Stiffness!$E$75=6,IF(6=Element_Stiffness!$C$75,Element_Stiffness!R107,IF(6=Element_Stiffness!$E$75,Element_Stiffness!X107,0)),0)),0)+IF(Element_Stiffness!$C$111,IF(Element_Stiffness!$C$110=6,IF(6=Element_Stiffness!$C$110,Element_Stiffness!R136,IF(6=Element_Stiffness!$E$110,Element_Stiffness!X136,0)),IF(Element_Stiffness!$E$110=6,IF(6=Element_Stiffness!$C$110,Element_Stiffness!R142,IF(6=Element_Stiffness!$E$110,Element_Stiffness!X142,0)),0)),0)+IF(Element_Stiffness!$C$146,IF(Element_Stiffness!$C$145=6,IF(6=Element_Stiffness!$C$145,Element_Stiffness!R171,IF(6=Element_Stiffness!$E$145,Element_Stiffness!X171,0)),IF(Element_Stiffness!$E$145=6,IF(6=Element_Stiffness!$C$145,Element_Stiffness!R177,IF(6=Element_Stiffness!$E$145,Element_Stiffness!X177,0)),0)),0)+IF(Element_Stiffness!$C$181,IF(Element_Stiffness!$C$180=6,IF(6=Element_Stiffness!$C$180,Element_Stiffness!R206,IF(6=Element_Stiffness!$E$180,Element_Stiffness!X206,0)),IF(Element_Stiffness!$E$180=6,IF(6=Element_Stiffness!$C$180,Element_Stiffness!R212,IF(6=Element_Stiffness!$E$180,Element_Stiffness!X212,0)),0)),0)+IF(Element_Stiffness!$C$216,IF(Element_Stiffness!$C$215=6,IF(6=Element_Stiffness!$C$215,Element_Stiffness!R241,IF(6=Element_Stiffness!$E$215,Element_Stiffness!X241,0)),IF(Element_Stiffness!$E$215=6,IF(6=Element_Stiffness!$C$215,Element_Stiffness!R247,IF(6=Element_Stiffness!$E$215,Element_Stiffness!X247,0)),0)),0)</f>
        <v/>
      </c>
      <c r="AP46" s="21">
        <f>IF(Element_Stiffness!$C$6,IF(Element_Stiffness!$C$5=6,IF(6=Element_Stiffness!$C$5,Element_Stiffness!S31,IF(6=Element_Stiffness!$E$5,Element_Stiffness!Y31,0)),IF(Element_Stiffness!$E$5=6,IF(6=Element_Stiffness!$C$5,Element_Stiffness!S37,IF(6=Element_Stiffness!$E$5,Element_Stiffness!Y37,0)),0)),0)+IF(Element_Stiffness!$C$41,IF(Element_Stiffness!$C$40=6,IF(6=Element_Stiffness!$C$40,Element_Stiffness!S66,IF(6=Element_Stiffness!$E$40,Element_Stiffness!Y66,0)),IF(Element_Stiffness!$E$40=6,IF(6=Element_Stiffness!$C$40,Element_Stiffness!S72,IF(6=Element_Stiffness!$E$40,Element_Stiffness!Y72,0)),0)),0)+IF(Element_Stiffness!$C$76,IF(Element_Stiffness!$C$75=6,IF(6=Element_Stiffness!$C$75,Element_Stiffness!S101,IF(6=Element_Stiffness!$E$75,Element_Stiffness!Y101,0)),IF(Element_Stiffness!$E$75=6,IF(6=Element_Stiffness!$C$75,Element_Stiffness!S107,IF(6=Element_Stiffness!$E$75,Element_Stiffness!Y107,0)),0)),0)+IF(Element_Stiffness!$C$111,IF(Element_Stiffness!$C$110=6,IF(6=Element_Stiffness!$C$110,Element_Stiffness!S136,IF(6=Element_Stiffness!$E$110,Element_Stiffness!Y136,0)),IF(Element_Stiffness!$E$110=6,IF(6=Element_Stiffness!$C$110,Element_Stiffness!S142,IF(6=Element_Stiffness!$E$110,Element_Stiffness!Y142,0)),0)),0)+IF(Element_Stiffness!$C$146,IF(Element_Stiffness!$C$145=6,IF(6=Element_Stiffness!$C$145,Element_Stiffness!S171,IF(6=Element_Stiffness!$E$145,Element_Stiffness!Y171,0)),IF(Element_Stiffness!$E$145=6,IF(6=Element_Stiffness!$C$145,Element_Stiffness!S177,IF(6=Element_Stiffness!$E$145,Element_Stiffness!Y177,0)),0)),0)+IF(Element_Stiffness!$C$181,IF(Element_Stiffness!$C$180=6,IF(6=Element_Stiffness!$C$180,Element_Stiffness!S206,IF(6=Element_Stiffness!$E$180,Element_Stiffness!Y206,0)),IF(Element_Stiffness!$E$180=6,IF(6=Element_Stiffness!$C$180,Element_Stiffness!S212,IF(6=Element_Stiffness!$E$180,Element_Stiffness!Y212,0)),0)),0)+IF(Element_Stiffness!$C$216,IF(Element_Stiffness!$C$215=6,IF(6=Element_Stiffness!$C$215,Element_Stiffness!S241,IF(6=Element_Stiffness!$E$215,Element_Stiffness!Y241,0)),IF(Element_Stiffness!$E$215=6,IF(6=Element_Stiffness!$C$215,Element_Stiffness!S247,IF(6=Element_Stiffness!$E$215,Element_Stiffness!Y247,0)),0)),0)</f>
        <v/>
      </c>
      <c r="AQ46" s="21">
        <f>IF(Element_Stiffness!$C$6,IF(Element_Stiffness!$C$5=6,IF(6=Element_Stiffness!$C$5,Element_Stiffness!T31,IF(6=Element_Stiffness!$E$5,Element_Stiffness!Z31,0)),IF(Element_Stiffness!$E$5=6,IF(6=Element_Stiffness!$C$5,Element_Stiffness!T37,IF(6=Element_Stiffness!$E$5,Element_Stiffness!Z37,0)),0)),0)+IF(Element_Stiffness!$C$41,IF(Element_Stiffness!$C$40=6,IF(6=Element_Stiffness!$C$40,Element_Stiffness!T66,IF(6=Element_Stiffness!$E$40,Element_Stiffness!Z66,0)),IF(Element_Stiffness!$E$40=6,IF(6=Element_Stiffness!$C$40,Element_Stiffness!T72,IF(6=Element_Stiffness!$E$40,Element_Stiffness!Z72,0)),0)),0)+IF(Element_Stiffness!$C$76,IF(Element_Stiffness!$C$75=6,IF(6=Element_Stiffness!$C$75,Element_Stiffness!T101,IF(6=Element_Stiffness!$E$75,Element_Stiffness!Z101,0)),IF(Element_Stiffness!$E$75=6,IF(6=Element_Stiffness!$C$75,Element_Stiffness!T107,IF(6=Element_Stiffness!$E$75,Element_Stiffness!Z107,0)),0)),0)+IF(Element_Stiffness!$C$111,IF(Element_Stiffness!$C$110=6,IF(6=Element_Stiffness!$C$110,Element_Stiffness!T136,IF(6=Element_Stiffness!$E$110,Element_Stiffness!Z136,0)),IF(Element_Stiffness!$E$110=6,IF(6=Element_Stiffness!$C$110,Element_Stiffness!T142,IF(6=Element_Stiffness!$E$110,Element_Stiffness!Z142,0)),0)),0)+IF(Element_Stiffness!$C$146,IF(Element_Stiffness!$C$145=6,IF(6=Element_Stiffness!$C$145,Element_Stiffness!T171,IF(6=Element_Stiffness!$E$145,Element_Stiffness!Z171,0)),IF(Element_Stiffness!$E$145=6,IF(6=Element_Stiffness!$C$145,Element_Stiffness!T177,IF(6=Element_Stiffness!$E$145,Element_Stiffness!Z177,0)),0)),0)+IF(Element_Stiffness!$C$181,IF(Element_Stiffness!$C$180=6,IF(6=Element_Stiffness!$C$180,Element_Stiffness!T206,IF(6=Element_Stiffness!$E$180,Element_Stiffness!Z206,0)),IF(Element_Stiffness!$E$180=6,IF(6=Element_Stiffness!$C$180,Element_Stiffness!T212,IF(6=Element_Stiffness!$E$180,Element_Stiffness!Z212,0)),0)),0)+IF(Element_Stiffness!$C$216,IF(Element_Stiffness!$C$215=6,IF(6=Element_Stiffness!$C$215,Element_Stiffness!T241,IF(6=Element_Stiffness!$E$215,Element_Stiffness!Z241,0)),IF(Element_Stiffness!$E$215=6,IF(6=Element_Stiffness!$C$215,Element_Stiffness!T247,IF(6=Element_Stiffness!$E$215,Element_Stiffness!Z247,0)),0)),0)</f>
        <v/>
      </c>
      <c r="AR46" s="21">
        <f>IF(Element_Stiffness!$C$6,IF(Element_Stiffness!$C$5=6,IF(6=Element_Stiffness!$C$5,Element_Stiffness!U31,IF(6=Element_Stiffness!$E$5,Element_Stiffness!AA31,0)),IF(Element_Stiffness!$E$5=6,IF(6=Element_Stiffness!$C$5,Element_Stiffness!U37,IF(6=Element_Stiffness!$E$5,Element_Stiffness!AA37,0)),0)),0)+IF(Element_Stiffness!$C$41,IF(Element_Stiffness!$C$40=6,IF(6=Element_Stiffness!$C$40,Element_Stiffness!U66,IF(6=Element_Stiffness!$E$40,Element_Stiffness!AA66,0)),IF(Element_Stiffness!$E$40=6,IF(6=Element_Stiffness!$C$40,Element_Stiffness!U72,IF(6=Element_Stiffness!$E$40,Element_Stiffness!AA72,0)),0)),0)+IF(Element_Stiffness!$C$76,IF(Element_Stiffness!$C$75=6,IF(6=Element_Stiffness!$C$75,Element_Stiffness!U101,IF(6=Element_Stiffness!$E$75,Element_Stiffness!AA101,0)),IF(Element_Stiffness!$E$75=6,IF(6=Element_Stiffness!$C$75,Element_Stiffness!U107,IF(6=Element_Stiffness!$E$75,Element_Stiffness!AA107,0)),0)),0)+IF(Element_Stiffness!$C$111,IF(Element_Stiffness!$C$110=6,IF(6=Element_Stiffness!$C$110,Element_Stiffness!U136,IF(6=Element_Stiffness!$E$110,Element_Stiffness!AA136,0)),IF(Element_Stiffness!$E$110=6,IF(6=Element_Stiffness!$C$110,Element_Stiffness!U142,IF(6=Element_Stiffness!$E$110,Element_Stiffness!AA142,0)),0)),0)+IF(Element_Stiffness!$C$146,IF(Element_Stiffness!$C$145=6,IF(6=Element_Stiffness!$C$145,Element_Stiffness!U171,IF(6=Element_Stiffness!$E$145,Element_Stiffness!AA171,0)),IF(Element_Stiffness!$E$145=6,IF(6=Element_Stiffness!$C$145,Element_Stiffness!U177,IF(6=Element_Stiffness!$E$145,Element_Stiffness!AA177,0)),0)),0)+IF(Element_Stiffness!$C$181,IF(Element_Stiffness!$C$180=6,IF(6=Element_Stiffness!$C$180,Element_Stiffness!U206,IF(6=Element_Stiffness!$E$180,Element_Stiffness!AA206,0)),IF(Element_Stiffness!$E$180=6,IF(6=Element_Stiffness!$C$180,Element_Stiffness!U212,IF(6=Element_Stiffness!$E$180,Element_Stiffness!AA212,0)),0)),0)+IF(Element_Stiffness!$C$216,IF(Element_Stiffness!$C$215=6,IF(6=Element_Stiffness!$C$215,Element_Stiffness!U241,IF(6=Element_Stiffness!$E$215,Element_Stiffness!AA241,0)),IF(Element_Stiffness!$E$215=6,IF(6=Element_Stiffness!$C$215,Element_Stiffness!U247,IF(6=Element_Stiffness!$E$215,Element_Stiffness!AA247,0)),0)),0)+IF(Inputs!H46=TRUE,1E15,IF(ISNUMBER(Inputs!H46),Inputs!H46,0))</f>
        <v/>
      </c>
      <c r="AS46" s="21">
        <f>IF(Element_Stiffness!$C$6,IF(Element_Stiffness!$C$5=6,IF(7=Element_Stiffness!$C$5,Element_Stiffness!P31,IF(7=Element_Stiffness!$E$5,Element_Stiffness!V31,0)),IF(Element_Stiffness!$E$5=6,IF(7=Element_Stiffness!$C$5,Element_Stiffness!P37,IF(7=Element_Stiffness!$E$5,Element_Stiffness!V37,0)),0)),0)+IF(Element_Stiffness!$C$41,IF(Element_Stiffness!$C$40=6,IF(7=Element_Stiffness!$C$40,Element_Stiffness!P66,IF(7=Element_Stiffness!$E$40,Element_Stiffness!V66,0)),IF(Element_Stiffness!$E$40=6,IF(7=Element_Stiffness!$C$40,Element_Stiffness!P72,IF(7=Element_Stiffness!$E$40,Element_Stiffness!V72,0)),0)),0)+IF(Element_Stiffness!$C$76,IF(Element_Stiffness!$C$75=6,IF(7=Element_Stiffness!$C$75,Element_Stiffness!P101,IF(7=Element_Stiffness!$E$75,Element_Stiffness!V101,0)),IF(Element_Stiffness!$E$75=6,IF(7=Element_Stiffness!$C$75,Element_Stiffness!P107,IF(7=Element_Stiffness!$E$75,Element_Stiffness!V107,0)),0)),0)+IF(Element_Stiffness!$C$111,IF(Element_Stiffness!$C$110=6,IF(7=Element_Stiffness!$C$110,Element_Stiffness!P136,IF(7=Element_Stiffness!$E$110,Element_Stiffness!V136,0)),IF(Element_Stiffness!$E$110=6,IF(7=Element_Stiffness!$C$110,Element_Stiffness!P142,IF(7=Element_Stiffness!$E$110,Element_Stiffness!V142,0)),0)),0)+IF(Element_Stiffness!$C$146,IF(Element_Stiffness!$C$145=6,IF(7=Element_Stiffness!$C$145,Element_Stiffness!P171,IF(7=Element_Stiffness!$E$145,Element_Stiffness!V171,0)),IF(Element_Stiffness!$E$145=6,IF(7=Element_Stiffness!$C$145,Element_Stiffness!P177,IF(7=Element_Stiffness!$E$145,Element_Stiffness!V177,0)),0)),0)+IF(Element_Stiffness!$C$181,IF(Element_Stiffness!$C$180=6,IF(7=Element_Stiffness!$C$180,Element_Stiffness!P206,IF(7=Element_Stiffness!$E$180,Element_Stiffness!V206,0)),IF(Element_Stiffness!$E$180=6,IF(7=Element_Stiffness!$C$180,Element_Stiffness!P212,IF(7=Element_Stiffness!$E$180,Element_Stiffness!V212,0)),0)),0)+IF(Element_Stiffness!$C$216,IF(Element_Stiffness!$C$215=6,IF(7=Element_Stiffness!$C$215,Element_Stiffness!P241,IF(7=Element_Stiffness!$E$215,Element_Stiffness!V241,0)),IF(Element_Stiffness!$E$215=6,IF(7=Element_Stiffness!$C$215,Element_Stiffness!P247,IF(7=Element_Stiffness!$E$215,Element_Stiffness!V247,0)),0)),0)</f>
        <v/>
      </c>
      <c r="AT46" s="21">
        <f>IF(Element_Stiffness!$C$6,IF(Element_Stiffness!$C$5=6,IF(7=Element_Stiffness!$C$5,Element_Stiffness!Q31,IF(7=Element_Stiffness!$E$5,Element_Stiffness!W31,0)),IF(Element_Stiffness!$E$5=6,IF(7=Element_Stiffness!$C$5,Element_Stiffness!Q37,IF(7=Element_Stiffness!$E$5,Element_Stiffness!W37,0)),0)),0)+IF(Element_Stiffness!$C$41,IF(Element_Stiffness!$C$40=6,IF(7=Element_Stiffness!$C$40,Element_Stiffness!Q66,IF(7=Element_Stiffness!$E$40,Element_Stiffness!W66,0)),IF(Element_Stiffness!$E$40=6,IF(7=Element_Stiffness!$C$40,Element_Stiffness!Q72,IF(7=Element_Stiffness!$E$40,Element_Stiffness!W72,0)),0)),0)+IF(Element_Stiffness!$C$76,IF(Element_Stiffness!$C$75=6,IF(7=Element_Stiffness!$C$75,Element_Stiffness!Q101,IF(7=Element_Stiffness!$E$75,Element_Stiffness!W101,0)),IF(Element_Stiffness!$E$75=6,IF(7=Element_Stiffness!$C$75,Element_Stiffness!Q107,IF(7=Element_Stiffness!$E$75,Element_Stiffness!W107,0)),0)),0)+IF(Element_Stiffness!$C$111,IF(Element_Stiffness!$C$110=6,IF(7=Element_Stiffness!$C$110,Element_Stiffness!Q136,IF(7=Element_Stiffness!$E$110,Element_Stiffness!W136,0)),IF(Element_Stiffness!$E$110=6,IF(7=Element_Stiffness!$C$110,Element_Stiffness!Q142,IF(7=Element_Stiffness!$E$110,Element_Stiffness!W142,0)),0)),0)+IF(Element_Stiffness!$C$146,IF(Element_Stiffness!$C$145=6,IF(7=Element_Stiffness!$C$145,Element_Stiffness!Q171,IF(7=Element_Stiffness!$E$145,Element_Stiffness!W171,0)),IF(Element_Stiffness!$E$145=6,IF(7=Element_Stiffness!$C$145,Element_Stiffness!Q177,IF(7=Element_Stiffness!$E$145,Element_Stiffness!W177,0)),0)),0)+IF(Element_Stiffness!$C$181,IF(Element_Stiffness!$C$180=6,IF(7=Element_Stiffness!$C$180,Element_Stiffness!Q206,IF(7=Element_Stiffness!$E$180,Element_Stiffness!W206,0)),IF(Element_Stiffness!$E$180=6,IF(7=Element_Stiffness!$C$180,Element_Stiffness!Q212,IF(7=Element_Stiffness!$E$180,Element_Stiffness!W212,0)),0)),0)+IF(Element_Stiffness!$C$216,IF(Element_Stiffness!$C$215=6,IF(7=Element_Stiffness!$C$215,Element_Stiffness!Q241,IF(7=Element_Stiffness!$E$215,Element_Stiffness!W241,0)),IF(Element_Stiffness!$E$215=6,IF(7=Element_Stiffness!$C$215,Element_Stiffness!Q247,IF(7=Element_Stiffness!$E$215,Element_Stiffness!W247,0)),0)),0)</f>
        <v/>
      </c>
      <c r="AU46" s="21">
        <f>IF(Element_Stiffness!$C$6,IF(Element_Stiffness!$C$5=6,IF(7=Element_Stiffness!$C$5,Element_Stiffness!R31,IF(7=Element_Stiffness!$E$5,Element_Stiffness!X31,0)),IF(Element_Stiffness!$E$5=6,IF(7=Element_Stiffness!$C$5,Element_Stiffness!R37,IF(7=Element_Stiffness!$E$5,Element_Stiffness!X37,0)),0)),0)+IF(Element_Stiffness!$C$41,IF(Element_Stiffness!$C$40=6,IF(7=Element_Stiffness!$C$40,Element_Stiffness!R66,IF(7=Element_Stiffness!$E$40,Element_Stiffness!X66,0)),IF(Element_Stiffness!$E$40=6,IF(7=Element_Stiffness!$C$40,Element_Stiffness!R72,IF(7=Element_Stiffness!$E$40,Element_Stiffness!X72,0)),0)),0)+IF(Element_Stiffness!$C$76,IF(Element_Stiffness!$C$75=6,IF(7=Element_Stiffness!$C$75,Element_Stiffness!R101,IF(7=Element_Stiffness!$E$75,Element_Stiffness!X101,0)),IF(Element_Stiffness!$E$75=6,IF(7=Element_Stiffness!$C$75,Element_Stiffness!R107,IF(7=Element_Stiffness!$E$75,Element_Stiffness!X107,0)),0)),0)+IF(Element_Stiffness!$C$111,IF(Element_Stiffness!$C$110=6,IF(7=Element_Stiffness!$C$110,Element_Stiffness!R136,IF(7=Element_Stiffness!$E$110,Element_Stiffness!X136,0)),IF(Element_Stiffness!$E$110=6,IF(7=Element_Stiffness!$C$110,Element_Stiffness!R142,IF(7=Element_Stiffness!$E$110,Element_Stiffness!X142,0)),0)),0)+IF(Element_Stiffness!$C$146,IF(Element_Stiffness!$C$145=6,IF(7=Element_Stiffness!$C$145,Element_Stiffness!R171,IF(7=Element_Stiffness!$E$145,Element_Stiffness!X171,0)),IF(Element_Stiffness!$E$145=6,IF(7=Element_Stiffness!$C$145,Element_Stiffness!R177,IF(7=Element_Stiffness!$E$145,Element_Stiffness!X177,0)),0)),0)+IF(Element_Stiffness!$C$181,IF(Element_Stiffness!$C$180=6,IF(7=Element_Stiffness!$C$180,Element_Stiffness!R206,IF(7=Element_Stiffness!$E$180,Element_Stiffness!X206,0)),IF(Element_Stiffness!$E$180=6,IF(7=Element_Stiffness!$C$180,Element_Stiffness!R212,IF(7=Element_Stiffness!$E$180,Element_Stiffness!X212,0)),0)),0)+IF(Element_Stiffness!$C$216,IF(Element_Stiffness!$C$215=6,IF(7=Element_Stiffness!$C$215,Element_Stiffness!R241,IF(7=Element_Stiffness!$E$215,Element_Stiffness!X241,0)),IF(Element_Stiffness!$E$215=6,IF(7=Element_Stiffness!$C$215,Element_Stiffness!R247,IF(7=Element_Stiffness!$E$215,Element_Stiffness!X247,0)),0)),0)</f>
        <v/>
      </c>
      <c r="AV46" s="21">
        <f>IF(Element_Stiffness!$C$6,IF(Element_Stiffness!$C$5=6,IF(7=Element_Stiffness!$C$5,Element_Stiffness!S31,IF(7=Element_Stiffness!$E$5,Element_Stiffness!Y31,0)),IF(Element_Stiffness!$E$5=6,IF(7=Element_Stiffness!$C$5,Element_Stiffness!S37,IF(7=Element_Stiffness!$E$5,Element_Stiffness!Y37,0)),0)),0)+IF(Element_Stiffness!$C$41,IF(Element_Stiffness!$C$40=6,IF(7=Element_Stiffness!$C$40,Element_Stiffness!S66,IF(7=Element_Stiffness!$E$40,Element_Stiffness!Y66,0)),IF(Element_Stiffness!$E$40=6,IF(7=Element_Stiffness!$C$40,Element_Stiffness!S72,IF(7=Element_Stiffness!$E$40,Element_Stiffness!Y72,0)),0)),0)+IF(Element_Stiffness!$C$76,IF(Element_Stiffness!$C$75=6,IF(7=Element_Stiffness!$C$75,Element_Stiffness!S101,IF(7=Element_Stiffness!$E$75,Element_Stiffness!Y101,0)),IF(Element_Stiffness!$E$75=6,IF(7=Element_Stiffness!$C$75,Element_Stiffness!S107,IF(7=Element_Stiffness!$E$75,Element_Stiffness!Y107,0)),0)),0)+IF(Element_Stiffness!$C$111,IF(Element_Stiffness!$C$110=6,IF(7=Element_Stiffness!$C$110,Element_Stiffness!S136,IF(7=Element_Stiffness!$E$110,Element_Stiffness!Y136,0)),IF(Element_Stiffness!$E$110=6,IF(7=Element_Stiffness!$C$110,Element_Stiffness!S142,IF(7=Element_Stiffness!$E$110,Element_Stiffness!Y142,0)),0)),0)+IF(Element_Stiffness!$C$146,IF(Element_Stiffness!$C$145=6,IF(7=Element_Stiffness!$C$145,Element_Stiffness!S171,IF(7=Element_Stiffness!$E$145,Element_Stiffness!Y171,0)),IF(Element_Stiffness!$E$145=6,IF(7=Element_Stiffness!$C$145,Element_Stiffness!S177,IF(7=Element_Stiffness!$E$145,Element_Stiffness!Y177,0)),0)),0)+IF(Element_Stiffness!$C$181,IF(Element_Stiffness!$C$180=6,IF(7=Element_Stiffness!$C$180,Element_Stiffness!S206,IF(7=Element_Stiffness!$E$180,Element_Stiffness!Y206,0)),IF(Element_Stiffness!$E$180=6,IF(7=Element_Stiffness!$C$180,Element_Stiffness!S212,IF(7=Element_Stiffness!$E$180,Element_Stiffness!Y212,0)),0)),0)+IF(Element_Stiffness!$C$216,IF(Element_Stiffness!$C$215=6,IF(7=Element_Stiffness!$C$215,Element_Stiffness!S241,IF(7=Element_Stiffness!$E$215,Element_Stiffness!Y241,0)),IF(Element_Stiffness!$E$215=6,IF(7=Element_Stiffness!$C$215,Element_Stiffness!S247,IF(7=Element_Stiffness!$E$215,Element_Stiffness!Y247,0)),0)),0)</f>
        <v/>
      </c>
      <c r="AW46" s="21">
        <f>IF(Element_Stiffness!$C$6,IF(Element_Stiffness!$C$5=6,IF(7=Element_Stiffness!$C$5,Element_Stiffness!T31,IF(7=Element_Stiffness!$E$5,Element_Stiffness!Z31,0)),IF(Element_Stiffness!$E$5=6,IF(7=Element_Stiffness!$C$5,Element_Stiffness!T37,IF(7=Element_Stiffness!$E$5,Element_Stiffness!Z37,0)),0)),0)+IF(Element_Stiffness!$C$41,IF(Element_Stiffness!$C$40=6,IF(7=Element_Stiffness!$C$40,Element_Stiffness!T66,IF(7=Element_Stiffness!$E$40,Element_Stiffness!Z66,0)),IF(Element_Stiffness!$E$40=6,IF(7=Element_Stiffness!$C$40,Element_Stiffness!T72,IF(7=Element_Stiffness!$E$40,Element_Stiffness!Z72,0)),0)),0)+IF(Element_Stiffness!$C$76,IF(Element_Stiffness!$C$75=6,IF(7=Element_Stiffness!$C$75,Element_Stiffness!T101,IF(7=Element_Stiffness!$E$75,Element_Stiffness!Z101,0)),IF(Element_Stiffness!$E$75=6,IF(7=Element_Stiffness!$C$75,Element_Stiffness!T107,IF(7=Element_Stiffness!$E$75,Element_Stiffness!Z107,0)),0)),0)+IF(Element_Stiffness!$C$111,IF(Element_Stiffness!$C$110=6,IF(7=Element_Stiffness!$C$110,Element_Stiffness!T136,IF(7=Element_Stiffness!$E$110,Element_Stiffness!Z136,0)),IF(Element_Stiffness!$E$110=6,IF(7=Element_Stiffness!$C$110,Element_Stiffness!T142,IF(7=Element_Stiffness!$E$110,Element_Stiffness!Z142,0)),0)),0)+IF(Element_Stiffness!$C$146,IF(Element_Stiffness!$C$145=6,IF(7=Element_Stiffness!$C$145,Element_Stiffness!T171,IF(7=Element_Stiffness!$E$145,Element_Stiffness!Z171,0)),IF(Element_Stiffness!$E$145=6,IF(7=Element_Stiffness!$C$145,Element_Stiffness!T177,IF(7=Element_Stiffness!$E$145,Element_Stiffness!Z177,0)),0)),0)+IF(Element_Stiffness!$C$181,IF(Element_Stiffness!$C$180=6,IF(7=Element_Stiffness!$C$180,Element_Stiffness!T206,IF(7=Element_Stiffness!$E$180,Element_Stiffness!Z206,0)),IF(Element_Stiffness!$E$180=6,IF(7=Element_Stiffness!$C$180,Element_Stiffness!T212,IF(7=Element_Stiffness!$E$180,Element_Stiffness!Z212,0)),0)),0)+IF(Element_Stiffness!$C$216,IF(Element_Stiffness!$C$215=6,IF(7=Element_Stiffness!$C$215,Element_Stiffness!T241,IF(7=Element_Stiffness!$E$215,Element_Stiffness!Z241,0)),IF(Element_Stiffness!$E$215=6,IF(7=Element_Stiffness!$C$215,Element_Stiffness!T247,IF(7=Element_Stiffness!$E$215,Element_Stiffness!Z247,0)),0)),0)</f>
        <v/>
      </c>
      <c r="AX46" s="21">
        <f>IF(Element_Stiffness!$C$6,IF(Element_Stiffness!$C$5=6,IF(7=Element_Stiffness!$C$5,Element_Stiffness!U31,IF(7=Element_Stiffness!$E$5,Element_Stiffness!AA31,0)),IF(Element_Stiffness!$E$5=6,IF(7=Element_Stiffness!$C$5,Element_Stiffness!U37,IF(7=Element_Stiffness!$E$5,Element_Stiffness!AA37,0)),0)),0)+IF(Element_Stiffness!$C$41,IF(Element_Stiffness!$C$40=6,IF(7=Element_Stiffness!$C$40,Element_Stiffness!U66,IF(7=Element_Stiffness!$E$40,Element_Stiffness!AA66,0)),IF(Element_Stiffness!$E$40=6,IF(7=Element_Stiffness!$C$40,Element_Stiffness!U72,IF(7=Element_Stiffness!$E$40,Element_Stiffness!AA72,0)),0)),0)+IF(Element_Stiffness!$C$76,IF(Element_Stiffness!$C$75=6,IF(7=Element_Stiffness!$C$75,Element_Stiffness!U101,IF(7=Element_Stiffness!$E$75,Element_Stiffness!AA101,0)),IF(Element_Stiffness!$E$75=6,IF(7=Element_Stiffness!$C$75,Element_Stiffness!U107,IF(7=Element_Stiffness!$E$75,Element_Stiffness!AA107,0)),0)),0)+IF(Element_Stiffness!$C$111,IF(Element_Stiffness!$C$110=6,IF(7=Element_Stiffness!$C$110,Element_Stiffness!U136,IF(7=Element_Stiffness!$E$110,Element_Stiffness!AA136,0)),IF(Element_Stiffness!$E$110=6,IF(7=Element_Stiffness!$C$110,Element_Stiffness!U142,IF(7=Element_Stiffness!$E$110,Element_Stiffness!AA142,0)),0)),0)+IF(Element_Stiffness!$C$146,IF(Element_Stiffness!$C$145=6,IF(7=Element_Stiffness!$C$145,Element_Stiffness!U171,IF(7=Element_Stiffness!$E$145,Element_Stiffness!AA171,0)),IF(Element_Stiffness!$E$145=6,IF(7=Element_Stiffness!$C$145,Element_Stiffness!U177,IF(7=Element_Stiffness!$E$145,Element_Stiffness!AA177,0)),0)),0)+IF(Element_Stiffness!$C$181,IF(Element_Stiffness!$C$180=6,IF(7=Element_Stiffness!$C$180,Element_Stiffness!U206,IF(7=Element_Stiffness!$E$180,Element_Stiffness!AA206,0)),IF(Element_Stiffness!$E$180=6,IF(7=Element_Stiffness!$C$180,Element_Stiffness!U212,IF(7=Element_Stiffness!$E$180,Element_Stiffness!AA212,0)),0)),0)+IF(Element_Stiffness!$C$216,IF(Element_Stiffness!$C$215=6,IF(7=Element_Stiffness!$C$215,Element_Stiffness!U241,IF(7=Element_Stiffness!$E$215,Element_Stiffness!AA241,0)),IF(Element_Stiffness!$E$215=6,IF(7=Element_Stiffness!$C$215,Element_Stiffness!U247,IF(7=Element_Stiffness!$E$215,Element_Stiffness!AA247,0)),0)),0)</f>
        <v/>
      </c>
      <c r="AY46" s="21" t="n">
        <v>0</v>
      </c>
      <c r="AZ46" s="21">
        <f>IF(Element_Stiffness!$C$6,IF(Element_Stiffness!$C$5=6,Element_Stiffness!C31,IF(Element_Stiffness!$E$5=6,Element_Stiffness!C37,0)),0)+IF(Element_Stiffness!$C$41,IF(Element_Stiffness!$C$40=6,Element_Stiffness!C66,IF(Element_Stiffness!$E$40=6,Element_Stiffness!C72,0)),0)+IF(Element_Stiffness!$C$76,IF(Element_Stiffness!$C$75=6,Element_Stiffness!C101,IF(Element_Stiffness!$E$75=6,Element_Stiffness!C107,0)),0)+IF(Element_Stiffness!$C$111,IF(Element_Stiffness!$C$110=6,Element_Stiffness!C136,IF(Element_Stiffness!$E$110=6,Element_Stiffness!C142,0)),0)+IF(Element_Stiffness!$C$146,IF(Element_Stiffness!$C$145=6,Element_Stiffness!C171,IF(Element_Stiffness!$E$145=6,Element_Stiffness!C177,0)),0)+IF(Element_Stiffness!$C$181,IF(Element_Stiffness!$C$180=6,Element_Stiffness!C206,IF(Element_Stiffness!$E$180=6,Element_Stiffness!C212,0)),0)+IF(Element_Stiffness!$C$216,IF(Element_Stiffness!$C$215=6,Element_Stiffness!C241,IF(Element_Stiffness!$E$215=6,Element_Stiffness!C247,0)),0)</f>
        <v/>
      </c>
      <c r="BB46" s="28">
        <f>INDEX(MMULT(MINVERSE(C5:AX52), AY5:AY52), 42, 1)</f>
        <v/>
      </c>
      <c r="BC46" s="28">
        <f>INDEX(MMULT(MINVERSE(C5:AX52), AZ5:AZ52), 42, 1)</f>
        <v/>
      </c>
    </row>
    <row r="47">
      <c r="B47" s="27" t="inlineStr">
        <is>
          <t>N7_tx</t>
        </is>
      </c>
      <c r="C47" s="21">
        <f>IF(Element_Stiffness!$C$6,IF(Element_Stiffness!$C$5=7,IF(0=Element_Stiffness!$C$5,Element_Stiffness!P26,IF(0=Element_Stiffness!$E$5,Element_Stiffness!V26,0)),IF(Element_Stiffness!$E$5=7,IF(0=Element_Stiffness!$C$5,Element_Stiffness!P32,IF(0=Element_Stiffness!$E$5,Element_Stiffness!V32,0)),0)),0)+IF(Element_Stiffness!$C$41,IF(Element_Stiffness!$C$40=7,IF(0=Element_Stiffness!$C$40,Element_Stiffness!P61,IF(0=Element_Stiffness!$E$40,Element_Stiffness!V61,0)),IF(Element_Stiffness!$E$40=7,IF(0=Element_Stiffness!$C$40,Element_Stiffness!P67,IF(0=Element_Stiffness!$E$40,Element_Stiffness!V67,0)),0)),0)+IF(Element_Stiffness!$C$76,IF(Element_Stiffness!$C$75=7,IF(0=Element_Stiffness!$C$75,Element_Stiffness!P96,IF(0=Element_Stiffness!$E$75,Element_Stiffness!V96,0)),IF(Element_Stiffness!$E$75=7,IF(0=Element_Stiffness!$C$75,Element_Stiffness!P102,IF(0=Element_Stiffness!$E$75,Element_Stiffness!V102,0)),0)),0)+IF(Element_Stiffness!$C$111,IF(Element_Stiffness!$C$110=7,IF(0=Element_Stiffness!$C$110,Element_Stiffness!P131,IF(0=Element_Stiffness!$E$110,Element_Stiffness!V131,0)),IF(Element_Stiffness!$E$110=7,IF(0=Element_Stiffness!$C$110,Element_Stiffness!P137,IF(0=Element_Stiffness!$E$110,Element_Stiffness!V137,0)),0)),0)+IF(Element_Stiffness!$C$146,IF(Element_Stiffness!$C$145=7,IF(0=Element_Stiffness!$C$145,Element_Stiffness!P166,IF(0=Element_Stiffness!$E$145,Element_Stiffness!V166,0)),IF(Element_Stiffness!$E$145=7,IF(0=Element_Stiffness!$C$145,Element_Stiffness!P172,IF(0=Element_Stiffness!$E$145,Element_Stiffness!V172,0)),0)),0)+IF(Element_Stiffness!$C$181,IF(Element_Stiffness!$C$180=7,IF(0=Element_Stiffness!$C$180,Element_Stiffness!P201,IF(0=Element_Stiffness!$E$180,Element_Stiffness!V201,0)),IF(Element_Stiffness!$E$180=7,IF(0=Element_Stiffness!$C$180,Element_Stiffness!P207,IF(0=Element_Stiffness!$E$180,Element_Stiffness!V207,0)),0)),0)+IF(Element_Stiffness!$C$216,IF(Element_Stiffness!$C$215=7,IF(0=Element_Stiffness!$C$215,Element_Stiffness!P236,IF(0=Element_Stiffness!$E$215,Element_Stiffness!V236,0)),IF(Element_Stiffness!$E$215=7,IF(0=Element_Stiffness!$C$215,Element_Stiffness!P242,IF(0=Element_Stiffness!$E$215,Element_Stiffness!V242,0)),0)),0)</f>
        <v/>
      </c>
      <c r="D47" s="21">
        <f>IF(Element_Stiffness!$C$6,IF(Element_Stiffness!$C$5=7,IF(0=Element_Stiffness!$C$5,Element_Stiffness!Q26,IF(0=Element_Stiffness!$E$5,Element_Stiffness!W26,0)),IF(Element_Stiffness!$E$5=7,IF(0=Element_Stiffness!$C$5,Element_Stiffness!Q32,IF(0=Element_Stiffness!$E$5,Element_Stiffness!W32,0)),0)),0)+IF(Element_Stiffness!$C$41,IF(Element_Stiffness!$C$40=7,IF(0=Element_Stiffness!$C$40,Element_Stiffness!Q61,IF(0=Element_Stiffness!$E$40,Element_Stiffness!W61,0)),IF(Element_Stiffness!$E$40=7,IF(0=Element_Stiffness!$C$40,Element_Stiffness!Q67,IF(0=Element_Stiffness!$E$40,Element_Stiffness!W67,0)),0)),0)+IF(Element_Stiffness!$C$76,IF(Element_Stiffness!$C$75=7,IF(0=Element_Stiffness!$C$75,Element_Stiffness!Q96,IF(0=Element_Stiffness!$E$75,Element_Stiffness!W96,0)),IF(Element_Stiffness!$E$75=7,IF(0=Element_Stiffness!$C$75,Element_Stiffness!Q102,IF(0=Element_Stiffness!$E$75,Element_Stiffness!W102,0)),0)),0)+IF(Element_Stiffness!$C$111,IF(Element_Stiffness!$C$110=7,IF(0=Element_Stiffness!$C$110,Element_Stiffness!Q131,IF(0=Element_Stiffness!$E$110,Element_Stiffness!W131,0)),IF(Element_Stiffness!$E$110=7,IF(0=Element_Stiffness!$C$110,Element_Stiffness!Q137,IF(0=Element_Stiffness!$E$110,Element_Stiffness!W137,0)),0)),0)+IF(Element_Stiffness!$C$146,IF(Element_Stiffness!$C$145=7,IF(0=Element_Stiffness!$C$145,Element_Stiffness!Q166,IF(0=Element_Stiffness!$E$145,Element_Stiffness!W166,0)),IF(Element_Stiffness!$E$145=7,IF(0=Element_Stiffness!$C$145,Element_Stiffness!Q172,IF(0=Element_Stiffness!$E$145,Element_Stiffness!W172,0)),0)),0)+IF(Element_Stiffness!$C$181,IF(Element_Stiffness!$C$180=7,IF(0=Element_Stiffness!$C$180,Element_Stiffness!Q201,IF(0=Element_Stiffness!$E$180,Element_Stiffness!W201,0)),IF(Element_Stiffness!$E$180=7,IF(0=Element_Stiffness!$C$180,Element_Stiffness!Q207,IF(0=Element_Stiffness!$E$180,Element_Stiffness!W207,0)),0)),0)+IF(Element_Stiffness!$C$216,IF(Element_Stiffness!$C$215=7,IF(0=Element_Stiffness!$C$215,Element_Stiffness!Q236,IF(0=Element_Stiffness!$E$215,Element_Stiffness!W236,0)),IF(Element_Stiffness!$E$215=7,IF(0=Element_Stiffness!$C$215,Element_Stiffness!Q242,IF(0=Element_Stiffness!$E$215,Element_Stiffness!W242,0)),0)),0)</f>
        <v/>
      </c>
      <c r="E47" s="21">
        <f>IF(Element_Stiffness!$C$6,IF(Element_Stiffness!$C$5=7,IF(0=Element_Stiffness!$C$5,Element_Stiffness!R26,IF(0=Element_Stiffness!$E$5,Element_Stiffness!X26,0)),IF(Element_Stiffness!$E$5=7,IF(0=Element_Stiffness!$C$5,Element_Stiffness!R32,IF(0=Element_Stiffness!$E$5,Element_Stiffness!X32,0)),0)),0)+IF(Element_Stiffness!$C$41,IF(Element_Stiffness!$C$40=7,IF(0=Element_Stiffness!$C$40,Element_Stiffness!R61,IF(0=Element_Stiffness!$E$40,Element_Stiffness!X61,0)),IF(Element_Stiffness!$E$40=7,IF(0=Element_Stiffness!$C$40,Element_Stiffness!R67,IF(0=Element_Stiffness!$E$40,Element_Stiffness!X67,0)),0)),0)+IF(Element_Stiffness!$C$76,IF(Element_Stiffness!$C$75=7,IF(0=Element_Stiffness!$C$75,Element_Stiffness!R96,IF(0=Element_Stiffness!$E$75,Element_Stiffness!X96,0)),IF(Element_Stiffness!$E$75=7,IF(0=Element_Stiffness!$C$75,Element_Stiffness!R102,IF(0=Element_Stiffness!$E$75,Element_Stiffness!X102,0)),0)),0)+IF(Element_Stiffness!$C$111,IF(Element_Stiffness!$C$110=7,IF(0=Element_Stiffness!$C$110,Element_Stiffness!R131,IF(0=Element_Stiffness!$E$110,Element_Stiffness!X131,0)),IF(Element_Stiffness!$E$110=7,IF(0=Element_Stiffness!$C$110,Element_Stiffness!R137,IF(0=Element_Stiffness!$E$110,Element_Stiffness!X137,0)),0)),0)+IF(Element_Stiffness!$C$146,IF(Element_Stiffness!$C$145=7,IF(0=Element_Stiffness!$C$145,Element_Stiffness!R166,IF(0=Element_Stiffness!$E$145,Element_Stiffness!X166,0)),IF(Element_Stiffness!$E$145=7,IF(0=Element_Stiffness!$C$145,Element_Stiffness!R172,IF(0=Element_Stiffness!$E$145,Element_Stiffness!X172,0)),0)),0)+IF(Element_Stiffness!$C$181,IF(Element_Stiffness!$C$180=7,IF(0=Element_Stiffness!$C$180,Element_Stiffness!R201,IF(0=Element_Stiffness!$E$180,Element_Stiffness!X201,0)),IF(Element_Stiffness!$E$180=7,IF(0=Element_Stiffness!$C$180,Element_Stiffness!R207,IF(0=Element_Stiffness!$E$180,Element_Stiffness!X207,0)),0)),0)+IF(Element_Stiffness!$C$216,IF(Element_Stiffness!$C$215=7,IF(0=Element_Stiffness!$C$215,Element_Stiffness!R236,IF(0=Element_Stiffness!$E$215,Element_Stiffness!X236,0)),IF(Element_Stiffness!$E$215=7,IF(0=Element_Stiffness!$C$215,Element_Stiffness!R242,IF(0=Element_Stiffness!$E$215,Element_Stiffness!X242,0)),0)),0)</f>
        <v/>
      </c>
      <c r="F47" s="21">
        <f>IF(Element_Stiffness!$C$6,IF(Element_Stiffness!$C$5=7,IF(0=Element_Stiffness!$C$5,Element_Stiffness!S26,IF(0=Element_Stiffness!$E$5,Element_Stiffness!Y26,0)),IF(Element_Stiffness!$E$5=7,IF(0=Element_Stiffness!$C$5,Element_Stiffness!S32,IF(0=Element_Stiffness!$E$5,Element_Stiffness!Y32,0)),0)),0)+IF(Element_Stiffness!$C$41,IF(Element_Stiffness!$C$40=7,IF(0=Element_Stiffness!$C$40,Element_Stiffness!S61,IF(0=Element_Stiffness!$E$40,Element_Stiffness!Y61,0)),IF(Element_Stiffness!$E$40=7,IF(0=Element_Stiffness!$C$40,Element_Stiffness!S67,IF(0=Element_Stiffness!$E$40,Element_Stiffness!Y67,0)),0)),0)+IF(Element_Stiffness!$C$76,IF(Element_Stiffness!$C$75=7,IF(0=Element_Stiffness!$C$75,Element_Stiffness!S96,IF(0=Element_Stiffness!$E$75,Element_Stiffness!Y96,0)),IF(Element_Stiffness!$E$75=7,IF(0=Element_Stiffness!$C$75,Element_Stiffness!S102,IF(0=Element_Stiffness!$E$75,Element_Stiffness!Y102,0)),0)),0)+IF(Element_Stiffness!$C$111,IF(Element_Stiffness!$C$110=7,IF(0=Element_Stiffness!$C$110,Element_Stiffness!S131,IF(0=Element_Stiffness!$E$110,Element_Stiffness!Y131,0)),IF(Element_Stiffness!$E$110=7,IF(0=Element_Stiffness!$C$110,Element_Stiffness!S137,IF(0=Element_Stiffness!$E$110,Element_Stiffness!Y137,0)),0)),0)+IF(Element_Stiffness!$C$146,IF(Element_Stiffness!$C$145=7,IF(0=Element_Stiffness!$C$145,Element_Stiffness!S166,IF(0=Element_Stiffness!$E$145,Element_Stiffness!Y166,0)),IF(Element_Stiffness!$E$145=7,IF(0=Element_Stiffness!$C$145,Element_Stiffness!S172,IF(0=Element_Stiffness!$E$145,Element_Stiffness!Y172,0)),0)),0)+IF(Element_Stiffness!$C$181,IF(Element_Stiffness!$C$180=7,IF(0=Element_Stiffness!$C$180,Element_Stiffness!S201,IF(0=Element_Stiffness!$E$180,Element_Stiffness!Y201,0)),IF(Element_Stiffness!$E$180=7,IF(0=Element_Stiffness!$C$180,Element_Stiffness!S207,IF(0=Element_Stiffness!$E$180,Element_Stiffness!Y207,0)),0)),0)+IF(Element_Stiffness!$C$216,IF(Element_Stiffness!$C$215=7,IF(0=Element_Stiffness!$C$215,Element_Stiffness!S236,IF(0=Element_Stiffness!$E$215,Element_Stiffness!Y236,0)),IF(Element_Stiffness!$E$215=7,IF(0=Element_Stiffness!$C$215,Element_Stiffness!S242,IF(0=Element_Stiffness!$E$215,Element_Stiffness!Y242,0)),0)),0)</f>
        <v/>
      </c>
      <c r="G47" s="21">
        <f>IF(Element_Stiffness!$C$6,IF(Element_Stiffness!$C$5=7,IF(0=Element_Stiffness!$C$5,Element_Stiffness!T26,IF(0=Element_Stiffness!$E$5,Element_Stiffness!Z26,0)),IF(Element_Stiffness!$E$5=7,IF(0=Element_Stiffness!$C$5,Element_Stiffness!T32,IF(0=Element_Stiffness!$E$5,Element_Stiffness!Z32,0)),0)),0)+IF(Element_Stiffness!$C$41,IF(Element_Stiffness!$C$40=7,IF(0=Element_Stiffness!$C$40,Element_Stiffness!T61,IF(0=Element_Stiffness!$E$40,Element_Stiffness!Z61,0)),IF(Element_Stiffness!$E$40=7,IF(0=Element_Stiffness!$C$40,Element_Stiffness!T67,IF(0=Element_Stiffness!$E$40,Element_Stiffness!Z67,0)),0)),0)+IF(Element_Stiffness!$C$76,IF(Element_Stiffness!$C$75=7,IF(0=Element_Stiffness!$C$75,Element_Stiffness!T96,IF(0=Element_Stiffness!$E$75,Element_Stiffness!Z96,0)),IF(Element_Stiffness!$E$75=7,IF(0=Element_Stiffness!$C$75,Element_Stiffness!T102,IF(0=Element_Stiffness!$E$75,Element_Stiffness!Z102,0)),0)),0)+IF(Element_Stiffness!$C$111,IF(Element_Stiffness!$C$110=7,IF(0=Element_Stiffness!$C$110,Element_Stiffness!T131,IF(0=Element_Stiffness!$E$110,Element_Stiffness!Z131,0)),IF(Element_Stiffness!$E$110=7,IF(0=Element_Stiffness!$C$110,Element_Stiffness!T137,IF(0=Element_Stiffness!$E$110,Element_Stiffness!Z137,0)),0)),0)+IF(Element_Stiffness!$C$146,IF(Element_Stiffness!$C$145=7,IF(0=Element_Stiffness!$C$145,Element_Stiffness!T166,IF(0=Element_Stiffness!$E$145,Element_Stiffness!Z166,0)),IF(Element_Stiffness!$E$145=7,IF(0=Element_Stiffness!$C$145,Element_Stiffness!T172,IF(0=Element_Stiffness!$E$145,Element_Stiffness!Z172,0)),0)),0)+IF(Element_Stiffness!$C$181,IF(Element_Stiffness!$C$180=7,IF(0=Element_Stiffness!$C$180,Element_Stiffness!T201,IF(0=Element_Stiffness!$E$180,Element_Stiffness!Z201,0)),IF(Element_Stiffness!$E$180=7,IF(0=Element_Stiffness!$C$180,Element_Stiffness!T207,IF(0=Element_Stiffness!$E$180,Element_Stiffness!Z207,0)),0)),0)+IF(Element_Stiffness!$C$216,IF(Element_Stiffness!$C$215=7,IF(0=Element_Stiffness!$C$215,Element_Stiffness!T236,IF(0=Element_Stiffness!$E$215,Element_Stiffness!Z236,0)),IF(Element_Stiffness!$E$215=7,IF(0=Element_Stiffness!$C$215,Element_Stiffness!T242,IF(0=Element_Stiffness!$E$215,Element_Stiffness!Z242,0)),0)),0)</f>
        <v/>
      </c>
      <c r="H47" s="21">
        <f>IF(Element_Stiffness!$C$6,IF(Element_Stiffness!$C$5=7,IF(0=Element_Stiffness!$C$5,Element_Stiffness!U26,IF(0=Element_Stiffness!$E$5,Element_Stiffness!AA26,0)),IF(Element_Stiffness!$E$5=7,IF(0=Element_Stiffness!$C$5,Element_Stiffness!U32,IF(0=Element_Stiffness!$E$5,Element_Stiffness!AA32,0)),0)),0)+IF(Element_Stiffness!$C$41,IF(Element_Stiffness!$C$40=7,IF(0=Element_Stiffness!$C$40,Element_Stiffness!U61,IF(0=Element_Stiffness!$E$40,Element_Stiffness!AA61,0)),IF(Element_Stiffness!$E$40=7,IF(0=Element_Stiffness!$C$40,Element_Stiffness!U67,IF(0=Element_Stiffness!$E$40,Element_Stiffness!AA67,0)),0)),0)+IF(Element_Stiffness!$C$76,IF(Element_Stiffness!$C$75=7,IF(0=Element_Stiffness!$C$75,Element_Stiffness!U96,IF(0=Element_Stiffness!$E$75,Element_Stiffness!AA96,0)),IF(Element_Stiffness!$E$75=7,IF(0=Element_Stiffness!$C$75,Element_Stiffness!U102,IF(0=Element_Stiffness!$E$75,Element_Stiffness!AA102,0)),0)),0)+IF(Element_Stiffness!$C$111,IF(Element_Stiffness!$C$110=7,IF(0=Element_Stiffness!$C$110,Element_Stiffness!U131,IF(0=Element_Stiffness!$E$110,Element_Stiffness!AA131,0)),IF(Element_Stiffness!$E$110=7,IF(0=Element_Stiffness!$C$110,Element_Stiffness!U137,IF(0=Element_Stiffness!$E$110,Element_Stiffness!AA137,0)),0)),0)+IF(Element_Stiffness!$C$146,IF(Element_Stiffness!$C$145=7,IF(0=Element_Stiffness!$C$145,Element_Stiffness!U166,IF(0=Element_Stiffness!$E$145,Element_Stiffness!AA166,0)),IF(Element_Stiffness!$E$145=7,IF(0=Element_Stiffness!$C$145,Element_Stiffness!U172,IF(0=Element_Stiffness!$E$145,Element_Stiffness!AA172,0)),0)),0)+IF(Element_Stiffness!$C$181,IF(Element_Stiffness!$C$180=7,IF(0=Element_Stiffness!$C$180,Element_Stiffness!U201,IF(0=Element_Stiffness!$E$180,Element_Stiffness!AA201,0)),IF(Element_Stiffness!$E$180=7,IF(0=Element_Stiffness!$C$180,Element_Stiffness!U207,IF(0=Element_Stiffness!$E$180,Element_Stiffness!AA207,0)),0)),0)+IF(Element_Stiffness!$C$216,IF(Element_Stiffness!$C$215=7,IF(0=Element_Stiffness!$C$215,Element_Stiffness!U236,IF(0=Element_Stiffness!$E$215,Element_Stiffness!AA236,0)),IF(Element_Stiffness!$E$215=7,IF(0=Element_Stiffness!$C$215,Element_Stiffness!U242,IF(0=Element_Stiffness!$E$215,Element_Stiffness!AA242,0)),0)),0)</f>
        <v/>
      </c>
      <c r="I47" s="21">
        <f>IF(Element_Stiffness!$C$6,IF(Element_Stiffness!$C$5=7,IF(1=Element_Stiffness!$C$5,Element_Stiffness!P26,IF(1=Element_Stiffness!$E$5,Element_Stiffness!V26,0)),IF(Element_Stiffness!$E$5=7,IF(1=Element_Stiffness!$C$5,Element_Stiffness!P32,IF(1=Element_Stiffness!$E$5,Element_Stiffness!V32,0)),0)),0)+IF(Element_Stiffness!$C$41,IF(Element_Stiffness!$C$40=7,IF(1=Element_Stiffness!$C$40,Element_Stiffness!P61,IF(1=Element_Stiffness!$E$40,Element_Stiffness!V61,0)),IF(Element_Stiffness!$E$40=7,IF(1=Element_Stiffness!$C$40,Element_Stiffness!P67,IF(1=Element_Stiffness!$E$40,Element_Stiffness!V67,0)),0)),0)+IF(Element_Stiffness!$C$76,IF(Element_Stiffness!$C$75=7,IF(1=Element_Stiffness!$C$75,Element_Stiffness!P96,IF(1=Element_Stiffness!$E$75,Element_Stiffness!V96,0)),IF(Element_Stiffness!$E$75=7,IF(1=Element_Stiffness!$C$75,Element_Stiffness!P102,IF(1=Element_Stiffness!$E$75,Element_Stiffness!V102,0)),0)),0)+IF(Element_Stiffness!$C$111,IF(Element_Stiffness!$C$110=7,IF(1=Element_Stiffness!$C$110,Element_Stiffness!P131,IF(1=Element_Stiffness!$E$110,Element_Stiffness!V131,0)),IF(Element_Stiffness!$E$110=7,IF(1=Element_Stiffness!$C$110,Element_Stiffness!P137,IF(1=Element_Stiffness!$E$110,Element_Stiffness!V137,0)),0)),0)+IF(Element_Stiffness!$C$146,IF(Element_Stiffness!$C$145=7,IF(1=Element_Stiffness!$C$145,Element_Stiffness!P166,IF(1=Element_Stiffness!$E$145,Element_Stiffness!V166,0)),IF(Element_Stiffness!$E$145=7,IF(1=Element_Stiffness!$C$145,Element_Stiffness!P172,IF(1=Element_Stiffness!$E$145,Element_Stiffness!V172,0)),0)),0)+IF(Element_Stiffness!$C$181,IF(Element_Stiffness!$C$180=7,IF(1=Element_Stiffness!$C$180,Element_Stiffness!P201,IF(1=Element_Stiffness!$E$180,Element_Stiffness!V201,0)),IF(Element_Stiffness!$E$180=7,IF(1=Element_Stiffness!$C$180,Element_Stiffness!P207,IF(1=Element_Stiffness!$E$180,Element_Stiffness!V207,0)),0)),0)+IF(Element_Stiffness!$C$216,IF(Element_Stiffness!$C$215=7,IF(1=Element_Stiffness!$C$215,Element_Stiffness!P236,IF(1=Element_Stiffness!$E$215,Element_Stiffness!V236,0)),IF(Element_Stiffness!$E$215=7,IF(1=Element_Stiffness!$C$215,Element_Stiffness!P242,IF(1=Element_Stiffness!$E$215,Element_Stiffness!V242,0)),0)),0)</f>
        <v/>
      </c>
      <c r="J47" s="21">
        <f>IF(Element_Stiffness!$C$6,IF(Element_Stiffness!$C$5=7,IF(1=Element_Stiffness!$C$5,Element_Stiffness!Q26,IF(1=Element_Stiffness!$E$5,Element_Stiffness!W26,0)),IF(Element_Stiffness!$E$5=7,IF(1=Element_Stiffness!$C$5,Element_Stiffness!Q32,IF(1=Element_Stiffness!$E$5,Element_Stiffness!W32,0)),0)),0)+IF(Element_Stiffness!$C$41,IF(Element_Stiffness!$C$40=7,IF(1=Element_Stiffness!$C$40,Element_Stiffness!Q61,IF(1=Element_Stiffness!$E$40,Element_Stiffness!W61,0)),IF(Element_Stiffness!$E$40=7,IF(1=Element_Stiffness!$C$40,Element_Stiffness!Q67,IF(1=Element_Stiffness!$E$40,Element_Stiffness!W67,0)),0)),0)+IF(Element_Stiffness!$C$76,IF(Element_Stiffness!$C$75=7,IF(1=Element_Stiffness!$C$75,Element_Stiffness!Q96,IF(1=Element_Stiffness!$E$75,Element_Stiffness!W96,0)),IF(Element_Stiffness!$E$75=7,IF(1=Element_Stiffness!$C$75,Element_Stiffness!Q102,IF(1=Element_Stiffness!$E$75,Element_Stiffness!W102,0)),0)),0)+IF(Element_Stiffness!$C$111,IF(Element_Stiffness!$C$110=7,IF(1=Element_Stiffness!$C$110,Element_Stiffness!Q131,IF(1=Element_Stiffness!$E$110,Element_Stiffness!W131,0)),IF(Element_Stiffness!$E$110=7,IF(1=Element_Stiffness!$C$110,Element_Stiffness!Q137,IF(1=Element_Stiffness!$E$110,Element_Stiffness!W137,0)),0)),0)+IF(Element_Stiffness!$C$146,IF(Element_Stiffness!$C$145=7,IF(1=Element_Stiffness!$C$145,Element_Stiffness!Q166,IF(1=Element_Stiffness!$E$145,Element_Stiffness!W166,0)),IF(Element_Stiffness!$E$145=7,IF(1=Element_Stiffness!$C$145,Element_Stiffness!Q172,IF(1=Element_Stiffness!$E$145,Element_Stiffness!W172,0)),0)),0)+IF(Element_Stiffness!$C$181,IF(Element_Stiffness!$C$180=7,IF(1=Element_Stiffness!$C$180,Element_Stiffness!Q201,IF(1=Element_Stiffness!$E$180,Element_Stiffness!W201,0)),IF(Element_Stiffness!$E$180=7,IF(1=Element_Stiffness!$C$180,Element_Stiffness!Q207,IF(1=Element_Stiffness!$E$180,Element_Stiffness!W207,0)),0)),0)+IF(Element_Stiffness!$C$216,IF(Element_Stiffness!$C$215=7,IF(1=Element_Stiffness!$C$215,Element_Stiffness!Q236,IF(1=Element_Stiffness!$E$215,Element_Stiffness!W236,0)),IF(Element_Stiffness!$E$215=7,IF(1=Element_Stiffness!$C$215,Element_Stiffness!Q242,IF(1=Element_Stiffness!$E$215,Element_Stiffness!W242,0)),0)),0)</f>
        <v/>
      </c>
      <c r="K47" s="21">
        <f>IF(Element_Stiffness!$C$6,IF(Element_Stiffness!$C$5=7,IF(1=Element_Stiffness!$C$5,Element_Stiffness!R26,IF(1=Element_Stiffness!$E$5,Element_Stiffness!X26,0)),IF(Element_Stiffness!$E$5=7,IF(1=Element_Stiffness!$C$5,Element_Stiffness!R32,IF(1=Element_Stiffness!$E$5,Element_Stiffness!X32,0)),0)),0)+IF(Element_Stiffness!$C$41,IF(Element_Stiffness!$C$40=7,IF(1=Element_Stiffness!$C$40,Element_Stiffness!R61,IF(1=Element_Stiffness!$E$40,Element_Stiffness!X61,0)),IF(Element_Stiffness!$E$40=7,IF(1=Element_Stiffness!$C$40,Element_Stiffness!R67,IF(1=Element_Stiffness!$E$40,Element_Stiffness!X67,0)),0)),0)+IF(Element_Stiffness!$C$76,IF(Element_Stiffness!$C$75=7,IF(1=Element_Stiffness!$C$75,Element_Stiffness!R96,IF(1=Element_Stiffness!$E$75,Element_Stiffness!X96,0)),IF(Element_Stiffness!$E$75=7,IF(1=Element_Stiffness!$C$75,Element_Stiffness!R102,IF(1=Element_Stiffness!$E$75,Element_Stiffness!X102,0)),0)),0)+IF(Element_Stiffness!$C$111,IF(Element_Stiffness!$C$110=7,IF(1=Element_Stiffness!$C$110,Element_Stiffness!R131,IF(1=Element_Stiffness!$E$110,Element_Stiffness!X131,0)),IF(Element_Stiffness!$E$110=7,IF(1=Element_Stiffness!$C$110,Element_Stiffness!R137,IF(1=Element_Stiffness!$E$110,Element_Stiffness!X137,0)),0)),0)+IF(Element_Stiffness!$C$146,IF(Element_Stiffness!$C$145=7,IF(1=Element_Stiffness!$C$145,Element_Stiffness!R166,IF(1=Element_Stiffness!$E$145,Element_Stiffness!X166,0)),IF(Element_Stiffness!$E$145=7,IF(1=Element_Stiffness!$C$145,Element_Stiffness!R172,IF(1=Element_Stiffness!$E$145,Element_Stiffness!X172,0)),0)),0)+IF(Element_Stiffness!$C$181,IF(Element_Stiffness!$C$180=7,IF(1=Element_Stiffness!$C$180,Element_Stiffness!R201,IF(1=Element_Stiffness!$E$180,Element_Stiffness!X201,0)),IF(Element_Stiffness!$E$180=7,IF(1=Element_Stiffness!$C$180,Element_Stiffness!R207,IF(1=Element_Stiffness!$E$180,Element_Stiffness!X207,0)),0)),0)+IF(Element_Stiffness!$C$216,IF(Element_Stiffness!$C$215=7,IF(1=Element_Stiffness!$C$215,Element_Stiffness!R236,IF(1=Element_Stiffness!$E$215,Element_Stiffness!X236,0)),IF(Element_Stiffness!$E$215=7,IF(1=Element_Stiffness!$C$215,Element_Stiffness!R242,IF(1=Element_Stiffness!$E$215,Element_Stiffness!X242,0)),0)),0)</f>
        <v/>
      </c>
      <c r="L47" s="21">
        <f>IF(Element_Stiffness!$C$6,IF(Element_Stiffness!$C$5=7,IF(1=Element_Stiffness!$C$5,Element_Stiffness!S26,IF(1=Element_Stiffness!$E$5,Element_Stiffness!Y26,0)),IF(Element_Stiffness!$E$5=7,IF(1=Element_Stiffness!$C$5,Element_Stiffness!S32,IF(1=Element_Stiffness!$E$5,Element_Stiffness!Y32,0)),0)),0)+IF(Element_Stiffness!$C$41,IF(Element_Stiffness!$C$40=7,IF(1=Element_Stiffness!$C$40,Element_Stiffness!S61,IF(1=Element_Stiffness!$E$40,Element_Stiffness!Y61,0)),IF(Element_Stiffness!$E$40=7,IF(1=Element_Stiffness!$C$40,Element_Stiffness!S67,IF(1=Element_Stiffness!$E$40,Element_Stiffness!Y67,0)),0)),0)+IF(Element_Stiffness!$C$76,IF(Element_Stiffness!$C$75=7,IF(1=Element_Stiffness!$C$75,Element_Stiffness!S96,IF(1=Element_Stiffness!$E$75,Element_Stiffness!Y96,0)),IF(Element_Stiffness!$E$75=7,IF(1=Element_Stiffness!$C$75,Element_Stiffness!S102,IF(1=Element_Stiffness!$E$75,Element_Stiffness!Y102,0)),0)),0)+IF(Element_Stiffness!$C$111,IF(Element_Stiffness!$C$110=7,IF(1=Element_Stiffness!$C$110,Element_Stiffness!S131,IF(1=Element_Stiffness!$E$110,Element_Stiffness!Y131,0)),IF(Element_Stiffness!$E$110=7,IF(1=Element_Stiffness!$C$110,Element_Stiffness!S137,IF(1=Element_Stiffness!$E$110,Element_Stiffness!Y137,0)),0)),0)+IF(Element_Stiffness!$C$146,IF(Element_Stiffness!$C$145=7,IF(1=Element_Stiffness!$C$145,Element_Stiffness!S166,IF(1=Element_Stiffness!$E$145,Element_Stiffness!Y166,0)),IF(Element_Stiffness!$E$145=7,IF(1=Element_Stiffness!$C$145,Element_Stiffness!S172,IF(1=Element_Stiffness!$E$145,Element_Stiffness!Y172,0)),0)),0)+IF(Element_Stiffness!$C$181,IF(Element_Stiffness!$C$180=7,IF(1=Element_Stiffness!$C$180,Element_Stiffness!S201,IF(1=Element_Stiffness!$E$180,Element_Stiffness!Y201,0)),IF(Element_Stiffness!$E$180=7,IF(1=Element_Stiffness!$C$180,Element_Stiffness!S207,IF(1=Element_Stiffness!$E$180,Element_Stiffness!Y207,0)),0)),0)+IF(Element_Stiffness!$C$216,IF(Element_Stiffness!$C$215=7,IF(1=Element_Stiffness!$C$215,Element_Stiffness!S236,IF(1=Element_Stiffness!$E$215,Element_Stiffness!Y236,0)),IF(Element_Stiffness!$E$215=7,IF(1=Element_Stiffness!$C$215,Element_Stiffness!S242,IF(1=Element_Stiffness!$E$215,Element_Stiffness!Y242,0)),0)),0)</f>
        <v/>
      </c>
      <c r="M47" s="21">
        <f>IF(Element_Stiffness!$C$6,IF(Element_Stiffness!$C$5=7,IF(1=Element_Stiffness!$C$5,Element_Stiffness!T26,IF(1=Element_Stiffness!$E$5,Element_Stiffness!Z26,0)),IF(Element_Stiffness!$E$5=7,IF(1=Element_Stiffness!$C$5,Element_Stiffness!T32,IF(1=Element_Stiffness!$E$5,Element_Stiffness!Z32,0)),0)),0)+IF(Element_Stiffness!$C$41,IF(Element_Stiffness!$C$40=7,IF(1=Element_Stiffness!$C$40,Element_Stiffness!T61,IF(1=Element_Stiffness!$E$40,Element_Stiffness!Z61,0)),IF(Element_Stiffness!$E$40=7,IF(1=Element_Stiffness!$C$40,Element_Stiffness!T67,IF(1=Element_Stiffness!$E$40,Element_Stiffness!Z67,0)),0)),0)+IF(Element_Stiffness!$C$76,IF(Element_Stiffness!$C$75=7,IF(1=Element_Stiffness!$C$75,Element_Stiffness!T96,IF(1=Element_Stiffness!$E$75,Element_Stiffness!Z96,0)),IF(Element_Stiffness!$E$75=7,IF(1=Element_Stiffness!$C$75,Element_Stiffness!T102,IF(1=Element_Stiffness!$E$75,Element_Stiffness!Z102,0)),0)),0)+IF(Element_Stiffness!$C$111,IF(Element_Stiffness!$C$110=7,IF(1=Element_Stiffness!$C$110,Element_Stiffness!T131,IF(1=Element_Stiffness!$E$110,Element_Stiffness!Z131,0)),IF(Element_Stiffness!$E$110=7,IF(1=Element_Stiffness!$C$110,Element_Stiffness!T137,IF(1=Element_Stiffness!$E$110,Element_Stiffness!Z137,0)),0)),0)+IF(Element_Stiffness!$C$146,IF(Element_Stiffness!$C$145=7,IF(1=Element_Stiffness!$C$145,Element_Stiffness!T166,IF(1=Element_Stiffness!$E$145,Element_Stiffness!Z166,0)),IF(Element_Stiffness!$E$145=7,IF(1=Element_Stiffness!$C$145,Element_Stiffness!T172,IF(1=Element_Stiffness!$E$145,Element_Stiffness!Z172,0)),0)),0)+IF(Element_Stiffness!$C$181,IF(Element_Stiffness!$C$180=7,IF(1=Element_Stiffness!$C$180,Element_Stiffness!T201,IF(1=Element_Stiffness!$E$180,Element_Stiffness!Z201,0)),IF(Element_Stiffness!$E$180=7,IF(1=Element_Stiffness!$C$180,Element_Stiffness!T207,IF(1=Element_Stiffness!$E$180,Element_Stiffness!Z207,0)),0)),0)+IF(Element_Stiffness!$C$216,IF(Element_Stiffness!$C$215=7,IF(1=Element_Stiffness!$C$215,Element_Stiffness!T236,IF(1=Element_Stiffness!$E$215,Element_Stiffness!Z236,0)),IF(Element_Stiffness!$E$215=7,IF(1=Element_Stiffness!$C$215,Element_Stiffness!T242,IF(1=Element_Stiffness!$E$215,Element_Stiffness!Z242,0)),0)),0)</f>
        <v/>
      </c>
      <c r="N47" s="21">
        <f>IF(Element_Stiffness!$C$6,IF(Element_Stiffness!$C$5=7,IF(1=Element_Stiffness!$C$5,Element_Stiffness!U26,IF(1=Element_Stiffness!$E$5,Element_Stiffness!AA26,0)),IF(Element_Stiffness!$E$5=7,IF(1=Element_Stiffness!$C$5,Element_Stiffness!U32,IF(1=Element_Stiffness!$E$5,Element_Stiffness!AA32,0)),0)),0)+IF(Element_Stiffness!$C$41,IF(Element_Stiffness!$C$40=7,IF(1=Element_Stiffness!$C$40,Element_Stiffness!U61,IF(1=Element_Stiffness!$E$40,Element_Stiffness!AA61,0)),IF(Element_Stiffness!$E$40=7,IF(1=Element_Stiffness!$C$40,Element_Stiffness!U67,IF(1=Element_Stiffness!$E$40,Element_Stiffness!AA67,0)),0)),0)+IF(Element_Stiffness!$C$76,IF(Element_Stiffness!$C$75=7,IF(1=Element_Stiffness!$C$75,Element_Stiffness!U96,IF(1=Element_Stiffness!$E$75,Element_Stiffness!AA96,0)),IF(Element_Stiffness!$E$75=7,IF(1=Element_Stiffness!$C$75,Element_Stiffness!U102,IF(1=Element_Stiffness!$E$75,Element_Stiffness!AA102,0)),0)),0)+IF(Element_Stiffness!$C$111,IF(Element_Stiffness!$C$110=7,IF(1=Element_Stiffness!$C$110,Element_Stiffness!U131,IF(1=Element_Stiffness!$E$110,Element_Stiffness!AA131,0)),IF(Element_Stiffness!$E$110=7,IF(1=Element_Stiffness!$C$110,Element_Stiffness!U137,IF(1=Element_Stiffness!$E$110,Element_Stiffness!AA137,0)),0)),0)+IF(Element_Stiffness!$C$146,IF(Element_Stiffness!$C$145=7,IF(1=Element_Stiffness!$C$145,Element_Stiffness!U166,IF(1=Element_Stiffness!$E$145,Element_Stiffness!AA166,0)),IF(Element_Stiffness!$E$145=7,IF(1=Element_Stiffness!$C$145,Element_Stiffness!U172,IF(1=Element_Stiffness!$E$145,Element_Stiffness!AA172,0)),0)),0)+IF(Element_Stiffness!$C$181,IF(Element_Stiffness!$C$180=7,IF(1=Element_Stiffness!$C$180,Element_Stiffness!U201,IF(1=Element_Stiffness!$E$180,Element_Stiffness!AA201,0)),IF(Element_Stiffness!$E$180=7,IF(1=Element_Stiffness!$C$180,Element_Stiffness!U207,IF(1=Element_Stiffness!$E$180,Element_Stiffness!AA207,0)),0)),0)+IF(Element_Stiffness!$C$216,IF(Element_Stiffness!$C$215=7,IF(1=Element_Stiffness!$C$215,Element_Stiffness!U236,IF(1=Element_Stiffness!$E$215,Element_Stiffness!AA236,0)),IF(Element_Stiffness!$E$215=7,IF(1=Element_Stiffness!$C$215,Element_Stiffness!U242,IF(1=Element_Stiffness!$E$215,Element_Stiffness!AA242,0)),0)),0)</f>
        <v/>
      </c>
      <c r="O47" s="21">
        <f>IF(Element_Stiffness!$C$6,IF(Element_Stiffness!$C$5=7,IF(2=Element_Stiffness!$C$5,Element_Stiffness!P26,IF(2=Element_Stiffness!$E$5,Element_Stiffness!V26,0)),IF(Element_Stiffness!$E$5=7,IF(2=Element_Stiffness!$C$5,Element_Stiffness!P32,IF(2=Element_Stiffness!$E$5,Element_Stiffness!V32,0)),0)),0)+IF(Element_Stiffness!$C$41,IF(Element_Stiffness!$C$40=7,IF(2=Element_Stiffness!$C$40,Element_Stiffness!P61,IF(2=Element_Stiffness!$E$40,Element_Stiffness!V61,0)),IF(Element_Stiffness!$E$40=7,IF(2=Element_Stiffness!$C$40,Element_Stiffness!P67,IF(2=Element_Stiffness!$E$40,Element_Stiffness!V67,0)),0)),0)+IF(Element_Stiffness!$C$76,IF(Element_Stiffness!$C$75=7,IF(2=Element_Stiffness!$C$75,Element_Stiffness!P96,IF(2=Element_Stiffness!$E$75,Element_Stiffness!V96,0)),IF(Element_Stiffness!$E$75=7,IF(2=Element_Stiffness!$C$75,Element_Stiffness!P102,IF(2=Element_Stiffness!$E$75,Element_Stiffness!V102,0)),0)),0)+IF(Element_Stiffness!$C$111,IF(Element_Stiffness!$C$110=7,IF(2=Element_Stiffness!$C$110,Element_Stiffness!P131,IF(2=Element_Stiffness!$E$110,Element_Stiffness!V131,0)),IF(Element_Stiffness!$E$110=7,IF(2=Element_Stiffness!$C$110,Element_Stiffness!P137,IF(2=Element_Stiffness!$E$110,Element_Stiffness!V137,0)),0)),0)+IF(Element_Stiffness!$C$146,IF(Element_Stiffness!$C$145=7,IF(2=Element_Stiffness!$C$145,Element_Stiffness!P166,IF(2=Element_Stiffness!$E$145,Element_Stiffness!V166,0)),IF(Element_Stiffness!$E$145=7,IF(2=Element_Stiffness!$C$145,Element_Stiffness!P172,IF(2=Element_Stiffness!$E$145,Element_Stiffness!V172,0)),0)),0)+IF(Element_Stiffness!$C$181,IF(Element_Stiffness!$C$180=7,IF(2=Element_Stiffness!$C$180,Element_Stiffness!P201,IF(2=Element_Stiffness!$E$180,Element_Stiffness!V201,0)),IF(Element_Stiffness!$E$180=7,IF(2=Element_Stiffness!$C$180,Element_Stiffness!P207,IF(2=Element_Stiffness!$E$180,Element_Stiffness!V207,0)),0)),0)+IF(Element_Stiffness!$C$216,IF(Element_Stiffness!$C$215=7,IF(2=Element_Stiffness!$C$215,Element_Stiffness!P236,IF(2=Element_Stiffness!$E$215,Element_Stiffness!V236,0)),IF(Element_Stiffness!$E$215=7,IF(2=Element_Stiffness!$C$215,Element_Stiffness!P242,IF(2=Element_Stiffness!$E$215,Element_Stiffness!V242,0)),0)),0)</f>
        <v/>
      </c>
      <c r="P47" s="21">
        <f>IF(Element_Stiffness!$C$6,IF(Element_Stiffness!$C$5=7,IF(2=Element_Stiffness!$C$5,Element_Stiffness!Q26,IF(2=Element_Stiffness!$E$5,Element_Stiffness!W26,0)),IF(Element_Stiffness!$E$5=7,IF(2=Element_Stiffness!$C$5,Element_Stiffness!Q32,IF(2=Element_Stiffness!$E$5,Element_Stiffness!W32,0)),0)),0)+IF(Element_Stiffness!$C$41,IF(Element_Stiffness!$C$40=7,IF(2=Element_Stiffness!$C$40,Element_Stiffness!Q61,IF(2=Element_Stiffness!$E$40,Element_Stiffness!W61,0)),IF(Element_Stiffness!$E$40=7,IF(2=Element_Stiffness!$C$40,Element_Stiffness!Q67,IF(2=Element_Stiffness!$E$40,Element_Stiffness!W67,0)),0)),0)+IF(Element_Stiffness!$C$76,IF(Element_Stiffness!$C$75=7,IF(2=Element_Stiffness!$C$75,Element_Stiffness!Q96,IF(2=Element_Stiffness!$E$75,Element_Stiffness!W96,0)),IF(Element_Stiffness!$E$75=7,IF(2=Element_Stiffness!$C$75,Element_Stiffness!Q102,IF(2=Element_Stiffness!$E$75,Element_Stiffness!W102,0)),0)),0)+IF(Element_Stiffness!$C$111,IF(Element_Stiffness!$C$110=7,IF(2=Element_Stiffness!$C$110,Element_Stiffness!Q131,IF(2=Element_Stiffness!$E$110,Element_Stiffness!W131,0)),IF(Element_Stiffness!$E$110=7,IF(2=Element_Stiffness!$C$110,Element_Stiffness!Q137,IF(2=Element_Stiffness!$E$110,Element_Stiffness!W137,0)),0)),0)+IF(Element_Stiffness!$C$146,IF(Element_Stiffness!$C$145=7,IF(2=Element_Stiffness!$C$145,Element_Stiffness!Q166,IF(2=Element_Stiffness!$E$145,Element_Stiffness!W166,0)),IF(Element_Stiffness!$E$145=7,IF(2=Element_Stiffness!$C$145,Element_Stiffness!Q172,IF(2=Element_Stiffness!$E$145,Element_Stiffness!W172,0)),0)),0)+IF(Element_Stiffness!$C$181,IF(Element_Stiffness!$C$180=7,IF(2=Element_Stiffness!$C$180,Element_Stiffness!Q201,IF(2=Element_Stiffness!$E$180,Element_Stiffness!W201,0)),IF(Element_Stiffness!$E$180=7,IF(2=Element_Stiffness!$C$180,Element_Stiffness!Q207,IF(2=Element_Stiffness!$E$180,Element_Stiffness!W207,0)),0)),0)+IF(Element_Stiffness!$C$216,IF(Element_Stiffness!$C$215=7,IF(2=Element_Stiffness!$C$215,Element_Stiffness!Q236,IF(2=Element_Stiffness!$E$215,Element_Stiffness!W236,0)),IF(Element_Stiffness!$E$215=7,IF(2=Element_Stiffness!$C$215,Element_Stiffness!Q242,IF(2=Element_Stiffness!$E$215,Element_Stiffness!W242,0)),0)),0)</f>
        <v/>
      </c>
      <c r="Q47" s="21">
        <f>IF(Element_Stiffness!$C$6,IF(Element_Stiffness!$C$5=7,IF(2=Element_Stiffness!$C$5,Element_Stiffness!R26,IF(2=Element_Stiffness!$E$5,Element_Stiffness!X26,0)),IF(Element_Stiffness!$E$5=7,IF(2=Element_Stiffness!$C$5,Element_Stiffness!R32,IF(2=Element_Stiffness!$E$5,Element_Stiffness!X32,0)),0)),0)+IF(Element_Stiffness!$C$41,IF(Element_Stiffness!$C$40=7,IF(2=Element_Stiffness!$C$40,Element_Stiffness!R61,IF(2=Element_Stiffness!$E$40,Element_Stiffness!X61,0)),IF(Element_Stiffness!$E$40=7,IF(2=Element_Stiffness!$C$40,Element_Stiffness!R67,IF(2=Element_Stiffness!$E$40,Element_Stiffness!X67,0)),0)),0)+IF(Element_Stiffness!$C$76,IF(Element_Stiffness!$C$75=7,IF(2=Element_Stiffness!$C$75,Element_Stiffness!R96,IF(2=Element_Stiffness!$E$75,Element_Stiffness!X96,0)),IF(Element_Stiffness!$E$75=7,IF(2=Element_Stiffness!$C$75,Element_Stiffness!R102,IF(2=Element_Stiffness!$E$75,Element_Stiffness!X102,0)),0)),0)+IF(Element_Stiffness!$C$111,IF(Element_Stiffness!$C$110=7,IF(2=Element_Stiffness!$C$110,Element_Stiffness!R131,IF(2=Element_Stiffness!$E$110,Element_Stiffness!X131,0)),IF(Element_Stiffness!$E$110=7,IF(2=Element_Stiffness!$C$110,Element_Stiffness!R137,IF(2=Element_Stiffness!$E$110,Element_Stiffness!X137,0)),0)),0)+IF(Element_Stiffness!$C$146,IF(Element_Stiffness!$C$145=7,IF(2=Element_Stiffness!$C$145,Element_Stiffness!R166,IF(2=Element_Stiffness!$E$145,Element_Stiffness!X166,0)),IF(Element_Stiffness!$E$145=7,IF(2=Element_Stiffness!$C$145,Element_Stiffness!R172,IF(2=Element_Stiffness!$E$145,Element_Stiffness!X172,0)),0)),0)+IF(Element_Stiffness!$C$181,IF(Element_Stiffness!$C$180=7,IF(2=Element_Stiffness!$C$180,Element_Stiffness!R201,IF(2=Element_Stiffness!$E$180,Element_Stiffness!X201,0)),IF(Element_Stiffness!$E$180=7,IF(2=Element_Stiffness!$C$180,Element_Stiffness!R207,IF(2=Element_Stiffness!$E$180,Element_Stiffness!X207,0)),0)),0)+IF(Element_Stiffness!$C$216,IF(Element_Stiffness!$C$215=7,IF(2=Element_Stiffness!$C$215,Element_Stiffness!R236,IF(2=Element_Stiffness!$E$215,Element_Stiffness!X236,0)),IF(Element_Stiffness!$E$215=7,IF(2=Element_Stiffness!$C$215,Element_Stiffness!R242,IF(2=Element_Stiffness!$E$215,Element_Stiffness!X242,0)),0)),0)</f>
        <v/>
      </c>
      <c r="R47" s="21">
        <f>IF(Element_Stiffness!$C$6,IF(Element_Stiffness!$C$5=7,IF(2=Element_Stiffness!$C$5,Element_Stiffness!S26,IF(2=Element_Stiffness!$E$5,Element_Stiffness!Y26,0)),IF(Element_Stiffness!$E$5=7,IF(2=Element_Stiffness!$C$5,Element_Stiffness!S32,IF(2=Element_Stiffness!$E$5,Element_Stiffness!Y32,0)),0)),0)+IF(Element_Stiffness!$C$41,IF(Element_Stiffness!$C$40=7,IF(2=Element_Stiffness!$C$40,Element_Stiffness!S61,IF(2=Element_Stiffness!$E$40,Element_Stiffness!Y61,0)),IF(Element_Stiffness!$E$40=7,IF(2=Element_Stiffness!$C$40,Element_Stiffness!S67,IF(2=Element_Stiffness!$E$40,Element_Stiffness!Y67,0)),0)),0)+IF(Element_Stiffness!$C$76,IF(Element_Stiffness!$C$75=7,IF(2=Element_Stiffness!$C$75,Element_Stiffness!S96,IF(2=Element_Stiffness!$E$75,Element_Stiffness!Y96,0)),IF(Element_Stiffness!$E$75=7,IF(2=Element_Stiffness!$C$75,Element_Stiffness!S102,IF(2=Element_Stiffness!$E$75,Element_Stiffness!Y102,0)),0)),0)+IF(Element_Stiffness!$C$111,IF(Element_Stiffness!$C$110=7,IF(2=Element_Stiffness!$C$110,Element_Stiffness!S131,IF(2=Element_Stiffness!$E$110,Element_Stiffness!Y131,0)),IF(Element_Stiffness!$E$110=7,IF(2=Element_Stiffness!$C$110,Element_Stiffness!S137,IF(2=Element_Stiffness!$E$110,Element_Stiffness!Y137,0)),0)),0)+IF(Element_Stiffness!$C$146,IF(Element_Stiffness!$C$145=7,IF(2=Element_Stiffness!$C$145,Element_Stiffness!S166,IF(2=Element_Stiffness!$E$145,Element_Stiffness!Y166,0)),IF(Element_Stiffness!$E$145=7,IF(2=Element_Stiffness!$C$145,Element_Stiffness!S172,IF(2=Element_Stiffness!$E$145,Element_Stiffness!Y172,0)),0)),0)+IF(Element_Stiffness!$C$181,IF(Element_Stiffness!$C$180=7,IF(2=Element_Stiffness!$C$180,Element_Stiffness!S201,IF(2=Element_Stiffness!$E$180,Element_Stiffness!Y201,0)),IF(Element_Stiffness!$E$180=7,IF(2=Element_Stiffness!$C$180,Element_Stiffness!S207,IF(2=Element_Stiffness!$E$180,Element_Stiffness!Y207,0)),0)),0)+IF(Element_Stiffness!$C$216,IF(Element_Stiffness!$C$215=7,IF(2=Element_Stiffness!$C$215,Element_Stiffness!S236,IF(2=Element_Stiffness!$E$215,Element_Stiffness!Y236,0)),IF(Element_Stiffness!$E$215=7,IF(2=Element_Stiffness!$C$215,Element_Stiffness!S242,IF(2=Element_Stiffness!$E$215,Element_Stiffness!Y242,0)),0)),0)</f>
        <v/>
      </c>
      <c r="S47" s="21">
        <f>IF(Element_Stiffness!$C$6,IF(Element_Stiffness!$C$5=7,IF(2=Element_Stiffness!$C$5,Element_Stiffness!T26,IF(2=Element_Stiffness!$E$5,Element_Stiffness!Z26,0)),IF(Element_Stiffness!$E$5=7,IF(2=Element_Stiffness!$C$5,Element_Stiffness!T32,IF(2=Element_Stiffness!$E$5,Element_Stiffness!Z32,0)),0)),0)+IF(Element_Stiffness!$C$41,IF(Element_Stiffness!$C$40=7,IF(2=Element_Stiffness!$C$40,Element_Stiffness!T61,IF(2=Element_Stiffness!$E$40,Element_Stiffness!Z61,0)),IF(Element_Stiffness!$E$40=7,IF(2=Element_Stiffness!$C$40,Element_Stiffness!T67,IF(2=Element_Stiffness!$E$40,Element_Stiffness!Z67,0)),0)),0)+IF(Element_Stiffness!$C$76,IF(Element_Stiffness!$C$75=7,IF(2=Element_Stiffness!$C$75,Element_Stiffness!T96,IF(2=Element_Stiffness!$E$75,Element_Stiffness!Z96,0)),IF(Element_Stiffness!$E$75=7,IF(2=Element_Stiffness!$C$75,Element_Stiffness!T102,IF(2=Element_Stiffness!$E$75,Element_Stiffness!Z102,0)),0)),0)+IF(Element_Stiffness!$C$111,IF(Element_Stiffness!$C$110=7,IF(2=Element_Stiffness!$C$110,Element_Stiffness!T131,IF(2=Element_Stiffness!$E$110,Element_Stiffness!Z131,0)),IF(Element_Stiffness!$E$110=7,IF(2=Element_Stiffness!$C$110,Element_Stiffness!T137,IF(2=Element_Stiffness!$E$110,Element_Stiffness!Z137,0)),0)),0)+IF(Element_Stiffness!$C$146,IF(Element_Stiffness!$C$145=7,IF(2=Element_Stiffness!$C$145,Element_Stiffness!T166,IF(2=Element_Stiffness!$E$145,Element_Stiffness!Z166,0)),IF(Element_Stiffness!$E$145=7,IF(2=Element_Stiffness!$C$145,Element_Stiffness!T172,IF(2=Element_Stiffness!$E$145,Element_Stiffness!Z172,0)),0)),0)+IF(Element_Stiffness!$C$181,IF(Element_Stiffness!$C$180=7,IF(2=Element_Stiffness!$C$180,Element_Stiffness!T201,IF(2=Element_Stiffness!$E$180,Element_Stiffness!Z201,0)),IF(Element_Stiffness!$E$180=7,IF(2=Element_Stiffness!$C$180,Element_Stiffness!T207,IF(2=Element_Stiffness!$E$180,Element_Stiffness!Z207,0)),0)),0)+IF(Element_Stiffness!$C$216,IF(Element_Stiffness!$C$215=7,IF(2=Element_Stiffness!$C$215,Element_Stiffness!T236,IF(2=Element_Stiffness!$E$215,Element_Stiffness!Z236,0)),IF(Element_Stiffness!$E$215=7,IF(2=Element_Stiffness!$C$215,Element_Stiffness!T242,IF(2=Element_Stiffness!$E$215,Element_Stiffness!Z242,0)),0)),0)</f>
        <v/>
      </c>
      <c r="T47" s="21">
        <f>IF(Element_Stiffness!$C$6,IF(Element_Stiffness!$C$5=7,IF(2=Element_Stiffness!$C$5,Element_Stiffness!U26,IF(2=Element_Stiffness!$E$5,Element_Stiffness!AA26,0)),IF(Element_Stiffness!$E$5=7,IF(2=Element_Stiffness!$C$5,Element_Stiffness!U32,IF(2=Element_Stiffness!$E$5,Element_Stiffness!AA32,0)),0)),0)+IF(Element_Stiffness!$C$41,IF(Element_Stiffness!$C$40=7,IF(2=Element_Stiffness!$C$40,Element_Stiffness!U61,IF(2=Element_Stiffness!$E$40,Element_Stiffness!AA61,0)),IF(Element_Stiffness!$E$40=7,IF(2=Element_Stiffness!$C$40,Element_Stiffness!U67,IF(2=Element_Stiffness!$E$40,Element_Stiffness!AA67,0)),0)),0)+IF(Element_Stiffness!$C$76,IF(Element_Stiffness!$C$75=7,IF(2=Element_Stiffness!$C$75,Element_Stiffness!U96,IF(2=Element_Stiffness!$E$75,Element_Stiffness!AA96,0)),IF(Element_Stiffness!$E$75=7,IF(2=Element_Stiffness!$C$75,Element_Stiffness!U102,IF(2=Element_Stiffness!$E$75,Element_Stiffness!AA102,0)),0)),0)+IF(Element_Stiffness!$C$111,IF(Element_Stiffness!$C$110=7,IF(2=Element_Stiffness!$C$110,Element_Stiffness!U131,IF(2=Element_Stiffness!$E$110,Element_Stiffness!AA131,0)),IF(Element_Stiffness!$E$110=7,IF(2=Element_Stiffness!$C$110,Element_Stiffness!U137,IF(2=Element_Stiffness!$E$110,Element_Stiffness!AA137,0)),0)),0)+IF(Element_Stiffness!$C$146,IF(Element_Stiffness!$C$145=7,IF(2=Element_Stiffness!$C$145,Element_Stiffness!U166,IF(2=Element_Stiffness!$E$145,Element_Stiffness!AA166,0)),IF(Element_Stiffness!$E$145=7,IF(2=Element_Stiffness!$C$145,Element_Stiffness!U172,IF(2=Element_Stiffness!$E$145,Element_Stiffness!AA172,0)),0)),0)+IF(Element_Stiffness!$C$181,IF(Element_Stiffness!$C$180=7,IF(2=Element_Stiffness!$C$180,Element_Stiffness!U201,IF(2=Element_Stiffness!$E$180,Element_Stiffness!AA201,0)),IF(Element_Stiffness!$E$180=7,IF(2=Element_Stiffness!$C$180,Element_Stiffness!U207,IF(2=Element_Stiffness!$E$180,Element_Stiffness!AA207,0)),0)),0)+IF(Element_Stiffness!$C$216,IF(Element_Stiffness!$C$215=7,IF(2=Element_Stiffness!$C$215,Element_Stiffness!U236,IF(2=Element_Stiffness!$E$215,Element_Stiffness!AA236,0)),IF(Element_Stiffness!$E$215=7,IF(2=Element_Stiffness!$C$215,Element_Stiffness!U242,IF(2=Element_Stiffness!$E$215,Element_Stiffness!AA242,0)),0)),0)</f>
        <v/>
      </c>
      <c r="U47" s="21">
        <f>IF(Element_Stiffness!$C$6,IF(Element_Stiffness!$C$5=7,IF(3=Element_Stiffness!$C$5,Element_Stiffness!P26,IF(3=Element_Stiffness!$E$5,Element_Stiffness!V26,0)),IF(Element_Stiffness!$E$5=7,IF(3=Element_Stiffness!$C$5,Element_Stiffness!P32,IF(3=Element_Stiffness!$E$5,Element_Stiffness!V32,0)),0)),0)+IF(Element_Stiffness!$C$41,IF(Element_Stiffness!$C$40=7,IF(3=Element_Stiffness!$C$40,Element_Stiffness!P61,IF(3=Element_Stiffness!$E$40,Element_Stiffness!V61,0)),IF(Element_Stiffness!$E$40=7,IF(3=Element_Stiffness!$C$40,Element_Stiffness!P67,IF(3=Element_Stiffness!$E$40,Element_Stiffness!V67,0)),0)),0)+IF(Element_Stiffness!$C$76,IF(Element_Stiffness!$C$75=7,IF(3=Element_Stiffness!$C$75,Element_Stiffness!P96,IF(3=Element_Stiffness!$E$75,Element_Stiffness!V96,0)),IF(Element_Stiffness!$E$75=7,IF(3=Element_Stiffness!$C$75,Element_Stiffness!P102,IF(3=Element_Stiffness!$E$75,Element_Stiffness!V102,0)),0)),0)+IF(Element_Stiffness!$C$111,IF(Element_Stiffness!$C$110=7,IF(3=Element_Stiffness!$C$110,Element_Stiffness!P131,IF(3=Element_Stiffness!$E$110,Element_Stiffness!V131,0)),IF(Element_Stiffness!$E$110=7,IF(3=Element_Stiffness!$C$110,Element_Stiffness!P137,IF(3=Element_Stiffness!$E$110,Element_Stiffness!V137,0)),0)),0)+IF(Element_Stiffness!$C$146,IF(Element_Stiffness!$C$145=7,IF(3=Element_Stiffness!$C$145,Element_Stiffness!P166,IF(3=Element_Stiffness!$E$145,Element_Stiffness!V166,0)),IF(Element_Stiffness!$E$145=7,IF(3=Element_Stiffness!$C$145,Element_Stiffness!P172,IF(3=Element_Stiffness!$E$145,Element_Stiffness!V172,0)),0)),0)+IF(Element_Stiffness!$C$181,IF(Element_Stiffness!$C$180=7,IF(3=Element_Stiffness!$C$180,Element_Stiffness!P201,IF(3=Element_Stiffness!$E$180,Element_Stiffness!V201,0)),IF(Element_Stiffness!$E$180=7,IF(3=Element_Stiffness!$C$180,Element_Stiffness!P207,IF(3=Element_Stiffness!$E$180,Element_Stiffness!V207,0)),0)),0)+IF(Element_Stiffness!$C$216,IF(Element_Stiffness!$C$215=7,IF(3=Element_Stiffness!$C$215,Element_Stiffness!P236,IF(3=Element_Stiffness!$E$215,Element_Stiffness!V236,0)),IF(Element_Stiffness!$E$215=7,IF(3=Element_Stiffness!$C$215,Element_Stiffness!P242,IF(3=Element_Stiffness!$E$215,Element_Stiffness!V242,0)),0)),0)</f>
        <v/>
      </c>
      <c r="V47" s="21">
        <f>IF(Element_Stiffness!$C$6,IF(Element_Stiffness!$C$5=7,IF(3=Element_Stiffness!$C$5,Element_Stiffness!Q26,IF(3=Element_Stiffness!$E$5,Element_Stiffness!W26,0)),IF(Element_Stiffness!$E$5=7,IF(3=Element_Stiffness!$C$5,Element_Stiffness!Q32,IF(3=Element_Stiffness!$E$5,Element_Stiffness!W32,0)),0)),0)+IF(Element_Stiffness!$C$41,IF(Element_Stiffness!$C$40=7,IF(3=Element_Stiffness!$C$40,Element_Stiffness!Q61,IF(3=Element_Stiffness!$E$40,Element_Stiffness!W61,0)),IF(Element_Stiffness!$E$40=7,IF(3=Element_Stiffness!$C$40,Element_Stiffness!Q67,IF(3=Element_Stiffness!$E$40,Element_Stiffness!W67,0)),0)),0)+IF(Element_Stiffness!$C$76,IF(Element_Stiffness!$C$75=7,IF(3=Element_Stiffness!$C$75,Element_Stiffness!Q96,IF(3=Element_Stiffness!$E$75,Element_Stiffness!W96,0)),IF(Element_Stiffness!$E$75=7,IF(3=Element_Stiffness!$C$75,Element_Stiffness!Q102,IF(3=Element_Stiffness!$E$75,Element_Stiffness!W102,0)),0)),0)+IF(Element_Stiffness!$C$111,IF(Element_Stiffness!$C$110=7,IF(3=Element_Stiffness!$C$110,Element_Stiffness!Q131,IF(3=Element_Stiffness!$E$110,Element_Stiffness!W131,0)),IF(Element_Stiffness!$E$110=7,IF(3=Element_Stiffness!$C$110,Element_Stiffness!Q137,IF(3=Element_Stiffness!$E$110,Element_Stiffness!W137,0)),0)),0)+IF(Element_Stiffness!$C$146,IF(Element_Stiffness!$C$145=7,IF(3=Element_Stiffness!$C$145,Element_Stiffness!Q166,IF(3=Element_Stiffness!$E$145,Element_Stiffness!W166,0)),IF(Element_Stiffness!$E$145=7,IF(3=Element_Stiffness!$C$145,Element_Stiffness!Q172,IF(3=Element_Stiffness!$E$145,Element_Stiffness!W172,0)),0)),0)+IF(Element_Stiffness!$C$181,IF(Element_Stiffness!$C$180=7,IF(3=Element_Stiffness!$C$180,Element_Stiffness!Q201,IF(3=Element_Stiffness!$E$180,Element_Stiffness!W201,0)),IF(Element_Stiffness!$E$180=7,IF(3=Element_Stiffness!$C$180,Element_Stiffness!Q207,IF(3=Element_Stiffness!$E$180,Element_Stiffness!W207,0)),0)),0)+IF(Element_Stiffness!$C$216,IF(Element_Stiffness!$C$215=7,IF(3=Element_Stiffness!$C$215,Element_Stiffness!Q236,IF(3=Element_Stiffness!$E$215,Element_Stiffness!W236,0)),IF(Element_Stiffness!$E$215=7,IF(3=Element_Stiffness!$C$215,Element_Stiffness!Q242,IF(3=Element_Stiffness!$E$215,Element_Stiffness!W242,0)),0)),0)</f>
        <v/>
      </c>
      <c r="W47" s="21">
        <f>IF(Element_Stiffness!$C$6,IF(Element_Stiffness!$C$5=7,IF(3=Element_Stiffness!$C$5,Element_Stiffness!R26,IF(3=Element_Stiffness!$E$5,Element_Stiffness!X26,0)),IF(Element_Stiffness!$E$5=7,IF(3=Element_Stiffness!$C$5,Element_Stiffness!R32,IF(3=Element_Stiffness!$E$5,Element_Stiffness!X32,0)),0)),0)+IF(Element_Stiffness!$C$41,IF(Element_Stiffness!$C$40=7,IF(3=Element_Stiffness!$C$40,Element_Stiffness!R61,IF(3=Element_Stiffness!$E$40,Element_Stiffness!X61,0)),IF(Element_Stiffness!$E$40=7,IF(3=Element_Stiffness!$C$40,Element_Stiffness!R67,IF(3=Element_Stiffness!$E$40,Element_Stiffness!X67,0)),0)),0)+IF(Element_Stiffness!$C$76,IF(Element_Stiffness!$C$75=7,IF(3=Element_Stiffness!$C$75,Element_Stiffness!R96,IF(3=Element_Stiffness!$E$75,Element_Stiffness!X96,0)),IF(Element_Stiffness!$E$75=7,IF(3=Element_Stiffness!$C$75,Element_Stiffness!R102,IF(3=Element_Stiffness!$E$75,Element_Stiffness!X102,0)),0)),0)+IF(Element_Stiffness!$C$111,IF(Element_Stiffness!$C$110=7,IF(3=Element_Stiffness!$C$110,Element_Stiffness!R131,IF(3=Element_Stiffness!$E$110,Element_Stiffness!X131,0)),IF(Element_Stiffness!$E$110=7,IF(3=Element_Stiffness!$C$110,Element_Stiffness!R137,IF(3=Element_Stiffness!$E$110,Element_Stiffness!X137,0)),0)),0)+IF(Element_Stiffness!$C$146,IF(Element_Stiffness!$C$145=7,IF(3=Element_Stiffness!$C$145,Element_Stiffness!R166,IF(3=Element_Stiffness!$E$145,Element_Stiffness!X166,0)),IF(Element_Stiffness!$E$145=7,IF(3=Element_Stiffness!$C$145,Element_Stiffness!R172,IF(3=Element_Stiffness!$E$145,Element_Stiffness!X172,0)),0)),0)+IF(Element_Stiffness!$C$181,IF(Element_Stiffness!$C$180=7,IF(3=Element_Stiffness!$C$180,Element_Stiffness!R201,IF(3=Element_Stiffness!$E$180,Element_Stiffness!X201,0)),IF(Element_Stiffness!$E$180=7,IF(3=Element_Stiffness!$C$180,Element_Stiffness!R207,IF(3=Element_Stiffness!$E$180,Element_Stiffness!X207,0)),0)),0)+IF(Element_Stiffness!$C$216,IF(Element_Stiffness!$C$215=7,IF(3=Element_Stiffness!$C$215,Element_Stiffness!R236,IF(3=Element_Stiffness!$E$215,Element_Stiffness!X236,0)),IF(Element_Stiffness!$E$215=7,IF(3=Element_Stiffness!$C$215,Element_Stiffness!R242,IF(3=Element_Stiffness!$E$215,Element_Stiffness!X242,0)),0)),0)</f>
        <v/>
      </c>
      <c r="X47" s="21">
        <f>IF(Element_Stiffness!$C$6,IF(Element_Stiffness!$C$5=7,IF(3=Element_Stiffness!$C$5,Element_Stiffness!S26,IF(3=Element_Stiffness!$E$5,Element_Stiffness!Y26,0)),IF(Element_Stiffness!$E$5=7,IF(3=Element_Stiffness!$C$5,Element_Stiffness!S32,IF(3=Element_Stiffness!$E$5,Element_Stiffness!Y32,0)),0)),0)+IF(Element_Stiffness!$C$41,IF(Element_Stiffness!$C$40=7,IF(3=Element_Stiffness!$C$40,Element_Stiffness!S61,IF(3=Element_Stiffness!$E$40,Element_Stiffness!Y61,0)),IF(Element_Stiffness!$E$40=7,IF(3=Element_Stiffness!$C$40,Element_Stiffness!S67,IF(3=Element_Stiffness!$E$40,Element_Stiffness!Y67,0)),0)),0)+IF(Element_Stiffness!$C$76,IF(Element_Stiffness!$C$75=7,IF(3=Element_Stiffness!$C$75,Element_Stiffness!S96,IF(3=Element_Stiffness!$E$75,Element_Stiffness!Y96,0)),IF(Element_Stiffness!$E$75=7,IF(3=Element_Stiffness!$C$75,Element_Stiffness!S102,IF(3=Element_Stiffness!$E$75,Element_Stiffness!Y102,0)),0)),0)+IF(Element_Stiffness!$C$111,IF(Element_Stiffness!$C$110=7,IF(3=Element_Stiffness!$C$110,Element_Stiffness!S131,IF(3=Element_Stiffness!$E$110,Element_Stiffness!Y131,0)),IF(Element_Stiffness!$E$110=7,IF(3=Element_Stiffness!$C$110,Element_Stiffness!S137,IF(3=Element_Stiffness!$E$110,Element_Stiffness!Y137,0)),0)),0)+IF(Element_Stiffness!$C$146,IF(Element_Stiffness!$C$145=7,IF(3=Element_Stiffness!$C$145,Element_Stiffness!S166,IF(3=Element_Stiffness!$E$145,Element_Stiffness!Y166,0)),IF(Element_Stiffness!$E$145=7,IF(3=Element_Stiffness!$C$145,Element_Stiffness!S172,IF(3=Element_Stiffness!$E$145,Element_Stiffness!Y172,0)),0)),0)+IF(Element_Stiffness!$C$181,IF(Element_Stiffness!$C$180=7,IF(3=Element_Stiffness!$C$180,Element_Stiffness!S201,IF(3=Element_Stiffness!$E$180,Element_Stiffness!Y201,0)),IF(Element_Stiffness!$E$180=7,IF(3=Element_Stiffness!$C$180,Element_Stiffness!S207,IF(3=Element_Stiffness!$E$180,Element_Stiffness!Y207,0)),0)),0)+IF(Element_Stiffness!$C$216,IF(Element_Stiffness!$C$215=7,IF(3=Element_Stiffness!$C$215,Element_Stiffness!S236,IF(3=Element_Stiffness!$E$215,Element_Stiffness!Y236,0)),IF(Element_Stiffness!$E$215=7,IF(3=Element_Stiffness!$C$215,Element_Stiffness!S242,IF(3=Element_Stiffness!$E$215,Element_Stiffness!Y242,0)),0)),0)</f>
        <v/>
      </c>
      <c r="Y47" s="21">
        <f>IF(Element_Stiffness!$C$6,IF(Element_Stiffness!$C$5=7,IF(3=Element_Stiffness!$C$5,Element_Stiffness!T26,IF(3=Element_Stiffness!$E$5,Element_Stiffness!Z26,0)),IF(Element_Stiffness!$E$5=7,IF(3=Element_Stiffness!$C$5,Element_Stiffness!T32,IF(3=Element_Stiffness!$E$5,Element_Stiffness!Z32,0)),0)),0)+IF(Element_Stiffness!$C$41,IF(Element_Stiffness!$C$40=7,IF(3=Element_Stiffness!$C$40,Element_Stiffness!T61,IF(3=Element_Stiffness!$E$40,Element_Stiffness!Z61,0)),IF(Element_Stiffness!$E$40=7,IF(3=Element_Stiffness!$C$40,Element_Stiffness!T67,IF(3=Element_Stiffness!$E$40,Element_Stiffness!Z67,0)),0)),0)+IF(Element_Stiffness!$C$76,IF(Element_Stiffness!$C$75=7,IF(3=Element_Stiffness!$C$75,Element_Stiffness!T96,IF(3=Element_Stiffness!$E$75,Element_Stiffness!Z96,0)),IF(Element_Stiffness!$E$75=7,IF(3=Element_Stiffness!$C$75,Element_Stiffness!T102,IF(3=Element_Stiffness!$E$75,Element_Stiffness!Z102,0)),0)),0)+IF(Element_Stiffness!$C$111,IF(Element_Stiffness!$C$110=7,IF(3=Element_Stiffness!$C$110,Element_Stiffness!T131,IF(3=Element_Stiffness!$E$110,Element_Stiffness!Z131,0)),IF(Element_Stiffness!$E$110=7,IF(3=Element_Stiffness!$C$110,Element_Stiffness!T137,IF(3=Element_Stiffness!$E$110,Element_Stiffness!Z137,0)),0)),0)+IF(Element_Stiffness!$C$146,IF(Element_Stiffness!$C$145=7,IF(3=Element_Stiffness!$C$145,Element_Stiffness!T166,IF(3=Element_Stiffness!$E$145,Element_Stiffness!Z166,0)),IF(Element_Stiffness!$E$145=7,IF(3=Element_Stiffness!$C$145,Element_Stiffness!T172,IF(3=Element_Stiffness!$E$145,Element_Stiffness!Z172,0)),0)),0)+IF(Element_Stiffness!$C$181,IF(Element_Stiffness!$C$180=7,IF(3=Element_Stiffness!$C$180,Element_Stiffness!T201,IF(3=Element_Stiffness!$E$180,Element_Stiffness!Z201,0)),IF(Element_Stiffness!$E$180=7,IF(3=Element_Stiffness!$C$180,Element_Stiffness!T207,IF(3=Element_Stiffness!$E$180,Element_Stiffness!Z207,0)),0)),0)+IF(Element_Stiffness!$C$216,IF(Element_Stiffness!$C$215=7,IF(3=Element_Stiffness!$C$215,Element_Stiffness!T236,IF(3=Element_Stiffness!$E$215,Element_Stiffness!Z236,0)),IF(Element_Stiffness!$E$215=7,IF(3=Element_Stiffness!$C$215,Element_Stiffness!T242,IF(3=Element_Stiffness!$E$215,Element_Stiffness!Z242,0)),0)),0)</f>
        <v/>
      </c>
      <c r="Z47" s="21">
        <f>IF(Element_Stiffness!$C$6,IF(Element_Stiffness!$C$5=7,IF(3=Element_Stiffness!$C$5,Element_Stiffness!U26,IF(3=Element_Stiffness!$E$5,Element_Stiffness!AA26,0)),IF(Element_Stiffness!$E$5=7,IF(3=Element_Stiffness!$C$5,Element_Stiffness!U32,IF(3=Element_Stiffness!$E$5,Element_Stiffness!AA32,0)),0)),0)+IF(Element_Stiffness!$C$41,IF(Element_Stiffness!$C$40=7,IF(3=Element_Stiffness!$C$40,Element_Stiffness!U61,IF(3=Element_Stiffness!$E$40,Element_Stiffness!AA61,0)),IF(Element_Stiffness!$E$40=7,IF(3=Element_Stiffness!$C$40,Element_Stiffness!U67,IF(3=Element_Stiffness!$E$40,Element_Stiffness!AA67,0)),0)),0)+IF(Element_Stiffness!$C$76,IF(Element_Stiffness!$C$75=7,IF(3=Element_Stiffness!$C$75,Element_Stiffness!U96,IF(3=Element_Stiffness!$E$75,Element_Stiffness!AA96,0)),IF(Element_Stiffness!$E$75=7,IF(3=Element_Stiffness!$C$75,Element_Stiffness!U102,IF(3=Element_Stiffness!$E$75,Element_Stiffness!AA102,0)),0)),0)+IF(Element_Stiffness!$C$111,IF(Element_Stiffness!$C$110=7,IF(3=Element_Stiffness!$C$110,Element_Stiffness!U131,IF(3=Element_Stiffness!$E$110,Element_Stiffness!AA131,0)),IF(Element_Stiffness!$E$110=7,IF(3=Element_Stiffness!$C$110,Element_Stiffness!U137,IF(3=Element_Stiffness!$E$110,Element_Stiffness!AA137,0)),0)),0)+IF(Element_Stiffness!$C$146,IF(Element_Stiffness!$C$145=7,IF(3=Element_Stiffness!$C$145,Element_Stiffness!U166,IF(3=Element_Stiffness!$E$145,Element_Stiffness!AA166,0)),IF(Element_Stiffness!$E$145=7,IF(3=Element_Stiffness!$C$145,Element_Stiffness!U172,IF(3=Element_Stiffness!$E$145,Element_Stiffness!AA172,0)),0)),0)+IF(Element_Stiffness!$C$181,IF(Element_Stiffness!$C$180=7,IF(3=Element_Stiffness!$C$180,Element_Stiffness!U201,IF(3=Element_Stiffness!$E$180,Element_Stiffness!AA201,0)),IF(Element_Stiffness!$E$180=7,IF(3=Element_Stiffness!$C$180,Element_Stiffness!U207,IF(3=Element_Stiffness!$E$180,Element_Stiffness!AA207,0)),0)),0)+IF(Element_Stiffness!$C$216,IF(Element_Stiffness!$C$215=7,IF(3=Element_Stiffness!$C$215,Element_Stiffness!U236,IF(3=Element_Stiffness!$E$215,Element_Stiffness!AA236,0)),IF(Element_Stiffness!$E$215=7,IF(3=Element_Stiffness!$C$215,Element_Stiffness!U242,IF(3=Element_Stiffness!$E$215,Element_Stiffness!AA242,0)),0)),0)</f>
        <v/>
      </c>
      <c r="AA47" s="21">
        <f>IF(Element_Stiffness!$C$6,IF(Element_Stiffness!$C$5=7,IF(4=Element_Stiffness!$C$5,Element_Stiffness!P26,IF(4=Element_Stiffness!$E$5,Element_Stiffness!V26,0)),IF(Element_Stiffness!$E$5=7,IF(4=Element_Stiffness!$C$5,Element_Stiffness!P32,IF(4=Element_Stiffness!$E$5,Element_Stiffness!V32,0)),0)),0)+IF(Element_Stiffness!$C$41,IF(Element_Stiffness!$C$40=7,IF(4=Element_Stiffness!$C$40,Element_Stiffness!P61,IF(4=Element_Stiffness!$E$40,Element_Stiffness!V61,0)),IF(Element_Stiffness!$E$40=7,IF(4=Element_Stiffness!$C$40,Element_Stiffness!P67,IF(4=Element_Stiffness!$E$40,Element_Stiffness!V67,0)),0)),0)+IF(Element_Stiffness!$C$76,IF(Element_Stiffness!$C$75=7,IF(4=Element_Stiffness!$C$75,Element_Stiffness!P96,IF(4=Element_Stiffness!$E$75,Element_Stiffness!V96,0)),IF(Element_Stiffness!$E$75=7,IF(4=Element_Stiffness!$C$75,Element_Stiffness!P102,IF(4=Element_Stiffness!$E$75,Element_Stiffness!V102,0)),0)),0)+IF(Element_Stiffness!$C$111,IF(Element_Stiffness!$C$110=7,IF(4=Element_Stiffness!$C$110,Element_Stiffness!P131,IF(4=Element_Stiffness!$E$110,Element_Stiffness!V131,0)),IF(Element_Stiffness!$E$110=7,IF(4=Element_Stiffness!$C$110,Element_Stiffness!P137,IF(4=Element_Stiffness!$E$110,Element_Stiffness!V137,0)),0)),0)+IF(Element_Stiffness!$C$146,IF(Element_Stiffness!$C$145=7,IF(4=Element_Stiffness!$C$145,Element_Stiffness!P166,IF(4=Element_Stiffness!$E$145,Element_Stiffness!V166,0)),IF(Element_Stiffness!$E$145=7,IF(4=Element_Stiffness!$C$145,Element_Stiffness!P172,IF(4=Element_Stiffness!$E$145,Element_Stiffness!V172,0)),0)),0)+IF(Element_Stiffness!$C$181,IF(Element_Stiffness!$C$180=7,IF(4=Element_Stiffness!$C$180,Element_Stiffness!P201,IF(4=Element_Stiffness!$E$180,Element_Stiffness!V201,0)),IF(Element_Stiffness!$E$180=7,IF(4=Element_Stiffness!$C$180,Element_Stiffness!P207,IF(4=Element_Stiffness!$E$180,Element_Stiffness!V207,0)),0)),0)+IF(Element_Stiffness!$C$216,IF(Element_Stiffness!$C$215=7,IF(4=Element_Stiffness!$C$215,Element_Stiffness!P236,IF(4=Element_Stiffness!$E$215,Element_Stiffness!V236,0)),IF(Element_Stiffness!$E$215=7,IF(4=Element_Stiffness!$C$215,Element_Stiffness!P242,IF(4=Element_Stiffness!$E$215,Element_Stiffness!V242,0)),0)),0)</f>
        <v/>
      </c>
      <c r="AB47" s="21">
        <f>IF(Element_Stiffness!$C$6,IF(Element_Stiffness!$C$5=7,IF(4=Element_Stiffness!$C$5,Element_Stiffness!Q26,IF(4=Element_Stiffness!$E$5,Element_Stiffness!W26,0)),IF(Element_Stiffness!$E$5=7,IF(4=Element_Stiffness!$C$5,Element_Stiffness!Q32,IF(4=Element_Stiffness!$E$5,Element_Stiffness!W32,0)),0)),0)+IF(Element_Stiffness!$C$41,IF(Element_Stiffness!$C$40=7,IF(4=Element_Stiffness!$C$40,Element_Stiffness!Q61,IF(4=Element_Stiffness!$E$40,Element_Stiffness!W61,0)),IF(Element_Stiffness!$E$40=7,IF(4=Element_Stiffness!$C$40,Element_Stiffness!Q67,IF(4=Element_Stiffness!$E$40,Element_Stiffness!W67,0)),0)),0)+IF(Element_Stiffness!$C$76,IF(Element_Stiffness!$C$75=7,IF(4=Element_Stiffness!$C$75,Element_Stiffness!Q96,IF(4=Element_Stiffness!$E$75,Element_Stiffness!W96,0)),IF(Element_Stiffness!$E$75=7,IF(4=Element_Stiffness!$C$75,Element_Stiffness!Q102,IF(4=Element_Stiffness!$E$75,Element_Stiffness!W102,0)),0)),0)+IF(Element_Stiffness!$C$111,IF(Element_Stiffness!$C$110=7,IF(4=Element_Stiffness!$C$110,Element_Stiffness!Q131,IF(4=Element_Stiffness!$E$110,Element_Stiffness!W131,0)),IF(Element_Stiffness!$E$110=7,IF(4=Element_Stiffness!$C$110,Element_Stiffness!Q137,IF(4=Element_Stiffness!$E$110,Element_Stiffness!W137,0)),0)),0)+IF(Element_Stiffness!$C$146,IF(Element_Stiffness!$C$145=7,IF(4=Element_Stiffness!$C$145,Element_Stiffness!Q166,IF(4=Element_Stiffness!$E$145,Element_Stiffness!W166,0)),IF(Element_Stiffness!$E$145=7,IF(4=Element_Stiffness!$C$145,Element_Stiffness!Q172,IF(4=Element_Stiffness!$E$145,Element_Stiffness!W172,0)),0)),0)+IF(Element_Stiffness!$C$181,IF(Element_Stiffness!$C$180=7,IF(4=Element_Stiffness!$C$180,Element_Stiffness!Q201,IF(4=Element_Stiffness!$E$180,Element_Stiffness!W201,0)),IF(Element_Stiffness!$E$180=7,IF(4=Element_Stiffness!$C$180,Element_Stiffness!Q207,IF(4=Element_Stiffness!$E$180,Element_Stiffness!W207,0)),0)),0)+IF(Element_Stiffness!$C$216,IF(Element_Stiffness!$C$215=7,IF(4=Element_Stiffness!$C$215,Element_Stiffness!Q236,IF(4=Element_Stiffness!$E$215,Element_Stiffness!W236,0)),IF(Element_Stiffness!$E$215=7,IF(4=Element_Stiffness!$C$215,Element_Stiffness!Q242,IF(4=Element_Stiffness!$E$215,Element_Stiffness!W242,0)),0)),0)</f>
        <v/>
      </c>
      <c r="AC47" s="21">
        <f>IF(Element_Stiffness!$C$6,IF(Element_Stiffness!$C$5=7,IF(4=Element_Stiffness!$C$5,Element_Stiffness!R26,IF(4=Element_Stiffness!$E$5,Element_Stiffness!X26,0)),IF(Element_Stiffness!$E$5=7,IF(4=Element_Stiffness!$C$5,Element_Stiffness!R32,IF(4=Element_Stiffness!$E$5,Element_Stiffness!X32,0)),0)),0)+IF(Element_Stiffness!$C$41,IF(Element_Stiffness!$C$40=7,IF(4=Element_Stiffness!$C$40,Element_Stiffness!R61,IF(4=Element_Stiffness!$E$40,Element_Stiffness!X61,0)),IF(Element_Stiffness!$E$40=7,IF(4=Element_Stiffness!$C$40,Element_Stiffness!R67,IF(4=Element_Stiffness!$E$40,Element_Stiffness!X67,0)),0)),0)+IF(Element_Stiffness!$C$76,IF(Element_Stiffness!$C$75=7,IF(4=Element_Stiffness!$C$75,Element_Stiffness!R96,IF(4=Element_Stiffness!$E$75,Element_Stiffness!X96,0)),IF(Element_Stiffness!$E$75=7,IF(4=Element_Stiffness!$C$75,Element_Stiffness!R102,IF(4=Element_Stiffness!$E$75,Element_Stiffness!X102,0)),0)),0)+IF(Element_Stiffness!$C$111,IF(Element_Stiffness!$C$110=7,IF(4=Element_Stiffness!$C$110,Element_Stiffness!R131,IF(4=Element_Stiffness!$E$110,Element_Stiffness!X131,0)),IF(Element_Stiffness!$E$110=7,IF(4=Element_Stiffness!$C$110,Element_Stiffness!R137,IF(4=Element_Stiffness!$E$110,Element_Stiffness!X137,0)),0)),0)+IF(Element_Stiffness!$C$146,IF(Element_Stiffness!$C$145=7,IF(4=Element_Stiffness!$C$145,Element_Stiffness!R166,IF(4=Element_Stiffness!$E$145,Element_Stiffness!X166,0)),IF(Element_Stiffness!$E$145=7,IF(4=Element_Stiffness!$C$145,Element_Stiffness!R172,IF(4=Element_Stiffness!$E$145,Element_Stiffness!X172,0)),0)),0)+IF(Element_Stiffness!$C$181,IF(Element_Stiffness!$C$180=7,IF(4=Element_Stiffness!$C$180,Element_Stiffness!R201,IF(4=Element_Stiffness!$E$180,Element_Stiffness!X201,0)),IF(Element_Stiffness!$E$180=7,IF(4=Element_Stiffness!$C$180,Element_Stiffness!R207,IF(4=Element_Stiffness!$E$180,Element_Stiffness!X207,0)),0)),0)+IF(Element_Stiffness!$C$216,IF(Element_Stiffness!$C$215=7,IF(4=Element_Stiffness!$C$215,Element_Stiffness!R236,IF(4=Element_Stiffness!$E$215,Element_Stiffness!X236,0)),IF(Element_Stiffness!$E$215=7,IF(4=Element_Stiffness!$C$215,Element_Stiffness!R242,IF(4=Element_Stiffness!$E$215,Element_Stiffness!X242,0)),0)),0)</f>
        <v/>
      </c>
      <c r="AD47" s="21">
        <f>IF(Element_Stiffness!$C$6,IF(Element_Stiffness!$C$5=7,IF(4=Element_Stiffness!$C$5,Element_Stiffness!S26,IF(4=Element_Stiffness!$E$5,Element_Stiffness!Y26,0)),IF(Element_Stiffness!$E$5=7,IF(4=Element_Stiffness!$C$5,Element_Stiffness!S32,IF(4=Element_Stiffness!$E$5,Element_Stiffness!Y32,0)),0)),0)+IF(Element_Stiffness!$C$41,IF(Element_Stiffness!$C$40=7,IF(4=Element_Stiffness!$C$40,Element_Stiffness!S61,IF(4=Element_Stiffness!$E$40,Element_Stiffness!Y61,0)),IF(Element_Stiffness!$E$40=7,IF(4=Element_Stiffness!$C$40,Element_Stiffness!S67,IF(4=Element_Stiffness!$E$40,Element_Stiffness!Y67,0)),0)),0)+IF(Element_Stiffness!$C$76,IF(Element_Stiffness!$C$75=7,IF(4=Element_Stiffness!$C$75,Element_Stiffness!S96,IF(4=Element_Stiffness!$E$75,Element_Stiffness!Y96,0)),IF(Element_Stiffness!$E$75=7,IF(4=Element_Stiffness!$C$75,Element_Stiffness!S102,IF(4=Element_Stiffness!$E$75,Element_Stiffness!Y102,0)),0)),0)+IF(Element_Stiffness!$C$111,IF(Element_Stiffness!$C$110=7,IF(4=Element_Stiffness!$C$110,Element_Stiffness!S131,IF(4=Element_Stiffness!$E$110,Element_Stiffness!Y131,0)),IF(Element_Stiffness!$E$110=7,IF(4=Element_Stiffness!$C$110,Element_Stiffness!S137,IF(4=Element_Stiffness!$E$110,Element_Stiffness!Y137,0)),0)),0)+IF(Element_Stiffness!$C$146,IF(Element_Stiffness!$C$145=7,IF(4=Element_Stiffness!$C$145,Element_Stiffness!S166,IF(4=Element_Stiffness!$E$145,Element_Stiffness!Y166,0)),IF(Element_Stiffness!$E$145=7,IF(4=Element_Stiffness!$C$145,Element_Stiffness!S172,IF(4=Element_Stiffness!$E$145,Element_Stiffness!Y172,0)),0)),0)+IF(Element_Stiffness!$C$181,IF(Element_Stiffness!$C$180=7,IF(4=Element_Stiffness!$C$180,Element_Stiffness!S201,IF(4=Element_Stiffness!$E$180,Element_Stiffness!Y201,0)),IF(Element_Stiffness!$E$180=7,IF(4=Element_Stiffness!$C$180,Element_Stiffness!S207,IF(4=Element_Stiffness!$E$180,Element_Stiffness!Y207,0)),0)),0)+IF(Element_Stiffness!$C$216,IF(Element_Stiffness!$C$215=7,IF(4=Element_Stiffness!$C$215,Element_Stiffness!S236,IF(4=Element_Stiffness!$E$215,Element_Stiffness!Y236,0)),IF(Element_Stiffness!$E$215=7,IF(4=Element_Stiffness!$C$215,Element_Stiffness!S242,IF(4=Element_Stiffness!$E$215,Element_Stiffness!Y242,0)),0)),0)</f>
        <v/>
      </c>
      <c r="AE47" s="21">
        <f>IF(Element_Stiffness!$C$6,IF(Element_Stiffness!$C$5=7,IF(4=Element_Stiffness!$C$5,Element_Stiffness!T26,IF(4=Element_Stiffness!$E$5,Element_Stiffness!Z26,0)),IF(Element_Stiffness!$E$5=7,IF(4=Element_Stiffness!$C$5,Element_Stiffness!T32,IF(4=Element_Stiffness!$E$5,Element_Stiffness!Z32,0)),0)),0)+IF(Element_Stiffness!$C$41,IF(Element_Stiffness!$C$40=7,IF(4=Element_Stiffness!$C$40,Element_Stiffness!T61,IF(4=Element_Stiffness!$E$40,Element_Stiffness!Z61,0)),IF(Element_Stiffness!$E$40=7,IF(4=Element_Stiffness!$C$40,Element_Stiffness!T67,IF(4=Element_Stiffness!$E$40,Element_Stiffness!Z67,0)),0)),0)+IF(Element_Stiffness!$C$76,IF(Element_Stiffness!$C$75=7,IF(4=Element_Stiffness!$C$75,Element_Stiffness!T96,IF(4=Element_Stiffness!$E$75,Element_Stiffness!Z96,0)),IF(Element_Stiffness!$E$75=7,IF(4=Element_Stiffness!$C$75,Element_Stiffness!T102,IF(4=Element_Stiffness!$E$75,Element_Stiffness!Z102,0)),0)),0)+IF(Element_Stiffness!$C$111,IF(Element_Stiffness!$C$110=7,IF(4=Element_Stiffness!$C$110,Element_Stiffness!T131,IF(4=Element_Stiffness!$E$110,Element_Stiffness!Z131,0)),IF(Element_Stiffness!$E$110=7,IF(4=Element_Stiffness!$C$110,Element_Stiffness!T137,IF(4=Element_Stiffness!$E$110,Element_Stiffness!Z137,0)),0)),0)+IF(Element_Stiffness!$C$146,IF(Element_Stiffness!$C$145=7,IF(4=Element_Stiffness!$C$145,Element_Stiffness!T166,IF(4=Element_Stiffness!$E$145,Element_Stiffness!Z166,0)),IF(Element_Stiffness!$E$145=7,IF(4=Element_Stiffness!$C$145,Element_Stiffness!T172,IF(4=Element_Stiffness!$E$145,Element_Stiffness!Z172,0)),0)),0)+IF(Element_Stiffness!$C$181,IF(Element_Stiffness!$C$180=7,IF(4=Element_Stiffness!$C$180,Element_Stiffness!T201,IF(4=Element_Stiffness!$E$180,Element_Stiffness!Z201,0)),IF(Element_Stiffness!$E$180=7,IF(4=Element_Stiffness!$C$180,Element_Stiffness!T207,IF(4=Element_Stiffness!$E$180,Element_Stiffness!Z207,0)),0)),0)+IF(Element_Stiffness!$C$216,IF(Element_Stiffness!$C$215=7,IF(4=Element_Stiffness!$C$215,Element_Stiffness!T236,IF(4=Element_Stiffness!$E$215,Element_Stiffness!Z236,0)),IF(Element_Stiffness!$E$215=7,IF(4=Element_Stiffness!$C$215,Element_Stiffness!T242,IF(4=Element_Stiffness!$E$215,Element_Stiffness!Z242,0)),0)),0)</f>
        <v/>
      </c>
      <c r="AF47" s="21">
        <f>IF(Element_Stiffness!$C$6,IF(Element_Stiffness!$C$5=7,IF(4=Element_Stiffness!$C$5,Element_Stiffness!U26,IF(4=Element_Stiffness!$E$5,Element_Stiffness!AA26,0)),IF(Element_Stiffness!$E$5=7,IF(4=Element_Stiffness!$C$5,Element_Stiffness!U32,IF(4=Element_Stiffness!$E$5,Element_Stiffness!AA32,0)),0)),0)+IF(Element_Stiffness!$C$41,IF(Element_Stiffness!$C$40=7,IF(4=Element_Stiffness!$C$40,Element_Stiffness!U61,IF(4=Element_Stiffness!$E$40,Element_Stiffness!AA61,0)),IF(Element_Stiffness!$E$40=7,IF(4=Element_Stiffness!$C$40,Element_Stiffness!U67,IF(4=Element_Stiffness!$E$40,Element_Stiffness!AA67,0)),0)),0)+IF(Element_Stiffness!$C$76,IF(Element_Stiffness!$C$75=7,IF(4=Element_Stiffness!$C$75,Element_Stiffness!U96,IF(4=Element_Stiffness!$E$75,Element_Stiffness!AA96,0)),IF(Element_Stiffness!$E$75=7,IF(4=Element_Stiffness!$C$75,Element_Stiffness!U102,IF(4=Element_Stiffness!$E$75,Element_Stiffness!AA102,0)),0)),0)+IF(Element_Stiffness!$C$111,IF(Element_Stiffness!$C$110=7,IF(4=Element_Stiffness!$C$110,Element_Stiffness!U131,IF(4=Element_Stiffness!$E$110,Element_Stiffness!AA131,0)),IF(Element_Stiffness!$E$110=7,IF(4=Element_Stiffness!$C$110,Element_Stiffness!U137,IF(4=Element_Stiffness!$E$110,Element_Stiffness!AA137,0)),0)),0)+IF(Element_Stiffness!$C$146,IF(Element_Stiffness!$C$145=7,IF(4=Element_Stiffness!$C$145,Element_Stiffness!U166,IF(4=Element_Stiffness!$E$145,Element_Stiffness!AA166,0)),IF(Element_Stiffness!$E$145=7,IF(4=Element_Stiffness!$C$145,Element_Stiffness!U172,IF(4=Element_Stiffness!$E$145,Element_Stiffness!AA172,0)),0)),0)+IF(Element_Stiffness!$C$181,IF(Element_Stiffness!$C$180=7,IF(4=Element_Stiffness!$C$180,Element_Stiffness!U201,IF(4=Element_Stiffness!$E$180,Element_Stiffness!AA201,0)),IF(Element_Stiffness!$E$180=7,IF(4=Element_Stiffness!$C$180,Element_Stiffness!U207,IF(4=Element_Stiffness!$E$180,Element_Stiffness!AA207,0)),0)),0)+IF(Element_Stiffness!$C$216,IF(Element_Stiffness!$C$215=7,IF(4=Element_Stiffness!$C$215,Element_Stiffness!U236,IF(4=Element_Stiffness!$E$215,Element_Stiffness!AA236,0)),IF(Element_Stiffness!$E$215=7,IF(4=Element_Stiffness!$C$215,Element_Stiffness!U242,IF(4=Element_Stiffness!$E$215,Element_Stiffness!AA242,0)),0)),0)</f>
        <v/>
      </c>
      <c r="AG47" s="21">
        <f>IF(Element_Stiffness!$C$6,IF(Element_Stiffness!$C$5=7,IF(5=Element_Stiffness!$C$5,Element_Stiffness!P26,IF(5=Element_Stiffness!$E$5,Element_Stiffness!V26,0)),IF(Element_Stiffness!$E$5=7,IF(5=Element_Stiffness!$C$5,Element_Stiffness!P32,IF(5=Element_Stiffness!$E$5,Element_Stiffness!V32,0)),0)),0)+IF(Element_Stiffness!$C$41,IF(Element_Stiffness!$C$40=7,IF(5=Element_Stiffness!$C$40,Element_Stiffness!P61,IF(5=Element_Stiffness!$E$40,Element_Stiffness!V61,0)),IF(Element_Stiffness!$E$40=7,IF(5=Element_Stiffness!$C$40,Element_Stiffness!P67,IF(5=Element_Stiffness!$E$40,Element_Stiffness!V67,0)),0)),0)+IF(Element_Stiffness!$C$76,IF(Element_Stiffness!$C$75=7,IF(5=Element_Stiffness!$C$75,Element_Stiffness!P96,IF(5=Element_Stiffness!$E$75,Element_Stiffness!V96,0)),IF(Element_Stiffness!$E$75=7,IF(5=Element_Stiffness!$C$75,Element_Stiffness!P102,IF(5=Element_Stiffness!$E$75,Element_Stiffness!V102,0)),0)),0)+IF(Element_Stiffness!$C$111,IF(Element_Stiffness!$C$110=7,IF(5=Element_Stiffness!$C$110,Element_Stiffness!P131,IF(5=Element_Stiffness!$E$110,Element_Stiffness!V131,0)),IF(Element_Stiffness!$E$110=7,IF(5=Element_Stiffness!$C$110,Element_Stiffness!P137,IF(5=Element_Stiffness!$E$110,Element_Stiffness!V137,0)),0)),0)+IF(Element_Stiffness!$C$146,IF(Element_Stiffness!$C$145=7,IF(5=Element_Stiffness!$C$145,Element_Stiffness!P166,IF(5=Element_Stiffness!$E$145,Element_Stiffness!V166,0)),IF(Element_Stiffness!$E$145=7,IF(5=Element_Stiffness!$C$145,Element_Stiffness!P172,IF(5=Element_Stiffness!$E$145,Element_Stiffness!V172,0)),0)),0)+IF(Element_Stiffness!$C$181,IF(Element_Stiffness!$C$180=7,IF(5=Element_Stiffness!$C$180,Element_Stiffness!P201,IF(5=Element_Stiffness!$E$180,Element_Stiffness!V201,0)),IF(Element_Stiffness!$E$180=7,IF(5=Element_Stiffness!$C$180,Element_Stiffness!P207,IF(5=Element_Stiffness!$E$180,Element_Stiffness!V207,0)),0)),0)+IF(Element_Stiffness!$C$216,IF(Element_Stiffness!$C$215=7,IF(5=Element_Stiffness!$C$215,Element_Stiffness!P236,IF(5=Element_Stiffness!$E$215,Element_Stiffness!V236,0)),IF(Element_Stiffness!$E$215=7,IF(5=Element_Stiffness!$C$215,Element_Stiffness!P242,IF(5=Element_Stiffness!$E$215,Element_Stiffness!V242,0)),0)),0)</f>
        <v/>
      </c>
      <c r="AH47" s="21">
        <f>IF(Element_Stiffness!$C$6,IF(Element_Stiffness!$C$5=7,IF(5=Element_Stiffness!$C$5,Element_Stiffness!Q26,IF(5=Element_Stiffness!$E$5,Element_Stiffness!W26,0)),IF(Element_Stiffness!$E$5=7,IF(5=Element_Stiffness!$C$5,Element_Stiffness!Q32,IF(5=Element_Stiffness!$E$5,Element_Stiffness!W32,0)),0)),0)+IF(Element_Stiffness!$C$41,IF(Element_Stiffness!$C$40=7,IF(5=Element_Stiffness!$C$40,Element_Stiffness!Q61,IF(5=Element_Stiffness!$E$40,Element_Stiffness!W61,0)),IF(Element_Stiffness!$E$40=7,IF(5=Element_Stiffness!$C$40,Element_Stiffness!Q67,IF(5=Element_Stiffness!$E$40,Element_Stiffness!W67,0)),0)),0)+IF(Element_Stiffness!$C$76,IF(Element_Stiffness!$C$75=7,IF(5=Element_Stiffness!$C$75,Element_Stiffness!Q96,IF(5=Element_Stiffness!$E$75,Element_Stiffness!W96,0)),IF(Element_Stiffness!$E$75=7,IF(5=Element_Stiffness!$C$75,Element_Stiffness!Q102,IF(5=Element_Stiffness!$E$75,Element_Stiffness!W102,0)),0)),0)+IF(Element_Stiffness!$C$111,IF(Element_Stiffness!$C$110=7,IF(5=Element_Stiffness!$C$110,Element_Stiffness!Q131,IF(5=Element_Stiffness!$E$110,Element_Stiffness!W131,0)),IF(Element_Stiffness!$E$110=7,IF(5=Element_Stiffness!$C$110,Element_Stiffness!Q137,IF(5=Element_Stiffness!$E$110,Element_Stiffness!W137,0)),0)),0)+IF(Element_Stiffness!$C$146,IF(Element_Stiffness!$C$145=7,IF(5=Element_Stiffness!$C$145,Element_Stiffness!Q166,IF(5=Element_Stiffness!$E$145,Element_Stiffness!W166,0)),IF(Element_Stiffness!$E$145=7,IF(5=Element_Stiffness!$C$145,Element_Stiffness!Q172,IF(5=Element_Stiffness!$E$145,Element_Stiffness!W172,0)),0)),0)+IF(Element_Stiffness!$C$181,IF(Element_Stiffness!$C$180=7,IF(5=Element_Stiffness!$C$180,Element_Stiffness!Q201,IF(5=Element_Stiffness!$E$180,Element_Stiffness!W201,0)),IF(Element_Stiffness!$E$180=7,IF(5=Element_Stiffness!$C$180,Element_Stiffness!Q207,IF(5=Element_Stiffness!$E$180,Element_Stiffness!W207,0)),0)),0)+IF(Element_Stiffness!$C$216,IF(Element_Stiffness!$C$215=7,IF(5=Element_Stiffness!$C$215,Element_Stiffness!Q236,IF(5=Element_Stiffness!$E$215,Element_Stiffness!W236,0)),IF(Element_Stiffness!$E$215=7,IF(5=Element_Stiffness!$C$215,Element_Stiffness!Q242,IF(5=Element_Stiffness!$E$215,Element_Stiffness!W242,0)),0)),0)</f>
        <v/>
      </c>
      <c r="AI47" s="21">
        <f>IF(Element_Stiffness!$C$6,IF(Element_Stiffness!$C$5=7,IF(5=Element_Stiffness!$C$5,Element_Stiffness!R26,IF(5=Element_Stiffness!$E$5,Element_Stiffness!X26,0)),IF(Element_Stiffness!$E$5=7,IF(5=Element_Stiffness!$C$5,Element_Stiffness!R32,IF(5=Element_Stiffness!$E$5,Element_Stiffness!X32,0)),0)),0)+IF(Element_Stiffness!$C$41,IF(Element_Stiffness!$C$40=7,IF(5=Element_Stiffness!$C$40,Element_Stiffness!R61,IF(5=Element_Stiffness!$E$40,Element_Stiffness!X61,0)),IF(Element_Stiffness!$E$40=7,IF(5=Element_Stiffness!$C$40,Element_Stiffness!R67,IF(5=Element_Stiffness!$E$40,Element_Stiffness!X67,0)),0)),0)+IF(Element_Stiffness!$C$76,IF(Element_Stiffness!$C$75=7,IF(5=Element_Stiffness!$C$75,Element_Stiffness!R96,IF(5=Element_Stiffness!$E$75,Element_Stiffness!X96,0)),IF(Element_Stiffness!$E$75=7,IF(5=Element_Stiffness!$C$75,Element_Stiffness!R102,IF(5=Element_Stiffness!$E$75,Element_Stiffness!X102,0)),0)),0)+IF(Element_Stiffness!$C$111,IF(Element_Stiffness!$C$110=7,IF(5=Element_Stiffness!$C$110,Element_Stiffness!R131,IF(5=Element_Stiffness!$E$110,Element_Stiffness!X131,0)),IF(Element_Stiffness!$E$110=7,IF(5=Element_Stiffness!$C$110,Element_Stiffness!R137,IF(5=Element_Stiffness!$E$110,Element_Stiffness!X137,0)),0)),0)+IF(Element_Stiffness!$C$146,IF(Element_Stiffness!$C$145=7,IF(5=Element_Stiffness!$C$145,Element_Stiffness!R166,IF(5=Element_Stiffness!$E$145,Element_Stiffness!X166,0)),IF(Element_Stiffness!$E$145=7,IF(5=Element_Stiffness!$C$145,Element_Stiffness!R172,IF(5=Element_Stiffness!$E$145,Element_Stiffness!X172,0)),0)),0)+IF(Element_Stiffness!$C$181,IF(Element_Stiffness!$C$180=7,IF(5=Element_Stiffness!$C$180,Element_Stiffness!R201,IF(5=Element_Stiffness!$E$180,Element_Stiffness!X201,0)),IF(Element_Stiffness!$E$180=7,IF(5=Element_Stiffness!$C$180,Element_Stiffness!R207,IF(5=Element_Stiffness!$E$180,Element_Stiffness!X207,0)),0)),0)+IF(Element_Stiffness!$C$216,IF(Element_Stiffness!$C$215=7,IF(5=Element_Stiffness!$C$215,Element_Stiffness!R236,IF(5=Element_Stiffness!$E$215,Element_Stiffness!X236,0)),IF(Element_Stiffness!$E$215=7,IF(5=Element_Stiffness!$C$215,Element_Stiffness!R242,IF(5=Element_Stiffness!$E$215,Element_Stiffness!X242,0)),0)),0)</f>
        <v/>
      </c>
      <c r="AJ47" s="21">
        <f>IF(Element_Stiffness!$C$6,IF(Element_Stiffness!$C$5=7,IF(5=Element_Stiffness!$C$5,Element_Stiffness!S26,IF(5=Element_Stiffness!$E$5,Element_Stiffness!Y26,0)),IF(Element_Stiffness!$E$5=7,IF(5=Element_Stiffness!$C$5,Element_Stiffness!S32,IF(5=Element_Stiffness!$E$5,Element_Stiffness!Y32,0)),0)),0)+IF(Element_Stiffness!$C$41,IF(Element_Stiffness!$C$40=7,IF(5=Element_Stiffness!$C$40,Element_Stiffness!S61,IF(5=Element_Stiffness!$E$40,Element_Stiffness!Y61,0)),IF(Element_Stiffness!$E$40=7,IF(5=Element_Stiffness!$C$40,Element_Stiffness!S67,IF(5=Element_Stiffness!$E$40,Element_Stiffness!Y67,0)),0)),0)+IF(Element_Stiffness!$C$76,IF(Element_Stiffness!$C$75=7,IF(5=Element_Stiffness!$C$75,Element_Stiffness!S96,IF(5=Element_Stiffness!$E$75,Element_Stiffness!Y96,0)),IF(Element_Stiffness!$E$75=7,IF(5=Element_Stiffness!$C$75,Element_Stiffness!S102,IF(5=Element_Stiffness!$E$75,Element_Stiffness!Y102,0)),0)),0)+IF(Element_Stiffness!$C$111,IF(Element_Stiffness!$C$110=7,IF(5=Element_Stiffness!$C$110,Element_Stiffness!S131,IF(5=Element_Stiffness!$E$110,Element_Stiffness!Y131,0)),IF(Element_Stiffness!$E$110=7,IF(5=Element_Stiffness!$C$110,Element_Stiffness!S137,IF(5=Element_Stiffness!$E$110,Element_Stiffness!Y137,0)),0)),0)+IF(Element_Stiffness!$C$146,IF(Element_Stiffness!$C$145=7,IF(5=Element_Stiffness!$C$145,Element_Stiffness!S166,IF(5=Element_Stiffness!$E$145,Element_Stiffness!Y166,0)),IF(Element_Stiffness!$E$145=7,IF(5=Element_Stiffness!$C$145,Element_Stiffness!S172,IF(5=Element_Stiffness!$E$145,Element_Stiffness!Y172,0)),0)),0)+IF(Element_Stiffness!$C$181,IF(Element_Stiffness!$C$180=7,IF(5=Element_Stiffness!$C$180,Element_Stiffness!S201,IF(5=Element_Stiffness!$E$180,Element_Stiffness!Y201,0)),IF(Element_Stiffness!$E$180=7,IF(5=Element_Stiffness!$C$180,Element_Stiffness!S207,IF(5=Element_Stiffness!$E$180,Element_Stiffness!Y207,0)),0)),0)+IF(Element_Stiffness!$C$216,IF(Element_Stiffness!$C$215=7,IF(5=Element_Stiffness!$C$215,Element_Stiffness!S236,IF(5=Element_Stiffness!$E$215,Element_Stiffness!Y236,0)),IF(Element_Stiffness!$E$215=7,IF(5=Element_Stiffness!$C$215,Element_Stiffness!S242,IF(5=Element_Stiffness!$E$215,Element_Stiffness!Y242,0)),0)),0)</f>
        <v/>
      </c>
      <c r="AK47" s="21">
        <f>IF(Element_Stiffness!$C$6,IF(Element_Stiffness!$C$5=7,IF(5=Element_Stiffness!$C$5,Element_Stiffness!T26,IF(5=Element_Stiffness!$E$5,Element_Stiffness!Z26,0)),IF(Element_Stiffness!$E$5=7,IF(5=Element_Stiffness!$C$5,Element_Stiffness!T32,IF(5=Element_Stiffness!$E$5,Element_Stiffness!Z32,0)),0)),0)+IF(Element_Stiffness!$C$41,IF(Element_Stiffness!$C$40=7,IF(5=Element_Stiffness!$C$40,Element_Stiffness!T61,IF(5=Element_Stiffness!$E$40,Element_Stiffness!Z61,0)),IF(Element_Stiffness!$E$40=7,IF(5=Element_Stiffness!$C$40,Element_Stiffness!T67,IF(5=Element_Stiffness!$E$40,Element_Stiffness!Z67,0)),0)),0)+IF(Element_Stiffness!$C$76,IF(Element_Stiffness!$C$75=7,IF(5=Element_Stiffness!$C$75,Element_Stiffness!T96,IF(5=Element_Stiffness!$E$75,Element_Stiffness!Z96,0)),IF(Element_Stiffness!$E$75=7,IF(5=Element_Stiffness!$C$75,Element_Stiffness!T102,IF(5=Element_Stiffness!$E$75,Element_Stiffness!Z102,0)),0)),0)+IF(Element_Stiffness!$C$111,IF(Element_Stiffness!$C$110=7,IF(5=Element_Stiffness!$C$110,Element_Stiffness!T131,IF(5=Element_Stiffness!$E$110,Element_Stiffness!Z131,0)),IF(Element_Stiffness!$E$110=7,IF(5=Element_Stiffness!$C$110,Element_Stiffness!T137,IF(5=Element_Stiffness!$E$110,Element_Stiffness!Z137,0)),0)),0)+IF(Element_Stiffness!$C$146,IF(Element_Stiffness!$C$145=7,IF(5=Element_Stiffness!$C$145,Element_Stiffness!T166,IF(5=Element_Stiffness!$E$145,Element_Stiffness!Z166,0)),IF(Element_Stiffness!$E$145=7,IF(5=Element_Stiffness!$C$145,Element_Stiffness!T172,IF(5=Element_Stiffness!$E$145,Element_Stiffness!Z172,0)),0)),0)+IF(Element_Stiffness!$C$181,IF(Element_Stiffness!$C$180=7,IF(5=Element_Stiffness!$C$180,Element_Stiffness!T201,IF(5=Element_Stiffness!$E$180,Element_Stiffness!Z201,0)),IF(Element_Stiffness!$E$180=7,IF(5=Element_Stiffness!$C$180,Element_Stiffness!T207,IF(5=Element_Stiffness!$E$180,Element_Stiffness!Z207,0)),0)),0)+IF(Element_Stiffness!$C$216,IF(Element_Stiffness!$C$215=7,IF(5=Element_Stiffness!$C$215,Element_Stiffness!T236,IF(5=Element_Stiffness!$E$215,Element_Stiffness!Z236,0)),IF(Element_Stiffness!$E$215=7,IF(5=Element_Stiffness!$C$215,Element_Stiffness!T242,IF(5=Element_Stiffness!$E$215,Element_Stiffness!Z242,0)),0)),0)</f>
        <v/>
      </c>
      <c r="AL47" s="21">
        <f>IF(Element_Stiffness!$C$6,IF(Element_Stiffness!$C$5=7,IF(5=Element_Stiffness!$C$5,Element_Stiffness!U26,IF(5=Element_Stiffness!$E$5,Element_Stiffness!AA26,0)),IF(Element_Stiffness!$E$5=7,IF(5=Element_Stiffness!$C$5,Element_Stiffness!U32,IF(5=Element_Stiffness!$E$5,Element_Stiffness!AA32,0)),0)),0)+IF(Element_Stiffness!$C$41,IF(Element_Stiffness!$C$40=7,IF(5=Element_Stiffness!$C$40,Element_Stiffness!U61,IF(5=Element_Stiffness!$E$40,Element_Stiffness!AA61,0)),IF(Element_Stiffness!$E$40=7,IF(5=Element_Stiffness!$C$40,Element_Stiffness!U67,IF(5=Element_Stiffness!$E$40,Element_Stiffness!AA67,0)),0)),0)+IF(Element_Stiffness!$C$76,IF(Element_Stiffness!$C$75=7,IF(5=Element_Stiffness!$C$75,Element_Stiffness!U96,IF(5=Element_Stiffness!$E$75,Element_Stiffness!AA96,0)),IF(Element_Stiffness!$E$75=7,IF(5=Element_Stiffness!$C$75,Element_Stiffness!U102,IF(5=Element_Stiffness!$E$75,Element_Stiffness!AA102,0)),0)),0)+IF(Element_Stiffness!$C$111,IF(Element_Stiffness!$C$110=7,IF(5=Element_Stiffness!$C$110,Element_Stiffness!U131,IF(5=Element_Stiffness!$E$110,Element_Stiffness!AA131,0)),IF(Element_Stiffness!$E$110=7,IF(5=Element_Stiffness!$C$110,Element_Stiffness!U137,IF(5=Element_Stiffness!$E$110,Element_Stiffness!AA137,0)),0)),0)+IF(Element_Stiffness!$C$146,IF(Element_Stiffness!$C$145=7,IF(5=Element_Stiffness!$C$145,Element_Stiffness!U166,IF(5=Element_Stiffness!$E$145,Element_Stiffness!AA166,0)),IF(Element_Stiffness!$E$145=7,IF(5=Element_Stiffness!$C$145,Element_Stiffness!U172,IF(5=Element_Stiffness!$E$145,Element_Stiffness!AA172,0)),0)),0)+IF(Element_Stiffness!$C$181,IF(Element_Stiffness!$C$180=7,IF(5=Element_Stiffness!$C$180,Element_Stiffness!U201,IF(5=Element_Stiffness!$E$180,Element_Stiffness!AA201,0)),IF(Element_Stiffness!$E$180=7,IF(5=Element_Stiffness!$C$180,Element_Stiffness!U207,IF(5=Element_Stiffness!$E$180,Element_Stiffness!AA207,0)),0)),0)+IF(Element_Stiffness!$C$216,IF(Element_Stiffness!$C$215=7,IF(5=Element_Stiffness!$C$215,Element_Stiffness!U236,IF(5=Element_Stiffness!$E$215,Element_Stiffness!AA236,0)),IF(Element_Stiffness!$E$215=7,IF(5=Element_Stiffness!$C$215,Element_Stiffness!U242,IF(5=Element_Stiffness!$E$215,Element_Stiffness!AA242,0)),0)),0)</f>
        <v/>
      </c>
      <c r="AM47" s="21">
        <f>IF(Element_Stiffness!$C$6,IF(Element_Stiffness!$C$5=7,IF(6=Element_Stiffness!$C$5,Element_Stiffness!P26,IF(6=Element_Stiffness!$E$5,Element_Stiffness!V26,0)),IF(Element_Stiffness!$E$5=7,IF(6=Element_Stiffness!$C$5,Element_Stiffness!P32,IF(6=Element_Stiffness!$E$5,Element_Stiffness!V32,0)),0)),0)+IF(Element_Stiffness!$C$41,IF(Element_Stiffness!$C$40=7,IF(6=Element_Stiffness!$C$40,Element_Stiffness!P61,IF(6=Element_Stiffness!$E$40,Element_Stiffness!V61,0)),IF(Element_Stiffness!$E$40=7,IF(6=Element_Stiffness!$C$40,Element_Stiffness!P67,IF(6=Element_Stiffness!$E$40,Element_Stiffness!V67,0)),0)),0)+IF(Element_Stiffness!$C$76,IF(Element_Stiffness!$C$75=7,IF(6=Element_Stiffness!$C$75,Element_Stiffness!P96,IF(6=Element_Stiffness!$E$75,Element_Stiffness!V96,0)),IF(Element_Stiffness!$E$75=7,IF(6=Element_Stiffness!$C$75,Element_Stiffness!P102,IF(6=Element_Stiffness!$E$75,Element_Stiffness!V102,0)),0)),0)+IF(Element_Stiffness!$C$111,IF(Element_Stiffness!$C$110=7,IF(6=Element_Stiffness!$C$110,Element_Stiffness!P131,IF(6=Element_Stiffness!$E$110,Element_Stiffness!V131,0)),IF(Element_Stiffness!$E$110=7,IF(6=Element_Stiffness!$C$110,Element_Stiffness!P137,IF(6=Element_Stiffness!$E$110,Element_Stiffness!V137,0)),0)),0)+IF(Element_Stiffness!$C$146,IF(Element_Stiffness!$C$145=7,IF(6=Element_Stiffness!$C$145,Element_Stiffness!P166,IF(6=Element_Stiffness!$E$145,Element_Stiffness!V166,0)),IF(Element_Stiffness!$E$145=7,IF(6=Element_Stiffness!$C$145,Element_Stiffness!P172,IF(6=Element_Stiffness!$E$145,Element_Stiffness!V172,0)),0)),0)+IF(Element_Stiffness!$C$181,IF(Element_Stiffness!$C$180=7,IF(6=Element_Stiffness!$C$180,Element_Stiffness!P201,IF(6=Element_Stiffness!$E$180,Element_Stiffness!V201,0)),IF(Element_Stiffness!$E$180=7,IF(6=Element_Stiffness!$C$180,Element_Stiffness!P207,IF(6=Element_Stiffness!$E$180,Element_Stiffness!V207,0)),0)),0)+IF(Element_Stiffness!$C$216,IF(Element_Stiffness!$C$215=7,IF(6=Element_Stiffness!$C$215,Element_Stiffness!P236,IF(6=Element_Stiffness!$E$215,Element_Stiffness!V236,0)),IF(Element_Stiffness!$E$215=7,IF(6=Element_Stiffness!$C$215,Element_Stiffness!P242,IF(6=Element_Stiffness!$E$215,Element_Stiffness!V242,0)),0)),0)</f>
        <v/>
      </c>
      <c r="AN47" s="21">
        <f>IF(Element_Stiffness!$C$6,IF(Element_Stiffness!$C$5=7,IF(6=Element_Stiffness!$C$5,Element_Stiffness!Q26,IF(6=Element_Stiffness!$E$5,Element_Stiffness!W26,0)),IF(Element_Stiffness!$E$5=7,IF(6=Element_Stiffness!$C$5,Element_Stiffness!Q32,IF(6=Element_Stiffness!$E$5,Element_Stiffness!W32,0)),0)),0)+IF(Element_Stiffness!$C$41,IF(Element_Stiffness!$C$40=7,IF(6=Element_Stiffness!$C$40,Element_Stiffness!Q61,IF(6=Element_Stiffness!$E$40,Element_Stiffness!W61,0)),IF(Element_Stiffness!$E$40=7,IF(6=Element_Stiffness!$C$40,Element_Stiffness!Q67,IF(6=Element_Stiffness!$E$40,Element_Stiffness!W67,0)),0)),0)+IF(Element_Stiffness!$C$76,IF(Element_Stiffness!$C$75=7,IF(6=Element_Stiffness!$C$75,Element_Stiffness!Q96,IF(6=Element_Stiffness!$E$75,Element_Stiffness!W96,0)),IF(Element_Stiffness!$E$75=7,IF(6=Element_Stiffness!$C$75,Element_Stiffness!Q102,IF(6=Element_Stiffness!$E$75,Element_Stiffness!W102,0)),0)),0)+IF(Element_Stiffness!$C$111,IF(Element_Stiffness!$C$110=7,IF(6=Element_Stiffness!$C$110,Element_Stiffness!Q131,IF(6=Element_Stiffness!$E$110,Element_Stiffness!W131,0)),IF(Element_Stiffness!$E$110=7,IF(6=Element_Stiffness!$C$110,Element_Stiffness!Q137,IF(6=Element_Stiffness!$E$110,Element_Stiffness!W137,0)),0)),0)+IF(Element_Stiffness!$C$146,IF(Element_Stiffness!$C$145=7,IF(6=Element_Stiffness!$C$145,Element_Stiffness!Q166,IF(6=Element_Stiffness!$E$145,Element_Stiffness!W166,0)),IF(Element_Stiffness!$E$145=7,IF(6=Element_Stiffness!$C$145,Element_Stiffness!Q172,IF(6=Element_Stiffness!$E$145,Element_Stiffness!W172,0)),0)),0)+IF(Element_Stiffness!$C$181,IF(Element_Stiffness!$C$180=7,IF(6=Element_Stiffness!$C$180,Element_Stiffness!Q201,IF(6=Element_Stiffness!$E$180,Element_Stiffness!W201,0)),IF(Element_Stiffness!$E$180=7,IF(6=Element_Stiffness!$C$180,Element_Stiffness!Q207,IF(6=Element_Stiffness!$E$180,Element_Stiffness!W207,0)),0)),0)+IF(Element_Stiffness!$C$216,IF(Element_Stiffness!$C$215=7,IF(6=Element_Stiffness!$C$215,Element_Stiffness!Q236,IF(6=Element_Stiffness!$E$215,Element_Stiffness!W236,0)),IF(Element_Stiffness!$E$215=7,IF(6=Element_Stiffness!$C$215,Element_Stiffness!Q242,IF(6=Element_Stiffness!$E$215,Element_Stiffness!W242,0)),0)),0)</f>
        <v/>
      </c>
      <c r="AO47" s="21">
        <f>IF(Element_Stiffness!$C$6,IF(Element_Stiffness!$C$5=7,IF(6=Element_Stiffness!$C$5,Element_Stiffness!R26,IF(6=Element_Stiffness!$E$5,Element_Stiffness!X26,0)),IF(Element_Stiffness!$E$5=7,IF(6=Element_Stiffness!$C$5,Element_Stiffness!R32,IF(6=Element_Stiffness!$E$5,Element_Stiffness!X32,0)),0)),0)+IF(Element_Stiffness!$C$41,IF(Element_Stiffness!$C$40=7,IF(6=Element_Stiffness!$C$40,Element_Stiffness!R61,IF(6=Element_Stiffness!$E$40,Element_Stiffness!X61,0)),IF(Element_Stiffness!$E$40=7,IF(6=Element_Stiffness!$C$40,Element_Stiffness!R67,IF(6=Element_Stiffness!$E$40,Element_Stiffness!X67,0)),0)),0)+IF(Element_Stiffness!$C$76,IF(Element_Stiffness!$C$75=7,IF(6=Element_Stiffness!$C$75,Element_Stiffness!R96,IF(6=Element_Stiffness!$E$75,Element_Stiffness!X96,0)),IF(Element_Stiffness!$E$75=7,IF(6=Element_Stiffness!$C$75,Element_Stiffness!R102,IF(6=Element_Stiffness!$E$75,Element_Stiffness!X102,0)),0)),0)+IF(Element_Stiffness!$C$111,IF(Element_Stiffness!$C$110=7,IF(6=Element_Stiffness!$C$110,Element_Stiffness!R131,IF(6=Element_Stiffness!$E$110,Element_Stiffness!X131,0)),IF(Element_Stiffness!$E$110=7,IF(6=Element_Stiffness!$C$110,Element_Stiffness!R137,IF(6=Element_Stiffness!$E$110,Element_Stiffness!X137,0)),0)),0)+IF(Element_Stiffness!$C$146,IF(Element_Stiffness!$C$145=7,IF(6=Element_Stiffness!$C$145,Element_Stiffness!R166,IF(6=Element_Stiffness!$E$145,Element_Stiffness!X166,0)),IF(Element_Stiffness!$E$145=7,IF(6=Element_Stiffness!$C$145,Element_Stiffness!R172,IF(6=Element_Stiffness!$E$145,Element_Stiffness!X172,0)),0)),0)+IF(Element_Stiffness!$C$181,IF(Element_Stiffness!$C$180=7,IF(6=Element_Stiffness!$C$180,Element_Stiffness!R201,IF(6=Element_Stiffness!$E$180,Element_Stiffness!X201,0)),IF(Element_Stiffness!$E$180=7,IF(6=Element_Stiffness!$C$180,Element_Stiffness!R207,IF(6=Element_Stiffness!$E$180,Element_Stiffness!X207,0)),0)),0)+IF(Element_Stiffness!$C$216,IF(Element_Stiffness!$C$215=7,IF(6=Element_Stiffness!$C$215,Element_Stiffness!R236,IF(6=Element_Stiffness!$E$215,Element_Stiffness!X236,0)),IF(Element_Stiffness!$E$215=7,IF(6=Element_Stiffness!$C$215,Element_Stiffness!R242,IF(6=Element_Stiffness!$E$215,Element_Stiffness!X242,0)),0)),0)</f>
        <v/>
      </c>
      <c r="AP47" s="21">
        <f>IF(Element_Stiffness!$C$6,IF(Element_Stiffness!$C$5=7,IF(6=Element_Stiffness!$C$5,Element_Stiffness!S26,IF(6=Element_Stiffness!$E$5,Element_Stiffness!Y26,0)),IF(Element_Stiffness!$E$5=7,IF(6=Element_Stiffness!$C$5,Element_Stiffness!S32,IF(6=Element_Stiffness!$E$5,Element_Stiffness!Y32,0)),0)),0)+IF(Element_Stiffness!$C$41,IF(Element_Stiffness!$C$40=7,IF(6=Element_Stiffness!$C$40,Element_Stiffness!S61,IF(6=Element_Stiffness!$E$40,Element_Stiffness!Y61,0)),IF(Element_Stiffness!$E$40=7,IF(6=Element_Stiffness!$C$40,Element_Stiffness!S67,IF(6=Element_Stiffness!$E$40,Element_Stiffness!Y67,0)),0)),0)+IF(Element_Stiffness!$C$76,IF(Element_Stiffness!$C$75=7,IF(6=Element_Stiffness!$C$75,Element_Stiffness!S96,IF(6=Element_Stiffness!$E$75,Element_Stiffness!Y96,0)),IF(Element_Stiffness!$E$75=7,IF(6=Element_Stiffness!$C$75,Element_Stiffness!S102,IF(6=Element_Stiffness!$E$75,Element_Stiffness!Y102,0)),0)),0)+IF(Element_Stiffness!$C$111,IF(Element_Stiffness!$C$110=7,IF(6=Element_Stiffness!$C$110,Element_Stiffness!S131,IF(6=Element_Stiffness!$E$110,Element_Stiffness!Y131,0)),IF(Element_Stiffness!$E$110=7,IF(6=Element_Stiffness!$C$110,Element_Stiffness!S137,IF(6=Element_Stiffness!$E$110,Element_Stiffness!Y137,0)),0)),0)+IF(Element_Stiffness!$C$146,IF(Element_Stiffness!$C$145=7,IF(6=Element_Stiffness!$C$145,Element_Stiffness!S166,IF(6=Element_Stiffness!$E$145,Element_Stiffness!Y166,0)),IF(Element_Stiffness!$E$145=7,IF(6=Element_Stiffness!$C$145,Element_Stiffness!S172,IF(6=Element_Stiffness!$E$145,Element_Stiffness!Y172,0)),0)),0)+IF(Element_Stiffness!$C$181,IF(Element_Stiffness!$C$180=7,IF(6=Element_Stiffness!$C$180,Element_Stiffness!S201,IF(6=Element_Stiffness!$E$180,Element_Stiffness!Y201,0)),IF(Element_Stiffness!$E$180=7,IF(6=Element_Stiffness!$C$180,Element_Stiffness!S207,IF(6=Element_Stiffness!$E$180,Element_Stiffness!Y207,0)),0)),0)+IF(Element_Stiffness!$C$216,IF(Element_Stiffness!$C$215=7,IF(6=Element_Stiffness!$C$215,Element_Stiffness!S236,IF(6=Element_Stiffness!$E$215,Element_Stiffness!Y236,0)),IF(Element_Stiffness!$E$215=7,IF(6=Element_Stiffness!$C$215,Element_Stiffness!S242,IF(6=Element_Stiffness!$E$215,Element_Stiffness!Y242,0)),0)),0)</f>
        <v/>
      </c>
      <c r="AQ47" s="21">
        <f>IF(Element_Stiffness!$C$6,IF(Element_Stiffness!$C$5=7,IF(6=Element_Stiffness!$C$5,Element_Stiffness!T26,IF(6=Element_Stiffness!$E$5,Element_Stiffness!Z26,0)),IF(Element_Stiffness!$E$5=7,IF(6=Element_Stiffness!$C$5,Element_Stiffness!T32,IF(6=Element_Stiffness!$E$5,Element_Stiffness!Z32,0)),0)),0)+IF(Element_Stiffness!$C$41,IF(Element_Stiffness!$C$40=7,IF(6=Element_Stiffness!$C$40,Element_Stiffness!T61,IF(6=Element_Stiffness!$E$40,Element_Stiffness!Z61,0)),IF(Element_Stiffness!$E$40=7,IF(6=Element_Stiffness!$C$40,Element_Stiffness!T67,IF(6=Element_Stiffness!$E$40,Element_Stiffness!Z67,0)),0)),0)+IF(Element_Stiffness!$C$76,IF(Element_Stiffness!$C$75=7,IF(6=Element_Stiffness!$C$75,Element_Stiffness!T96,IF(6=Element_Stiffness!$E$75,Element_Stiffness!Z96,0)),IF(Element_Stiffness!$E$75=7,IF(6=Element_Stiffness!$C$75,Element_Stiffness!T102,IF(6=Element_Stiffness!$E$75,Element_Stiffness!Z102,0)),0)),0)+IF(Element_Stiffness!$C$111,IF(Element_Stiffness!$C$110=7,IF(6=Element_Stiffness!$C$110,Element_Stiffness!T131,IF(6=Element_Stiffness!$E$110,Element_Stiffness!Z131,0)),IF(Element_Stiffness!$E$110=7,IF(6=Element_Stiffness!$C$110,Element_Stiffness!T137,IF(6=Element_Stiffness!$E$110,Element_Stiffness!Z137,0)),0)),0)+IF(Element_Stiffness!$C$146,IF(Element_Stiffness!$C$145=7,IF(6=Element_Stiffness!$C$145,Element_Stiffness!T166,IF(6=Element_Stiffness!$E$145,Element_Stiffness!Z166,0)),IF(Element_Stiffness!$E$145=7,IF(6=Element_Stiffness!$C$145,Element_Stiffness!T172,IF(6=Element_Stiffness!$E$145,Element_Stiffness!Z172,0)),0)),0)+IF(Element_Stiffness!$C$181,IF(Element_Stiffness!$C$180=7,IF(6=Element_Stiffness!$C$180,Element_Stiffness!T201,IF(6=Element_Stiffness!$E$180,Element_Stiffness!Z201,0)),IF(Element_Stiffness!$E$180=7,IF(6=Element_Stiffness!$C$180,Element_Stiffness!T207,IF(6=Element_Stiffness!$E$180,Element_Stiffness!Z207,0)),0)),0)+IF(Element_Stiffness!$C$216,IF(Element_Stiffness!$C$215=7,IF(6=Element_Stiffness!$C$215,Element_Stiffness!T236,IF(6=Element_Stiffness!$E$215,Element_Stiffness!Z236,0)),IF(Element_Stiffness!$E$215=7,IF(6=Element_Stiffness!$C$215,Element_Stiffness!T242,IF(6=Element_Stiffness!$E$215,Element_Stiffness!Z242,0)),0)),0)</f>
        <v/>
      </c>
      <c r="AR47" s="21">
        <f>IF(Element_Stiffness!$C$6,IF(Element_Stiffness!$C$5=7,IF(6=Element_Stiffness!$C$5,Element_Stiffness!U26,IF(6=Element_Stiffness!$E$5,Element_Stiffness!AA26,0)),IF(Element_Stiffness!$E$5=7,IF(6=Element_Stiffness!$C$5,Element_Stiffness!U32,IF(6=Element_Stiffness!$E$5,Element_Stiffness!AA32,0)),0)),0)+IF(Element_Stiffness!$C$41,IF(Element_Stiffness!$C$40=7,IF(6=Element_Stiffness!$C$40,Element_Stiffness!U61,IF(6=Element_Stiffness!$E$40,Element_Stiffness!AA61,0)),IF(Element_Stiffness!$E$40=7,IF(6=Element_Stiffness!$C$40,Element_Stiffness!U67,IF(6=Element_Stiffness!$E$40,Element_Stiffness!AA67,0)),0)),0)+IF(Element_Stiffness!$C$76,IF(Element_Stiffness!$C$75=7,IF(6=Element_Stiffness!$C$75,Element_Stiffness!U96,IF(6=Element_Stiffness!$E$75,Element_Stiffness!AA96,0)),IF(Element_Stiffness!$E$75=7,IF(6=Element_Stiffness!$C$75,Element_Stiffness!U102,IF(6=Element_Stiffness!$E$75,Element_Stiffness!AA102,0)),0)),0)+IF(Element_Stiffness!$C$111,IF(Element_Stiffness!$C$110=7,IF(6=Element_Stiffness!$C$110,Element_Stiffness!U131,IF(6=Element_Stiffness!$E$110,Element_Stiffness!AA131,0)),IF(Element_Stiffness!$E$110=7,IF(6=Element_Stiffness!$C$110,Element_Stiffness!U137,IF(6=Element_Stiffness!$E$110,Element_Stiffness!AA137,0)),0)),0)+IF(Element_Stiffness!$C$146,IF(Element_Stiffness!$C$145=7,IF(6=Element_Stiffness!$C$145,Element_Stiffness!U166,IF(6=Element_Stiffness!$E$145,Element_Stiffness!AA166,0)),IF(Element_Stiffness!$E$145=7,IF(6=Element_Stiffness!$C$145,Element_Stiffness!U172,IF(6=Element_Stiffness!$E$145,Element_Stiffness!AA172,0)),0)),0)+IF(Element_Stiffness!$C$181,IF(Element_Stiffness!$C$180=7,IF(6=Element_Stiffness!$C$180,Element_Stiffness!U201,IF(6=Element_Stiffness!$E$180,Element_Stiffness!AA201,0)),IF(Element_Stiffness!$E$180=7,IF(6=Element_Stiffness!$C$180,Element_Stiffness!U207,IF(6=Element_Stiffness!$E$180,Element_Stiffness!AA207,0)),0)),0)+IF(Element_Stiffness!$C$216,IF(Element_Stiffness!$C$215=7,IF(6=Element_Stiffness!$C$215,Element_Stiffness!U236,IF(6=Element_Stiffness!$E$215,Element_Stiffness!AA236,0)),IF(Element_Stiffness!$E$215=7,IF(6=Element_Stiffness!$C$215,Element_Stiffness!U242,IF(6=Element_Stiffness!$E$215,Element_Stiffness!AA242,0)),0)),0)</f>
        <v/>
      </c>
      <c r="AS47" s="21">
        <f>IF(Element_Stiffness!$C$6,IF(Element_Stiffness!$C$5=7,IF(7=Element_Stiffness!$C$5,Element_Stiffness!P26,IF(7=Element_Stiffness!$E$5,Element_Stiffness!V26,0)),IF(Element_Stiffness!$E$5=7,IF(7=Element_Stiffness!$C$5,Element_Stiffness!P32,IF(7=Element_Stiffness!$E$5,Element_Stiffness!V32,0)),0)),0)+IF(Element_Stiffness!$C$41,IF(Element_Stiffness!$C$40=7,IF(7=Element_Stiffness!$C$40,Element_Stiffness!P61,IF(7=Element_Stiffness!$E$40,Element_Stiffness!V61,0)),IF(Element_Stiffness!$E$40=7,IF(7=Element_Stiffness!$C$40,Element_Stiffness!P67,IF(7=Element_Stiffness!$E$40,Element_Stiffness!V67,0)),0)),0)+IF(Element_Stiffness!$C$76,IF(Element_Stiffness!$C$75=7,IF(7=Element_Stiffness!$C$75,Element_Stiffness!P96,IF(7=Element_Stiffness!$E$75,Element_Stiffness!V96,0)),IF(Element_Stiffness!$E$75=7,IF(7=Element_Stiffness!$C$75,Element_Stiffness!P102,IF(7=Element_Stiffness!$E$75,Element_Stiffness!V102,0)),0)),0)+IF(Element_Stiffness!$C$111,IF(Element_Stiffness!$C$110=7,IF(7=Element_Stiffness!$C$110,Element_Stiffness!P131,IF(7=Element_Stiffness!$E$110,Element_Stiffness!V131,0)),IF(Element_Stiffness!$E$110=7,IF(7=Element_Stiffness!$C$110,Element_Stiffness!P137,IF(7=Element_Stiffness!$E$110,Element_Stiffness!V137,0)),0)),0)+IF(Element_Stiffness!$C$146,IF(Element_Stiffness!$C$145=7,IF(7=Element_Stiffness!$C$145,Element_Stiffness!P166,IF(7=Element_Stiffness!$E$145,Element_Stiffness!V166,0)),IF(Element_Stiffness!$E$145=7,IF(7=Element_Stiffness!$C$145,Element_Stiffness!P172,IF(7=Element_Stiffness!$E$145,Element_Stiffness!V172,0)),0)),0)+IF(Element_Stiffness!$C$181,IF(Element_Stiffness!$C$180=7,IF(7=Element_Stiffness!$C$180,Element_Stiffness!P201,IF(7=Element_Stiffness!$E$180,Element_Stiffness!V201,0)),IF(Element_Stiffness!$E$180=7,IF(7=Element_Stiffness!$C$180,Element_Stiffness!P207,IF(7=Element_Stiffness!$E$180,Element_Stiffness!V207,0)),0)),0)+IF(Element_Stiffness!$C$216,IF(Element_Stiffness!$C$215=7,IF(7=Element_Stiffness!$C$215,Element_Stiffness!P236,IF(7=Element_Stiffness!$E$215,Element_Stiffness!V236,0)),IF(Element_Stiffness!$E$215=7,IF(7=Element_Stiffness!$C$215,Element_Stiffness!P242,IF(7=Element_Stiffness!$E$215,Element_Stiffness!V242,0)),0)),0)+IF(Inputs!C47=TRUE,1E15,IF(ISNUMBER(Inputs!C47),Inputs!C47,0))</f>
        <v/>
      </c>
      <c r="AT47" s="21">
        <f>IF(Element_Stiffness!$C$6,IF(Element_Stiffness!$C$5=7,IF(7=Element_Stiffness!$C$5,Element_Stiffness!Q26,IF(7=Element_Stiffness!$E$5,Element_Stiffness!W26,0)),IF(Element_Stiffness!$E$5=7,IF(7=Element_Stiffness!$C$5,Element_Stiffness!Q32,IF(7=Element_Stiffness!$E$5,Element_Stiffness!W32,0)),0)),0)+IF(Element_Stiffness!$C$41,IF(Element_Stiffness!$C$40=7,IF(7=Element_Stiffness!$C$40,Element_Stiffness!Q61,IF(7=Element_Stiffness!$E$40,Element_Stiffness!W61,0)),IF(Element_Stiffness!$E$40=7,IF(7=Element_Stiffness!$C$40,Element_Stiffness!Q67,IF(7=Element_Stiffness!$E$40,Element_Stiffness!W67,0)),0)),0)+IF(Element_Stiffness!$C$76,IF(Element_Stiffness!$C$75=7,IF(7=Element_Stiffness!$C$75,Element_Stiffness!Q96,IF(7=Element_Stiffness!$E$75,Element_Stiffness!W96,0)),IF(Element_Stiffness!$E$75=7,IF(7=Element_Stiffness!$C$75,Element_Stiffness!Q102,IF(7=Element_Stiffness!$E$75,Element_Stiffness!W102,0)),0)),0)+IF(Element_Stiffness!$C$111,IF(Element_Stiffness!$C$110=7,IF(7=Element_Stiffness!$C$110,Element_Stiffness!Q131,IF(7=Element_Stiffness!$E$110,Element_Stiffness!W131,0)),IF(Element_Stiffness!$E$110=7,IF(7=Element_Stiffness!$C$110,Element_Stiffness!Q137,IF(7=Element_Stiffness!$E$110,Element_Stiffness!W137,0)),0)),0)+IF(Element_Stiffness!$C$146,IF(Element_Stiffness!$C$145=7,IF(7=Element_Stiffness!$C$145,Element_Stiffness!Q166,IF(7=Element_Stiffness!$E$145,Element_Stiffness!W166,0)),IF(Element_Stiffness!$E$145=7,IF(7=Element_Stiffness!$C$145,Element_Stiffness!Q172,IF(7=Element_Stiffness!$E$145,Element_Stiffness!W172,0)),0)),0)+IF(Element_Stiffness!$C$181,IF(Element_Stiffness!$C$180=7,IF(7=Element_Stiffness!$C$180,Element_Stiffness!Q201,IF(7=Element_Stiffness!$E$180,Element_Stiffness!W201,0)),IF(Element_Stiffness!$E$180=7,IF(7=Element_Stiffness!$C$180,Element_Stiffness!Q207,IF(7=Element_Stiffness!$E$180,Element_Stiffness!W207,0)),0)),0)+IF(Element_Stiffness!$C$216,IF(Element_Stiffness!$C$215=7,IF(7=Element_Stiffness!$C$215,Element_Stiffness!Q236,IF(7=Element_Stiffness!$E$215,Element_Stiffness!W236,0)),IF(Element_Stiffness!$E$215=7,IF(7=Element_Stiffness!$C$215,Element_Stiffness!Q242,IF(7=Element_Stiffness!$E$215,Element_Stiffness!W242,0)),0)),0)</f>
        <v/>
      </c>
      <c r="AU47" s="21">
        <f>IF(Element_Stiffness!$C$6,IF(Element_Stiffness!$C$5=7,IF(7=Element_Stiffness!$C$5,Element_Stiffness!R26,IF(7=Element_Stiffness!$E$5,Element_Stiffness!X26,0)),IF(Element_Stiffness!$E$5=7,IF(7=Element_Stiffness!$C$5,Element_Stiffness!R32,IF(7=Element_Stiffness!$E$5,Element_Stiffness!X32,0)),0)),0)+IF(Element_Stiffness!$C$41,IF(Element_Stiffness!$C$40=7,IF(7=Element_Stiffness!$C$40,Element_Stiffness!R61,IF(7=Element_Stiffness!$E$40,Element_Stiffness!X61,0)),IF(Element_Stiffness!$E$40=7,IF(7=Element_Stiffness!$C$40,Element_Stiffness!R67,IF(7=Element_Stiffness!$E$40,Element_Stiffness!X67,0)),0)),0)+IF(Element_Stiffness!$C$76,IF(Element_Stiffness!$C$75=7,IF(7=Element_Stiffness!$C$75,Element_Stiffness!R96,IF(7=Element_Stiffness!$E$75,Element_Stiffness!X96,0)),IF(Element_Stiffness!$E$75=7,IF(7=Element_Stiffness!$C$75,Element_Stiffness!R102,IF(7=Element_Stiffness!$E$75,Element_Stiffness!X102,0)),0)),0)+IF(Element_Stiffness!$C$111,IF(Element_Stiffness!$C$110=7,IF(7=Element_Stiffness!$C$110,Element_Stiffness!R131,IF(7=Element_Stiffness!$E$110,Element_Stiffness!X131,0)),IF(Element_Stiffness!$E$110=7,IF(7=Element_Stiffness!$C$110,Element_Stiffness!R137,IF(7=Element_Stiffness!$E$110,Element_Stiffness!X137,0)),0)),0)+IF(Element_Stiffness!$C$146,IF(Element_Stiffness!$C$145=7,IF(7=Element_Stiffness!$C$145,Element_Stiffness!R166,IF(7=Element_Stiffness!$E$145,Element_Stiffness!X166,0)),IF(Element_Stiffness!$E$145=7,IF(7=Element_Stiffness!$C$145,Element_Stiffness!R172,IF(7=Element_Stiffness!$E$145,Element_Stiffness!X172,0)),0)),0)+IF(Element_Stiffness!$C$181,IF(Element_Stiffness!$C$180=7,IF(7=Element_Stiffness!$C$180,Element_Stiffness!R201,IF(7=Element_Stiffness!$E$180,Element_Stiffness!X201,0)),IF(Element_Stiffness!$E$180=7,IF(7=Element_Stiffness!$C$180,Element_Stiffness!R207,IF(7=Element_Stiffness!$E$180,Element_Stiffness!X207,0)),0)),0)+IF(Element_Stiffness!$C$216,IF(Element_Stiffness!$C$215=7,IF(7=Element_Stiffness!$C$215,Element_Stiffness!R236,IF(7=Element_Stiffness!$E$215,Element_Stiffness!X236,0)),IF(Element_Stiffness!$E$215=7,IF(7=Element_Stiffness!$C$215,Element_Stiffness!R242,IF(7=Element_Stiffness!$E$215,Element_Stiffness!X242,0)),0)),0)</f>
        <v/>
      </c>
      <c r="AV47" s="21">
        <f>IF(Element_Stiffness!$C$6,IF(Element_Stiffness!$C$5=7,IF(7=Element_Stiffness!$C$5,Element_Stiffness!S26,IF(7=Element_Stiffness!$E$5,Element_Stiffness!Y26,0)),IF(Element_Stiffness!$E$5=7,IF(7=Element_Stiffness!$C$5,Element_Stiffness!S32,IF(7=Element_Stiffness!$E$5,Element_Stiffness!Y32,0)),0)),0)+IF(Element_Stiffness!$C$41,IF(Element_Stiffness!$C$40=7,IF(7=Element_Stiffness!$C$40,Element_Stiffness!S61,IF(7=Element_Stiffness!$E$40,Element_Stiffness!Y61,0)),IF(Element_Stiffness!$E$40=7,IF(7=Element_Stiffness!$C$40,Element_Stiffness!S67,IF(7=Element_Stiffness!$E$40,Element_Stiffness!Y67,0)),0)),0)+IF(Element_Stiffness!$C$76,IF(Element_Stiffness!$C$75=7,IF(7=Element_Stiffness!$C$75,Element_Stiffness!S96,IF(7=Element_Stiffness!$E$75,Element_Stiffness!Y96,0)),IF(Element_Stiffness!$E$75=7,IF(7=Element_Stiffness!$C$75,Element_Stiffness!S102,IF(7=Element_Stiffness!$E$75,Element_Stiffness!Y102,0)),0)),0)+IF(Element_Stiffness!$C$111,IF(Element_Stiffness!$C$110=7,IF(7=Element_Stiffness!$C$110,Element_Stiffness!S131,IF(7=Element_Stiffness!$E$110,Element_Stiffness!Y131,0)),IF(Element_Stiffness!$E$110=7,IF(7=Element_Stiffness!$C$110,Element_Stiffness!S137,IF(7=Element_Stiffness!$E$110,Element_Stiffness!Y137,0)),0)),0)+IF(Element_Stiffness!$C$146,IF(Element_Stiffness!$C$145=7,IF(7=Element_Stiffness!$C$145,Element_Stiffness!S166,IF(7=Element_Stiffness!$E$145,Element_Stiffness!Y166,0)),IF(Element_Stiffness!$E$145=7,IF(7=Element_Stiffness!$C$145,Element_Stiffness!S172,IF(7=Element_Stiffness!$E$145,Element_Stiffness!Y172,0)),0)),0)+IF(Element_Stiffness!$C$181,IF(Element_Stiffness!$C$180=7,IF(7=Element_Stiffness!$C$180,Element_Stiffness!S201,IF(7=Element_Stiffness!$E$180,Element_Stiffness!Y201,0)),IF(Element_Stiffness!$E$180=7,IF(7=Element_Stiffness!$C$180,Element_Stiffness!S207,IF(7=Element_Stiffness!$E$180,Element_Stiffness!Y207,0)),0)),0)+IF(Element_Stiffness!$C$216,IF(Element_Stiffness!$C$215=7,IF(7=Element_Stiffness!$C$215,Element_Stiffness!S236,IF(7=Element_Stiffness!$E$215,Element_Stiffness!Y236,0)),IF(Element_Stiffness!$E$215=7,IF(7=Element_Stiffness!$C$215,Element_Stiffness!S242,IF(7=Element_Stiffness!$E$215,Element_Stiffness!Y242,0)),0)),0)</f>
        <v/>
      </c>
      <c r="AW47" s="21">
        <f>IF(Element_Stiffness!$C$6,IF(Element_Stiffness!$C$5=7,IF(7=Element_Stiffness!$C$5,Element_Stiffness!T26,IF(7=Element_Stiffness!$E$5,Element_Stiffness!Z26,0)),IF(Element_Stiffness!$E$5=7,IF(7=Element_Stiffness!$C$5,Element_Stiffness!T32,IF(7=Element_Stiffness!$E$5,Element_Stiffness!Z32,0)),0)),0)+IF(Element_Stiffness!$C$41,IF(Element_Stiffness!$C$40=7,IF(7=Element_Stiffness!$C$40,Element_Stiffness!T61,IF(7=Element_Stiffness!$E$40,Element_Stiffness!Z61,0)),IF(Element_Stiffness!$E$40=7,IF(7=Element_Stiffness!$C$40,Element_Stiffness!T67,IF(7=Element_Stiffness!$E$40,Element_Stiffness!Z67,0)),0)),0)+IF(Element_Stiffness!$C$76,IF(Element_Stiffness!$C$75=7,IF(7=Element_Stiffness!$C$75,Element_Stiffness!T96,IF(7=Element_Stiffness!$E$75,Element_Stiffness!Z96,0)),IF(Element_Stiffness!$E$75=7,IF(7=Element_Stiffness!$C$75,Element_Stiffness!T102,IF(7=Element_Stiffness!$E$75,Element_Stiffness!Z102,0)),0)),0)+IF(Element_Stiffness!$C$111,IF(Element_Stiffness!$C$110=7,IF(7=Element_Stiffness!$C$110,Element_Stiffness!T131,IF(7=Element_Stiffness!$E$110,Element_Stiffness!Z131,0)),IF(Element_Stiffness!$E$110=7,IF(7=Element_Stiffness!$C$110,Element_Stiffness!T137,IF(7=Element_Stiffness!$E$110,Element_Stiffness!Z137,0)),0)),0)+IF(Element_Stiffness!$C$146,IF(Element_Stiffness!$C$145=7,IF(7=Element_Stiffness!$C$145,Element_Stiffness!T166,IF(7=Element_Stiffness!$E$145,Element_Stiffness!Z166,0)),IF(Element_Stiffness!$E$145=7,IF(7=Element_Stiffness!$C$145,Element_Stiffness!T172,IF(7=Element_Stiffness!$E$145,Element_Stiffness!Z172,0)),0)),0)+IF(Element_Stiffness!$C$181,IF(Element_Stiffness!$C$180=7,IF(7=Element_Stiffness!$C$180,Element_Stiffness!T201,IF(7=Element_Stiffness!$E$180,Element_Stiffness!Z201,0)),IF(Element_Stiffness!$E$180=7,IF(7=Element_Stiffness!$C$180,Element_Stiffness!T207,IF(7=Element_Stiffness!$E$180,Element_Stiffness!Z207,0)),0)),0)+IF(Element_Stiffness!$C$216,IF(Element_Stiffness!$C$215=7,IF(7=Element_Stiffness!$C$215,Element_Stiffness!T236,IF(7=Element_Stiffness!$E$215,Element_Stiffness!Z236,0)),IF(Element_Stiffness!$E$215=7,IF(7=Element_Stiffness!$C$215,Element_Stiffness!T242,IF(7=Element_Stiffness!$E$215,Element_Stiffness!Z242,0)),0)),0)</f>
        <v/>
      </c>
      <c r="AX47" s="21">
        <f>IF(Element_Stiffness!$C$6,IF(Element_Stiffness!$C$5=7,IF(7=Element_Stiffness!$C$5,Element_Stiffness!U26,IF(7=Element_Stiffness!$E$5,Element_Stiffness!AA26,0)),IF(Element_Stiffness!$E$5=7,IF(7=Element_Stiffness!$C$5,Element_Stiffness!U32,IF(7=Element_Stiffness!$E$5,Element_Stiffness!AA32,0)),0)),0)+IF(Element_Stiffness!$C$41,IF(Element_Stiffness!$C$40=7,IF(7=Element_Stiffness!$C$40,Element_Stiffness!U61,IF(7=Element_Stiffness!$E$40,Element_Stiffness!AA61,0)),IF(Element_Stiffness!$E$40=7,IF(7=Element_Stiffness!$C$40,Element_Stiffness!U67,IF(7=Element_Stiffness!$E$40,Element_Stiffness!AA67,0)),0)),0)+IF(Element_Stiffness!$C$76,IF(Element_Stiffness!$C$75=7,IF(7=Element_Stiffness!$C$75,Element_Stiffness!U96,IF(7=Element_Stiffness!$E$75,Element_Stiffness!AA96,0)),IF(Element_Stiffness!$E$75=7,IF(7=Element_Stiffness!$C$75,Element_Stiffness!U102,IF(7=Element_Stiffness!$E$75,Element_Stiffness!AA102,0)),0)),0)+IF(Element_Stiffness!$C$111,IF(Element_Stiffness!$C$110=7,IF(7=Element_Stiffness!$C$110,Element_Stiffness!U131,IF(7=Element_Stiffness!$E$110,Element_Stiffness!AA131,0)),IF(Element_Stiffness!$E$110=7,IF(7=Element_Stiffness!$C$110,Element_Stiffness!U137,IF(7=Element_Stiffness!$E$110,Element_Stiffness!AA137,0)),0)),0)+IF(Element_Stiffness!$C$146,IF(Element_Stiffness!$C$145=7,IF(7=Element_Stiffness!$C$145,Element_Stiffness!U166,IF(7=Element_Stiffness!$E$145,Element_Stiffness!AA166,0)),IF(Element_Stiffness!$E$145=7,IF(7=Element_Stiffness!$C$145,Element_Stiffness!U172,IF(7=Element_Stiffness!$E$145,Element_Stiffness!AA172,0)),0)),0)+IF(Element_Stiffness!$C$181,IF(Element_Stiffness!$C$180=7,IF(7=Element_Stiffness!$C$180,Element_Stiffness!U201,IF(7=Element_Stiffness!$E$180,Element_Stiffness!AA201,0)),IF(Element_Stiffness!$E$180=7,IF(7=Element_Stiffness!$C$180,Element_Stiffness!U207,IF(7=Element_Stiffness!$E$180,Element_Stiffness!AA207,0)),0)),0)+IF(Element_Stiffness!$C$216,IF(Element_Stiffness!$C$215=7,IF(7=Element_Stiffness!$C$215,Element_Stiffness!U236,IF(7=Element_Stiffness!$E$215,Element_Stiffness!AA236,0)),IF(Element_Stiffness!$E$215=7,IF(7=Element_Stiffness!$C$215,Element_Stiffness!U242,IF(7=Element_Stiffness!$E$215,Element_Stiffness!AA242,0)),0)),0)</f>
        <v/>
      </c>
      <c r="AY47" s="21" t="n">
        <v>0</v>
      </c>
      <c r="AZ47" s="21">
        <f>IF(Element_Stiffness!$C$6,IF(Element_Stiffness!$C$5=7,Element_Stiffness!C26,IF(Element_Stiffness!$E$5=7,Element_Stiffness!C32,0)),0)+IF(Element_Stiffness!$C$41,IF(Element_Stiffness!$C$40=7,Element_Stiffness!C61,IF(Element_Stiffness!$E$40=7,Element_Stiffness!C67,0)),0)+IF(Element_Stiffness!$C$76,IF(Element_Stiffness!$C$75=7,Element_Stiffness!C96,IF(Element_Stiffness!$E$75=7,Element_Stiffness!C102,0)),0)+IF(Element_Stiffness!$C$111,IF(Element_Stiffness!$C$110=7,Element_Stiffness!C131,IF(Element_Stiffness!$E$110=7,Element_Stiffness!C137,0)),0)+IF(Element_Stiffness!$C$146,IF(Element_Stiffness!$C$145=7,Element_Stiffness!C166,IF(Element_Stiffness!$E$145=7,Element_Stiffness!C172,0)),0)+IF(Element_Stiffness!$C$181,IF(Element_Stiffness!$C$180=7,Element_Stiffness!C201,IF(Element_Stiffness!$E$180=7,Element_Stiffness!C207,0)),0)+IF(Element_Stiffness!$C$216,IF(Element_Stiffness!$C$215=7,Element_Stiffness!C236,IF(Element_Stiffness!$E$215=7,Element_Stiffness!C242,0)),0)</f>
        <v/>
      </c>
      <c r="BB47" s="28">
        <f>INDEX(MMULT(MINVERSE(C5:AX52), AY5:AY52), 43, 1)</f>
        <v/>
      </c>
      <c r="BC47" s="28">
        <f>INDEX(MMULT(MINVERSE(C5:AX52), AZ5:AZ52), 43, 1)</f>
        <v/>
      </c>
    </row>
    <row r="48">
      <c r="B48" s="27" t="inlineStr">
        <is>
          <t>N7_ty</t>
        </is>
      </c>
      <c r="C48" s="21">
        <f>IF(Element_Stiffness!$C$6,IF(Element_Stiffness!$C$5=7,IF(0=Element_Stiffness!$C$5,Element_Stiffness!P27,IF(0=Element_Stiffness!$E$5,Element_Stiffness!V27,0)),IF(Element_Stiffness!$E$5=7,IF(0=Element_Stiffness!$C$5,Element_Stiffness!P33,IF(0=Element_Stiffness!$E$5,Element_Stiffness!V33,0)),0)),0)+IF(Element_Stiffness!$C$41,IF(Element_Stiffness!$C$40=7,IF(0=Element_Stiffness!$C$40,Element_Stiffness!P62,IF(0=Element_Stiffness!$E$40,Element_Stiffness!V62,0)),IF(Element_Stiffness!$E$40=7,IF(0=Element_Stiffness!$C$40,Element_Stiffness!P68,IF(0=Element_Stiffness!$E$40,Element_Stiffness!V68,0)),0)),0)+IF(Element_Stiffness!$C$76,IF(Element_Stiffness!$C$75=7,IF(0=Element_Stiffness!$C$75,Element_Stiffness!P97,IF(0=Element_Stiffness!$E$75,Element_Stiffness!V97,0)),IF(Element_Stiffness!$E$75=7,IF(0=Element_Stiffness!$C$75,Element_Stiffness!P103,IF(0=Element_Stiffness!$E$75,Element_Stiffness!V103,0)),0)),0)+IF(Element_Stiffness!$C$111,IF(Element_Stiffness!$C$110=7,IF(0=Element_Stiffness!$C$110,Element_Stiffness!P132,IF(0=Element_Stiffness!$E$110,Element_Stiffness!V132,0)),IF(Element_Stiffness!$E$110=7,IF(0=Element_Stiffness!$C$110,Element_Stiffness!P138,IF(0=Element_Stiffness!$E$110,Element_Stiffness!V138,0)),0)),0)+IF(Element_Stiffness!$C$146,IF(Element_Stiffness!$C$145=7,IF(0=Element_Stiffness!$C$145,Element_Stiffness!P167,IF(0=Element_Stiffness!$E$145,Element_Stiffness!V167,0)),IF(Element_Stiffness!$E$145=7,IF(0=Element_Stiffness!$C$145,Element_Stiffness!P173,IF(0=Element_Stiffness!$E$145,Element_Stiffness!V173,0)),0)),0)+IF(Element_Stiffness!$C$181,IF(Element_Stiffness!$C$180=7,IF(0=Element_Stiffness!$C$180,Element_Stiffness!P202,IF(0=Element_Stiffness!$E$180,Element_Stiffness!V202,0)),IF(Element_Stiffness!$E$180=7,IF(0=Element_Stiffness!$C$180,Element_Stiffness!P208,IF(0=Element_Stiffness!$E$180,Element_Stiffness!V208,0)),0)),0)+IF(Element_Stiffness!$C$216,IF(Element_Stiffness!$C$215=7,IF(0=Element_Stiffness!$C$215,Element_Stiffness!P237,IF(0=Element_Stiffness!$E$215,Element_Stiffness!V237,0)),IF(Element_Stiffness!$E$215=7,IF(0=Element_Stiffness!$C$215,Element_Stiffness!P243,IF(0=Element_Stiffness!$E$215,Element_Stiffness!V243,0)),0)),0)</f>
        <v/>
      </c>
      <c r="D48" s="21">
        <f>IF(Element_Stiffness!$C$6,IF(Element_Stiffness!$C$5=7,IF(0=Element_Stiffness!$C$5,Element_Stiffness!Q27,IF(0=Element_Stiffness!$E$5,Element_Stiffness!W27,0)),IF(Element_Stiffness!$E$5=7,IF(0=Element_Stiffness!$C$5,Element_Stiffness!Q33,IF(0=Element_Stiffness!$E$5,Element_Stiffness!W33,0)),0)),0)+IF(Element_Stiffness!$C$41,IF(Element_Stiffness!$C$40=7,IF(0=Element_Stiffness!$C$40,Element_Stiffness!Q62,IF(0=Element_Stiffness!$E$40,Element_Stiffness!W62,0)),IF(Element_Stiffness!$E$40=7,IF(0=Element_Stiffness!$C$40,Element_Stiffness!Q68,IF(0=Element_Stiffness!$E$40,Element_Stiffness!W68,0)),0)),0)+IF(Element_Stiffness!$C$76,IF(Element_Stiffness!$C$75=7,IF(0=Element_Stiffness!$C$75,Element_Stiffness!Q97,IF(0=Element_Stiffness!$E$75,Element_Stiffness!W97,0)),IF(Element_Stiffness!$E$75=7,IF(0=Element_Stiffness!$C$75,Element_Stiffness!Q103,IF(0=Element_Stiffness!$E$75,Element_Stiffness!W103,0)),0)),0)+IF(Element_Stiffness!$C$111,IF(Element_Stiffness!$C$110=7,IF(0=Element_Stiffness!$C$110,Element_Stiffness!Q132,IF(0=Element_Stiffness!$E$110,Element_Stiffness!W132,0)),IF(Element_Stiffness!$E$110=7,IF(0=Element_Stiffness!$C$110,Element_Stiffness!Q138,IF(0=Element_Stiffness!$E$110,Element_Stiffness!W138,0)),0)),0)+IF(Element_Stiffness!$C$146,IF(Element_Stiffness!$C$145=7,IF(0=Element_Stiffness!$C$145,Element_Stiffness!Q167,IF(0=Element_Stiffness!$E$145,Element_Stiffness!W167,0)),IF(Element_Stiffness!$E$145=7,IF(0=Element_Stiffness!$C$145,Element_Stiffness!Q173,IF(0=Element_Stiffness!$E$145,Element_Stiffness!W173,0)),0)),0)+IF(Element_Stiffness!$C$181,IF(Element_Stiffness!$C$180=7,IF(0=Element_Stiffness!$C$180,Element_Stiffness!Q202,IF(0=Element_Stiffness!$E$180,Element_Stiffness!W202,0)),IF(Element_Stiffness!$E$180=7,IF(0=Element_Stiffness!$C$180,Element_Stiffness!Q208,IF(0=Element_Stiffness!$E$180,Element_Stiffness!W208,0)),0)),0)+IF(Element_Stiffness!$C$216,IF(Element_Stiffness!$C$215=7,IF(0=Element_Stiffness!$C$215,Element_Stiffness!Q237,IF(0=Element_Stiffness!$E$215,Element_Stiffness!W237,0)),IF(Element_Stiffness!$E$215=7,IF(0=Element_Stiffness!$C$215,Element_Stiffness!Q243,IF(0=Element_Stiffness!$E$215,Element_Stiffness!W243,0)),0)),0)</f>
        <v/>
      </c>
      <c r="E48" s="21">
        <f>IF(Element_Stiffness!$C$6,IF(Element_Stiffness!$C$5=7,IF(0=Element_Stiffness!$C$5,Element_Stiffness!R27,IF(0=Element_Stiffness!$E$5,Element_Stiffness!X27,0)),IF(Element_Stiffness!$E$5=7,IF(0=Element_Stiffness!$C$5,Element_Stiffness!R33,IF(0=Element_Stiffness!$E$5,Element_Stiffness!X33,0)),0)),0)+IF(Element_Stiffness!$C$41,IF(Element_Stiffness!$C$40=7,IF(0=Element_Stiffness!$C$40,Element_Stiffness!R62,IF(0=Element_Stiffness!$E$40,Element_Stiffness!X62,0)),IF(Element_Stiffness!$E$40=7,IF(0=Element_Stiffness!$C$40,Element_Stiffness!R68,IF(0=Element_Stiffness!$E$40,Element_Stiffness!X68,0)),0)),0)+IF(Element_Stiffness!$C$76,IF(Element_Stiffness!$C$75=7,IF(0=Element_Stiffness!$C$75,Element_Stiffness!R97,IF(0=Element_Stiffness!$E$75,Element_Stiffness!X97,0)),IF(Element_Stiffness!$E$75=7,IF(0=Element_Stiffness!$C$75,Element_Stiffness!R103,IF(0=Element_Stiffness!$E$75,Element_Stiffness!X103,0)),0)),0)+IF(Element_Stiffness!$C$111,IF(Element_Stiffness!$C$110=7,IF(0=Element_Stiffness!$C$110,Element_Stiffness!R132,IF(0=Element_Stiffness!$E$110,Element_Stiffness!X132,0)),IF(Element_Stiffness!$E$110=7,IF(0=Element_Stiffness!$C$110,Element_Stiffness!R138,IF(0=Element_Stiffness!$E$110,Element_Stiffness!X138,0)),0)),0)+IF(Element_Stiffness!$C$146,IF(Element_Stiffness!$C$145=7,IF(0=Element_Stiffness!$C$145,Element_Stiffness!R167,IF(0=Element_Stiffness!$E$145,Element_Stiffness!X167,0)),IF(Element_Stiffness!$E$145=7,IF(0=Element_Stiffness!$C$145,Element_Stiffness!R173,IF(0=Element_Stiffness!$E$145,Element_Stiffness!X173,0)),0)),0)+IF(Element_Stiffness!$C$181,IF(Element_Stiffness!$C$180=7,IF(0=Element_Stiffness!$C$180,Element_Stiffness!R202,IF(0=Element_Stiffness!$E$180,Element_Stiffness!X202,0)),IF(Element_Stiffness!$E$180=7,IF(0=Element_Stiffness!$C$180,Element_Stiffness!R208,IF(0=Element_Stiffness!$E$180,Element_Stiffness!X208,0)),0)),0)+IF(Element_Stiffness!$C$216,IF(Element_Stiffness!$C$215=7,IF(0=Element_Stiffness!$C$215,Element_Stiffness!R237,IF(0=Element_Stiffness!$E$215,Element_Stiffness!X237,0)),IF(Element_Stiffness!$E$215=7,IF(0=Element_Stiffness!$C$215,Element_Stiffness!R243,IF(0=Element_Stiffness!$E$215,Element_Stiffness!X243,0)),0)),0)</f>
        <v/>
      </c>
      <c r="F48" s="21">
        <f>IF(Element_Stiffness!$C$6,IF(Element_Stiffness!$C$5=7,IF(0=Element_Stiffness!$C$5,Element_Stiffness!S27,IF(0=Element_Stiffness!$E$5,Element_Stiffness!Y27,0)),IF(Element_Stiffness!$E$5=7,IF(0=Element_Stiffness!$C$5,Element_Stiffness!S33,IF(0=Element_Stiffness!$E$5,Element_Stiffness!Y33,0)),0)),0)+IF(Element_Stiffness!$C$41,IF(Element_Stiffness!$C$40=7,IF(0=Element_Stiffness!$C$40,Element_Stiffness!S62,IF(0=Element_Stiffness!$E$40,Element_Stiffness!Y62,0)),IF(Element_Stiffness!$E$40=7,IF(0=Element_Stiffness!$C$40,Element_Stiffness!S68,IF(0=Element_Stiffness!$E$40,Element_Stiffness!Y68,0)),0)),0)+IF(Element_Stiffness!$C$76,IF(Element_Stiffness!$C$75=7,IF(0=Element_Stiffness!$C$75,Element_Stiffness!S97,IF(0=Element_Stiffness!$E$75,Element_Stiffness!Y97,0)),IF(Element_Stiffness!$E$75=7,IF(0=Element_Stiffness!$C$75,Element_Stiffness!S103,IF(0=Element_Stiffness!$E$75,Element_Stiffness!Y103,0)),0)),0)+IF(Element_Stiffness!$C$111,IF(Element_Stiffness!$C$110=7,IF(0=Element_Stiffness!$C$110,Element_Stiffness!S132,IF(0=Element_Stiffness!$E$110,Element_Stiffness!Y132,0)),IF(Element_Stiffness!$E$110=7,IF(0=Element_Stiffness!$C$110,Element_Stiffness!S138,IF(0=Element_Stiffness!$E$110,Element_Stiffness!Y138,0)),0)),0)+IF(Element_Stiffness!$C$146,IF(Element_Stiffness!$C$145=7,IF(0=Element_Stiffness!$C$145,Element_Stiffness!S167,IF(0=Element_Stiffness!$E$145,Element_Stiffness!Y167,0)),IF(Element_Stiffness!$E$145=7,IF(0=Element_Stiffness!$C$145,Element_Stiffness!S173,IF(0=Element_Stiffness!$E$145,Element_Stiffness!Y173,0)),0)),0)+IF(Element_Stiffness!$C$181,IF(Element_Stiffness!$C$180=7,IF(0=Element_Stiffness!$C$180,Element_Stiffness!S202,IF(0=Element_Stiffness!$E$180,Element_Stiffness!Y202,0)),IF(Element_Stiffness!$E$180=7,IF(0=Element_Stiffness!$C$180,Element_Stiffness!S208,IF(0=Element_Stiffness!$E$180,Element_Stiffness!Y208,0)),0)),0)+IF(Element_Stiffness!$C$216,IF(Element_Stiffness!$C$215=7,IF(0=Element_Stiffness!$C$215,Element_Stiffness!S237,IF(0=Element_Stiffness!$E$215,Element_Stiffness!Y237,0)),IF(Element_Stiffness!$E$215=7,IF(0=Element_Stiffness!$C$215,Element_Stiffness!S243,IF(0=Element_Stiffness!$E$215,Element_Stiffness!Y243,0)),0)),0)</f>
        <v/>
      </c>
      <c r="G48" s="21">
        <f>IF(Element_Stiffness!$C$6,IF(Element_Stiffness!$C$5=7,IF(0=Element_Stiffness!$C$5,Element_Stiffness!T27,IF(0=Element_Stiffness!$E$5,Element_Stiffness!Z27,0)),IF(Element_Stiffness!$E$5=7,IF(0=Element_Stiffness!$C$5,Element_Stiffness!T33,IF(0=Element_Stiffness!$E$5,Element_Stiffness!Z33,0)),0)),0)+IF(Element_Stiffness!$C$41,IF(Element_Stiffness!$C$40=7,IF(0=Element_Stiffness!$C$40,Element_Stiffness!T62,IF(0=Element_Stiffness!$E$40,Element_Stiffness!Z62,0)),IF(Element_Stiffness!$E$40=7,IF(0=Element_Stiffness!$C$40,Element_Stiffness!T68,IF(0=Element_Stiffness!$E$40,Element_Stiffness!Z68,0)),0)),0)+IF(Element_Stiffness!$C$76,IF(Element_Stiffness!$C$75=7,IF(0=Element_Stiffness!$C$75,Element_Stiffness!T97,IF(0=Element_Stiffness!$E$75,Element_Stiffness!Z97,0)),IF(Element_Stiffness!$E$75=7,IF(0=Element_Stiffness!$C$75,Element_Stiffness!T103,IF(0=Element_Stiffness!$E$75,Element_Stiffness!Z103,0)),0)),0)+IF(Element_Stiffness!$C$111,IF(Element_Stiffness!$C$110=7,IF(0=Element_Stiffness!$C$110,Element_Stiffness!T132,IF(0=Element_Stiffness!$E$110,Element_Stiffness!Z132,0)),IF(Element_Stiffness!$E$110=7,IF(0=Element_Stiffness!$C$110,Element_Stiffness!T138,IF(0=Element_Stiffness!$E$110,Element_Stiffness!Z138,0)),0)),0)+IF(Element_Stiffness!$C$146,IF(Element_Stiffness!$C$145=7,IF(0=Element_Stiffness!$C$145,Element_Stiffness!T167,IF(0=Element_Stiffness!$E$145,Element_Stiffness!Z167,0)),IF(Element_Stiffness!$E$145=7,IF(0=Element_Stiffness!$C$145,Element_Stiffness!T173,IF(0=Element_Stiffness!$E$145,Element_Stiffness!Z173,0)),0)),0)+IF(Element_Stiffness!$C$181,IF(Element_Stiffness!$C$180=7,IF(0=Element_Stiffness!$C$180,Element_Stiffness!T202,IF(0=Element_Stiffness!$E$180,Element_Stiffness!Z202,0)),IF(Element_Stiffness!$E$180=7,IF(0=Element_Stiffness!$C$180,Element_Stiffness!T208,IF(0=Element_Stiffness!$E$180,Element_Stiffness!Z208,0)),0)),0)+IF(Element_Stiffness!$C$216,IF(Element_Stiffness!$C$215=7,IF(0=Element_Stiffness!$C$215,Element_Stiffness!T237,IF(0=Element_Stiffness!$E$215,Element_Stiffness!Z237,0)),IF(Element_Stiffness!$E$215=7,IF(0=Element_Stiffness!$C$215,Element_Stiffness!T243,IF(0=Element_Stiffness!$E$215,Element_Stiffness!Z243,0)),0)),0)</f>
        <v/>
      </c>
      <c r="H48" s="21">
        <f>IF(Element_Stiffness!$C$6,IF(Element_Stiffness!$C$5=7,IF(0=Element_Stiffness!$C$5,Element_Stiffness!U27,IF(0=Element_Stiffness!$E$5,Element_Stiffness!AA27,0)),IF(Element_Stiffness!$E$5=7,IF(0=Element_Stiffness!$C$5,Element_Stiffness!U33,IF(0=Element_Stiffness!$E$5,Element_Stiffness!AA33,0)),0)),0)+IF(Element_Stiffness!$C$41,IF(Element_Stiffness!$C$40=7,IF(0=Element_Stiffness!$C$40,Element_Stiffness!U62,IF(0=Element_Stiffness!$E$40,Element_Stiffness!AA62,0)),IF(Element_Stiffness!$E$40=7,IF(0=Element_Stiffness!$C$40,Element_Stiffness!U68,IF(0=Element_Stiffness!$E$40,Element_Stiffness!AA68,0)),0)),0)+IF(Element_Stiffness!$C$76,IF(Element_Stiffness!$C$75=7,IF(0=Element_Stiffness!$C$75,Element_Stiffness!U97,IF(0=Element_Stiffness!$E$75,Element_Stiffness!AA97,0)),IF(Element_Stiffness!$E$75=7,IF(0=Element_Stiffness!$C$75,Element_Stiffness!U103,IF(0=Element_Stiffness!$E$75,Element_Stiffness!AA103,0)),0)),0)+IF(Element_Stiffness!$C$111,IF(Element_Stiffness!$C$110=7,IF(0=Element_Stiffness!$C$110,Element_Stiffness!U132,IF(0=Element_Stiffness!$E$110,Element_Stiffness!AA132,0)),IF(Element_Stiffness!$E$110=7,IF(0=Element_Stiffness!$C$110,Element_Stiffness!U138,IF(0=Element_Stiffness!$E$110,Element_Stiffness!AA138,0)),0)),0)+IF(Element_Stiffness!$C$146,IF(Element_Stiffness!$C$145=7,IF(0=Element_Stiffness!$C$145,Element_Stiffness!U167,IF(0=Element_Stiffness!$E$145,Element_Stiffness!AA167,0)),IF(Element_Stiffness!$E$145=7,IF(0=Element_Stiffness!$C$145,Element_Stiffness!U173,IF(0=Element_Stiffness!$E$145,Element_Stiffness!AA173,0)),0)),0)+IF(Element_Stiffness!$C$181,IF(Element_Stiffness!$C$180=7,IF(0=Element_Stiffness!$C$180,Element_Stiffness!U202,IF(0=Element_Stiffness!$E$180,Element_Stiffness!AA202,0)),IF(Element_Stiffness!$E$180=7,IF(0=Element_Stiffness!$C$180,Element_Stiffness!U208,IF(0=Element_Stiffness!$E$180,Element_Stiffness!AA208,0)),0)),0)+IF(Element_Stiffness!$C$216,IF(Element_Stiffness!$C$215=7,IF(0=Element_Stiffness!$C$215,Element_Stiffness!U237,IF(0=Element_Stiffness!$E$215,Element_Stiffness!AA237,0)),IF(Element_Stiffness!$E$215=7,IF(0=Element_Stiffness!$C$215,Element_Stiffness!U243,IF(0=Element_Stiffness!$E$215,Element_Stiffness!AA243,0)),0)),0)</f>
        <v/>
      </c>
      <c r="I48" s="21">
        <f>IF(Element_Stiffness!$C$6,IF(Element_Stiffness!$C$5=7,IF(1=Element_Stiffness!$C$5,Element_Stiffness!P27,IF(1=Element_Stiffness!$E$5,Element_Stiffness!V27,0)),IF(Element_Stiffness!$E$5=7,IF(1=Element_Stiffness!$C$5,Element_Stiffness!P33,IF(1=Element_Stiffness!$E$5,Element_Stiffness!V33,0)),0)),0)+IF(Element_Stiffness!$C$41,IF(Element_Stiffness!$C$40=7,IF(1=Element_Stiffness!$C$40,Element_Stiffness!P62,IF(1=Element_Stiffness!$E$40,Element_Stiffness!V62,0)),IF(Element_Stiffness!$E$40=7,IF(1=Element_Stiffness!$C$40,Element_Stiffness!P68,IF(1=Element_Stiffness!$E$40,Element_Stiffness!V68,0)),0)),0)+IF(Element_Stiffness!$C$76,IF(Element_Stiffness!$C$75=7,IF(1=Element_Stiffness!$C$75,Element_Stiffness!P97,IF(1=Element_Stiffness!$E$75,Element_Stiffness!V97,0)),IF(Element_Stiffness!$E$75=7,IF(1=Element_Stiffness!$C$75,Element_Stiffness!P103,IF(1=Element_Stiffness!$E$75,Element_Stiffness!V103,0)),0)),0)+IF(Element_Stiffness!$C$111,IF(Element_Stiffness!$C$110=7,IF(1=Element_Stiffness!$C$110,Element_Stiffness!P132,IF(1=Element_Stiffness!$E$110,Element_Stiffness!V132,0)),IF(Element_Stiffness!$E$110=7,IF(1=Element_Stiffness!$C$110,Element_Stiffness!P138,IF(1=Element_Stiffness!$E$110,Element_Stiffness!V138,0)),0)),0)+IF(Element_Stiffness!$C$146,IF(Element_Stiffness!$C$145=7,IF(1=Element_Stiffness!$C$145,Element_Stiffness!P167,IF(1=Element_Stiffness!$E$145,Element_Stiffness!V167,0)),IF(Element_Stiffness!$E$145=7,IF(1=Element_Stiffness!$C$145,Element_Stiffness!P173,IF(1=Element_Stiffness!$E$145,Element_Stiffness!V173,0)),0)),0)+IF(Element_Stiffness!$C$181,IF(Element_Stiffness!$C$180=7,IF(1=Element_Stiffness!$C$180,Element_Stiffness!P202,IF(1=Element_Stiffness!$E$180,Element_Stiffness!V202,0)),IF(Element_Stiffness!$E$180=7,IF(1=Element_Stiffness!$C$180,Element_Stiffness!P208,IF(1=Element_Stiffness!$E$180,Element_Stiffness!V208,0)),0)),0)+IF(Element_Stiffness!$C$216,IF(Element_Stiffness!$C$215=7,IF(1=Element_Stiffness!$C$215,Element_Stiffness!P237,IF(1=Element_Stiffness!$E$215,Element_Stiffness!V237,0)),IF(Element_Stiffness!$E$215=7,IF(1=Element_Stiffness!$C$215,Element_Stiffness!P243,IF(1=Element_Stiffness!$E$215,Element_Stiffness!V243,0)),0)),0)</f>
        <v/>
      </c>
      <c r="J48" s="21">
        <f>IF(Element_Stiffness!$C$6,IF(Element_Stiffness!$C$5=7,IF(1=Element_Stiffness!$C$5,Element_Stiffness!Q27,IF(1=Element_Stiffness!$E$5,Element_Stiffness!W27,0)),IF(Element_Stiffness!$E$5=7,IF(1=Element_Stiffness!$C$5,Element_Stiffness!Q33,IF(1=Element_Stiffness!$E$5,Element_Stiffness!W33,0)),0)),0)+IF(Element_Stiffness!$C$41,IF(Element_Stiffness!$C$40=7,IF(1=Element_Stiffness!$C$40,Element_Stiffness!Q62,IF(1=Element_Stiffness!$E$40,Element_Stiffness!W62,0)),IF(Element_Stiffness!$E$40=7,IF(1=Element_Stiffness!$C$40,Element_Stiffness!Q68,IF(1=Element_Stiffness!$E$40,Element_Stiffness!W68,0)),0)),0)+IF(Element_Stiffness!$C$76,IF(Element_Stiffness!$C$75=7,IF(1=Element_Stiffness!$C$75,Element_Stiffness!Q97,IF(1=Element_Stiffness!$E$75,Element_Stiffness!W97,0)),IF(Element_Stiffness!$E$75=7,IF(1=Element_Stiffness!$C$75,Element_Stiffness!Q103,IF(1=Element_Stiffness!$E$75,Element_Stiffness!W103,0)),0)),0)+IF(Element_Stiffness!$C$111,IF(Element_Stiffness!$C$110=7,IF(1=Element_Stiffness!$C$110,Element_Stiffness!Q132,IF(1=Element_Stiffness!$E$110,Element_Stiffness!W132,0)),IF(Element_Stiffness!$E$110=7,IF(1=Element_Stiffness!$C$110,Element_Stiffness!Q138,IF(1=Element_Stiffness!$E$110,Element_Stiffness!W138,0)),0)),0)+IF(Element_Stiffness!$C$146,IF(Element_Stiffness!$C$145=7,IF(1=Element_Stiffness!$C$145,Element_Stiffness!Q167,IF(1=Element_Stiffness!$E$145,Element_Stiffness!W167,0)),IF(Element_Stiffness!$E$145=7,IF(1=Element_Stiffness!$C$145,Element_Stiffness!Q173,IF(1=Element_Stiffness!$E$145,Element_Stiffness!W173,0)),0)),0)+IF(Element_Stiffness!$C$181,IF(Element_Stiffness!$C$180=7,IF(1=Element_Stiffness!$C$180,Element_Stiffness!Q202,IF(1=Element_Stiffness!$E$180,Element_Stiffness!W202,0)),IF(Element_Stiffness!$E$180=7,IF(1=Element_Stiffness!$C$180,Element_Stiffness!Q208,IF(1=Element_Stiffness!$E$180,Element_Stiffness!W208,0)),0)),0)+IF(Element_Stiffness!$C$216,IF(Element_Stiffness!$C$215=7,IF(1=Element_Stiffness!$C$215,Element_Stiffness!Q237,IF(1=Element_Stiffness!$E$215,Element_Stiffness!W237,0)),IF(Element_Stiffness!$E$215=7,IF(1=Element_Stiffness!$C$215,Element_Stiffness!Q243,IF(1=Element_Stiffness!$E$215,Element_Stiffness!W243,0)),0)),0)</f>
        <v/>
      </c>
      <c r="K48" s="21">
        <f>IF(Element_Stiffness!$C$6,IF(Element_Stiffness!$C$5=7,IF(1=Element_Stiffness!$C$5,Element_Stiffness!R27,IF(1=Element_Stiffness!$E$5,Element_Stiffness!X27,0)),IF(Element_Stiffness!$E$5=7,IF(1=Element_Stiffness!$C$5,Element_Stiffness!R33,IF(1=Element_Stiffness!$E$5,Element_Stiffness!X33,0)),0)),0)+IF(Element_Stiffness!$C$41,IF(Element_Stiffness!$C$40=7,IF(1=Element_Stiffness!$C$40,Element_Stiffness!R62,IF(1=Element_Stiffness!$E$40,Element_Stiffness!X62,0)),IF(Element_Stiffness!$E$40=7,IF(1=Element_Stiffness!$C$40,Element_Stiffness!R68,IF(1=Element_Stiffness!$E$40,Element_Stiffness!X68,0)),0)),0)+IF(Element_Stiffness!$C$76,IF(Element_Stiffness!$C$75=7,IF(1=Element_Stiffness!$C$75,Element_Stiffness!R97,IF(1=Element_Stiffness!$E$75,Element_Stiffness!X97,0)),IF(Element_Stiffness!$E$75=7,IF(1=Element_Stiffness!$C$75,Element_Stiffness!R103,IF(1=Element_Stiffness!$E$75,Element_Stiffness!X103,0)),0)),0)+IF(Element_Stiffness!$C$111,IF(Element_Stiffness!$C$110=7,IF(1=Element_Stiffness!$C$110,Element_Stiffness!R132,IF(1=Element_Stiffness!$E$110,Element_Stiffness!X132,0)),IF(Element_Stiffness!$E$110=7,IF(1=Element_Stiffness!$C$110,Element_Stiffness!R138,IF(1=Element_Stiffness!$E$110,Element_Stiffness!X138,0)),0)),0)+IF(Element_Stiffness!$C$146,IF(Element_Stiffness!$C$145=7,IF(1=Element_Stiffness!$C$145,Element_Stiffness!R167,IF(1=Element_Stiffness!$E$145,Element_Stiffness!X167,0)),IF(Element_Stiffness!$E$145=7,IF(1=Element_Stiffness!$C$145,Element_Stiffness!R173,IF(1=Element_Stiffness!$E$145,Element_Stiffness!X173,0)),0)),0)+IF(Element_Stiffness!$C$181,IF(Element_Stiffness!$C$180=7,IF(1=Element_Stiffness!$C$180,Element_Stiffness!R202,IF(1=Element_Stiffness!$E$180,Element_Stiffness!X202,0)),IF(Element_Stiffness!$E$180=7,IF(1=Element_Stiffness!$C$180,Element_Stiffness!R208,IF(1=Element_Stiffness!$E$180,Element_Stiffness!X208,0)),0)),0)+IF(Element_Stiffness!$C$216,IF(Element_Stiffness!$C$215=7,IF(1=Element_Stiffness!$C$215,Element_Stiffness!R237,IF(1=Element_Stiffness!$E$215,Element_Stiffness!X237,0)),IF(Element_Stiffness!$E$215=7,IF(1=Element_Stiffness!$C$215,Element_Stiffness!R243,IF(1=Element_Stiffness!$E$215,Element_Stiffness!X243,0)),0)),0)</f>
        <v/>
      </c>
      <c r="L48" s="21">
        <f>IF(Element_Stiffness!$C$6,IF(Element_Stiffness!$C$5=7,IF(1=Element_Stiffness!$C$5,Element_Stiffness!S27,IF(1=Element_Stiffness!$E$5,Element_Stiffness!Y27,0)),IF(Element_Stiffness!$E$5=7,IF(1=Element_Stiffness!$C$5,Element_Stiffness!S33,IF(1=Element_Stiffness!$E$5,Element_Stiffness!Y33,0)),0)),0)+IF(Element_Stiffness!$C$41,IF(Element_Stiffness!$C$40=7,IF(1=Element_Stiffness!$C$40,Element_Stiffness!S62,IF(1=Element_Stiffness!$E$40,Element_Stiffness!Y62,0)),IF(Element_Stiffness!$E$40=7,IF(1=Element_Stiffness!$C$40,Element_Stiffness!S68,IF(1=Element_Stiffness!$E$40,Element_Stiffness!Y68,0)),0)),0)+IF(Element_Stiffness!$C$76,IF(Element_Stiffness!$C$75=7,IF(1=Element_Stiffness!$C$75,Element_Stiffness!S97,IF(1=Element_Stiffness!$E$75,Element_Stiffness!Y97,0)),IF(Element_Stiffness!$E$75=7,IF(1=Element_Stiffness!$C$75,Element_Stiffness!S103,IF(1=Element_Stiffness!$E$75,Element_Stiffness!Y103,0)),0)),0)+IF(Element_Stiffness!$C$111,IF(Element_Stiffness!$C$110=7,IF(1=Element_Stiffness!$C$110,Element_Stiffness!S132,IF(1=Element_Stiffness!$E$110,Element_Stiffness!Y132,0)),IF(Element_Stiffness!$E$110=7,IF(1=Element_Stiffness!$C$110,Element_Stiffness!S138,IF(1=Element_Stiffness!$E$110,Element_Stiffness!Y138,0)),0)),0)+IF(Element_Stiffness!$C$146,IF(Element_Stiffness!$C$145=7,IF(1=Element_Stiffness!$C$145,Element_Stiffness!S167,IF(1=Element_Stiffness!$E$145,Element_Stiffness!Y167,0)),IF(Element_Stiffness!$E$145=7,IF(1=Element_Stiffness!$C$145,Element_Stiffness!S173,IF(1=Element_Stiffness!$E$145,Element_Stiffness!Y173,0)),0)),0)+IF(Element_Stiffness!$C$181,IF(Element_Stiffness!$C$180=7,IF(1=Element_Stiffness!$C$180,Element_Stiffness!S202,IF(1=Element_Stiffness!$E$180,Element_Stiffness!Y202,0)),IF(Element_Stiffness!$E$180=7,IF(1=Element_Stiffness!$C$180,Element_Stiffness!S208,IF(1=Element_Stiffness!$E$180,Element_Stiffness!Y208,0)),0)),0)+IF(Element_Stiffness!$C$216,IF(Element_Stiffness!$C$215=7,IF(1=Element_Stiffness!$C$215,Element_Stiffness!S237,IF(1=Element_Stiffness!$E$215,Element_Stiffness!Y237,0)),IF(Element_Stiffness!$E$215=7,IF(1=Element_Stiffness!$C$215,Element_Stiffness!S243,IF(1=Element_Stiffness!$E$215,Element_Stiffness!Y243,0)),0)),0)</f>
        <v/>
      </c>
      <c r="M48" s="21">
        <f>IF(Element_Stiffness!$C$6,IF(Element_Stiffness!$C$5=7,IF(1=Element_Stiffness!$C$5,Element_Stiffness!T27,IF(1=Element_Stiffness!$E$5,Element_Stiffness!Z27,0)),IF(Element_Stiffness!$E$5=7,IF(1=Element_Stiffness!$C$5,Element_Stiffness!T33,IF(1=Element_Stiffness!$E$5,Element_Stiffness!Z33,0)),0)),0)+IF(Element_Stiffness!$C$41,IF(Element_Stiffness!$C$40=7,IF(1=Element_Stiffness!$C$40,Element_Stiffness!T62,IF(1=Element_Stiffness!$E$40,Element_Stiffness!Z62,0)),IF(Element_Stiffness!$E$40=7,IF(1=Element_Stiffness!$C$40,Element_Stiffness!T68,IF(1=Element_Stiffness!$E$40,Element_Stiffness!Z68,0)),0)),0)+IF(Element_Stiffness!$C$76,IF(Element_Stiffness!$C$75=7,IF(1=Element_Stiffness!$C$75,Element_Stiffness!T97,IF(1=Element_Stiffness!$E$75,Element_Stiffness!Z97,0)),IF(Element_Stiffness!$E$75=7,IF(1=Element_Stiffness!$C$75,Element_Stiffness!T103,IF(1=Element_Stiffness!$E$75,Element_Stiffness!Z103,0)),0)),0)+IF(Element_Stiffness!$C$111,IF(Element_Stiffness!$C$110=7,IF(1=Element_Stiffness!$C$110,Element_Stiffness!T132,IF(1=Element_Stiffness!$E$110,Element_Stiffness!Z132,0)),IF(Element_Stiffness!$E$110=7,IF(1=Element_Stiffness!$C$110,Element_Stiffness!T138,IF(1=Element_Stiffness!$E$110,Element_Stiffness!Z138,0)),0)),0)+IF(Element_Stiffness!$C$146,IF(Element_Stiffness!$C$145=7,IF(1=Element_Stiffness!$C$145,Element_Stiffness!T167,IF(1=Element_Stiffness!$E$145,Element_Stiffness!Z167,0)),IF(Element_Stiffness!$E$145=7,IF(1=Element_Stiffness!$C$145,Element_Stiffness!T173,IF(1=Element_Stiffness!$E$145,Element_Stiffness!Z173,0)),0)),0)+IF(Element_Stiffness!$C$181,IF(Element_Stiffness!$C$180=7,IF(1=Element_Stiffness!$C$180,Element_Stiffness!T202,IF(1=Element_Stiffness!$E$180,Element_Stiffness!Z202,0)),IF(Element_Stiffness!$E$180=7,IF(1=Element_Stiffness!$C$180,Element_Stiffness!T208,IF(1=Element_Stiffness!$E$180,Element_Stiffness!Z208,0)),0)),0)+IF(Element_Stiffness!$C$216,IF(Element_Stiffness!$C$215=7,IF(1=Element_Stiffness!$C$215,Element_Stiffness!T237,IF(1=Element_Stiffness!$E$215,Element_Stiffness!Z237,0)),IF(Element_Stiffness!$E$215=7,IF(1=Element_Stiffness!$C$215,Element_Stiffness!T243,IF(1=Element_Stiffness!$E$215,Element_Stiffness!Z243,0)),0)),0)</f>
        <v/>
      </c>
      <c r="N48" s="21">
        <f>IF(Element_Stiffness!$C$6,IF(Element_Stiffness!$C$5=7,IF(1=Element_Stiffness!$C$5,Element_Stiffness!U27,IF(1=Element_Stiffness!$E$5,Element_Stiffness!AA27,0)),IF(Element_Stiffness!$E$5=7,IF(1=Element_Stiffness!$C$5,Element_Stiffness!U33,IF(1=Element_Stiffness!$E$5,Element_Stiffness!AA33,0)),0)),0)+IF(Element_Stiffness!$C$41,IF(Element_Stiffness!$C$40=7,IF(1=Element_Stiffness!$C$40,Element_Stiffness!U62,IF(1=Element_Stiffness!$E$40,Element_Stiffness!AA62,0)),IF(Element_Stiffness!$E$40=7,IF(1=Element_Stiffness!$C$40,Element_Stiffness!U68,IF(1=Element_Stiffness!$E$40,Element_Stiffness!AA68,0)),0)),0)+IF(Element_Stiffness!$C$76,IF(Element_Stiffness!$C$75=7,IF(1=Element_Stiffness!$C$75,Element_Stiffness!U97,IF(1=Element_Stiffness!$E$75,Element_Stiffness!AA97,0)),IF(Element_Stiffness!$E$75=7,IF(1=Element_Stiffness!$C$75,Element_Stiffness!U103,IF(1=Element_Stiffness!$E$75,Element_Stiffness!AA103,0)),0)),0)+IF(Element_Stiffness!$C$111,IF(Element_Stiffness!$C$110=7,IF(1=Element_Stiffness!$C$110,Element_Stiffness!U132,IF(1=Element_Stiffness!$E$110,Element_Stiffness!AA132,0)),IF(Element_Stiffness!$E$110=7,IF(1=Element_Stiffness!$C$110,Element_Stiffness!U138,IF(1=Element_Stiffness!$E$110,Element_Stiffness!AA138,0)),0)),0)+IF(Element_Stiffness!$C$146,IF(Element_Stiffness!$C$145=7,IF(1=Element_Stiffness!$C$145,Element_Stiffness!U167,IF(1=Element_Stiffness!$E$145,Element_Stiffness!AA167,0)),IF(Element_Stiffness!$E$145=7,IF(1=Element_Stiffness!$C$145,Element_Stiffness!U173,IF(1=Element_Stiffness!$E$145,Element_Stiffness!AA173,0)),0)),0)+IF(Element_Stiffness!$C$181,IF(Element_Stiffness!$C$180=7,IF(1=Element_Stiffness!$C$180,Element_Stiffness!U202,IF(1=Element_Stiffness!$E$180,Element_Stiffness!AA202,0)),IF(Element_Stiffness!$E$180=7,IF(1=Element_Stiffness!$C$180,Element_Stiffness!U208,IF(1=Element_Stiffness!$E$180,Element_Stiffness!AA208,0)),0)),0)+IF(Element_Stiffness!$C$216,IF(Element_Stiffness!$C$215=7,IF(1=Element_Stiffness!$C$215,Element_Stiffness!U237,IF(1=Element_Stiffness!$E$215,Element_Stiffness!AA237,0)),IF(Element_Stiffness!$E$215=7,IF(1=Element_Stiffness!$C$215,Element_Stiffness!U243,IF(1=Element_Stiffness!$E$215,Element_Stiffness!AA243,0)),0)),0)</f>
        <v/>
      </c>
      <c r="O48" s="21">
        <f>IF(Element_Stiffness!$C$6,IF(Element_Stiffness!$C$5=7,IF(2=Element_Stiffness!$C$5,Element_Stiffness!P27,IF(2=Element_Stiffness!$E$5,Element_Stiffness!V27,0)),IF(Element_Stiffness!$E$5=7,IF(2=Element_Stiffness!$C$5,Element_Stiffness!P33,IF(2=Element_Stiffness!$E$5,Element_Stiffness!V33,0)),0)),0)+IF(Element_Stiffness!$C$41,IF(Element_Stiffness!$C$40=7,IF(2=Element_Stiffness!$C$40,Element_Stiffness!P62,IF(2=Element_Stiffness!$E$40,Element_Stiffness!V62,0)),IF(Element_Stiffness!$E$40=7,IF(2=Element_Stiffness!$C$40,Element_Stiffness!P68,IF(2=Element_Stiffness!$E$40,Element_Stiffness!V68,0)),0)),0)+IF(Element_Stiffness!$C$76,IF(Element_Stiffness!$C$75=7,IF(2=Element_Stiffness!$C$75,Element_Stiffness!P97,IF(2=Element_Stiffness!$E$75,Element_Stiffness!V97,0)),IF(Element_Stiffness!$E$75=7,IF(2=Element_Stiffness!$C$75,Element_Stiffness!P103,IF(2=Element_Stiffness!$E$75,Element_Stiffness!V103,0)),0)),0)+IF(Element_Stiffness!$C$111,IF(Element_Stiffness!$C$110=7,IF(2=Element_Stiffness!$C$110,Element_Stiffness!P132,IF(2=Element_Stiffness!$E$110,Element_Stiffness!V132,0)),IF(Element_Stiffness!$E$110=7,IF(2=Element_Stiffness!$C$110,Element_Stiffness!P138,IF(2=Element_Stiffness!$E$110,Element_Stiffness!V138,0)),0)),0)+IF(Element_Stiffness!$C$146,IF(Element_Stiffness!$C$145=7,IF(2=Element_Stiffness!$C$145,Element_Stiffness!P167,IF(2=Element_Stiffness!$E$145,Element_Stiffness!V167,0)),IF(Element_Stiffness!$E$145=7,IF(2=Element_Stiffness!$C$145,Element_Stiffness!P173,IF(2=Element_Stiffness!$E$145,Element_Stiffness!V173,0)),0)),0)+IF(Element_Stiffness!$C$181,IF(Element_Stiffness!$C$180=7,IF(2=Element_Stiffness!$C$180,Element_Stiffness!P202,IF(2=Element_Stiffness!$E$180,Element_Stiffness!V202,0)),IF(Element_Stiffness!$E$180=7,IF(2=Element_Stiffness!$C$180,Element_Stiffness!P208,IF(2=Element_Stiffness!$E$180,Element_Stiffness!V208,0)),0)),0)+IF(Element_Stiffness!$C$216,IF(Element_Stiffness!$C$215=7,IF(2=Element_Stiffness!$C$215,Element_Stiffness!P237,IF(2=Element_Stiffness!$E$215,Element_Stiffness!V237,0)),IF(Element_Stiffness!$E$215=7,IF(2=Element_Stiffness!$C$215,Element_Stiffness!P243,IF(2=Element_Stiffness!$E$215,Element_Stiffness!V243,0)),0)),0)</f>
        <v/>
      </c>
      <c r="P48" s="21">
        <f>IF(Element_Stiffness!$C$6,IF(Element_Stiffness!$C$5=7,IF(2=Element_Stiffness!$C$5,Element_Stiffness!Q27,IF(2=Element_Stiffness!$E$5,Element_Stiffness!W27,0)),IF(Element_Stiffness!$E$5=7,IF(2=Element_Stiffness!$C$5,Element_Stiffness!Q33,IF(2=Element_Stiffness!$E$5,Element_Stiffness!W33,0)),0)),0)+IF(Element_Stiffness!$C$41,IF(Element_Stiffness!$C$40=7,IF(2=Element_Stiffness!$C$40,Element_Stiffness!Q62,IF(2=Element_Stiffness!$E$40,Element_Stiffness!W62,0)),IF(Element_Stiffness!$E$40=7,IF(2=Element_Stiffness!$C$40,Element_Stiffness!Q68,IF(2=Element_Stiffness!$E$40,Element_Stiffness!W68,0)),0)),0)+IF(Element_Stiffness!$C$76,IF(Element_Stiffness!$C$75=7,IF(2=Element_Stiffness!$C$75,Element_Stiffness!Q97,IF(2=Element_Stiffness!$E$75,Element_Stiffness!W97,0)),IF(Element_Stiffness!$E$75=7,IF(2=Element_Stiffness!$C$75,Element_Stiffness!Q103,IF(2=Element_Stiffness!$E$75,Element_Stiffness!W103,0)),0)),0)+IF(Element_Stiffness!$C$111,IF(Element_Stiffness!$C$110=7,IF(2=Element_Stiffness!$C$110,Element_Stiffness!Q132,IF(2=Element_Stiffness!$E$110,Element_Stiffness!W132,0)),IF(Element_Stiffness!$E$110=7,IF(2=Element_Stiffness!$C$110,Element_Stiffness!Q138,IF(2=Element_Stiffness!$E$110,Element_Stiffness!W138,0)),0)),0)+IF(Element_Stiffness!$C$146,IF(Element_Stiffness!$C$145=7,IF(2=Element_Stiffness!$C$145,Element_Stiffness!Q167,IF(2=Element_Stiffness!$E$145,Element_Stiffness!W167,0)),IF(Element_Stiffness!$E$145=7,IF(2=Element_Stiffness!$C$145,Element_Stiffness!Q173,IF(2=Element_Stiffness!$E$145,Element_Stiffness!W173,0)),0)),0)+IF(Element_Stiffness!$C$181,IF(Element_Stiffness!$C$180=7,IF(2=Element_Stiffness!$C$180,Element_Stiffness!Q202,IF(2=Element_Stiffness!$E$180,Element_Stiffness!W202,0)),IF(Element_Stiffness!$E$180=7,IF(2=Element_Stiffness!$C$180,Element_Stiffness!Q208,IF(2=Element_Stiffness!$E$180,Element_Stiffness!W208,0)),0)),0)+IF(Element_Stiffness!$C$216,IF(Element_Stiffness!$C$215=7,IF(2=Element_Stiffness!$C$215,Element_Stiffness!Q237,IF(2=Element_Stiffness!$E$215,Element_Stiffness!W237,0)),IF(Element_Stiffness!$E$215=7,IF(2=Element_Stiffness!$C$215,Element_Stiffness!Q243,IF(2=Element_Stiffness!$E$215,Element_Stiffness!W243,0)),0)),0)</f>
        <v/>
      </c>
      <c r="Q48" s="21">
        <f>IF(Element_Stiffness!$C$6,IF(Element_Stiffness!$C$5=7,IF(2=Element_Stiffness!$C$5,Element_Stiffness!R27,IF(2=Element_Stiffness!$E$5,Element_Stiffness!X27,0)),IF(Element_Stiffness!$E$5=7,IF(2=Element_Stiffness!$C$5,Element_Stiffness!R33,IF(2=Element_Stiffness!$E$5,Element_Stiffness!X33,0)),0)),0)+IF(Element_Stiffness!$C$41,IF(Element_Stiffness!$C$40=7,IF(2=Element_Stiffness!$C$40,Element_Stiffness!R62,IF(2=Element_Stiffness!$E$40,Element_Stiffness!X62,0)),IF(Element_Stiffness!$E$40=7,IF(2=Element_Stiffness!$C$40,Element_Stiffness!R68,IF(2=Element_Stiffness!$E$40,Element_Stiffness!X68,0)),0)),0)+IF(Element_Stiffness!$C$76,IF(Element_Stiffness!$C$75=7,IF(2=Element_Stiffness!$C$75,Element_Stiffness!R97,IF(2=Element_Stiffness!$E$75,Element_Stiffness!X97,0)),IF(Element_Stiffness!$E$75=7,IF(2=Element_Stiffness!$C$75,Element_Stiffness!R103,IF(2=Element_Stiffness!$E$75,Element_Stiffness!X103,0)),0)),0)+IF(Element_Stiffness!$C$111,IF(Element_Stiffness!$C$110=7,IF(2=Element_Stiffness!$C$110,Element_Stiffness!R132,IF(2=Element_Stiffness!$E$110,Element_Stiffness!X132,0)),IF(Element_Stiffness!$E$110=7,IF(2=Element_Stiffness!$C$110,Element_Stiffness!R138,IF(2=Element_Stiffness!$E$110,Element_Stiffness!X138,0)),0)),0)+IF(Element_Stiffness!$C$146,IF(Element_Stiffness!$C$145=7,IF(2=Element_Stiffness!$C$145,Element_Stiffness!R167,IF(2=Element_Stiffness!$E$145,Element_Stiffness!X167,0)),IF(Element_Stiffness!$E$145=7,IF(2=Element_Stiffness!$C$145,Element_Stiffness!R173,IF(2=Element_Stiffness!$E$145,Element_Stiffness!X173,0)),0)),0)+IF(Element_Stiffness!$C$181,IF(Element_Stiffness!$C$180=7,IF(2=Element_Stiffness!$C$180,Element_Stiffness!R202,IF(2=Element_Stiffness!$E$180,Element_Stiffness!X202,0)),IF(Element_Stiffness!$E$180=7,IF(2=Element_Stiffness!$C$180,Element_Stiffness!R208,IF(2=Element_Stiffness!$E$180,Element_Stiffness!X208,0)),0)),0)+IF(Element_Stiffness!$C$216,IF(Element_Stiffness!$C$215=7,IF(2=Element_Stiffness!$C$215,Element_Stiffness!R237,IF(2=Element_Stiffness!$E$215,Element_Stiffness!X237,0)),IF(Element_Stiffness!$E$215=7,IF(2=Element_Stiffness!$C$215,Element_Stiffness!R243,IF(2=Element_Stiffness!$E$215,Element_Stiffness!X243,0)),0)),0)</f>
        <v/>
      </c>
      <c r="R48" s="21">
        <f>IF(Element_Stiffness!$C$6,IF(Element_Stiffness!$C$5=7,IF(2=Element_Stiffness!$C$5,Element_Stiffness!S27,IF(2=Element_Stiffness!$E$5,Element_Stiffness!Y27,0)),IF(Element_Stiffness!$E$5=7,IF(2=Element_Stiffness!$C$5,Element_Stiffness!S33,IF(2=Element_Stiffness!$E$5,Element_Stiffness!Y33,0)),0)),0)+IF(Element_Stiffness!$C$41,IF(Element_Stiffness!$C$40=7,IF(2=Element_Stiffness!$C$40,Element_Stiffness!S62,IF(2=Element_Stiffness!$E$40,Element_Stiffness!Y62,0)),IF(Element_Stiffness!$E$40=7,IF(2=Element_Stiffness!$C$40,Element_Stiffness!S68,IF(2=Element_Stiffness!$E$40,Element_Stiffness!Y68,0)),0)),0)+IF(Element_Stiffness!$C$76,IF(Element_Stiffness!$C$75=7,IF(2=Element_Stiffness!$C$75,Element_Stiffness!S97,IF(2=Element_Stiffness!$E$75,Element_Stiffness!Y97,0)),IF(Element_Stiffness!$E$75=7,IF(2=Element_Stiffness!$C$75,Element_Stiffness!S103,IF(2=Element_Stiffness!$E$75,Element_Stiffness!Y103,0)),0)),0)+IF(Element_Stiffness!$C$111,IF(Element_Stiffness!$C$110=7,IF(2=Element_Stiffness!$C$110,Element_Stiffness!S132,IF(2=Element_Stiffness!$E$110,Element_Stiffness!Y132,0)),IF(Element_Stiffness!$E$110=7,IF(2=Element_Stiffness!$C$110,Element_Stiffness!S138,IF(2=Element_Stiffness!$E$110,Element_Stiffness!Y138,0)),0)),0)+IF(Element_Stiffness!$C$146,IF(Element_Stiffness!$C$145=7,IF(2=Element_Stiffness!$C$145,Element_Stiffness!S167,IF(2=Element_Stiffness!$E$145,Element_Stiffness!Y167,0)),IF(Element_Stiffness!$E$145=7,IF(2=Element_Stiffness!$C$145,Element_Stiffness!S173,IF(2=Element_Stiffness!$E$145,Element_Stiffness!Y173,0)),0)),0)+IF(Element_Stiffness!$C$181,IF(Element_Stiffness!$C$180=7,IF(2=Element_Stiffness!$C$180,Element_Stiffness!S202,IF(2=Element_Stiffness!$E$180,Element_Stiffness!Y202,0)),IF(Element_Stiffness!$E$180=7,IF(2=Element_Stiffness!$C$180,Element_Stiffness!S208,IF(2=Element_Stiffness!$E$180,Element_Stiffness!Y208,0)),0)),0)+IF(Element_Stiffness!$C$216,IF(Element_Stiffness!$C$215=7,IF(2=Element_Stiffness!$C$215,Element_Stiffness!S237,IF(2=Element_Stiffness!$E$215,Element_Stiffness!Y237,0)),IF(Element_Stiffness!$E$215=7,IF(2=Element_Stiffness!$C$215,Element_Stiffness!S243,IF(2=Element_Stiffness!$E$215,Element_Stiffness!Y243,0)),0)),0)</f>
        <v/>
      </c>
      <c r="S48" s="21">
        <f>IF(Element_Stiffness!$C$6,IF(Element_Stiffness!$C$5=7,IF(2=Element_Stiffness!$C$5,Element_Stiffness!T27,IF(2=Element_Stiffness!$E$5,Element_Stiffness!Z27,0)),IF(Element_Stiffness!$E$5=7,IF(2=Element_Stiffness!$C$5,Element_Stiffness!T33,IF(2=Element_Stiffness!$E$5,Element_Stiffness!Z33,0)),0)),0)+IF(Element_Stiffness!$C$41,IF(Element_Stiffness!$C$40=7,IF(2=Element_Stiffness!$C$40,Element_Stiffness!T62,IF(2=Element_Stiffness!$E$40,Element_Stiffness!Z62,0)),IF(Element_Stiffness!$E$40=7,IF(2=Element_Stiffness!$C$40,Element_Stiffness!T68,IF(2=Element_Stiffness!$E$40,Element_Stiffness!Z68,0)),0)),0)+IF(Element_Stiffness!$C$76,IF(Element_Stiffness!$C$75=7,IF(2=Element_Stiffness!$C$75,Element_Stiffness!T97,IF(2=Element_Stiffness!$E$75,Element_Stiffness!Z97,0)),IF(Element_Stiffness!$E$75=7,IF(2=Element_Stiffness!$C$75,Element_Stiffness!T103,IF(2=Element_Stiffness!$E$75,Element_Stiffness!Z103,0)),0)),0)+IF(Element_Stiffness!$C$111,IF(Element_Stiffness!$C$110=7,IF(2=Element_Stiffness!$C$110,Element_Stiffness!T132,IF(2=Element_Stiffness!$E$110,Element_Stiffness!Z132,0)),IF(Element_Stiffness!$E$110=7,IF(2=Element_Stiffness!$C$110,Element_Stiffness!T138,IF(2=Element_Stiffness!$E$110,Element_Stiffness!Z138,0)),0)),0)+IF(Element_Stiffness!$C$146,IF(Element_Stiffness!$C$145=7,IF(2=Element_Stiffness!$C$145,Element_Stiffness!T167,IF(2=Element_Stiffness!$E$145,Element_Stiffness!Z167,0)),IF(Element_Stiffness!$E$145=7,IF(2=Element_Stiffness!$C$145,Element_Stiffness!T173,IF(2=Element_Stiffness!$E$145,Element_Stiffness!Z173,0)),0)),0)+IF(Element_Stiffness!$C$181,IF(Element_Stiffness!$C$180=7,IF(2=Element_Stiffness!$C$180,Element_Stiffness!T202,IF(2=Element_Stiffness!$E$180,Element_Stiffness!Z202,0)),IF(Element_Stiffness!$E$180=7,IF(2=Element_Stiffness!$C$180,Element_Stiffness!T208,IF(2=Element_Stiffness!$E$180,Element_Stiffness!Z208,0)),0)),0)+IF(Element_Stiffness!$C$216,IF(Element_Stiffness!$C$215=7,IF(2=Element_Stiffness!$C$215,Element_Stiffness!T237,IF(2=Element_Stiffness!$E$215,Element_Stiffness!Z237,0)),IF(Element_Stiffness!$E$215=7,IF(2=Element_Stiffness!$C$215,Element_Stiffness!T243,IF(2=Element_Stiffness!$E$215,Element_Stiffness!Z243,0)),0)),0)</f>
        <v/>
      </c>
      <c r="T48" s="21">
        <f>IF(Element_Stiffness!$C$6,IF(Element_Stiffness!$C$5=7,IF(2=Element_Stiffness!$C$5,Element_Stiffness!U27,IF(2=Element_Stiffness!$E$5,Element_Stiffness!AA27,0)),IF(Element_Stiffness!$E$5=7,IF(2=Element_Stiffness!$C$5,Element_Stiffness!U33,IF(2=Element_Stiffness!$E$5,Element_Stiffness!AA33,0)),0)),0)+IF(Element_Stiffness!$C$41,IF(Element_Stiffness!$C$40=7,IF(2=Element_Stiffness!$C$40,Element_Stiffness!U62,IF(2=Element_Stiffness!$E$40,Element_Stiffness!AA62,0)),IF(Element_Stiffness!$E$40=7,IF(2=Element_Stiffness!$C$40,Element_Stiffness!U68,IF(2=Element_Stiffness!$E$40,Element_Stiffness!AA68,0)),0)),0)+IF(Element_Stiffness!$C$76,IF(Element_Stiffness!$C$75=7,IF(2=Element_Stiffness!$C$75,Element_Stiffness!U97,IF(2=Element_Stiffness!$E$75,Element_Stiffness!AA97,0)),IF(Element_Stiffness!$E$75=7,IF(2=Element_Stiffness!$C$75,Element_Stiffness!U103,IF(2=Element_Stiffness!$E$75,Element_Stiffness!AA103,0)),0)),0)+IF(Element_Stiffness!$C$111,IF(Element_Stiffness!$C$110=7,IF(2=Element_Stiffness!$C$110,Element_Stiffness!U132,IF(2=Element_Stiffness!$E$110,Element_Stiffness!AA132,0)),IF(Element_Stiffness!$E$110=7,IF(2=Element_Stiffness!$C$110,Element_Stiffness!U138,IF(2=Element_Stiffness!$E$110,Element_Stiffness!AA138,0)),0)),0)+IF(Element_Stiffness!$C$146,IF(Element_Stiffness!$C$145=7,IF(2=Element_Stiffness!$C$145,Element_Stiffness!U167,IF(2=Element_Stiffness!$E$145,Element_Stiffness!AA167,0)),IF(Element_Stiffness!$E$145=7,IF(2=Element_Stiffness!$C$145,Element_Stiffness!U173,IF(2=Element_Stiffness!$E$145,Element_Stiffness!AA173,0)),0)),0)+IF(Element_Stiffness!$C$181,IF(Element_Stiffness!$C$180=7,IF(2=Element_Stiffness!$C$180,Element_Stiffness!U202,IF(2=Element_Stiffness!$E$180,Element_Stiffness!AA202,0)),IF(Element_Stiffness!$E$180=7,IF(2=Element_Stiffness!$C$180,Element_Stiffness!U208,IF(2=Element_Stiffness!$E$180,Element_Stiffness!AA208,0)),0)),0)+IF(Element_Stiffness!$C$216,IF(Element_Stiffness!$C$215=7,IF(2=Element_Stiffness!$C$215,Element_Stiffness!U237,IF(2=Element_Stiffness!$E$215,Element_Stiffness!AA237,0)),IF(Element_Stiffness!$E$215=7,IF(2=Element_Stiffness!$C$215,Element_Stiffness!U243,IF(2=Element_Stiffness!$E$215,Element_Stiffness!AA243,0)),0)),0)</f>
        <v/>
      </c>
      <c r="U48" s="21">
        <f>IF(Element_Stiffness!$C$6,IF(Element_Stiffness!$C$5=7,IF(3=Element_Stiffness!$C$5,Element_Stiffness!P27,IF(3=Element_Stiffness!$E$5,Element_Stiffness!V27,0)),IF(Element_Stiffness!$E$5=7,IF(3=Element_Stiffness!$C$5,Element_Stiffness!P33,IF(3=Element_Stiffness!$E$5,Element_Stiffness!V33,0)),0)),0)+IF(Element_Stiffness!$C$41,IF(Element_Stiffness!$C$40=7,IF(3=Element_Stiffness!$C$40,Element_Stiffness!P62,IF(3=Element_Stiffness!$E$40,Element_Stiffness!V62,0)),IF(Element_Stiffness!$E$40=7,IF(3=Element_Stiffness!$C$40,Element_Stiffness!P68,IF(3=Element_Stiffness!$E$40,Element_Stiffness!V68,0)),0)),0)+IF(Element_Stiffness!$C$76,IF(Element_Stiffness!$C$75=7,IF(3=Element_Stiffness!$C$75,Element_Stiffness!P97,IF(3=Element_Stiffness!$E$75,Element_Stiffness!V97,0)),IF(Element_Stiffness!$E$75=7,IF(3=Element_Stiffness!$C$75,Element_Stiffness!P103,IF(3=Element_Stiffness!$E$75,Element_Stiffness!V103,0)),0)),0)+IF(Element_Stiffness!$C$111,IF(Element_Stiffness!$C$110=7,IF(3=Element_Stiffness!$C$110,Element_Stiffness!P132,IF(3=Element_Stiffness!$E$110,Element_Stiffness!V132,0)),IF(Element_Stiffness!$E$110=7,IF(3=Element_Stiffness!$C$110,Element_Stiffness!P138,IF(3=Element_Stiffness!$E$110,Element_Stiffness!V138,0)),0)),0)+IF(Element_Stiffness!$C$146,IF(Element_Stiffness!$C$145=7,IF(3=Element_Stiffness!$C$145,Element_Stiffness!P167,IF(3=Element_Stiffness!$E$145,Element_Stiffness!V167,0)),IF(Element_Stiffness!$E$145=7,IF(3=Element_Stiffness!$C$145,Element_Stiffness!P173,IF(3=Element_Stiffness!$E$145,Element_Stiffness!V173,0)),0)),0)+IF(Element_Stiffness!$C$181,IF(Element_Stiffness!$C$180=7,IF(3=Element_Stiffness!$C$180,Element_Stiffness!P202,IF(3=Element_Stiffness!$E$180,Element_Stiffness!V202,0)),IF(Element_Stiffness!$E$180=7,IF(3=Element_Stiffness!$C$180,Element_Stiffness!P208,IF(3=Element_Stiffness!$E$180,Element_Stiffness!V208,0)),0)),0)+IF(Element_Stiffness!$C$216,IF(Element_Stiffness!$C$215=7,IF(3=Element_Stiffness!$C$215,Element_Stiffness!P237,IF(3=Element_Stiffness!$E$215,Element_Stiffness!V237,0)),IF(Element_Stiffness!$E$215=7,IF(3=Element_Stiffness!$C$215,Element_Stiffness!P243,IF(3=Element_Stiffness!$E$215,Element_Stiffness!V243,0)),0)),0)</f>
        <v/>
      </c>
      <c r="V48" s="21">
        <f>IF(Element_Stiffness!$C$6,IF(Element_Stiffness!$C$5=7,IF(3=Element_Stiffness!$C$5,Element_Stiffness!Q27,IF(3=Element_Stiffness!$E$5,Element_Stiffness!W27,0)),IF(Element_Stiffness!$E$5=7,IF(3=Element_Stiffness!$C$5,Element_Stiffness!Q33,IF(3=Element_Stiffness!$E$5,Element_Stiffness!W33,0)),0)),0)+IF(Element_Stiffness!$C$41,IF(Element_Stiffness!$C$40=7,IF(3=Element_Stiffness!$C$40,Element_Stiffness!Q62,IF(3=Element_Stiffness!$E$40,Element_Stiffness!W62,0)),IF(Element_Stiffness!$E$40=7,IF(3=Element_Stiffness!$C$40,Element_Stiffness!Q68,IF(3=Element_Stiffness!$E$40,Element_Stiffness!W68,0)),0)),0)+IF(Element_Stiffness!$C$76,IF(Element_Stiffness!$C$75=7,IF(3=Element_Stiffness!$C$75,Element_Stiffness!Q97,IF(3=Element_Stiffness!$E$75,Element_Stiffness!W97,0)),IF(Element_Stiffness!$E$75=7,IF(3=Element_Stiffness!$C$75,Element_Stiffness!Q103,IF(3=Element_Stiffness!$E$75,Element_Stiffness!W103,0)),0)),0)+IF(Element_Stiffness!$C$111,IF(Element_Stiffness!$C$110=7,IF(3=Element_Stiffness!$C$110,Element_Stiffness!Q132,IF(3=Element_Stiffness!$E$110,Element_Stiffness!W132,0)),IF(Element_Stiffness!$E$110=7,IF(3=Element_Stiffness!$C$110,Element_Stiffness!Q138,IF(3=Element_Stiffness!$E$110,Element_Stiffness!W138,0)),0)),0)+IF(Element_Stiffness!$C$146,IF(Element_Stiffness!$C$145=7,IF(3=Element_Stiffness!$C$145,Element_Stiffness!Q167,IF(3=Element_Stiffness!$E$145,Element_Stiffness!W167,0)),IF(Element_Stiffness!$E$145=7,IF(3=Element_Stiffness!$C$145,Element_Stiffness!Q173,IF(3=Element_Stiffness!$E$145,Element_Stiffness!W173,0)),0)),0)+IF(Element_Stiffness!$C$181,IF(Element_Stiffness!$C$180=7,IF(3=Element_Stiffness!$C$180,Element_Stiffness!Q202,IF(3=Element_Stiffness!$E$180,Element_Stiffness!W202,0)),IF(Element_Stiffness!$E$180=7,IF(3=Element_Stiffness!$C$180,Element_Stiffness!Q208,IF(3=Element_Stiffness!$E$180,Element_Stiffness!W208,0)),0)),0)+IF(Element_Stiffness!$C$216,IF(Element_Stiffness!$C$215=7,IF(3=Element_Stiffness!$C$215,Element_Stiffness!Q237,IF(3=Element_Stiffness!$E$215,Element_Stiffness!W237,0)),IF(Element_Stiffness!$E$215=7,IF(3=Element_Stiffness!$C$215,Element_Stiffness!Q243,IF(3=Element_Stiffness!$E$215,Element_Stiffness!W243,0)),0)),0)</f>
        <v/>
      </c>
      <c r="W48" s="21">
        <f>IF(Element_Stiffness!$C$6,IF(Element_Stiffness!$C$5=7,IF(3=Element_Stiffness!$C$5,Element_Stiffness!R27,IF(3=Element_Stiffness!$E$5,Element_Stiffness!X27,0)),IF(Element_Stiffness!$E$5=7,IF(3=Element_Stiffness!$C$5,Element_Stiffness!R33,IF(3=Element_Stiffness!$E$5,Element_Stiffness!X33,0)),0)),0)+IF(Element_Stiffness!$C$41,IF(Element_Stiffness!$C$40=7,IF(3=Element_Stiffness!$C$40,Element_Stiffness!R62,IF(3=Element_Stiffness!$E$40,Element_Stiffness!X62,0)),IF(Element_Stiffness!$E$40=7,IF(3=Element_Stiffness!$C$40,Element_Stiffness!R68,IF(3=Element_Stiffness!$E$40,Element_Stiffness!X68,0)),0)),0)+IF(Element_Stiffness!$C$76,IF(Element_Stiffness!$C$75=7,IF(3=Element_Stiffness!$C$75,Element_Stiffness!R97,IF(3=Element_Stiffness!$E$75,Element_Stiffness!X97,0)),IF(Element_Stiffness!$E$75=7,IF(3=Element_Stiffness!$C$75,Element_Stiffness!R103,IF(3=Element_Stiffness!$E$75,Element_Stiffness!X103,0)),0)),0)+IF(Element_Stiffness!$C$111,IF(Element_Stiffness!$C$110=7,IF(3=Element_Stiffness!$C$110,Element_Stiffness!R132,IF(3=Element_Stiffness!$E$110,Element_Stiffness!X132,0)),IF(Element_Stiffness!$E$110=7,IF(3=Element_Stiffness!$C$110,Element_Stiffness!R138,IF(3=Element_Stiffness!$E$110,Element_Stiffness!X138,0)),0)),0)+IF(Element_Stiffness!$C$146,IF(Element_Stiffness!$C$145=7,IF(3=Element_Stiffness!$C$145,Element_Stiffness!R167,IF(3=Element_Stiffness!$E$145,Element_Stiffness!X167,0)),IF(Element_Stiffness!$E$145=7,IF(3=Element_Stiffness!$C$145,Element_Stiffness!R173,IF(3=Element_Stiffness!$E$145,Element_Stiffness!X173,0)),0)),0)+IF(Element_Stiffness!$C$181,IF(Element_Stiffness!$C$180=7,IF(3=Element_Stiffness!$C$180,Element_Stiffness!R202,IF(3=Element_Stiffness!$E$180,Element_Stiffness!X202,0)),IF(Element_Stiffness!$E$180=7,IF(3=Element_Stiffness!$C$180,Element_Stiffness!R208,IF(3=Element_Stiffness!$E$180,Element_Stiffness!X208,0)),0)),0)+IF(Element_Stiffness!$C$216,IF(Element_Stiffness!$C$215=7,IF(3=Element_Stiffness!$C$215,Element_Stiffness!R237,IF(3=Element_Stiffness!$E$215,Element_Stiffness!X237,0)),IF(Element_Stiffness!$E$215=7,IF(3=Element_Stiffness!$C$215,Element_Stiffness!R243,IF(3=Element_Stiffness!$E$215,Element_Stiffness!X243,0)),0)),0)</f>
        <v/>
      </c>
      <c r="X48" s="21">
        <f>IF(Element_Stiffness!$C$6,IF(Element_Stiffness!$C$5=7,IF(3=Element_Stiffness!$C$5,Element_Stiffness!S27,IF(3=Element_Stiffness!$E$5,Element_Stiffness!Y27,0)),IF(Element_Stiffness!$E$5=7,IF(3=Element_Stiffness!$C$5,Element_Stiffness!S33,IF(3=Element_Stiffness!$E$5,Element_Stiffness!Y33,0)),0)),0)+IF(Element_Stiffness!$C$41,IF(Element_Stiffness!$C$40=7,IF(3=Element_Stiffness!$C$40,Element_Stiffness!S62,IF(3=Element_Stiffness!$E$40,Element_Stiffness!Y62,0)),IF(Element_Stiffness!$E$40=7,IF(3=Element_Stiffness!$C$40,Element_Stiffness!S68,IF(3=Element_Stiffness!$E$40,Element_Stiffness!Y68,0)),0)),0)+IF(Element_Stiffness!$C$76,IF(Element_Stiffness!$C$75=7,IF(3=Element_Stiffness!$C$75,Element_Stiffness!S97,IF(3=Element_Stiffness!$E$75,Element_Stiffness!Y97,0)),IF(Element_Stiffness!$E$75=7,IF(3=Element_Stiffness!$C$75,Element_Stiffness!S103,IF(3=Element_Stiffness!$E$75,Element_Stiffness!Y103,0)),0)),0)+IF(Element_Stiffness!$C$111,IF(Element_Stiffness!$C$110=7,IF(3=Element_Stiffness!$C$110,Element_Stiffness!S132,IF(3=Element_Stiffness!$E$110,Element_Stiffness!Y132,0)),IF(Element_Stiffness!$E$110=7,IF(3=Element_Stiffness!$C$110,Element_Stiffness!S138,IF(3=Element_Stiffness!$E$110,Element_Stiffness!Y138,0)),0)),0)+IF(Element_Stiffness!$C$146,IF(Element_Stiffness!$C$145=7,IF(3=Element_Stiffness!$C$145,Element_Stiffness!S167,IF(3=Element_Stiffness!$E$145,Element_Stiffness!Y167,0)),IF(Element_Stiffness!$E$145=7,IF(3=Element_Stiffness!$C$145,Element_Stiffness!S173,IF(3=Element_Stiffness!$E$145,Element_Stiffness!Y173,0)),0)),0)+IF(Element_Stiffness!$C$181,IF(Element_Stiffness!$C$180=7,IF(3=Element_Stiffness!$C$180,Element_Stiffness!S202,IF(3=Element_Stiffness!$E$180,Element_Stiffness!Y202,0)),IF(Element_Stiffness!$E$180=7,IF(3=Element_Stiffness!$C$180,Element_Stiffness!S208,IF(3=Element_Stiffness!$E$180,Element_Stiffness!Y208,0)),0)),0)+IF(Element_Stiffness!$C$216,IF(Element_Stiffness!$C$215=7,IF(3=Element_Stiffness!$C$215,Element_Stiffness!S237,IF(3=Element_Stiffness!$E$215,Element_Stiffness!Y237,0)),IF(Element_Stiffness!$E$215=7,IF(3=Element_Stiffness!$C$215,Element_Stiffness!S243,IF(3=Element_Stiffness!$E$215,Element_Stiffness!Y243,0)),0)),0)</f>
        <v/>
      </c>
      <c r="Y48" s="21">
        <f>IF(Element_Stiffness!$C$6,IF(Element_Stiffness!$C$5=7,IF(3=Element_Stiffness!$C$5,Element_Stiffness!T27,IF(3=Element_Stiffness!$E$5,Element_Stiffness!Z27,0)),IF(Element_Stiffness!$E$5=7,IF(3=Element_Stiffness!$C$5,Element_Stiffness!T33,IF(3=Element_Stiffness!$E$5,Element_Stiffness!Z33,0)),0)),0)+IF(Element_Stiffness!$C$41,IF(Element_Stiffness!$C$40=7,IF(3=Element_Stiffness!$C$40,Element_Stiffness!T62,IF(3=Element_Stiffness!$E$40,Element_Stiffness!Z62,0)),IF(Element_Stiffness!$E$40=7,IF(3=Element_Stiffness!$C$40,Element_Stiffness!T68,IF(3=Element_Stiffness!$E$40,Element_Stiffness!Z68,0)),0)),0)+IF(Element_Stiffness!$C$76,IF(Element_Stiffness!$C$75=7,IF(3=Element_Stiffness!$C$75,Element_Stiffness!T97,IF(3=Element_Stiffness!$E$75,Element_Stiffness!Z97,0)),IF(Element_Stiffness!$E$75=7,IF(3=Element_Stiffness!$C$75,Element_Stiffness!T103,IF(3=Element_Stiffness!$E$75,Element_Stiffness!Z103,0)),0)),0)+IF(Element_Stiffness!$C$111,IF(Element_Stiffness!$C$110=7,IF(3=Element_Stiffness!$C$110,Element_Stiffness!T132,IF(3=Element_Stiffness!$E$110,Element_Stiffness!Z132,0)),IF(Element_Stiffness!$E$110=7,IF(3=Element_Stiffness!$C$110,Element_Stiffness!T138,IF(3=Element_Stiffness!$E$110,Element_Stiffness!Z138,0)),0)),0)+IF(Element_Stiffness!$C$146,IF(Element_Stiffness!$C$145=7,IF(3=Element_Stiffness!$C$145,Element_Stiffness!T167,IF(3=Element_Stiffness!$E$145,Element_Stiffness!Z167,0)),IF(Element_Stiffness!$E$145=7,IF(3=Element_Stiffness!$C$145,Element_Stiffness!T173,IF(3=Element_Stiffness!$E$145,Element_Stiffness!Z173,0)),0)),0)+IF(Element_Stiffness!$C$181,IF(Element_Stiffness!$C$180=7,IF(3=Element_Stiffness!$C$180,Element_Stiffness!T202,IF(3=Element_Stiffness!$E$180,Element_Stiffness!Z202,0)),IF(Element_Stiffness!$E$180=7,IF(3=Element_Stiffness!$C$180,Element_Stiffness!T208,IF(3=Element_Stiffness!$E$180,Element_Stiffness!Z208,0)),0)),0)+IF(Element_Stiffness!$C$216,IF(Element_Stiffness!$C$215=7,IF(3=Element_Stiffness!$C$215,Element_Stiffness!T237,IF(3=Element_Stiffness!$E$215,Element_Stiffness!Z237,0)),IF(Element_Stiffness!$E$215=7,IF(3=Element_Stiffness!$C$215,Element_Stiffness!T243,IF(3=Element_Stiffness!$E$215,Element_Stiffness!Z243,0)),0)),0)</f>
        <v/>
      </c>
      <c r="Z48" s="21">
        <f>IF(Element_Stiffness!$C$6,IF(Element_Stiffness!$C$5=7,IF(3=Element_Stiffness!$C$5,Element_Stiffness!U27,IF(3=Element_Stiffness!$E$5,Element_Stiffness!AA27,0)),IF(Element_Stiffness!$E$5=7,IF(3=Element_Stiffness!$C$5,Element_Stiffness!U33,IF(3=Element_Stiffness!$E$5,Element_Stiffness!AA33,0)),0)),0)+IF(Element_Stiffness!$C$41,IF(Element_Stiffness!$C$40=7,IF(3=Element_Stiffness!$C$40,Element_Stiffness!U62,IF(3=Element_Stiffness!$E$40,Element_Stiffness!AA62,0)),IF(Element_Stiffness!$E$40=7,IF(3=Element_Stiffness!$C$40,Element_Stiffness!U68,IF(3=Element_Stiffness!$E$40,Element_Stiffness!AA68,0)),0)),0)+IF(Element_Stiffness!$C$76,IF(Element_Stiffness!$C$75=7,IF(3=Element_Stiffness!$C$75,Element_Stiffness!U97,IF(3=Element_Stiffness!$E$75,Element_Stiffness!AA97,0)),IF(Element_Stiffness!$E$75=7,IF(3=Element_Stiffness!$C$75,Element_Stiffness!U103,IF(3=Element_Stiffness!$E$75,Element_Stiffness!AA103,0)),0)),0)+IF(Element_Stiffness!$C$111,IF(Element_Stiffness!$C$110=7,IF(3=Element_Stiffness!$C$110,Element_Stiffness!U132,IF(3=Element_Stiffness!$E$110,Element_Stiffness!AA132,0)),IF(Element_Stiffness!$E$110=7,IF(3=Element_Stiffness!$C$110,Element_Stiffness!U138,IF(3=Element_Stiffness!$E$110,Element_Stiffness!AA138,0)),0)),0)+IF(Element_Stiffness!$C$146,IF(Element_Stiffness!$C$145=7,IF(3=Element_Stiffness!$C$145,Element_Stiffness!U167,IF(3=Element_Stiffness!$E$145,Element_Stiffness!AA167,0)),IF(Element_Stiffness!$E$145=7,IF(3=Element_Stiffness!$C$145,Element_Stiffness!U173,IF(3=Element_Stiffness!$E$145,Element_Stiffness!AA173,0)),0)),0)+IF(Element_Stiffness!$C$181,IF(Element_Stiffness!$C$180=7,IF(3=Element_Stiffness!$C$180,Element_Stiffness!U202,IF(3=Element_Stiffness!$E$180,Element_Stiffness!AA202,0)),IF(Element_Stiffness!$E$180=7,IF(3=Element_Stiffness!$C$180,Element_Stiffness!U208,IF(3=Element_Stiffness!$E$180,Element_Stiffness!AA208,0)),0)),0)+IF(Element_Stiffness!$C$216,IF(Element_Stiffness!$C$215=7,IF(3=Element_Stiffness!$C$215,Element_Stiffness!U237,IF(3=Element_Stiffness!$E$215,Element_Stiffness!AA237,0)),IF(Element_Stiffness!$E$215=7,IF(3=Element_Stiffness!$C$215,Element_Stiffness!U243,IF(3=Element_Stiffness!$E$215,Element_Stiffness!AA243,0)),0)),0)</f>
        <v/>
      </c>
      <c r="AA48" s="21">
        <f>IF(Element_Stiffness!$C$6,IF(Element_Stiffness!$C$5=7,IF(4=Element_Stiffness!$C$5,Element_Stiffness!P27,IF(4=Element_Stiffness!$E$5,Element_Stiffness!V27,0)),IF(Element_Stiffness!$E$5=7,IF(4=Element_Stiffness!$C$5,Element_Stiffness!P33,IF(4=Element_Stiffness!$E$5,Element_Stiffness!V33,0)),0)),0)+IF(Element_Stiffness!$C$41,IF(Element_Stiffness!$C$40=7,IF(4=Element_Stiffness!$C$40,Element_Stiffness!P62,IF(4=Element_Stiffness!$E$40,Element_Stiffness!V62,0)),IF(Element_Stiffness!$E$40=7,IF(4=Element_Stiffness!$C$40,Element_Stiffness!P68,IF(4=Element_Stiffness!$E$40,Element_Stiffness!V68,0)),0)),0)+IF(Element_Stiffness!$C$76,IF(Element_Stiffness!$C$75=7,IF(4=Element_Stiffness!$C$75,Element_Stiffness!P97,IF(4=Element_Stiffness!$E$75,Element_Stiffness!V97,0)),IF(Element_Stiffness!$E$75=7,IF(4=Element_Stiffness!$C$75,Element_Stiffness!P103,IF(4=Element_Stiffness!$E$75,Element_Stiffness!V103,0)),0)),0)+IF(Element_Stiffness!$C$111,IF(Element_Stiffness!$C$110=7,IF(4=Element_Stiffness!$C$110,Element_Stiffness!P132,IF(4=Element_Stiffness!$E$110,Element_Stiffness!V132,0)),IF(Element_Stiffness!$E$110=7,IF(4=Element_Stiffness!$C$110,Element_Stiffness!P138,IF(4=Element_Stiffness!$E$110,Element_Stiffness!V138,0)),0)),0)+IF(Element_Stiffness!$C$146,IF(Element_Stiffness!$C$145=7,IF(4=Element_Stiffness!$C$145,Element_Stiffness!P167,IF(4=Element_Stiffness!$E$145,Element_Stiffness!V167,0)),IF(Element_Stiffness!$E$145=7,IF(4=Element_Stiffness!$C$145,Element_Stiffness!P173,IF(4=Element_Stiffness!$E$145,Element_Stiffness!V173,0)),0)),0)+IF(Element_Stiffness!$C$181,IF(Element_Stiffness!$C$180=7,IF(4=Element_Stiffness!$C$180,Element_Stiffness!P202,IF(4=Element_Stiffness!$E$180,Element_Stiffness!V202,0)),IF(Element_Stiffness!$E$180=7,IF(4=Element_Stiffness!$C$180,Element_Stiffness!P208,IF(4=Element_Stiffness!$E$180,Element_Stiffness!V208,0)),0)),0)+IF(Element_Stiffness!$C$216,IF(Element_Stiffness!$C$215=7,IF(4=Element_Stiffness!$C$215,Element_Stiffness!P237,IF(4=Element_Stiffness!$E$215,Element_Stiffness!V237,0)),IF(Element_Stiffness!$E$215=7,IF(4=Element_Stiffness!$C$215,Element_Stiffness!P243,IF(4=Element_Stiffness!$E$215,Element_Stiffness!V243,0)),0)),0)</f>
        <v/>
      </c>
      <c r="AB48" s="21">
        <f>IF(Element_Stiffness!$C$6,IF(Element_Stiffness!$C$5=7,IF(4=Element_Stiffness!$C$5,Element_Stiffness!Q27,IF(4=Element_Stiffness!$E$5,Element_Stiffness!W27,0)),IF(Element_Stiffness!$E$5=7,IF(4=Element_Stiffness!$C$5,Element_Stiffness!Q33,IF(4=Element_Stiffness!$E$5,Element_Stiffness!W33,0)),0)),0)+IF(Element_Stiffness!$C$41,IF(Element_Stiffness!$C$40=7,IF(4=Element_Stiffness!$C$40,Element_Stiffness!Q62,IF(4=Element_Stiffness!$E$40,Element_Stiffness!W62,0)),IF(Element_Stiffness!$E$40=7,IF(4=Element_Stiffness!$C$40,Element_Stiffness!Q68,IF(4=Element_Stiffness!$E$40,Element_Stiffness!W68,0)),0)),0)+IF(Element_Stiffness!$C$76,IF(Element_Stiffness!$C$75=7,IF(4=Element_Stiffness!$C$75,Element_Stiffness!Q97,IF(4=Element_Stiffness!$E$75,Element_Stiffness!W97,0)),IF(Element_Stiffness!$E$75=7,IF(4=Element_Stiffness!$C$75,Element_Stiffness!Q103,IF(4=Element_Stiffness!$E$75,Element_Stiffness!W103,0)),0)),0)+IF(Element_Stiffness!$C$111,IF(Element_Stiffness!$C$110=7,IF(4=Element_Stiffness!$C$110,Element_Stiffness!Q132,IF(4=Element_Stiffness!$E$110,Element_Stiffness!W132,0)),IF(Element_Stiffness!$E$110=7,IF(4=Element_Stiffness!$C$110,Element_Stiffness!Q138,IF(4=Element_Stiffness!$E$110,Element_Stiffness!W138,0)),0)),0)+IF(Element_Stiffness!$C$146,IF(Element_Stiffness!$C$145=7,IF(4=Element_Stiffness!$C$145,Element_Stiffness!Q167,IF(4=Element_Stiffness!$E$145,Element_Stiffness!W167,0)),IF(Element_Stiffness!$E$145=7,IF(4=Element_Stiffness!$C$145,Element_Stiffness!Q173,IF(4=Element_Stiffness!$E$145,Element_Stiffness!W173,0)),0)),0)+IF(Element_Stiffness!$C$181,IF(Element_Stiffness!$C$180=7,IF(4=Element_Stiffness!$C$180,Element_Stiffness!Q202,IF(4=Element_Stiffness!$E$180,Element_Stiffness!W202,0)),IF(Element_Stiffness!$E$180=7,IF(4=Element_Stiffness!$C$180,Element_Stiffness!Q208,IF(4=Element_Stiffness!$E$180,Element_Stiffness!W208,0)),0)),0)+IF(Element_Stiffness!$C$216,IF(Element_Stiffness!$C$215=7,IF(4=Element_Stiffness!$C$215,Element_Stiffness!Q237,IF(4=Element_Stiffness!$E$215,Element_Stiffness!W237,0)),IF(Element_Stiffness!$E$215=7,IF(4=Element_Stiffness!$C$215,Element_Stiffness!Q243,IF(4=Element_Stiffness!$E$215,Element_Stiffness!W243,0)),0)),0)</f>
        <v/>
      </c>
      <c r="AC48" s="21">
        <f>IF(Element_Stiffness!$C$6,IF(Element_Stiffness!$C$5=7,IF(4=Element_Stiffness!$C$5,Element_Stiffness!R27,IF(4=Element_Stiffness!$E$5,Element_Stiffness!X27,0)),IF(Element_Stiffness!$E$5=7,IF(4=Element_Stiffness!$C$5,Element_Stiffness!R33,IF(4=Element_Stiffness!$E$5,Element_Stiffness!X33,0)),0)),0)+IF(Element_Stiffness!$C$41,IF(Element_Stiffness!$C$40=7,IF(4=Element_Stiffness!$C$40,Element_Stiffness!R62,IF(4=Element_Stiffness!$E$40,Element_Stiffness!X62,0)),IF(Element_Stiffness!$E$40=7,IF(4=Element_Stiffness!$C$40,Element_Stiffness!R68,IF(4=Element_Stiffness!$E$40,Element_Stiffness!X68,0)),0)),0)+IF(Element_Stiffness!$C$76,IF(Element_Stiffness!$C$75=7,IF(4=Element_Stiffness!$C$75,Element_Stiffness!R97,IF(4=Element_Stiffness!$E$75,Element_Stiffness!X97,0)),IF(Element_Stiffness!$E$75=7,IF(4=Element_Stiffness!$C$75,Element_Stiffness!R103,IF(4=Element_Stiffness!$E$75,Element_Stiffness!X103,0)),0)),0)+IF(Element_Stiffness!$C$111,IF(Element_Stiffness!$C$110=7,IF(4=Element_Stiffness!$C$110,Element_Stiffness!R132,IF(4=Element_Stiffness!$E$110,Element_Stiffness!X132,0)),IF(Element_Stiffness!$E$110=7,IF(4=Element_Stiffness!$C$110,Element_Stiffness!R138,IF(4=Element_Stiffness!$E$110,Element_Stiffness!X138,0)),0)),0)+IF(Element_Stiffness!$C$146,IF(Element_Stiffness!$C$145=7,IF(4=Element_Stiffness!$C$145,Element_Stiffness!R167,IF(4=Element_Stiffness!$E$145,Element_Stiffness!X167,0)),IF(Element_Stiffness!$E$145=7,IF(4=Element_Stiffness!$C$145,Element_Stiffness!R173,IF(4=Element_Stiffness!$E$145,Element_Stiffness!X173,0)),0)),0)+IF(Element_Stiffness!$C$181,IF(Element_Stiffness!$C$180=7,IF(4=Element_Stiffness!$C$180,Element_Stiffness!R202,IF(4=Element_Stiffness!$E$180,Element_Stiffness!X202,0)),IF(Element_Stiffness!$E$180=7,IF(4=Element_Stiffness!$C$180,Element_Stiffness!R208,IF(4=Element_Stiffness!$E$180,Element_Stiffness!X208,0)),0)),0)+IF(Element_Stiffness!$C$216,IF(Element_Stiffness!$C$215=7,IF(4=Element_Stiffness!$C$215,Element_Stiffness!R237,IF(4=Element_Stiffness!$E$215,Element_Stiffness!X237,0)),IF(Element_Stiffness!$E$215=7,IF(4=Element_Stiffness!$C$215,Element_Stiffness!R243,IF(4=Element_Stiffness!$E$215,Element_Stiffness!X243,0)),0)),0)</f>
        <v/>
      </c>
      <c r="AD48" s="21">
        <f>IF(Element_Stiffness!$C$6,IF(Element_Stiffness!$C$5=7,IF(4=Element_Stiffness!$C$5,Element_Stiffness!S27,IF(4=Element_Stiffness!$E$5,Element_Stiffness!Y27,0)),IF(Element_Stiffness!$E$5=7,IF(4=Element_Stiffness!$C$5,Element_Stiffness!S33,IF(4=Element_Stiffness!$E$5,Element_Stiffness!Y33,0)),0)),0)+IF(Element_Stiffness!$C$41,IF(Element_Stiffness!$C$40=7,IF(4=Element_Stiffness!$C$40,Element_Stiffness!S62,IF(4=Element_Stiffness!$E$40,Element_Stiffness!Y62,0)),IF(Element_Stiffness!$E$40=7,IF(4=Element_Stiffness!$C$40,Element_Stiffness!S68,IF(4=Element_Stiffness!$E$40,Element_Stiffness!Y68,0)),0)),0)+IF(Element_Stiffness!$C$76,IF(Element_Stiffness!$C$75=7,IF(4=Element_Stiffness!$C$75,Element_Stiffness!S97,IF(4=Element_Stiffness!$E$75,Element_Stiffness!Y97,0)),IF(Element_Stiffness!$E$75=7,IF(4=Element_Stiffness!$C$75,Element_Stiffness!S103,IF(4=Element_Stiffness!$E$75,Element_Stiffness!Y103,0)),0)),0)+IF(Element_Stiffness!$C$111,IF(Element_Stiffness!$C$110=7,IF(4=Element_Stiffness!$C$110,Element_Stiffness!S132,IF(4=Element_Stiffness!$E$110,Element_Stiffness!Y132,0)),IF(Element_Stiffness!$E$110=7,IF(4=Element_Stiffness!$C$110,Element_Stiffness!S138,IF(4=Element_Stiffness!$E$110,Element_Stiffness!Y138,0)),0)),0)+IF(Element_Stiffness!$C$146,IF(Element_Stiffness!$C$145=7,IF(4=Element_Stiffness!$C$145,Element_Stiffness!S167,IF(4=Element_Stiffness!$E$145,Element_Stiffness!Y167,0)),IF(Element_Stiffness!$E$145=7,IF(4=Element_Stiffness!$C$145,Element_Stiffness!S173,IF(4=Element_Stiffness!$E$145,Element_Stiffness!Y173,0)),0)),0)+IF(Element_Stiffness!$C$181,IF(Element_Stiffness!$C$180=7,IF(4=Element_Stiffness!$C$180,Element_Stiffness!S202,IF(4=Element_Stiffness!$E$180,Element_Stiffness!Y202,0)),IF(Element_Stiffness!$E$180=7,IF(4=Element_Stiffness!$C$180,Element_Stiffness!S208,IF(4=Element_Stiffness!$E$180,Element_Stiffness!Y208,0)),0)),0)+IF(Element_Stiffness!$C$216,IF(Element_Stiffness!$C$215=7,IF(4=Element_Stiffness!$C$215,Element_Stiffness!S237,IF(4=Element_Stiffness!$E$215,Element_Stiffness!Y237,0)),IF(Element_Stiffness!$E$215=7,IF(4=Element_Stiffness!$C$215,Element_Stiffness!S243,IF(4=Element_Stiffness!$E$215,Element_Stiffness!Y243,0)),0)),0)</f>
        <v/>
      </c>
      <c r="AE48" s="21">
        <f>IF(Element_Stiffness!$C$6,IF(Element_Stiffness!$C$5=7,IF(4=Element_Stiffness!$C$5,Element_Stiffness!T27,IF(4=Element_Stiffness!$E$5,Element_Stiffness!Z27,0)),IF(Element_Stiffness!$E$5=7,IF(4=Element_Stiffness!$C$5,Element_Stiffness!T33,IF(4=Element_Stiffness!$E$5,Element_Stiffness!Z33,0)),0)),0)+IF(Element_Stiffness!$C$41,IF(Element_Stiffness!$C$40=7,IF(4=Element_Stiffness!$C$40,Element_Stiffness!T62,IF(4=Element_Stiffness!$E$40,Element_Stiffness!Z62,0)),IF(Element_Stiffness!$E$40=7,IF(4=Element_Stiffness!$C$40,Element_Stiffness!T68,IF(4=Element_Stiffness!$E$40,Element_Stiffness!Z68,0)),0)),0)+IF(Element_Stiffness!$C$76,IF(Element_Stiffness!$C$75=7,IF(4=Element_Stiffness!$C$75,Element_Stiffness!T97,IF(4=Element_Stiffness!$E$75,Element_Stiffness!Z97,0)),IF(Element_Stiffness!$E$75=7,IF(4=Element_Stiffness!$C$75,Element_Stiffness!T103,IF(4=Element_Stiffness!$E$75,Element_Stiffness!Z103,0)),0)),0)+IF(Element_Stiffness!$C$111,IF(Element_Stiffness!$C$110=7,IF(4=Element_Stiffness!$C$110,Element_Stiffness!T132,IF(4=Element_Stiffness!$E$110,Element_Stiffness!Z132,0)),IF(Element_Stiffness!$E$110=7,IF(4=Element_Stiffness!$C$110,Element_Stiffness!T138,IF(4=Element_Stiffness!$E$110,Element_Stiffness!Z138,0)),0)),0)+IF(Element_Stiffness!$C$146,IF(Element_Stiffness!$C$145=7,IF(4=Element_Stiffness!$C$145,Element_Stiffness!T167,IF(4=Element_Stiffness!$E$145,Element_Stiffness!Z167,0)),IF(Element_Stiffness!$E$145=7,IF(4=Element_Stiffness!$C$145,Element_Stiffness!T173,IF(4=Element_Stiffness!$E$145,Element_Stiffness!Z173,0)),0)),0)+IF(Element_Stiffness!$C$181,IF(Element_Stiffness!$C$180=7,IF(4=Element_Stiffness!$C$180,Element_Stiffness!T202,IF(4=Element_Stiffness!$E$180,Element_Stiffness!Z202,0)),IF(Element_Stiffness!$E$180=7,IF(4=Element_Stiffness!$C$180,Element_Stiffness!T208,IF(4=Element_Stiffness!$E$180,Element_Stiffness!Z208,0)),0)),0)+IF(Element_Stiffness!$C$216,IF(Element_Stiffness!$C$215=7,IF(4=Element_Stiffness!$C$215,Element_Stiffness!T237,IF(4=Element_Stiffness!$E$215,Element_Stiffness!Z237,0)),IF(Element_Stiffness!$E$215=7,IF(4=Element_Stiffness!$C$215,Element_Stiffness!T243,IF(4=Element_Stiffness!$E$215,Element_Stiffness!Z243,0)),0)),0)</f>
        <v/>
      </c>
      <c r="AF48" s="21">
        <f>IF(Element_Stiffness!$C$6,IF(Element_Stiffness!$C$5=7,IF(4=Element_Stiffness!$C$5,Element_Stiffness!U27,IF(4=Element_Stiffness!$E$5,Element_Stiffness!AA27,0)),IF(Element_Stiffness!$E$5=7,IF(4=Element_Stiffness!$C$5,Element_Stiffness!U33,IF(4=Element_Stiffness!$E$5,Element_Stiffness!AA33,0)),0)),0)+IF(Element_Stiffness!$C$41,IF(Element_Stiffness!$C$40=7,IF(4=Element_Stiffness!$C$40,Element_Stiffness!U62,IF(4=Element_Stiffness!$E$40,Element_Stiffness!AA62,0)),IF(Element_Stiffness!$E$40=7,IF(4=Element_Stiffness!$C$40,Element_Stiffness!U68,IF(4=Element_Stiffness!$E$40,Element_Stiffness!AA68,0)),0)),0)+IF(Element_Stiffness!$C$76,IF(Element_Stiffness!$C$75=7,IF(4=Element_Stiffness!$C$75,Element_Stiffness!U97,IF(4=Element_Stiffness!$E$75,Element_Stiffness!AA97,0)),IF(Element_Stiffness!$E$75=7,IF(4=Element_Stiffness!$C$75,Element_Stiffness!U103,IF(4=Element_Stiffness!$E$75,Element_Stiffness!AA103,0)),0)),0)+IF(Element_Stiffness!$C$111,IF(Element_Stiffness!$C$110=7,IF(4=Element_Stiffness!$C$110,Element_Stiffness!U132,IF(4=Element_Stiffness!$E$110,Element_Stiffness!AA132,0)),IF(Element_Stiffness!$E$110=7,IF(4=Element_Stiffness!$C$110,Element_Stiffness!U138,IF(4=Element_Stiffness!$E$110,Element_Stiffness!AA138,0)),0)),0)+IF(Element_Stiffness!$C$146,IF(Element_Stiffness!$C$145=7,IF(4=Element_Stiffness!$C$145,Element_Stiffness!U167,IF(4=Element_Stiffness!$E$145,Element_Stiffness!AA167,0)),IF(Element_Stiffness!$E$145=7,IF(4=Element_Stiffness!$C$145,Element_Stiffness!U173,IF(4=Element_Stiffness!$E$145,Element_Stiffness!AA173,0)),0)),0)+IF(Element_Stiffness!$C$181,IF(Element_Stiffness!$C$180=7,IF(4=Element_Stiffness!$C$180,Element_Stiffness!U202,IF(4=Element_Stiffness!$E$180,Element_Stiffness!AA202,0)),IF(Element_Stiffness!$E$180=7,IF(4=Element_Stiffness!$C$180,Element_Stiffness!U208,IF(4=Element_Stiffness!$E$180,Element_Stiffness!AA208,0)),0)),0)+IF(Element_Stiffness!$C$216,IF(Element_Stiffness!$C$215=7,IF(4=Element_Stiffness!$C$215,Element_Stiffness!U237,IF(4=Element_Stiffness!$E$215,Element_Stiffness!AA237,0)),IF(Element_Stiffness!$E$215=7,IF(4=Element_Stiffness!$C$215,Element_Stiffness!U243,IF(4=Element_Stiffness!$E$215,Element_Stiffness!AA243,0)),0)),0)</f>
        <v/>
      </c>
      <c r="AG48" s="21">
        <f>IF(Element_Stiffness!$C$6,IF(Element_Stiffness!$C$5=7,IF(5=Element_Stiffness!$C$5,Element_Stiffness!P27,IF(5=Element_Stiffness!$E$5,Element_Stiffness!V27,0)),IF(Element_Stiffness!$E$5=7,IF(5=Element_Stiffness!$C$5,Element_Stiffness!P33,IF(5=Element_Stiffness!$E$5,Element_Stiffness!V33,0)),0)),0)+IF(Element_Stiffness!$C$41,IF(Element_Stiffness!$C$40=7,IF(5=Element_Stiffness!$C$40,Element_Stiffness!P62,IF(5=Element_Stiffness!$E$40,Element_Stiffness!V62,0)),IF(Element_Stiffness!$E$40=7,IF(5=Element_Stiffness!$C$40,Element_Stiffness!P68,IF(5=Element_Stiffness!$E$40,Element_Stiffness!V68,0)),0)),0)+IF(Element_Stiffness!$C$76,IF(Element_Stiffness!$C$75=7,IF(5=Element_Stiffness!$C$75,Element_Stiffness!P97,IF(5=Element_Stiffness!$E$75,Element_Stiffness!V97,0)),IF(Element_Stiffness!$E$75=7,IF(5=Element_Stiffness!$C$75,Element_Stiffness!P103,IF(5=Element_Stiffness!$E$75,Element_Stiffness!V103,0)),0)),0)+IF(Element_Stiffness!$C$111,IF(Element_Stiffness!$C$110=7,IF(5=Element_Stiffness!$C$110,Element_Stiffness!P132,IF(5=Element_Stiffness!$E$110,Element_Stiffness!V132,0)),IF(Element_Stiffness!$E$110=7,IF(5=Element_Stiffness!$C$110,Element_Stiffness!P138,IF(5=Element_Stiffness!$E$110,Element_Stiffness!V138,0)),0)),0)+IF(Element_Stiffness!$C$146,IF(Element_Stiffness!$C$145=7,IF(5=Element_Stiffness!$C$145,Element_Stiffness!P167,IF(5=Element_Stiffness!$E$145,Element_Stiffness!V167,0)),IF(Element_Stiffness!$E$145=7,IF(5=Element_Stiffness!$C$145,Element_Stiffness!P173,IF(5=Element_Stiffness!$E$145,Element_Stiffness!V173,0)),0)),0)+IF(Element_Stiffness!$C$181,IF(Element_Stiffness!$C$180=7,IF(5=Element_Stiffness!$C$180,Element_Stiffness!P202,IF(5=Element_Stiffness!$E$180,Element_Stiffness!V202,0)),IF(Element_Stiffness!$E$180=7,IF(5=Element_Stiffness!$C$180,Element_Stiffness!P208,IF(5=Element_Stiffness!$E$180,Element_Stiffness!V208,0)),0)),0)+IF(Element_Stiffness!$C$216,IF(Element_Stiffness!$C$215=7,IF(5=Element_Stiffness!$C$215,Element_Stiffness!P237,IF(5=Element_Stiffness!$E$215,Element_Stiffness!V237,0)),IF(Element_Stiffness!$E$215=7,IF(5=Element_Stiffness!$C$215,Element_Stiffness!P243,IF(5=Element_Stiffness!$E$215,Element_Stiffness!V243,0)),0)),0)</f>
        <v/>
      </c>
      <c r="AH48" s="21">
        <f>IF(Element_Stiffness!$C$6,IF(Element_Stiffness!$C$5=7,IF(5=Element_Stiffness!$C$5,Element_Stiffness!Q27,IF(5=Element_Stiffness!$E$5,Element_Stiffness!W27,0)),IF(Element_Stiffness!$E$5=7,IF(5=Element_Stiffness!$C$5,Element_Stiffness!Q33,IF(5=Element_Stiffness!$E$5,Element_Stiffness!W33,0)),0)),0)+IF(Element_Stiffness!$C$41,IF(Element_Stiffness!$C$40=7,IF(5=Element_Stiffness!$C$40,Element_Stiffness!Q62,IF(5=Element_Stiffness!$E$40,Element_Stiffness!W62,0)),IF(Element_Stiffness!$E$40=7,IF(5=Element_Stiffness!$C$40,Element_Stiffness!Q68,IF(5=Element_Stiffness!$E$40,Element_Stiffness!W68,0)),0)),0)+IF(Element_Stiffness!$C$76,IF(Element_Stiffness!$C$75=7,IF(5=Element_Stiffness!$C$75,Element_Stiffness!Q97,IF(5=Element_Stiffness!$E$75,Element_Stiffness!W97,0)),IF(Element_Stiffness!$E$75=7,IF(5=Element_Stiffness!$C$75,Element_Stiffness!Q103,IF(5=Element_Stiffness!$E$75,Element_Stiffness!W103,0)),0)),0)+IF(Element_Stiffness!$C$111,IF(Element_Stiffness!$C$110=7,IF(5=Element_Stiffness!$C$110,Element_Stiffness!Q132,IF(5=Element_Stiffness!$E$110,Element_Stiffness!W132,0)),IF(Element_Stiffness!$E$110=7,IF(5=Element_Stiffness!$C$110,Element_Stiffness!Q138,IF(5=Element_Stiffness!$E$110,Element_Stiffness!W138,0)),0)),0)+IF(Element_Stiffness!$C$146,IF(Element_Stiffness!$C$145=7,IF(5=Element_Stiffness!$C$145,Element_Stiffness!Q167,IF(5=Element_Stiffness!$E$145,Element_Stiffness!W167,0)),IF(Element_Stiffness!$E$145=7,IF(5=Element_Stiffness!$C$145,Element_Stiffness!Q173,IF(5=Element_Stiffness!$E$145,Element_Stiffness!W173,0)),0)),0)+IF(Element_Stiffness!$C$181,IF(Element_Stiffness!$C$180=7,IF(5=Element_Stiffness!$C$180,Element_Stiffness!Q202,IF(5=Element_Stiffness!$E$180,Element_Stiffness!W202,0)),IF(Element_Stiffness!$E$180=7,IF(5=Element_Stiffness!$C$180,Element_Stiffness!Q208,IF(5=Element_Stiffness!$E$180,Element_Stiffness!W208,0)),0)),0)+IF(Element_Stiffness!$C$216,IF(Element_Stiffness!$C$215=7,IF(5=Element_Stiffness!$C$215,Element_Stiffness!Q237,IF(5=Element_Stiffness!$E$215,Element_Stiffness!W237,0)),IF(Element_Stiffness!$E$215=7,IF(5=Element_Stiffness!$C$215,Element_Stiffness!Q243,IF(5=Element_Stiffness!$E$215,Element_Stiffness!W243,0)),0)),0)</f>
        <v/>
      </c>
      <c r="AI48" s="21">
        <f>IF(Element_Stiffness!$C$6,IF(Element_Stiffness!$C$5=7,IF(5=Element_Stiffness!$C$5,Element_Stiffness!R27,IF(5=Element_Stiffness!$E$5,Element_Stiffness!X27,0)),IF(Element_Stiffness!$E$5=7,IF(5=Element_Stiffness!$C$5,Element_Stiffness!R33,IF(5=Element_Stiffness!$E$5,Element_Stiffness!X33,0)),0)),0)+IF(Element_Stiffness!$C$41,IF(Element_Stiffness!$C$40=7,IF(5=Element_Stiffness!$C$40,Element_Stiffness!R62,IF(5=Element_Stiffness!$E$40,Element_Stiffness!X62,0)),IF(Element_Stiffness!$E$40=7,IF(5=Element_Stiffness!$C$40,Element_Stiffness!R68,IF(5=Element_Stiffness!$E$40,Element_Stiffness!X68,0)),0)),0)+IF(Element_Stiffness!$C$76,IF(Element_Stiffness!$C$75=7,IF(5=Element_Stiffness!$C$75,Element_Stiffness!R97,IF(5=Element_Stiffness!$E$75,Element_Stiffness!X97,0)),IF(Element_Stiffness!$E$75=7,IF(5=Element_Stiffness!$C$75,Element_Stiffness!R103,IF(5=Element_Stiffness!$E$75,Element_Stiffness!X103,0)),0)),0)+IF(Element_Stiffness!$C$111,IF(Element_Stiffness!$C$110=7,IF(5=Element_Stiffness!$C$110,Element_Stiffness!R132,IF(5=Element_Stiffness!$E$110,Element_Stiffness!X132,0)),IF(Element_Stiffness!$E$110=7,IF(5=Element_Stiffness!$C$110,Element_Stiffness!R138,IF(5=Element_Stiffness!$E$110,Element_Stiffness!X138,0)),0)),0)+IF(Element_Stiffness!$C$146,IF(Element_Stiffness!$C$145=7,IF(5=Element_Stiffness!$C$145,Element_Stiffness!R167,IF(5=Element_Stiffness!$E$145,Element_Stiffness!X167,0)),IF(Element_Stiffness!$E$145=7,IF(5=Element_Stiffness!$C$145,Element_Stiffness!R173,IF(5=Element_Stiffness!$E$145,Element_Stiffness!X173,0)),0)),0)+IF(Element_Stiffness!$C$181,IF(Element_Stiffness!$C$180=7,IF(5=Element_Stiffness!$C$180,Element_Stiffness!R202,IF(5=Element_Stiffness!$E$180,Element_Stiffness!X202,0)),IF(Element_Stiffness!$E$180=7,IF(5=Element_Stiffness!$C$180,Element_Stiffness!R208,IF(5=Element_Stiffness!$E$180,Element_Stiffness!X208,0)),0)),0)+IF(Element_Stiffness!$C$216,IF(Element_Stiffness!$C$215=7,IF(5=Element_Stiffness!$C$215,Element_Stiffness!R237,IF(5=Element_Stiffness!$E$215,Element_Stiffness!X237,0)),IF(Element_Stiffness!$E$215=7,IF(5=Element_Stiffness!$C$215,Element_Stiffness!R243,IF(5=Element_Stiffness!$E$215,Element_Stiffness!X243,0)),0)),0)</f>
        <v/>
      </c>
      <c r="AJ48" s="21">
        <f>IF(Element_Stiffness!$C$6,IF(Element_Stiffness!$C$5=7,IF(5=Element_Stiffness!$C$5,Element_Stiffness!S27,IF(5=Element_Stiffness!$E$5,Element_Stiffness!Y27,0)),IF(Element_Stiffness!$E$5=7,IF(5=Element_Stiffness!$C$5,Element_Stiffness!S33,IF(5=Element_Stiffness!$E$5,Element_Stiffness!Y33,0)),0)),0)+IF(Element_Stiffness!$C$41,IF(Element_Stiffness!$C$40=7,IF(5=Element_Stiffness!$C$40,Element_Stiffness!S62,IF(5=Element_Stiffness!$E$40,Element_Stiffness!Y62,0)),IF(Element_Stiffness!$E$40=7,IF(5=Element_Stiffness!$C$40,Element_Stiffness!S68,IF(5=Element_Stiffness!$E$40,Element_Stiffness!Y68,0)),0)),0)+IF(Element_Stiffness!$C$76,IF(Element_Stiffness!$C$75=7,IF(5=Element_Stiffness!$C$75,Element_Stiffness!S97,IF(5=Element_Stiffness!$E$75,Element_Stiffness!Y97,0)),IF(Element_Stiffness!$E$75=7,IF(5=Element_Stiffness!$C$75,Element_Stiffness!S103,IF(5=Element_Stiffness!$E$75,Element_Stiffness!Y103,0)),0)),0)+IF(Element_Stiffness!$C$111,IF(Element_Stiffness!$C$110=7,IF(5=Element_Stiffness!$C$110,Element_Stiffness!S132,IF(5=Element_Stiffness!$E$110,Element_Stiffness!Y132,0)),IF(Element_Stiffness!$E$110=7,IF(5=Element_Stiffness!$C$110,Element_Stiffness!S138,IF(5=Element_Stiffness!$E$110,Element_Stiffness!Y138,0)),0)),0)+IF(Element_Stiffness!$C$146,IF(Element_Stiffness!$C$145=7,IF(5=Element_Stiffness!$C$145,Element_Stiffness!S167,IF(5=Element_Stiffness!$E$145,Element_Stiffness!Y167,0)),IF(Element_Stiffness!$E$145=7,IF(5=Element_Stiffness!$C$145,Element_Stiffness!S173,IF(5=Element_Stiffness!$E$145,Element_Stiffness!Y173,0)),0)),0)+IF(Element_Stiffness!$C$181,IF(Element_Stiffness!$C$180=7,IF(5=Element_Stiffness!$C$180,Element_Stiffness!S202,IF(5=Element_Stiffness!$E$180,Element_Stiffness!Y202,0)),IF(Element_Stiffness!$E$180=7,IF(5=Element_Stiffness!$C$180,Element_Stiffness!S208,IF(5=Element_Stiffness!$E$180,Element_Stiffness!Y208,0)),0)),0)+IF(Element_Stiffness!$C$216,IF(Element_Stiffness!$C$215=7,IF(5=Element_Stiffness!$C$215,Element_Stiffness!S237,IF(5=Element_Stiffness!$E$215,Element_Stiffness!Y237,0)),IF(Element_Stiffness!$E$215=7,IF(5=Element_Stiffness!$C$215,Element_Stiffness!S243,IF(5=Element_Stiffness!$E$215,Element_Stiffness!Y243,0)),0)),0)</f>
        <v/>
      </c>
      <c r="AK48" s="21">
        <f>IF(Element_Stiffness!$C$6,IF(Element_Stiffness!$C$5=7,IF(5=Element_Stiffness!$C$5,Element_Stiffness!T27,IF(5=Element_Stiffness!$E$5,Element_Stiffness!Z27,0)),IF(Element_Stiffness!$E$5=7,IF(5=Element_Stiffness!$C$5,Element_Stiffness!T33,IF(5=Element_Stiffness!$E$5,Element_Stiffness!Z33,0)),0)),0)+IF(Element_Stiffness!$C$41,IF(Element_Stiffness!$C$40=7,IF(5=Element_Stiffness!$C$40,Element_Stiffness!T62,IF(5=Element_Stiffness!$E$40,Element_Stiffness!Z62,0)),IF(Element_Stiffness!$E$40=7,IF(5=Element_Stiffness!$C$40,Element_Stiffness!T68,IF(5=Element_Stiffness!$E$40,Element_Stiffness!Z68,0)),0)),0)+IF(Element_Stiffness!$C$76,IF(Element_Stiffness!$C$75=7,IF(5=Element_Stiffness!$C$75,Element_Stiffness!T97,IF(5=Element_Stiffness!$E$75,Element_Stiffness!Z97,0)),IF(Element_Stiffness!$E$75=7,IF(5=Element_Stiffness!$C$75,Element_Stiffness!T103,IF(5=Element_Stiffness!$E$75,Element_Stiffness!Z103,0)),0)),0)+IF(Element_Stiffness!$C$111,IF(Element_Stiffness!$C$110=7,IF(5=Element_Stiffness!$C$110,Element_Stiffness!T132,IF(5=Element_Stiffness!$E$110,Element_Stiffness!Z132,0)),IF(Element_Stiffness!$E$110=7,IF(5=Element_Stiffness!$C$110,Element_Stiffness!T138,IF(5=Element_Stiffness!$E$110,Element_Stiffness!Z138,0)),0)),0)+IF(Element_Stiffness!$C$146,IF(Element_Stiffness!$C$145=7,IF(5=Element_Stiffness!$C$145,Element_Stiffness!T167,IF(5=Element_Stiffness!$E$145,Element_Stiffness!Z167,0)),IF(Element_Stiffness!$E$145=7,IF(5=Element_Stiffness!$C$145,Element_Stiffness!T173,IF(5=Element_Stiffness!$E$145,Element_Stiffness!Z173,0)),0)),0)+IF(Element_Stiffness!$C$181,IF(Element_Stiffness!$C$180=7,IF(5=Element_Stiffness!$C$180,Element_Stiffness!T202,IF(5=Element_Stiffness!$E$180,Element_Stiffness!Z202,0)),IF(Element_Stiffness!$E$180=7,IF(5=Element_Stiffness!$C$180,Element_Stiffness!T208,IF(5=Element_Stiffness!$E$180,Element_Stiffness!Z208,0)),0)),0)+IF(Element_Stiffness!$C$216,IF(Element_Stiffness!$C$215=7,IF(5=Element_Stiffness!$C$215,Element_Stiffness!T237,IF(5=Element_Stiffness!$E$215,Element_Stiffness!Z237,0)),IF(Element_Stiffness!$E$215=7,IF(5=Element_Stiffness!$C$215,Element_Stiffness!T243,IF(5=Element_Stiffness!$E$215,Element_Stiffness!Z243,0)),0)),0)</f>
        <v/>
      </c>
      <c r="AL48" s="21">
        <f>IF(Element_Stiffness!$C$6,IF(Element_Stiffness!$C$5=7,IF(5=Element_Stiffness!$C$5,Element_Stiffness!U27,IF(5=Element_Stiffness!$E$5,Element_Stiffness!AA27,0)),IF(Element_Stiffness!$E$5=7,IF(5=Element_Stiffness!$C$5,Element_Stiffness!U33,IF(5=Element_Stiffness!$E$5,Element_Stiffness!AA33,0)),0)),0)+IF(Element_Stiffness!$C$41,IF(Element_Stiffness!$C$40=7,IF(5=Element_Stiffness!$C$40,Element_Stiffness!U62,IF(5=Element_Stiffness!$E$40,Element_Stiffness!AA62,0)),IF(Element_Stiffness!$E$40=7,IF(5=Element_Stiffness!$C$40,Element_Stiffness!U68,IF(5=Element_Stiffness!$E$40,Element_Stiffness!AA68,0)),0)),0)+IF(Element_Stiffness!$C$76,IF(Element_Stiffness!$C$75=7,IF(5=Element_Stiffness!$C$75,Element_Stiffness!U97,IF(5=Element_Stiffness!$E$75,Element_Stiffness!AA97,0)),IF(Element_Stiffness!$E$75=7,IF(5=Element_Stiffness!$C$75,Element_Stiffness!U103,IF(5=Element_Stiffness!$E$75,Element_Stiffness!AA103,0)),0)),0)+IF(Element_Stiffness!$C$111,IF(Element_Stiffness!$C$110=7,IF(5=Element_Stiffness!$C$110,Element_Stiffness!U132,IF(5=Element_Stiffness!$E$110,Element_Stiffness!AA132,0)),IF(Element_Stiffness!$E$110=7,IF(5=Element_Stiffness!$C$110,Element_Stiffness!U138,IF(5=Element_Stiffness!$E$110,Element_Stiffness!AA138,0)),0)),0)+IF(Element_Stiffness!$C$146,IF(Element_Stiffness!$C$145=7,IF(5=Element_Stiffness!$C$145,Element_Stiffness!U167,IF(5=Element_Stiffness!$E$145,Element_Stiffness!AA167,0)),IF(Element_Stiffness!$E$145=7,IF(5=Element_Stiffness!$C$145,Element_Stiffness!U173,IF(5=Element_Stiffness!$E$145,Element_Stiffness!AA173,0)),0)),0)+IF(Element_Stiffness!$C$181,IF(Element_Stiffness!$C$180=7,IF(5=Element_Stiffness!$C$180,Element_Stiffness!U202,IF(5=Element_Stiffness!$E$180,Element_Stiffness!AA202,0)),IF(Element_Stiffness!$E$180=7,IF(5=Element_Stiffness!$C$180,Element_Stiffness!U208,IF(5=Element_Stiffness!$E$180,Element_Stiffness!AA208,0)),0)),0)+IF(Element_Stiffness!$C$216,IF(Element_Stiffness!$C$215=7,IF(5=Element_Stiffness!$C$215,Element_Stiffness!U237,IF(5=Element_Stiffness!$E$215,Element_Stiffness!AA237,0)),IF(Element_Stiffness!$E$215=7,IF(5=Element_Stiffness!$C$215,Element_Stiffness!U243,IF(5=Element_Stiffness!$E$215,Element_Stiffness!AA243,0)),0)),0)</f>
        <v/>
      </c>
      <c r="AM48" s="21">
        <f>IF(Element_Stiffness!$C$6,IF(Element_Stiffness!$C$5=7,IF(6=Element_Stiffness!$C$5,Element_Stiffness!P27,IF(6=Element_Stiffness!$E$5,Element_Stiffness!V27,0)),IF(Element_Stiffness!$E$5=7,IF(6=Element_Stiffness!$C$5,Element_Stiffness!P33,IF(6=Element_Stiffness!$E$5,Element_Stiffness!V33,0)),0)),0)+IF(Element_Stiffness!$C$41,IF(Element_Stiffness!$C$40=7,IF(6=Element_Stiffness!$C$40,Element_Stiffness!P62,IF(6=Element_Stiffness!$E$40,Element_Stiffness!V62,0)),IF(Element_Stiffness!$E$40=7,IF(6=Element_Stiffness!$C$40,Element_Stiffness!P68,IF(6=Element_Stiffness!$E$40,Element_Stiffness!V68,0)),0)),0)+IF(Element_Stiffness!$C$76,IF(Element_Stiffness!$C$75=7,IF(6=Element_Stiffness!$C$75,Element_Stiffness!P97,IF(6=Element_Stiffness!$E$75,Element_Stiffness!V97,0)),IF(Element_Stiffness!$E$75=7,IF(6=Element_Stiffness!$C$75,Element_Stiffness!P103,IF(6=Element_Stiffness!$E$75,Element_Stiffness!V103,0)),0)),0)+IF(Element_Stiffness!$C$111,IF(Element_Stiffness!$C$110=7,IF(6=Element_Stiffness!$C$110,Element_Stiffness!P132,IF(6=Element_Stiffness!$E$110,Element_Stiffness!V132,0)),IF(Element_Stiffness!$E$110=7,IF(6=Element_Stiffness!$C$110,Element_Stiffness!P138,IF(6=Element_Stiffness!$E$110,Element_Stiffness!V138,0)),0)),0)+IF(Element_Stiffness!$C$146,IF(Element_Stiffness!$C$145=7,IF(6=Element_Stiffness!$C$145,Element_Stiffness!P167,IF(6=Element_Stiffness!$E$145,Element_Stiffness!V167,0)),IF(Element_Stiffness!$E$145=7,IF(6=Element_Stiffness!$C$145,Element_Stiffness!P173,IF(6=Element_Stiffness!$E$145,Element_Stiffness!V173,0)),0)),0)+IF(Element_Stiffness!$C$181,IF(Element_Stiffness!$C$180=7,IF(6=Element_Stiffness!$C$180,Element_Stiffness!P202,IF(6=Element_Stiffness!$E$180,Element_Stiffness!V202,0)),IF(Element_Stiffness!$E$180=7,IF(6=Element_Stiffness!$C$180,Element_Stiffness!P208,IF(6=Element_Stiffness!$E$180,Element_Stiffness!V208,0)),0)),0)+IF(Element_Stiffness!$C$216,IF(Element_Stiffness!$C$215=7,IF(6=Element_Stiffness!$C$215,Element_Stiffness!P237,IF(6=Element_Stiffness!$E$215,Element_Stiffness!V237,0)),IF(Element_Stiffness!$E$215=7,IF(6=Element_Stiffness!$C$215,Element_Stiffness!P243,IF(6=Element_Stiffness!$E$215,Element_Stiffness!V243,0)),0)),0)</f>
        <v/>
      </c>
      <c r="AN48" s="21">
        <f>IF(Element_Stiffness!$C$6,IF(Element_Stiffness!$C$5=7,IF(6=Element_Stiffness!$C$5,Element_Stiffness!Q27,IF(6=Element_Stiffness!$E$5,Element_Stiffness!W27,0)),IF(Element_Stiffness!$E$5=7,IF(6=Element_Stiffness!$C$5,Element_Stiffness!Q33,IF(6=Element_Stiffness!$E$5,Element_Stiffness!W33,0)),0)),0)+IF(Element_Stiffness!$C$41,IF(Element_Stiffness!$C$40=7,IF(6=Element_Stiffness!$C$40,Element_Stiffness!Q62,IF(6=Element_Stiffness!$E$40,Element_Stiffness!W62,0)),IF(Element_Stiffness!$E$40=7,IF(6=Element_Stiffness!$C$40,Element_Stiffness!Q68,IF(6=Element_Stiffness!$E$40,Element_Stiffness!W68,0)),0)),0)+IF(Element_Stiffness!$C$76,IF(Element_Stiffness!$C$75=7,IF(6=Element_Stiffness!$C$75,Element_Stiffness!Q97,IF(6=Element_Stiffness!$E$75,Element_Stiffness!W97,0)),IF(Element_Stiffness!$E$75=7,IF(6=Element_Stiffness!$C$75,Element_Stiffness!Q103,IF(6=Element_Stiffness!$E$75,Element_Stiffness!W103,0)),0)),0)+IF(Element_Stiffness!$C$111,IF(Element_Stiffness!$C$110=7,IF(6=Element_Stiffness!$C$110,Element_Stiffness!Q132,IF(6=Element_Stiffness!$E$110,Element_Stiffness!W132,0)),IF(Element_Stiffness!$E$110=7,IF(6=Element_Stiffness!$C$110,Element_Stiffness!Q138,IF(6=Element_Stiffness!$E$110,Element_Stiffness!W138,0)),0)),0)+IF(Element_Stiffness!$C$146,IF(Element_Stiffness!$C$145=7,IF(6=Element_Stiffness!$C$145,Element_Stiffness!Q167,IF(6=Element_Stiffness!$E$145,Element_Stiffness!W167,0)),IF(Element_Stiffness!$E$145=7,IF(6=Element_Stiffness!$C$145,Element_Stiffness!Q173,IF(6=Element_Stiffness!$E$145,Element_Stiffness!W173,0)),0)),0)+IF(Element_Stiffness!$C$181,IF(Element_Stiffness!$C$180=7,IF(6=Element_Stiffness!$C$180,Element_Stiffness!Q202,IF(6=Element_Stiffness!$E$180,Element_Stiffness!W202,0)),IF(Element_Stiffness!$E$180=7,IF(6=Element_Stiffness!$C$180,Element_Stiffness!Q208,IF(6=Element_Stiffness!$E$180,Element_Stiffness!W208,0)),0)),0)+IF(Element_Stiffness!$C$216,IF(Element_Stiffness!$C$215=7,IF(6=Element_Stiffness!$C$215,Element_Stiffness!Q237,IF(6=Element_Stiffness!$E$215,Element_Stiffness!W237,0)),IF(Element_Stiffness!$E$215=7,IF(6=Element_Stiffness!$C$215,Element_Stiffness!Q243,IF(6=Element_Stiffness!$E$215,Element_Stiffness!W243,0)),0)),0)</f>
        <v/>
      </c>
      <c r="AO48" s="21">
        <f>IF(Element_Stiffness!$C$6,IF(Element_Stiffness!$C$5=7,IF(6=Element_Stiffness!$C$5,Element_Stiffness!R27,IF(6=Element_Stiffness!$E$5,Element_Stiffness!X27,0)),IF(Element_Stiffness!$E$5=7,IF(6=Element_Stiffness!$C$5,Element_Stiffness!R33,IF(6=Element_Stiffness!$E$5,Element_Stiffness!X33,0)),0)),0)+IF(Element_Stiffness!$C$41,IF(Element_Stiffness!$C$40=7,IF(6=Element_Stiffness!$C$40,Element_Stiffness!R62,IF(6=Element_Stiffness!$E$40,Element_Stiffness!X62,0)),IF(Element_Stiffness!$E$40=7,IF(6=Element_Stiffness!$C$40,Element_Stiffness!R68,IF(6=Element_Stiffness!$E$40,Element_Stiffness!X68,0)),0)),0)+IF(Element_Stiffness!$C$76,IF(Element_Stiffness!$C$75=7,IF(6=Element_Stiffness!$C$75,Element_Stiffness!R97,IF(6=Element_Stiffness!$E$75,Element_Stiffness!X97,0)),IF(Element_Stiffness!$E$75=7,IF(6=Element_Stiffness!$C$75,Element_Stiffness!R103,IF(6=Element_Stiffness!$E$75,Element_Stiffness!X103,0)),0)),0)+IF(Element_Stiffness!$C$111,IF(Element_Stiffness!$C$110=7,IF(6=Element_Stiffness!$C$110,Element_Stiffness!R132,IF(6=Element_Stiffness!$E$110,Element_Stiffness!X132,0)),IF(Element_Stiffness!$E$110=7,IF(6=Element_Stiffness!$C$110,Element_Stiffness!R138,IF(6=Element_Stiffness!$E$110,Element_Stiffness!X138,0)),0)),0)+IF(Element_Stiffness!$C$146,IF(Element_Stiffness!$C$145=7,IF(6=Element_Stiffness!$C$145,Element_Stiffness!R167,IF(6=Element_Stiffness!$E$145,Element_Stiffness!X167,0)),IF(Element_Stiffness!$E$145=7,IF(6=Element_Stiffness!$C$145,Element_Stiffness!R173,IF(6=Element_Stiffness!$E$145,Element_Stiffness!X173,0)),0)),0)+IF(Element_Stiffness!$C$181,IF(Element_Stiffness!$C$180=7,IF(6=Element_Stiffness!$C$180,Element_Stiffness!R202,IF(6=Element_Stiffness!$E$180,Element_Stiffness!X202,0)),IF(Element_Stiffness!$E$180=7,IF(6=Element_Stiffness!$C$180,Element_Stiffness!R208,IF(6=Element_Stiffness!$E$180,Element_Stiffness!X208,0)),0)),0)+IF(Element_Stiffness!$C$216,IF(Element_Stiffness!$C$215=7,IF(6=Element_Stiffness!$C$215,Element_Stiffness!R237,IF(6=Element_Stiffness!$E$215,Element_Stiffness!X237,0)),IF(Element_Stiffness!$E$215=7,IF(6=Element_Stiffness!$C$215,Element_Stiffness!R243,IF(6=Element_Stiffness!$E$215,Element_Stiffness!X243,0)),0)),0)</f>
        <v/>
      </c>
      <c r="AP48" s="21">
        <f>IF(Element_Stiffness!$C$6,IF(Element_Stiffness!$C$5=7,IF(6=Element_Stiffness!$C$5,Element_Stiffness!S27,IF(6=Element_Stiffness!$E$5,Element_Stiffness!Y27,0)),IF(Element_Stiffness!$E$5=7,IF(6=Element_Stiffness!$C$5,Element_Stiffness!S33,IF(6=Element_Stiffness!$E$5,Element_Stiffness!Y33,0)),0)),0)+IF(Element_Stiffness!$C$41,IF(Element_Stiffness!$C$40=7,IF(6=Element_Stiffness!$C$40,Element_Stiffness!S62,IF(6=Element_Stiffness!$E$40,Element_Stiffness!Y62,0)),IF(Element_Stiffness!$E$40=7,IF(6=Element_Stiffness!$C$40,Element_Stiffness!S68,IF(6=Element_Stiffness!$E$40,Element_Stiffness!Y68,0)),0)),0)+IF(Element_Stiffness!$C$76,IF(Element_Stiffness!$C$75=7,IF(6=Element_Stiffness!$C$75,Element_Stiffness!S97,IF(6=Element_Stiffness!$E$75,Element_Stiffness!Y97,0)),IF(Element_Stiffness!$E$75=7,IF(6=Element_Stiffness!$C$75,Element_Stiffness!S103,IF(6=Element_Stiffness!$E$75,Element_Stiffness!Y103,0)),0)),0)+IF(Element_Stiffness!$C$111,IF(Element_Stiffness!$C$110=7,IF(6=Element_Stiffness!$C$110,Element_Stiffness!S132,IF(6=Element_Stiffness!$E$110,Element_Stiffness!Y132,0)),IF(Element_Stiffness!$E$110=7,IF(6=Element_Stiffness!$C$110,Element_Stiffness!S138,IF(6=Element_Stiffness!$E$110,Element_Stiffness!Y138,0)),0)),0)+IF(Element_Stiffness!$C$146,IF(Element_Stiffness!$C$145=7,IF(6=Element_Stiffness!$C$145,Element_Stiffness!S167,IF(6=Element_Stiffness!$E$145,Element_Stiffness!Y167,0)),IF(Element_Stiffness!$E$145=7,IF(6=Element_Stiffness!$C$145,Element_Stiffness!S173,IF(6=Element_Stiffness!$E$145,Element_Stiffness!Y173,0)),0)),0)+IF(Element_Stiffness!$C$181,IF(Element_Stiffness!$C$180=7,IF(6=Element_Stiffness!$C$180,Element_Stiffness!S202,IF(6=Element_Stiffness!$E$180,Element_Stiffness!Y202,0)),IF(Element_Stiffness!$E$180=7,IF(6=Element_Stiffness!$C$180,Element_Stiffness!S208,IF(6=Element_Stiffness!$E$180,Element_Stiffness!Y208,0)),0)),0)+IF(Element_Stiffness!$C$216,IF(Element_Stiffness!$C$215=7,IF(6=Element_Stiffness!$C$215,Element_Stiffness!S237,IF(6=Element_Stiffness!$E$215,Element_Stiffness!Y237,0)),IF(Element_Stiffness!$E$215=7,IF(6=Element_Stiffness!$C$215,Element_Stiffness!S243,IF(6=Element_Stiffness!$E$215,Element_Stiffness!Y243,0)),0)),0)</f>
        <v/>
      </c>
      <c r="AQ48" s="21">
        <f>IF(Element_Stiffness!$C$6,IF(Element_Stiffness!$C$5=7,IF(6=Element_Stiffness!$C$5,Element_Stiffness!T27,IF(6=Element_Stiffness!$E$5,Element_Stiffness!Z27,0)),IF(Element_Stiffness!$E$5=7,IF(6=Element_Stiffness!$C$5,Element_Stiffness!T33,IF(6=Element_Stiffness!$E$5,Element_Stiffness!Z33,0)),0)),0)+IF(Element_Stiffness!$C$41,IF(Element_Stiffness!$C$40=7,IF(6=Element_Stiffness!$C$40,Element_Stiffness!T62,IF(6=Element_Stiffness!$E$40,Element_Stiffness!Z62,0)),IF(Element_Stiffness!$E$40=7,IF(6=Element_Stiffness!$C$40,Element_Stiffness!T68,IF(6=Element_Stiffness!$E$40,Element_Stiffness!Z68,0)),0)),0)+IF(Element_Stiffness!$C$76,IF(Element_Stiffness!$C$75=7,IF(6=Element_Stiffness!$C$75,Element_Stiffness!T97,IF(6=Element_Stiffness!$E$75,Element_Stiffness!Z97,0)),IF(Element_Stiffness!$E$75=7,IF(6=Element_Stiffness!$C$75,Element_Stiffness!T103,IF(6=Element_Stiffness!$E$75,Element_Stiffness!Z103,0)),0)),0)+IF(Element_Stiffness!$C$111,IF(Element_Stiffness!$C$110=7,IF(6=Element_Stiffness!$C$110,Element_Stiffness!T132,IF(6=Element_Stiffness!$E$110,Element_Stiffness!Z132,0)),IF(Element_Stiffness!$E$110=7,IF(6=Element_Stiffness!$C$110,Element_Stiffness!T138,IF(6=Element_Stiffness!$E$110,Element_Stiffness!Z138,0)),0)),0)+IF(Element_Stiffness!$C$146,IF(Element_Stiffness!$C$145=7,IF(6=Element_Stiffness!$C$145,Element_Stiffness!T167,IF(6=Element_Stiffness!$E$145,Element_Stiffness!Z167,0)),IF(Element_Stiffness!$E$145=7,IF(6=Element_Stiffness!$C$145,Element_Stiffness!T173,IF(6=Element_Stiffness!$E$145,Element_Stiffness!Z173,0)),0)),0)+IF(Element_Stiffness!$C$181,IF(Element_Stiffness!$C$180=7,IF(6=Element_Stiffness!$C$180,Element_Stiffness!T202,IF(6=Element_Stiffness!$E$180,Element_Stiffness!Z202,0)),IF(Element_Stiffness!$E$180=7,IF(6=Element_Stiffness!$C$180,Element_Stiffness!T208,IF(6=Element_Stiffness!$E$180,Element_Stiffness!Z208,0)),0)),0)+IF(Element_Stiffness!$C$216,IF(Element_Stiffness!$C$215=7,IF(6=Element_Stiffness!$C$215,Element_Stiffness!T237,IF(6=Element_Stiffness!$E$215,Element_Stiffness!Z237,0)),IF(Element_Stiffness!$E$215=7,IF(6=Element_Stiffness!$C$215,Element_Stiffness!T243,IF(6=Element_Stiffness!$E$215,Element_Stiffness!Z243,0)),0)),0)</f>
        <v/>
      </c>
      <c r="AR48" s="21">
        <f>IF(Element_Stiffness!$C$6,IF(Element_Stiffness!$C$5=7,IF(6=Element_Stiffness!$C$5,Element_Stiffness!U27,IF(6=Element_Stiffness!$E$5,Element_Stiffness!AA27,0)),IF(Element_Stiffness!$E$5=7,IF(6=Element_Stiffness!$C$5,Element_Stiffness!U33,IF(6=Element_Stiffness!$E$5,Element_Stiffness!AA33,0)),0)),0)+IF(Element_Stiffness!$C$41,IF(Element_Stiffness!$C$40=7,IF(6=Element_Stiffness!$C$40,Element_Stiffness!U62,IF(6=Element_Stiffness!$E$40,Element_Stiffness!AA62,0)),IF(Element_Stiffness!$E$40=7,IF(6=Element_Stiffness!$C$40,Element_Stiffness!U68,IF(6=Element_Stiffness!$E$40,Element_Stiffness!AA68,0)),0)),0)+IF(Element_Stiffness!$C$76,IF(Element_Stiffness!$C$75=7,IF(6=Element_Stiffness!$C$75,Element_Stiffness!U97,IF(6=Element_Stiffness!$E$75,Element_Stiffness!AA97,0)),IF(Element_Stiffness!$E$75=7,IF(6=Element_Stiffness!$C$75,Element_Stiffness!U103,IF(6=Element_Stiffness!$E$75,Element_Stiffness!AA103,0)),0)),0)+IF(Element_Stiffness!$C$111,IF(Element_Stiffness!$C$110=7,IF(6=Element_Stiffness!$C$110,Element_Stiffness!U132,IF(6=Element_Stiffness!$E$110,Element_Stiffness!AA132,0)),IF(Element_Stiffness!$E$110=7,IF(6=Element_Stiffness!$C$110,Element_Stiffness!U138,IF(6=Element_Stiffness!$E$110,Element_Stiffness!AA138,0)),0)),0)+IF(Element_Stiffness!$C$146,IF(Element_Stiffness!$C$145=7,IF(6=Element_Stiffness!$C$145,Element_Stiffness!U167,IF(6=Element_Stiffness!$E$145,Element_Stiffness!AA167,0)),IF(Element_Stiffness!$E$145=7,IF(6=Element_Stiffness!$C$145,Element_Stiffness!U173,IF(6=Element_Stiffness!$E$145,Element_Stiffness!AA173,0)),0)),0)+IF(Element_Stiffness!$C$181,IF(Element_Stiffness!$C$180=7,IF(6=Element_Stiffness!$C$180,Element_Stiffness!U202,IF(6=Element_Stiffness!$E$180,Element_Stiffness!AA202,0)),IF(Element_Stiffness!$E$180=7,IF(6=Element_Stiffness!$C$180,Element_Stiffness!U208,IF(6=Element_Stiffness!$E$180,Element_Stiffness!AA208,0)),0)),0)+IF(Element_Stiffness!$C$216,IF(Element_Stiffness!$C$215=7,IF(6=Element_Stiffness!$C$215,Element_Stiffness!U237,IF(6=Element_Stiffness!$E$215,Element_Stiffness!AA237,0)),IF(Element_Stiffness!$E$215=7,IF(6=Element_Stiffness!$C$215,Element_Stiffness!U243,IF(6=Element_Stiffness!$E$215,Element_Stiffness!AA243,0)),0)),0)</f>
        <v/>
      </c>
      <c r="AS48" s="21">
        <f>IF(Element_Stiffness!$C$6,IF(Element_Stiffness!$C$5=7,IF(7=Element_Stiffness!$C$5,Element_Stiffness!P27,IF(7=Element_Stiffness!$E$5,Element_Stiffness!V27,0)),IF(Element_Stiffness!$E$5=7,IF(7=Element_Stiffness!$C$5,Element_Stiffness!P33,IF(7=Element_Stiffness!$E$5,Element_Stiffness!V33,0)),0)),0)+IF(Element_Stiffness!$C$41,IF(Element_Stiffness!$C$40=7,IF(7=Element_Stiffness!$C$40,Element_Stiffness!P62,IF(7=Element_Stiffness!$E$40,Element_Stiffness!V62,0)),IF(Element_Stiffness!$E$40=7,IF(7=Element_Stiffness!$C$40,Element_Stiffness!P68,IF(7=Element_Stiffness!$E$40,Element_Stiffness!V68,0)),0)),0)+IF(Element_Stiffness!$C$76,IF(Element_Stiffness!$C$75=7,IF(7=Element_Stiffness!$C$75,Element_Stiffness!P97,IF(7=Element_Stiffness!$E$75,Element_Stiffness!V97,0)),IF(Element_Stiffness!$E$75=7,IF(7=Element_Stiffness!$C$75,Element_Stiffness!P103,IF(7=Element_Stiffness!$E$75,Element_Stiffness!V103,0)),0)),0)+IF(Element_Stiffness!$C$111,IF(Element_Stiffness!$C$110=7,IF(7=Element_Stiffness!$C$110,Element_Stiffness!P132,IF(7=Element_Stiffness!$E$110,Element_Stiffness!V132,0)),IF(Element_Stiffness!$E$110=7,IF(7=Element_Stiffness!$C$110,Element_Stiffness!P138,IF(7=Element_Stiffness!$E$110,Element_Stiffness!V138,0)),0)),0)+IF(Element_Stiffness!$C$146,IF(Element_Stiffness!$C$145=7,IF(7=Element_Stiffness!$C$145,Element_Stiffness!P167,IF(7=Element_Stiffness!$E$145,Element_Stiffness!V167,0)),IF(Element_Stiffness!$E$145=7,IF(7=Element_Stiffness!$C$145,Element_Stiffness!P173,IF(7=Element_Stiffness!$E$145,Element_Stiffness!V173,0)),0)),0)+IF(Element_Stiffness!$C$181,IF(Element_Stiffness!$C$180=7,IF(7=Element_Stiffness!$C$180,Element_Stiffness!P202,IF(7=Element_Stiffness!$E$180,Element_Stiffness!V202,0)),IF(Element_Stiffness!$E$180=7,IF(7=Element_Stiffness!$C$180,Element_Stiffness!P208,IF(7=Element_Stiffness!$E$180,Element_Stiffness!V208,0)),0)),0)+IF(Element_Stiffness!$C$216,IF(Element_Stiffness!$C$215=7,IF(7=Element_Stiffness!$C$215,Element_Stiffness!P237,IF(7=Element_Stiffness!$E$215,Element_Stiffness!V237,0)),IF(Element_Stiffness!$E$215=7,IF(7=Element_Stiffness!$C$215,Element_Stiffness!P243,IF(7=Element_Stiffness!$E$215,Element_Stiffness!V243,0)),0)),0)</f>
        <v/>
      </c>
      <c r="AT48" s="21">
        <f>IF(Element_Stiffness!$C$6,IF(Element_Stiffness!$C$5=7,IF(7=Element_Stiffness!$C$5,Element_Stiffness!Q27,IF(7=Element_Stiffness!$E$5,Element_Stiffness!W27,0)),IF(Element_Stiffness!$E$5=7,IF(7=Element_Stiffness!$C$5,Element_Stiffness!Q33,IF(7=Element_Stiffness!$E$5,Element_Stiffness!W33,0)),0)),0)+IF(Element_Stiffness!$C$41,IF(Element_Stiffness!$C$40=7,IF(7=Element_Stiffness!$C$40,Element_Stiffness!Q62,IF(7=Element_Stiffness!$E$40,Element_Stiffness!W62,0)),IF(Element_Stiffness!$E$40=7,IF(7=Element_Stiffness!$C$40,Element_Stiffness!Q68,IF(7=Element_Stiffness!$E$40,Element_Stiffness!W68,0)),0)),0)+IF(Element_Stiffness!$C$76,IF(Element_Stiffness!$C$75=7,IF(7=Element_Stiffness!$C$75,Element_Stiffness!Q97,IF(7=Element_Stiffness!$E$75,Element_Stiffness!W97,0)),IF(Element_Stiffness!$E$75=7,IF(7=Element_Stiffness!$C$75,Element_Stiffness!Q103,IF(7=Element_Stiffness!$E$75,Element_Stiffness!W103,0)),0)),0)+IF(Element_Stiffness!$C$111,IF(Element_Stiffness!$C$110=7,IF(7=Element_Stiffness!$C$110,Element_Stiffness!Q132,IF(7=Element_Stiffness!$E$110,Element_Stiffness!W132,0)),IF(Element_Stiffness!$E$110=7,IF(7=Element_Stiffness!$C$110,Element_Stiffness!Q138,IF(7=Element_Stiffness!$E$110,Element_Stiffness!W138,0)),0)),0)+IF(Element_Stiffness!$C$146,IF(Element_Stiffness!$C$145=7,IF(7=Element_Stiffness!$C$145,Element_Stiffness!Q167,IF(7=Element_Stiffness!$E$145,Element_Stiffness!W167,0)),IF(Element_Stiffness!$E$145=7,IF(7=Element_Stiffness!$C$145,Element_Stiffness!Q173,IF(7=Element_Stiffness!$E$145,Element_Stiffness!W173,0)),0)),0)+IF(Element_Stiffness!$C$181,IF(Element_Stiffness!$C$180=7,IF(7=Element_Stiffness!$C$180,Element_Stiffness!Q202,IF(7=Element_Stiffness!$E$180,Element_Stiffness!W202,0)),IF(Element_Stiffness!$E$180=7,IF(7=Element_Stiffness!$C$180,Element_Stiffness!Q208,IF(7=Element_Stiffness!$E$180,Element_Stiffness!W208,0)),0)),0)+IF(Element_Stiffness!$C$216,IF(Element_Stiffness!$C$215=7,IF(7=Element_Stiffness!$C$215,Element_Stiffness!Q237,IF(7=Element_Stiffness!$E$215,Element_Stiffness!W237,0)),IF(Element_Stiffness!$E$215=7,IF(7=Element_Stiffness!$C$215,Element_Stiffness!Q243,IF(7=Element_Stiffness!$E$215,Element_Stiffness!W243,0)),0)),0)+IF(Inputs!D47=TRUE,1E15,IF(ISNUMBER(Inputs!D47),Inputs!D47,0))</f>
        <v/>
      </c>
      <c r="AU48" s="21">
        <f>IF(Element_Stiffness!$C$6,IF(Element_Stiffness!$C$5=7,IF(7=Element_Stiffness!$C$5,Element_Stiffness!R27,IF(7=Element_Stiffness!$E$5,Element_Stiffness!X27,0)),IF(Element_Stiffness!$E$5=7,IF(7=Element_Stiffness!$C$5,Element_Stiffness!R33,IF(7=Element_Stiffness!$E$5,Element_Stiffness!X33,0)),0)),0)+IF(Element_Stiffness!$C$41,IF(Element_Stiffness!$C$40=7,IF(7=Element_Stiffness!$C$40,Element_Stiffness!R62,IF(7=Element_Stiffness!$E$40,Element_Stiffness!X62,0)),IF(Element_Stiffness!$E$40=7,IF(7=Element_Stiffness!$C$40,Element_Stiffness!R68,IF(7=Element_Stiffness!$E$40,Element_Stiffness!X68,0)),0)),0)+IF(Element_Stiffness!$C$76,IF(Element_Stiffness!$C$75=7,IF(7=Element_Stiffness!$C$75,Element_Stiffness!R97,IF(7=Element_Stiffness!$E$75,Element_Stiffness!X97,0)),IF(Element_Stiffness!$E$75=7,IF(7=Element_Stiffness!$C$75,Element_Stiffness!R103,IF(7=Element_Stiffness!$E$75,Element_Stiffness!X103,0)),0)),0)+IF(Element_Stiffness!$C$111,IF(Element_Stiffness!$C$110=7,IF(7=Element_Stiffness!$C$110,Element_Stiffness!R132,IF(7=Element_Stiffness!$E$110,Element_Stiffness!X132,0)),IF(Element_Stiffness!$E$110=7,IF(7=Element_Stiffness!$C$110,Element_Stiffness!R138,IF(7=Element_Stiffness!$E$110,Element_Stiffness!X138,0)),0)),0)+IF(Element_Stiffness!$C$146,IF(Element_Stiffness!$C$145=7,IF(7=Element_Stiffness!$C$145,Element_Stiffness!R167,IF(7=Element_Stiffness!$E$145,Element_Stiffness!X167,0)),IF(Element_Stiffness!$E$145=7,IF(7=Element_Stiffness!$C$145,Element_Stiffness!R173,IF(7=Element_Stiffness!$E$145,Element_Stiffness!X173,0)),0)),0)+IF(Element_Stiffness!$C$181,IF(Element_Stiffness!$C$180=7,IF(7=Element_Stiffness!$C$180,Element_Stiffness!R202,IF(7=Element_Stiffness!$E$180,Element_Stiffness!X202,0)),IF(Element_Stiffness!$E$180=7,IF(7=Element_Stiffness!$C$180,Element_Stiffness!R208,IF(7=Element_Stiffness!$E$180,Element_Stiffness!X208,0)),0)),0)+IF(Element_Stiffness!$C$216,IF(Element_Stiffness!$C$215=7,IF(7=Element_Stiffness!$C$215,Element_Stiffness!R237,IF(7=Element_Stiffness!$E$215,Element_Stiffness!X237,0)),IF(Element_Stiffness!$E$215=7,IF(7=Element_Stiffness!$C$215,Element_Stiffness!R243,IF(7=Element_Stiffness!$E$215,Element_Stiffness!X243,0)),0)),0)</f>
        <v/>
      </c>
      <c r="AV48" s="21">
        <f>IF(Element_Stiffness!$C$6,IF(Element_Stiffness!$C$5=7,IF(7=Element_Stiffness!$C$5,Element_Stiffness!S27,IF(7=Element_Stiffness!$E$5,Element_Stiffness!Y27,0)),IF(Element_Stiffness!$E$5=7,IF(7=Element_Stiffness!$C$5,Element_Stiffness!S33,IF(7=Element_Stiffness!$E$5,Element_Stiffness!Y33,0)),0)),0)+IF(Element_Stiffness!$C$41,IF(Element_Stiffness!$C$40=7,IF(7=Element_Stiffness!$C$40,Element_Stiffness!S62,IF(7=Element_Stiffness!$E$40,Element_Stiffness!Y62,0)),IF(Element_Stiffness!$E$40=7,IF(7=Element_Stiffness!$C$40,Element_Stiffness!S68,IF(7=Element_Stiffness!$E$40,Element_Stiffness!Y68,0)),0)),0)+IF(Element_Stiffness!$C$76,IF(Element_Stiffness!$C$75=7,IF(7=Element_Stiffness!$C$75,Element_Stiffness!S97,IF(7=Element_Stiffness!$E$75,Element_Stiffness!Y97,0)),IF(Element_Stiffness!$E$75=7,IF(7=Element_Stiffness!$C$75,Element_Stiffness!S103,IF(7=Element_Stiffness!$E$75,Element_Stiffness!Y103,0)),0)),0)+IF(Element_Stiffness!$C$111,IF(Element_Stiffness!$C$110=7,IF(7=Element_Stiffness!$C$110,Element_Stiffness!S132,IF(7=Element_Stiffness!$E$110,Element_Stiffness!Y132,0)),IF(Element_Stiffness!$E$110=7,IF(7=Element_Stiffness!$C$110,Element_Stiffness!S138,IF(7=Element_Stiffness!$E$110,Element_Stiffness!Y138,0)),0)),0)+IF(Element_Stiffness!$C$146,IF(Element_Stiffness!$C$145=7,IF(7=Element_Stiffness!$C$145,Element_Stiffness!S167,IF(7=Element_Stiffness!$E$145,Element_Stiffness!Y167,0)),IF(Element_Stiffness!$E$145=7,IF(7=Element_Stiffness!$C$145,Element_Stiffness!S173,IF(7=Element_Stiffness!$E$145,Element_Stiffness!Y173,0)),0)),0)+IF(Element_Stiffness!$C$181,IF(Element_Stiffness!$C$180=7,IF(7=Element_Stiffness!$C$180,Element_Stiffness!S202,IF(7=Element_Stiffness!$E$180,Element_Stiffness!Y202,0)),IF(Element_Stiffness!$E$180=7,IF(7=Element_Stiffness!$C$180,Element_Stiffness!S208,IF(7=Element_Stiffness!$E$180,Element_Stiffness!Y208,0)),0)),0)+IF(Element_Stiffness!$C$216,IF(Element_Stiffness!$C$215=7,IF(7=Element_Stiffness!$C$215,Element_Stiffness!S237,IF(7=Element_Stiffness!$E$215,Element_Stiffness!Y237,0)),IF(Element_Stiffness!$E$215=7,IF(7=Element_Stiffness!$C$215,Element_Stiffness!S243,IF(7=Element_Stiffness!$E$215,Element_Stiffness!Y243,0)),0)),0)</f>
        <v/>
      </c>
      <c r="AW48" s="21">
        <f>IF(Element_Stiffness!$C$6,IF(Element_Stiffness!$C$5=7,IF(7=Element_Stiffness!$C$5,Element_Stiffness!T27,IF(7=Element_Stiffness!$E$5,Element_Stiffness!Z27,0)),IF(Element_Stiffness!$E$5=7,IF(7=Element_Stiffness!$C$5,Element_Stiffness!T33,IF(7=Element_Stiffness!$E$5,Element_Stiffness!Z33,0)),0)),0)+IF(Element_Stiffness!$C$41,IF(Element_Stiffness!$C$40=7,IF(7=Element_Stiffness!$C$40,Element_Stiffness!T62,IF(7=Element_Stiffness!$E$40,Element_Stiffness!Z62,0)),IF(Element_Stiffness!$E$40=7,IF(7=Element_Stiffness!$C$40,Element_Stiffness!T68,IF(7=Element_Stiffness!$E$40,Element_Stiffness!Z68,0)),0)),0)+IF(Element_Stiffness!$C$76,IF(Element_Stiffness!$C$75=7,IF(7=Element_Stiffness!$C$75,Element_Stiffness!T97,IF(7=Element_Stiffness!$E$75,Element_Stiffness!Z97,0)),IF(Element_Stiffness!$E$75=7,IF(7=Element_Stiffness!$C$75,Element_Stiffness!T103,IF(7=Element_Stiffness!$E$75,Element_Stiffness!Z103,0)),0)),0)+IF(Element_Stiffness!$C$111,IF(Element_Stiffness!$C$110=7,IF(7=Element_Stiffness!$C$110,Element_Stiffness!T132,IF(7=Element_Stiffness!$E$110,Element_Stiffness!Z132,0)),IF(Element_Stiffness!$E$110=7,IF(7=Element_Stiffness!$C$110,Element_Stiffness!T138,IF(7=Element_Stiffness!$E$110,Element_Stiffness!Z138,0)),0)),0)+IF(Element_Stiffness!$C$146,IF(Element_Stiffness!$C$145=7,IF(7=Element_Stiffness!$C$145,Element_Stiffness!T167,IF(7=Element_Stiffness!$E$145,Element_Stiffness!Z167,0)),IF(Element_Stiffness!$E$145=7,IF(7=Element_Stiffness!$C$145,Element_Stiffness!T173,IF(7=Element_Stiffness!$E$145,Element_Stiffness!Z173,0)),0)),0)+IF(Element_Stiffness!$C$181,IF(Element_Stiffness!$C$180=7,IF(7=Element_Stiffness!$C$180,Element_Stiffness!T202,IF(7=Element_Stiffness!$E$180,Element_Stiffness!Z202,0)),IF(Element_Stiffness!$E$180=7,IF(7=Element_Stiffness!$C$180,Element_Stiffness!T208,IF(7=Element_Stiffness!$E$180,Element_Stiffness!Z208,0)),0)),0)+IF(Element_Stiffness!$C$216,IF(Element_Stiffness!$C$215=7,IF(7=Element_Stiffness!$C$215,Element_Stiffness!T237,IF(7=Element_Stiffness!$E$215,Element_Stiffness!Z237,0)),IF(Element_Stiffness!$E$215=7,IF(7=Element_Stiffness!$C$215,Element_Stiffness!T243,IF(7=Element_Stiffness!$E$215,Element_Stiffness!Z243,0)),0)),0)</f>
        <v/>
      </c>
      <c r="AX48" s="21">
        <f>IF(Element_Stiffness!$C$6,IF(Element_Stiffness!$C$5=7,IF(7=Element_Stiffness!$C$5,Element_Stiffness!U27,IF(7=Element_Stiffness!$E$5,Element_Stiffness!AA27,0)),IF(Element_Stiffness!$E$5=7,IF(7=Element_Stiffness!$C$5,Element_Stiffness!U33,IF(7=Element_Stiffness!$E$5,Element_Stiffness!AA33,0)),0)),0)+IF(Element_Stiffness!$C$41,IF(Element_Stiffness!$C$40=7,IF(7=Element_Stiffness!$C$40,Element_Stiffness!U62,IF(7=Element_Stiffness!$E$40,Element_Stiffness!AA62,0)),IF(Element_Stiffness!$E$40=7,IF(7=Element_Stiffness!$C$40,Element_Stiffness!U68,IF(7=Element_Stiffness!$E$40,Element_Stiffness!AA68,0)),0)),0)+IF(Element_Stiffness!$C$76,IF(Element_Stiffness!$C$75=7,IF(7=Element_Stiffness!$C$75,Element_Stiffness!U97,IF(7=Element_Stiffness!$E$75,Element_Stiffness!AA97,0)),IF(Element_Stiffness!$E$75=7,IF(7=Element_Stiffness!$C$75,Element_Stiffness!U103,IF(7=Element_Stiffness!$E$75,Element_Stiffness!AA103,0)),0)),0)+IF(Element_Stiffness!$C$111,IF(Element_Stiffness!$C$110=7,IF(7=Element_Stiffness!$C$110,Element_Stiffness!U132,IF(7=Element_Stiffness!$E$110,Element_Stiffness!AA132,0)),IF(Element_Stiffness!$E$110=7,IF(7=Element_Stiffness!$C$110,Element_Stiffness!U138,IF(7=Element_Stiffness!$E$110,Element_Stiffness!AA138,0)),0)),0)+IF(Element_Stiffness!$C$146,IF(Element_Stiffness!$C$145=7,IF(7=Element_Stiffness!$C$145,Element_Stiffness!U167,IF(7=Element_Stiffness!$E$145,Element_Stiffness!AA167,0)),IF(Element_Stiffness!$E$145=7,IF(7=Element_Stiffness!$C$145,Element_Stiffness!U173,IF(7=Element_Stiffness!$E$145,Element_Stiffness!AA173,0)),0)),0)+IF(Element_Stiffness!$C$181,IF(Element_Stiffness!$C$180=7,IF(7=Element_Stiffness!$C$180,Element_Stiffness!U202,IF(7=Element_Stiffness!$E$180,Element_Stiffness!AA202,0)),IF(Element_Stiffness!$E$180=7,IF(7=Element_Stiffness!$C$180,Element_Stiffness!U208,IF(7=Element_Stiffness!$E$180,Element_Stiffness!AA208,0)),0)),0)+IF(Element_Stiffness!$C$216,IF(Element_Stiffness!$C$215=7,IF(7=Element_Stiffness!$C$215,Element_Stiffness!U237,IF(7=Element_Stiffness!$E$215,Element_Stiffness!AA237,0)),IF(Element_Stiffness!$E$215=7,IF(7=Element_Stiffness!$C$215,Element_Stiffness!U243,IF(7=Element_Stiffness!$E$215,Element_Stiffness!AA243,0)),0)),0)</f>
        <v/>
      </c>
      <c r="AY48" s="21" t="n">
        <v>0</v>
      </c>
      <c r="AZ48" s="21">
        <f>IF(Element_Stiffness!$C$6,IF(Element_Stiffness!$C$5=7,Element_Stiffness!C27,IF(Element_Stiffness!$E$5=7,Element_Stiffness!C33,0)),0)+IF(Element_Stiffness!$C$41,IF(Element_Stiffness!$C$40=7,Element_Stiffness!C62,IF(Element_Stiffness!$E$40=7,Element_Stiffness!C68,0)),0)+IF(Element_Stiffness!$C$76,IF(Element_Stiffness!$C$75=7,Element_Stiffness!C97,IF(Element_Stiffness!$E$75=7,Element_Stiffness!C103,0)),0)+IF(Element_Stiffness!$C$111,IF(Element_Stiffness!$C$110=7,Element_Stiffness!C132,IF(Element_Stiffness!$E$110=7,Element_Stiffness!C138,0)),0)+IF(Element_Stiffness!$C$146,IF(Element_Stiffness!$C$145=7,Element_Stiffness!C167,IF(Element_Stiffness!$E$145=7,Element_Stiffness!C173,0)),0)+IF(Element_Stiffness!$C$181,IF(Element_Stiffness!$C$180=7,Element_Stiffness!C202,IF(Element_Stiffness!$E$180=7,Element_Stiffness!C208,0)),0)+IF(Element_Stiffness!$C$216,IF(Element_Stiffness!$C$215=7,Element_Stiffness!C237,IF(Element_Stiffness!$E$215=7,Element_Stiffness!C243,0)),0)</f>
        <v/>
      </c>
      <c r="BB48" s="28">
        <f>INDEX(MMULT(MINVERSE(C5:AX52), AY5:AY52), 44, 1)</f>
        <v/>
      </c>
      <c r="BC48" s="28">
        <f>INDEX(MMULT(MINVERSE(C5:AX52), AZ5:AZ52), 44, 1)</f>
        <v/>
      </c>
    </row>
    <row r="49">
      <c r="B49" s="27" t="inlineStr">
        <is>
          <t>N7_tz</t>
        </is>
      </c>
      <c r="C49" s="21">
        <f>IF(Element_Stiffness!$C$6,IF(Element_Stiffness!$C$5=7,IF(0=Element_Stiffness!$C$5,Element_Stiffness!P28,IF(0=Element_Stiffness!$E$5,Element_Stiffness!V28,0)),IF(Element_Stiffness!$E$5=7,IF(0=Element_Stiffness!$C$5,Element_Stiffness!P34,IF(0=Element_Stiffness!$E$5,Element_Stiffness!V34,0)),0)),0)+IF(Element_Stiffness!$C$41,IF(Element_Stiffness!$C$40=7,IF(0=Element_Stiffness!$C$40,Element_Stiffness!P63,IF(0=Element_Stiffness!$E$40,Element_Stiffness!V63,0)),IF(Element_Stiffness!$E$40=7,IF(0=Element_Stiffness!$C$40,Element_Stiffness!P69,IF(0=Element_Stiffness!$E$40,Element_Stiffness!V69,0)),0)),0)+IF(Element_Stiffness!$C$76,IF(Element_Stiffness!$C$75=7,IF(0=Element_Stiffness!$C$75,Element_Stiffness!P98,IF(0=Element_Stiffness!$E$75,Element_Stiffness!V98,0)),IF(Element_Stiffness!$E$75=7,IF(0=Element_Stiffness!$C$75,Element_Stiffness!P104,IF(0=Element_Stiffness!$E$75,Element_Stiffness!V104,0)),0)),0)+IF(Element_Stiffness!$C$111,IF(Element_Stiffness!$C$110=7,IF(0=Element_Stiffness!$C$110,Element_Stiffness!P133,IF(0=Element_Stiffness!$E$110,Element_Stiffness!V133,0)),IF(Element_Stiffness!$E$110=7,IF(0=Element_Stiffness!$C$110,Element_Stiffness!P139,IF(0=Element_Stiffness!$E$110,Element_Stiffness!V139,0)),0)),0)+IF(Element_Stiffness!$C$146,IF(Element_Stiffness!$C$145=7,IF(0=Element_Stiffness!$C$145,Element_Stiffness!P168,IF(0=Element_Stiffness!$E$145,Element_Stiffness!V168,0)),IF(Element_Stiffness!$E$145=7,IF(0=Element_Stiffness!$C$145,Element_Stiffness!P174,IF(0=Element_Stiffness!$E$145,Element_Stiffness!V174,0)),0)),0)+IF(Element_Stiffness!$C$181,IF(Element_Stiffness!$C$180=7,IF(0=Element_Stiffness!$C$180,Element_Stiffness!P203,IF(0=Element_Stiffness!$E$180,Element_Stiffness!V203,0)),IF(Element_Stiffness!$E$180=7,IF(0=Element_Stiffness!$C$180,Element_Stiffness!P209,IF(0=Element_Stiffness!$E$180,Element_Stiffness!V209,0)),0)),0)+IF(Element_Stiffness!$C$216,IF(Element_Stiffness!$C$215=7,IF(0=Element_Stiffness!$C$215,Element_Stiffness!P238,IF(0=Element_Stiffness!$E$215,Element_Stiffness!V238,0)),IF(Element_Stiffness!$E$215=7,IF(0=Element_Stiffness!$C$215,Element_Stiffness!P244,IF(0=Element_Stiffness!$E$215,Element_Stiffness!V244,0)),0)),0)</f>
        <v/>
      </c>
      <c r="D49" s="21">
        <f>IF(Element_Stiffness!$C$6,IF(Element_Stiffness!$C$5=7,IF(0=Element_Stiffness!$C$5,Element_Stiffness!Q28,IF(0=Element_Stiffness!$E$5,Element_Stiffness!W28,0)),IF(Element_Stiffness!$E$5=7,IF(0=Element_Stiffness!$C$5,Element_Stiffness!Q34,IF(0=Element_Stiffness!$E$5,Element_Stiffness!W34,0)),0)),0)+IF(Element_Stiffness!$C$41,IF(Element_Stiffness!$C$40=7,IF(0=Element_Stiffness!$C$40,Element_Stiffness!Q63,IF(0=Element_Stiffness!$E$40,Element_Stiffness!W63,0)),IF(Element_Stiffness!$E$40=7,IF(0=Element_Stiffness!$C$40,Element_Stiffness!Q69,IF(0=Element_Stiffness!$E$40,Element_Stiffness!W69,0)),0)),0)+IF(Element_Stiffness!$C$76,IF(Element_Stiffness!$C$75=7,IF(0=Element_Stiffness!$C$75,Element_Stiffness!Q98,IF(0=Element_Stiffness!$E$75,Element_Stiffness!W98,0)),IF(Element_Stiffness!$E$75=7,IF(0=Element_Stiffness!$C$75,Element_Stiffness!Q104,IF(0=Element_Stiffness!$E$75,Element_Stiffness!W104,0)),0)),0)+IF(Element_Stiffness!$C$111,IF(Element_Stiffness!$C$110=7,IF(0=Element_Stiffness!$C$110,Element_Stiffness!Q133,IF(0=Element_Stiffness!$E$110,Element_Stiffness!W133,0)),IF(Element_Stiffness!$E$110=7,IF(0=Element_Stiffness!$C$110,Element_Stiffness!Q139,IF(0=Element_Stiffness!$E$110,Element_Stiffness!W139,0)),0)),0)+IF(Element_Stiffness!$C$146,IF(Element_Stiffness!$C$145=7,IF(0=Element_Stiffness!$C$145,Element_Stiffness!Q168,IF(0=Element_Stiffness!$E$145,Element_Stiffness!W168,0)),IF(Element_Stiffness!$E$145=7,IF(0=Element_Stiffness!$C$145,Element_Stiffness!Q174,IF(0=Element_Stiffness!$E$145,Element_Stiffness!W174,0)),0)),0)+IF(Element_Stiffness!$C$181,IF(Element_Stiffness!$C$180=7,IF(0=Element_Stiffness!$C$180,Element_Stiffness!Q203,IF(0=Element_Stiffness!$E$180,Element_Stiffness!W203,0)),IF(Element_Stiffness!$E$180=7,IF(0=Element_Stiffness!$C$180,Element_Stiffness!Q209,IF(0=Element_Stiffness!$E$180,Element_Stiffness!W209,0)),0)),0)+IF(Element_Stiffness!$C$216,IF(Element_Stiffness!$C$215=7,IF(0=Element_Stiffness!$C$215,Element_Stiffness!Q238,IF(0=Element_Stiffness!$E$215,Element_Stiffness!W238,0)),IF(Element_Stiffness!$E$215=7,IF(0=Element_Stiffness!$C$215,Element_Stiffness!Q244,IF(0=Element_Stiffness!$E$215,Element_Stiffness!W244,0)),0)),0)</f>
        <v/>
      </c>
      <c r="E49" s="21">
        <f>IF(Element_Stiffness!$C$6,IF(Element_Stiffness!$C$5=7,IF(0=Element_Stiffness!$C$5,Element_Stiffness!R28,IF(0=Element_Stiffness!$E$5,Element_Stiffness!X28,0)),IF(Element_Stiffness!$E$5=7,IF(0=Element_Stiffness!$C$5,Element_Stiffness!R34,IF(0=Element_Stiffness!$E$5,Element_Stiffness!X34,0)),0)),0)+IF(Element_Stiffness!$C$41,IF(Element_Stiffness!$C$40=7,IF(0=Element_Stiffness!$C$40,Element_Stiffness!R63,IF(0=Element_Stiffness!$E$40,Element_Stiffness!X63,0)),IF(Element_Stiffness!$E$40=7,IF(0=Element_Stiffness!$C$40,Element_Stiffness!R69,IF(0=Element_Stiffness!$E$40,Element_Stiffness!X69,0)),0)),0)+IF(Element_Stiffness!$C$76,IF(Element_Stiffness!$C$75=7,IF(0=Element_Stiffness!$C$75,Element_Stiffness!R98,IF(0=Element_Stiffness!$E$75,Element_Stiffness!X98,0)),IF(Element_Stiffness!$E$75=7,IF(0=Element_Stiffness!$C$75,Element_Stiffness!R104,IF(0=Element_Stiffness!$E$75,Element_Stiffness!X104,0)),0)),0)+IF(Element_Stiffness!$C$111,IF(Element_Stiffness!$C$110=7,IF(0=Element_Stiffness!$C$110,Element_Stiffness!R133,IF(0=Element_Stiffness!$E$110,Element_Stiffness!X133,0)),IF(Element_Stiffness!$E$110=7,IF(0=Element_Stiffness!$C$110,Element_Stiffness!R139,IF(0=Element_Stiffness!$E$110,Element_Stiffness!X139,0)),0)),0)+IF(Element_Stiffness!$C$146,IF(Element_Stiffness!$C$145=7,IF(0=Element_Stiffness!$C$145,Element_Stiffness!R168,IF(0=Element_Stiffness!$E$145,Element_Stiffness!X168,0)),IF(Element_Stiffness!$E$145=7,IF(0=Element_Stiffness!$C$145,Element_Stiffness!R174,IF(0=Element_Stiffness!$E$145,Element_Stiffness!X174,0)),0)),0)+IF(Element_Stiffness!$C$181,IF(Element_Stiffness!$C$180=7,IF(0=Element_Stiffness!$C$180,Element_Stiffness!R203,IF(0=Element_Stiffness!$E$180,Element_Stiffness!X203,0)),IF(Element_Stiffness!$E$180=7,IF(0=Element_Stiffness!$C$180,Element_Stiffness!R209,IF(0=Element_Stiffness!$E$180,Element_Stiffness!X209,0)),0)),0)+IF(Element_Stiffness!$C$216,IF(Element_Stiffness!$C$215=7,IF(0=Element_Stiffness!$C$215,Element_Stiffness!R238,IF(0=Element_Stiffness!$E$215,Element_Stiffness!X238,0)),IF(Element_Stiffness!$E$215=7,IF(0=Element_Stiffness!$C$215,Element_Stiffness!R244,IF(0=Element_Stiffness!$E$215,Element_Stiffness!X244,0)),0)),0)</f>
        <v/>
      </c>
      <c r="F49" s="21">
        <f>IF(Element_Stiffness!$C$6,IF(Element_Stiffness!$C$5=7,IF(0=Element_Stiffness!$C$5,Element_Stiffness!S28,IF(0=Element_Stiffness!$E$5,Element_Stiffness!Y28,0)),IF(Element_Stiffness!$E$5=7,IF(0=Element_Stiffness!$C$5,Element_Stiffness!S34,IF(0=Element_Stiffness!$E$5,Element_Stiffness!Y34,0)),0)),0)+IF(Element_Stiffness!$C$41,IF(Element_Stiffness!$C$40=7,IF(0=Element_Stiffness!$C$40,Element_Stiffness!S63,IF(0=Element_Stiffness!$E$40,Element_Stiffness!Y63,0)),IF(Element_Stiffness!$E$40=7,IF(0=Element_Stiffness!$C$40,Element_Stiffness!S69,IF(0=Element_Stiffness!$E$40,Element_Stiffness!Y69,0)),0)),0)+IF(Element_Stiffness!$C$76,IF(Element_Stiffness!$C$75=7,IF(0=Element_Stiffness!$C$75,Element_Stiffness!S98,IF(0=Element_Stiffness!$E$75,Element_Stiffness!Y98,0)),IF(Element_Stiffness!$E$75=7,IF(0=Element_Stiffness!$C$75,Element_Stiffness!S104,IF(0=Element_Stiffness!$E$75,Element_Stiffness!Y104,0)),0)),0)+IF(Element_Stiffness!$C$111,IF(Element_Stiffness!$C$110=7,IF(0=Element_Stiffness!$C$110,Element_Stiffness!S133,IF(0=Element_Stiffness!$E$110,Element_Stiffness!Y133,0)),IF(Element_Stiffness!$E$110=7,IF(0=Element_Stiffness!$C$110,Element_Stiffness!S139,IF(0=Element_Stiffness!$E$110,Element_Stiffness!Y139,0)),0)),0)+IF(Element_Stiffness!$C$146,IF(Element_Stiffness!$C$145=7,IF(0=Element_Stiffness!$C$145,Element_Stiffness!S168,IF(0=Element_Stiffness!$E$145,Element_Stiffness!Y168,0)),IF(Element_Stiffness!$E$145=7,IF(0=Element_Stiffness!$C$145,Element_Stiffness!S174,IF(0=Element_Stiffness!$E$145,Element_Stiffness!Y174,0)),0)),0)+IF(Element_Stiffness!$C$181,IF(Element_Stiffness!$C$180=7,IF(0=Element_Stiffness!$C$180,Element_Stiffness!S203,IF(0=Element_Stiffness!$E$180,Element_Stiffness!Y203,0)),IF(Element_Stiffness!$E$180=7,IF(0=Element_Stiffness!$C$180,Element_Stiffness!S209,IF(0=Element_Stiffness!$E$180,Element_Stiffness!Y209,0)),0)),0)+IF(Element_Stiffness!$C$216,IF(Element_Stiffness!$C$215=7,IF(0=Element_Stiffness!$C$215,Element_Stiffness!S238,IF(0=Element_Stiffness!$E$215,Element_Stiffness!Y238,0)),IF(Element_Stiffness!$E$215=7,IF(0=Element_Stiffness!$C$215,Element_Stiffness!S244,IF(0=Element_Stiffness!$E$215,Element_Stiffness!Y244,0)),0)),0)</f>
        <v/>
      </c>
      <c r="G49" s="21">
        <f>IF(Element_Stiffness!$C$6,IF(Element_Stiffness!$C$5=7,IF(0=Element_Stiffness!$C$5,Element_Stiffness!T28,IF(0=Element_Stiffness!$E$5,Element_Stiffness!Z28,0)),IF(Element_Stiffness!$E$5=7,IF(0=Element_Stiffness!$C$5,Element_Stiffness!T34,IF(0=Element_Stiffness!$E$5,Element_Stiffness!Z34,0)),0)),0)+IF(Element_Stiffness!$C$41,IF(Element_Stiffness!$C$40=7,IF(0=Element_Stiffness!$C$40,Element_Stiffness!T63,IF(0=Element_Stiffness!$E$40,Element_Stiffness!Z63,0)),IF(Element_Stiffness!$E$40=7,IF(0=Element_Stiffness!$C$40,Element_Stiffness!T69,IF(0=Element_Stiffness!$E$40,Element_Stiffness!Z69,0)),0)),0)+IF(Element_Stiffness!$C$76,IF(Element_Stiffness!$C$75=7,IF(0=Element_Stiffness!$C$75,Element_Stiffness!T98,IF(0=Element_Stiffness!$E$75,Element_Stiffness!Z98,0)),IF(Element_Stiffness!$E$75=7,IF(0=Element_Stiffness!$C$75,Element_Stiffness!T104,IF(0=Element_Stiffness!$E$75,Element_Stiffness!Z104,0)),0)),0)+IF(Element_Stiffness!$C$111,IF(Element_Stiffness!$C$110=7,IF(0=Element_Stiffness!$C$110,Element_Stiffness!T133,IF(0=Element_Stiffness!$E$110,Element_Stiffness!Z133,0)),IF(Element_Stiffness!$E$110=7,IF(0=Element_Stiffness!$C$110,Element_Stiffness!T139,IF(0=Element_Stiffness!$E$110,Element_Stiffness!Z139,0)),0)),0)+IF(Element_Stiffness!$C$146,IF(Element_Stiffness!$C$145=7,IF(0=Element_Stiffness!$C$145,Element_Stiffness!T168,IF(0=Element_Stiffness!$E$145,Element_Stiffness!Z168,0)),IF(Element_Stiffness!$E$145=7,IF(0=Element_Stiffness!$C$145,Element_Stiffness!T174,IF(0=Element_Stiffness!$E$145,Element_Stiffness!Z174,0)),0)),0)+IF(Element_Stiffness!$C$181,IF(Element_Stiffness!$C$180=7,IF(0=Element_Stiffness!$C$180,Element_Stiffness!T203,IF(0=Element_Stiffness!$E$180,Element_Stiffness!Z203,0)),IF(Element_Stiffness!$E$180=7,IF(0=Element_Stiffness!$C$180,Element_Stiffness!T209,IF(0=Element_Stiffness!$E$180,Element_Stiffness!Z209,0)),0)),0)+IF(Element_Stiffness!$C$216,IF(Element_Stiffness!$C$215=7,IF(0=Element_Stiffness!$C$215,Element_Stiffness!T238,IF(0=Element_Stiffness!$E$215,Element_Stiffness!Z238,0)),IF(Element_Stiffness!$E$215=7,IF(0=Element_Stiffness!$C$215,Element_Stiffness!T244,IF(0=Element_Stiffness!$E$215,Element_Stiffness!Z244,0)),0)),0)</f>
        <v/>
      </c>
      <c r="H49" s="21">
        <f>IF(Element_Stiffness!$C$6,IF(Element_Stiffness!$C$5=7,IF(0=Element_Stiffness!$C$5,Element_Stiffness!U28,IF(0=Element_Stiffness!$E$5,Element_Stiffness!AA28,0)),IF(Element_Stiffness!$E$5=7,IF(0=Element_Stiffness!$C$5,Element_Stiffness!U34,IF(0=Element_Stiffness!$E$5,Element_Stiffness!AA34,0)),0)),0)+IF(Element_Stiffness!$C$41,IF(Element_Stiffness!$C$40=7,IF(0=Element_Stiffness!$C$40,Element_Stiffness!U63,IF(0=Element_Stiffness!$E$40,Element_Stiffness!AA63,0)),IF(Element_Stiffness!$E$40=7,IF(0=Element_Stiffness!$C$40,Element_Stiffness!U69,IF(0=Element_Stiffness!$E$40,Element_Stiffness!AA69,0)),0)),0)+IF(Element_Stiffness!$C$76,IF(Element_Stiffness!$C$75=7,IF(0=Element_Stiffness!$C$75,Element_Stiffness!U98,IF(0=Element_Stiffness!$E$75,Element_Stiffness!AA98,0)),IF(Element_Stiffness!$E$75=7,IF(0=Element_Stiffness!$C$75,Element_Stiffness!U104,IF(0=Element_Stiffness!$E$75,Element_Stiffness!AA104,0)),0)),0)+IF(Element_Stiffness!$C$111,IF(Element_Stiffness!$C$110=7,IF(0=Element_Stiffness!$C$110,Element_Stiffness!U133,IF(0=Element_Stiffness!$E$110,Element_Stiffness!AA133,0)),IF(Element_Stiffness!$E$110=7,IF(0=Element_Stiffness!$C$110,Element_Stiffness!U139,IF(0=Element_Stiffness!$E$110,Element_Stiffness!AA139,0)),0)),0)+IF(Element_Stiffness!$C$146,IF(Element_Stiffness!$C$145=7,IF(0=Element_Stiffness!$C$145,Element_Stiffness!U168,IF(0=Element_Stiffness!$E$145,Element_Stiffness!AA168,0)),IF(Element_Stiffness!$E$145=7,IF(0=Element_Stiffness!$C$145,Element_Stiffness!U174,IF(0=Element_Stiffness!$E$145,Element_Stiffness!AA174,0)),0)),0)+IF(Element_Stiffness!$C$181,IF(Element_Stiffness!$C$180=7,IF(0=Element_Stiffness!$C$180,Element_Stiffness!U203,IF(0=Element_Stiffness!$E$180,Element_Stiffness!AA203,0)),IF(Element_Stiffness!$E$180=7,IF(0=Element_Stiffness!$C$180,Element_Stiffness!U209,IF(0=Element_Stiffness!$E$180,Element_Stiffness!AA209,0)),0)),0)+IF(Element_Stiffness!$C$216,IF(Element_Stiffness!$C$215=7,IF(0=Element_Stiffness!$C$215,Element_Stiffness!U238,IF(0=Element_Stiffness!$E$215,Element_Stiffness!AA238,0)),IF(Element_Stiffness!$E$215=7,IF(0=Element_Stiffness!$C$215,Element_Stiffness!U244,IF(0=Element_Stiffness!$E$215,Element_Stiffness!AA244,0)),0)),0)</f>
        <v/>
      </c>
      <c r="I49" s="21">
        <f>IF(Element_Stiffness!$C$6,IF(Element_Stiffness!$C$5=7,IF(1=Element_Stiffness!$C$5,Element_Stiffness!P28,IF(1=Element_Stiffness!$E$5,Element_Stiffness!V28,0)),IF(Element_Stiffness!$E$5=7,IF(1=Element_Stiffness!$C$5,Element_Stiffness!P34,IF(1=Element_Stiffness!$E$5,Element_Stiffness!V34,0)),0)),0)+IF(Element_Stiffness!$C$41,IF(Element_Stiffness!$C$40=7,IF(1=Element_Stiffness!$C$40,Element_Stiffness!P63,IF(1=Element_Stiffness!$E$40,Element_Stiffness!V63,0)),IF(Element_Stiffness!$E$40=7,IF(1=Element_Stiffness!$C$40,Element_Stiffness!P69,IF(1=Element_Stiffness!$E$40,Element_Stiffness!V69,0)),0)),0)+IF(Element_Stiffness!$C$76,IF(Element_Stiffness!$C$75=7,IF(1=Element_Stiffness!$C$75,Element_Stiffness!P98,IF(1=Element_Stiffness!$E$75,Element_Stiffness!V98,0)),IF(Element_Stiffness!$E$75=7,IF(1=Element_Stiffness!$C$75,Element_Stiffness!P104,IF(1=Element_Stiffness!$E$75,Element_Stiffness!V104,0)),0)),0)+IF(Element_Stiffness!$C$111,IF(Element_Stiffness!$C$110=7,IF(1=Element_Stiffness!$C$110,Element_Stiffness!P133,IF(1=Element_Stiffness!$E$110,Element_Stiffness!V133,0)),IF(Element_Stiffness!$E$110=7,IF(1=Element_Stiffness!$C$110,Element_Stiffness!P139,IF(1=Element_Stiffness!$E$110,Element_Stiffness!V139,0)),0)),0)+IF(Element_Stiffness!$C$146,IF(Element_Stiffness!$C$145=7,IF(1=Element_Stiffness!$C$145,Element_Stiffness!P168,IF(1=Element_Stiffness!$E$145,Element_Stiffness!V168,0)),IF(Element_Stiffness!$E$145=7,IF(1=Element_Stiffness!$C$145,Element_Stiffness!P174,IF(1=Element_Stiffness!$E$145,Element_Stiffness!V174,0)),0)),0)+IF(Element_Stiffness!$C$181,IF(Element_Stiffness!$C$180=7,IF(1=Element_Stiffness!$C$180,Element_Stiffness!P203,IF(1=Element_Stiffness!$E$180,Element_Stiffness!V203,0)),IF(Element_Stiffness!$E$180=7,IF(1=Element_Stiffness!$C$180,Element_Stiffness!P209,IF(1=Element_Stiffness!$E$180,Element_Stiffness!V209,0)),0)),0)+IF(Element_Stiffness!$C$216,IF(Element_Stiffness!$C$215=7,IF(1=Element_Stiffness!$C$215,Element_Stiffness!P238,IF(1=Element_Stiffness!$E$215,Element_Stiffness!V238,0)),IF(Element_Stiffness!$E$215=7,IF(1=Element_Stiffness!$C$215,Element_Stiffness!P244,IF(1=Element_Stiffness!$E$215,Element_Stiffness!V244,0)),0)),0)</f>
        <v/>
      </c>
      <c r="J49" s="21">
        <f>IF(Element_Stiffness!$C$6,IF(Element_Stiffness!$C$5=7,IF(1=Element_Stiffness!$C$5,Element_Stiffness!Q28,IF(1=Element_Stiffness!$E$5,Element_Stiffness!W28,0)),IF(Element_Stiffness!$E$5=7,IF(1=Element_Stiffness!$C$5,Element_Stiffness!Q34,IF(1=Element_Stiffness!$E$5,Element_Stiffness!W34,0)),0)),0)+IF(Element_Stiffness!$C$41,IF(Element_Stiffness!$C$40=7,IF(1=Element_Stiffness!$C$40,Element_Stiffness!Q63,IF(1=Element_Stiffness!$E$40,Element_Stiffness!W63,0)),IF(Element_Stiffness!$E$40=7,IF(1=Element_Stiffness!$C$40,Element_Stiffness!Q69,IF(1=Element_Stiffness!$E$40,Element_Stiffness!W69,0)),0)),0)+IF(Element_Stiffness!$C$76,IF(Element_Stiffness!$C$75=7,IF(1=Element_Stiffness!$C$75,Element_Stiffness!Q98,IF(1=Element_Stiffness!$E$75,Element_Stiffness!W98,0)),IF(Element_Stiffness!$E$75=7,IF(1=Element_Stiffness!$C$75,Element_Stiffness!Q104,IF(1=Element_Stiffness!$E$75,Element_Stiffness!W104,0)),0)),0)+IF(Element_Stiffness!$C$111,IF(Element_Stiffness!$C$110=7,IF(1=Element_Stiffness!$C$110,Element_Stiffness!Q133,IF(1=Element_Stiffness!$E$110,Element_Stiffness!W133,0)),IF(Element_Stiffness!$E$110=7,IF(1=Element_Stiffness!$C$110,Element_Stiffness!Q139,IF(1=Element_Stiffness!$E$110,Element_Stiffness!W139,0)),0)),0)+IF(Element_Stiffness!$C$146,IF(Element_Stiffness!$C$145=7,IF(1=Element_Stiffness!$C$145,Element_Stiffness!Q168,IF(1=Element_Stiffness!$E$145,Element_Stiffness!W168,0)),IF(Element_Stiffness!$E$145=7,IF(1=Element_Stiffness!$C$145,Element_Stiffness!Q174,IF(1=Element_Stiffness!$E$145,Element_Stiffness!W174,0)),0)),0)+IF(Element_Stiffness!$C$181,IF(Element_Stiffness!$C$180=7,IF(1=Element_Stiffness!$C$180,Element_Stiffness!Q203,IF(1=Element_Stiffness!$E$180,Element_Stiffness!W203,0)),IF(Element_Stiffness!$E$180=7,IF(1=Element_Stiffness!$C$180,Element_Stiffness!Q209,IF(1=Element_Stiffness!$E$180,Element_Stiffness!W209,0)),0)),0)+IF(Element_Stiffness!$C$216,IF(Element_Stiffness!$C$215=7,IF(1=Element_Stiffness!$C$215,Element_Stiffness!Q238,IF(1=Element_Stiffness!$E$215,Element_Stiffness!W238,0)),IF(Element_Stiffness!$E$215=7,IF(1=Element_Stiffness!$C$215,Element_Stiffness!Q244,IF(1=Element_Stiffness!$E$215,Element_Stiffness!W244,0)),0)),0)</f>
        <v/>
      </c>
      <c r="K49" s="21">
        <f>IF(Element_Stiffness!$C$6,IF(Element_Stiffness!$C$5=7,IF(1=Element_Stiffness!$C$5,Element_Stiffness!R28,IF(1=Element_Stiffness!$E$5,Element_Stiffness!X28,0)),IF(Element_Stiffness!$E$5=7,IF(1=Element_Stiffness!$C$5,Element_Stiffness!R34,IF(1=Element_Stiffness!$E$5,Element_Stiffness!X34,0)),0)),0)+IF(Element_Stiffness!$C$41,IF(Element_Stiffness!$C$40=7,IF(1=Element_Stiffness!$C$40,Element_Stiffness!R63,IF(1=Element_Stiffness!$E$40,Element_Stiffness!X63,0)),IF(Element_Stiffness!$E$40=7,IF(1=Element_Stiffness!$C$40,Element_Stiffness!R69,IF(1=Element_Stiffness!$E$40,Element_Stiffness!X69,0)),0)),0)+IF(Element_Stiffness!$C$76,IF(Element_Stiffness!$C$75=7,IF(1=Element_Stiffness!$C$75,Element_Stiffness!R98,IF(1=Element_Stiffness!$E$75,Element_Stiffness!X98,0)),IF(Element_Stiffness!$E$75=7,IF(1=Element_Stiffness!$C$75,Element_Stiffness!R104,IF(1=Element_Stiffness!$E$75,Element_Stiffness!X104,0)),0)),0)+IF(Element_Stiffness!$C$111,IF(Element_Stiffness!$C$110=7,IF(1=Element_Stiffness!$C$110,Element_Stiffness!R133,IF(1=Element_Stiffness!$E$110,Element_Stiffness!X133,0)),IF(Element_Stiffness!$E$110=7,IF(1=Element_Stiffness!$C$110,Element_Stiffness!R139,IF(1=Element_Stiffness!$E$110,Element_Stiffness!X139,0)),0)),0)+IF(Element_Stiffness!$C$146,IF(Element_Stiffness!$C$145=7,IF(1=Element_Stiffness!$C$145,Element_Stiffness!R168,IF(1=Element_Stiffness!$E$145,Element_Stiffness!X168,0)),IF(Element_Stiffness!$E$145=7,IF(1=Element_Stiffness!$C$145,Element_Stiffness!R174,IF(1=Element_Stiffness!$E$145,Element_Stiffness!X174,0)),0)),0)+IF(Element_Stiffness!$C$181,IF(Element_Stiffness!$C$180=7,IF(1=Element_Stiffness!$C$180,Element_Stiffness!R203,IF(1=Element_Stiffness!$E$180,Element_Stiffness!X203,0)),IF(Element_Stiffness!$E$180=7,IF(1=Element_Stiffness!$C$180,Element_Stiffness!R209,IF(1=Element_Stiffness!$E$180,Element_Stiffness!X209,0)),0)),0)+IF(Element_Stiffness!$C$216,IF(Element_Stiffness!$C$215=7,IF(1=Element_Stiffness!$C$215,Element_Stiffness!R238,IF(1=Element_Stiffness!$E$215,Element_Stiffness!X238,0)),IF(Element_Stiffness!$E$215=7,IF(1=Element_Stiffness!$C$215,Element_Stiffness!R244,IF(1=Element_Stiffness!$E$215,Element_Stiffness!X244,0)),0)),0)</f>
        <v/>
      </c>
      <c r="L49" s="21">
        <f>IF(Element_Stiffness!$C$6,IF(Element_Stiffness!$C$5=7,IF(1=Element_Stiffness!$C$5,Element_Stiffness!S28,IF(1=Element_Stiffness!$E$5,Element_Stiffness!Y28,0)),IF(Element_Stiffness!$E$5=7,IF(1=Element_Stiffness!$C$5,Element_Stiffness!S34,IF(1=Element_Stiffness!$E$5,Element_Stiffness!Y34,0)),0)),0)+IF(Element_Stiffness!$C$41,IF(Element_Stiffness!$C$40=7,IF(1=Element_Stiffness!$C$40,Element_Stiffness!S63,IF(1=Element_Stiffness!$E$40,Element_Stiffness!Y63,0)),IF(Element_Stiffness!$E$40=7,IF(1=Element_Stiffness!$C$40,Element_Stiffness!S69,IF(1=Element_Stiffness!$E$40,Element_Stiffness!Y69,0)),0)),0)+IF(Element_Stiffness!$C$76,IF(Element_Stiffness!$C$75=7,IF(1=Element_Stiffness!$C$75,Element_Stiffness!S98,IF(1=Element_Stiffness!$E$75,Element_Stiffness!Y98,0)),IF(Element_Stiffness!$E$75=7,IF(1=Element_Stiffness!$C$75,Element_Stiffness!S104,IF(1=Element_Stiffness!$E$75,Element_Stiffness!Y104,0)),0)),0)+IF(Element_Stiffness!$C$111,IF(Element_Stiffness!$C$110=7,IF(1=Element_Stiffness!$C$110,Element_Stiffness!S133,IF(1=Element_Stiffness!$E$110,Element_Stiffness!Y133,0)),IF(Element_Stiffness!$E$110=7,IF(1=Element_Stiffness!$C$110,Element_Stiffness!S139,IF(1=Element_Stiffness!$E$110,Element_Stiffness!Y139,0)),0)),0)+IF(Element_Stiffness!$C$146,IF(Element_Stiffness!$C$145=7,IF(1=Element_Stiffness!$C$145,Element_Stiffness!S168,IF(1=Element_Stiffness!$E$145,Element_Stiffness!Y168,0)),IF(Element_Stiffness!$E$145=7,IF(1=Element_Stiffness!$C$145,Element_Stiffness!S174,IF(1=Element_Stiffness!$E$145,Element_Stiffness!Y174,0)),0)),0)+IF(Element_Stiffness!$C$181,IF(Element_Stiffness!$C$180=7,IF(1=Element_Stiffness!$C$180,Element_Stiffness!S203,IF(1=Element_Stiffness!$E$180,Element_Stiffness!Y203,0)),IF(Element_Stiffness!$E$180=7,IF(1=Element_Stiffness!$C$180,Element_Stiffness!S209,IF(1=Element_Stiffness!$E$180,Element_Stiffness!Y209,0)),0)),0)+IF(Element_Stiffness!$C$216,IF(Element_Stiffness!$C$215=7,IF(1=Element_Stiffness!$C$215,Element_Stiffness!S238,IF(1=Element_Stiffness!$E$215,Element_Stiffness!Y238,0)),IF(Element_Stiffness!$E$215=7,IF(1=Element_Stiffness!$C$215,Element_Stiffness!S244,IF(1=Element_Stiffness!$E$215,Element_Stiffness!Y244,0)),0)),0)</f>
        <v/>
      </c>
      <c r="M49" s="21">
        <f>IF(Element_Stiffness!$C$6,IF(Element_Stiffness!$C$5=7,IF(1=Element_Stiffness!$C$5,Element_Stiffness!T28,IF(1=Element_Stiffness!$E$5,Element_Stiffness!Z28,0)),IF(Element_Stiffness!$E$5=7,IF(1=Element_Stiffness!$C$5,Element_Stiffness!T34,IF(1=Element_Stiffness!$E$5,Element_Stiffness!Z34,0)),0)),0)+IF(Element_Stiffness!$C$41,IF(Element_Stiffness!$C$40=7,IF(1=Element_Stiffness!$C$40,Element_Stiffness!T63,IF(1=Element_Stiffness!$E$40,Element_Stiffness!Z63,0)),IF(Element_Stiffness!$E$40=7,IF(1=Element_Stiffness!$C$40,Element_Stiffness!T69,IF(1=Element_Stiffness!$E$40,Element_Stiffness!Z69,0)),0)),0)+IF(Element_Stiffness!$C$76,IF(Element_Stiffness!$C$75=7,IF(1=Element_Stiffness!$C$75,Element_Stiffness!T98,IF(1=Element_Stiffness!$E$75,Element_Stiffness!Z98,0)),IF(Element_Stiffness!$E$75=7,IF(1=Element_Stiffness!$C$75,Element_Stiffness!T104,IF(1=Element_Stiffness!$E$75,Element_Stiffness!Z104,0)),0)),0)+IF(Element_Stiffness!$C$111,IF(Element_Stiffness!$C$110=7,IF(1=Element_Stiffness!$C$110,Element_Stiffness!T133,IF(1=Element_Stiffness!$E$110,Element_Stiffness!Z133,0)),IF(Element_Stiffness!$E$110=7,IF(1=Element_Stiffness!$C$110,Element_Stiffness!T139,IF(1=Element_Stiffness!$E$110,Element_Stiffness!Z139,0)),0)),0)+IF(Element_Stiffness!$C$146,IF(Element_Stiffness!$C$145=7,IF(1=Element_Stiffness!$C$145,Element_Stiffness!T168,IF(1=Element_Stiffness!$E$145,Element_Stiffness!Z168,0)),IF(Element_Stiffness!$E$145=7,IF(1=Element_Stiffness!$C$145,Element_Stiffness!T174,IF(1=Element_Stiffness!$E$145,Element_Stiffness!Z174,0)),0)),0)+IF(Element_Stiffness!$C$181,IF(Element_Stiffness!$C$180=7,IF(1=Element_Stiffness!$C$180,Element_Stiffness!T203,IF(1=Element_Stiffness!$E$180,Element_Stiffness!Z203,0)),IF(Element_Stiffness!$E$180=7,IF(1=Element_Stiffness!$C$180,Element_Stiffness!T209,IF(1=Element_Stiffness!$E$180,Element_Stiffness!Z209,0)),0)),0)+IF(Element_Stiffness!$C$216,IF(Element_Stiffness!$C$215=7,IF(1=Element_Stiffness!$C$215,Element_Stiffness!T238,IF(1=Element_Stiffness!$E$215,Element_Stiffness!Z238,0)),IF(Element_Stiffness!$E$215=7,IF(1=Element_Stiffness!$C$215,Element_Stiffness!T244,IF(1=Element_Stiffness!$E$215,Element_Stiffness!Z244,0)),0)),0)</f>
        <v/>
      </c>
      <c r="N49" s="21">
        <f>IF(Element_Stiffness!$C$6,IF(Element_Stiffness!$C$5=7,IF(1=Element_Stiffness!$C$5,Element_Stiffness!U28,IF(1=Element_Stiffness!$E$5,Element_Stiffness!AA28,0)),IF(Element_Stiffness!$E$5=7,IF(1=Element_Stiffness!$C$5,Element_Stiffness!U34,IF(1=Element_Stiffness!$E$5,Element_Stiffness!AA34,0)),0)),0)+IF(Element_Stiffness!$C$41,IF(Element_Stiffness!$C$40=7,IF(1=Element_Stiffness!$C$40,Element_Stiffness!U63,IF(1=Element_Stiffness!$E$40,Element_Stiffness!AA63,0)),IF(Element_Stiffness!$E$40=7,IF(1=Element_Stiffness!$C$40,Element_Stiffness!U69,IF(1=Element_Stiffness!$E$40,Element_Stiffness!AA69,0)),0)),0)+IF(Element_Stiffness!$C$76,IF(Element_Stiffness!$C$75=7,IF(1=Element_Stiffness!$C$75,Element_Stiffness!U98,IF(1=Element_Stiffness!$E$75,Element_Stiffness!AA98,0)),IF(Element_Stiffness!$E$75=7,IF(1=Element_Stiffness!$C$75,Element_Stiffness!U104,IF(1=Element_Stiffness!$E$75,Element_Stiffness!AA104,0)),0)),0)+IF(Element_Stiffness!$C$111,IF(Element_Stiffness!$C$110=7,IF(1=Element_Stiffness!$C$110,Element_Stiffness!U133,IF(1=Element_Stiffness!$E$110,Element_Stiffness!AA133,0)),IF(Element_Stiffness!$E$110=7,IF(1=Element_Stiffness!$C$110,Element_Stiffness!U139,IF(1=Element_Stiffness!$E$110,Element_Stiffness!AA139,0)),0)),0)+IF(Element_Stiffness!$C$146,IF(Element_Stiffness!$C$145=7,IF(1=Element_Stiffness!$C$145,Element_Stiffness!U168,IF(1=Element_Stiffness!$E$145,Element_Stiffness!AA168,0)),IF(Element_Stiffness!$E$145=7,IF(1=Element_Stiffness!$C$145,Element_Stiffness!U174,IF(1=Element_Stiffness!$E$145,Element_Stiffness!AA174,0)),0)),0)+IF(Element_Stiffness!$C$181,IF(Element_Stiffness!$C$180=7,IF(1=Element_Stiffness!$C$180,Element_Stiffness!U203,IF(1=Element_Stiffness!$E$180,Element_Stiffness!AA203,0)),IF(Element_Stiffness!$E$180=7,IF(1=Element_Stiffness!$C$180,Element_Stiffness!U209,IF(1=Element_Stiffness!$E$180,Element_Stiffness!AA209,0)),0)),0)+IF(Element_Stiffness!$C$216,IF(Element_Stiffness!$C$215=7,IF(1=Element_Stiffness!$C$215,Element_Stiffness!U238,IF(1=Element_Stiffness!$E$215,Element_Stiffness!AA238,0)),IF(Element_Stiffness!$E$215=7,IF(1=Element_Stiffness!$C$215,Element_Stiffness!U244,IF(1=Element_Stiffness!$E$215,Element_Stiffness!AA244,0)),0)),0)</f>
        <v/>
      </c>
      <c r="O49" s="21">
        <f>IF(Element_Stiffness!$C$6,IF(Element_Stiffness!$C$5=7,IF(2=Element_Stiffness!$C$5,Element_Stiffness!P28,IF(2=Element_Stiffness!$E$5,Element_Stiffness!V28,0)),IF(Element_Stiffness!$E$5=7,IF(2=Element_Stiffness!$C$5,Element_Stiffness!P34,IF(2=Element_Stiffness!$E$5,Element_Stiffness!V34,0)),0)),0)+IF(Element_Stiffness!$C$41,IF(Element_Stiffness!$C$40=7,IF(2=Element_Stiffness!$C$40,Element_Stiffness!P63,IF(2=Element_Stiffness!$E$40,Element_Stiffness!V63,0)),IF(Element_Stiffness!$E$40=7,IF(2=Element_Stiffness!$C$40,Element_Stiffness!P69,IF(2=Element_Stiffness!$E$40,Element_Stiffness!V69,0)),0)),0)+IF(Element_Stiffness!$C$76,IF(Element_Stiffness!$C$75=7,IF(2=Element_Stiffness!$C$75,Element_Stiffness!P98,IF(2=Element_Stiffness!$E$75,Element_Stiffness!V98,0)),IF(Element_Stiffness!$E$75=7,IF(2=Element_Stiffness!$C$75,Element_Stiffness!P104,IF(2=Element_Stiffness!$E$75,Element_Stiffness!V104,0)),0)),0)+IF(Element_Stiffness!$C$111,IF(Element_Stiffness!$C$110=7,IF(2=Element_Stiffness!$C$110,Element_Stiffness!P133,IF(2=Element_Stiffness!$E$110,Element_Stiffness!V133,0)),IF(Element_Stiffness!$E$110=7,IF(2=Element_Stiffness!$C$110,Element_Stiffness!P139,IF(2=Element_Stiffness!$E$110,Element_Stiffness!V139,0)),0)),0)+IF(Element_Stiffness!$C$146,IF(Element_Stiffness!$C$145=7,IF(2=Element_Stiffness!$C$145,Element_Stiffness!P168,IF(2=Element_Stiffness!$E$145,Element_Stiffness!V168,0)),IF(Element_Stiffness!$E$145=7,IF(2=Element_Stiffness!$C$145,Element_Stiffness!P174,IF(2=Element_Stiffness!$E$145,Element_Stiffness!V174,0)),0)),0)+IF(Element_Stiffness!$C$181,IF(Element_Stiffness!$C$180=7,IF(2=Element_Stiffness!$C$180,Element_Stiffness!P203,IF(2=Element_Stiffness!$E$180,Element_Stiffness!V203,0)),IF(Element_Stiffness!$E$180=7,IF(2=Element_Stiffness!$C$180,Element_Stiffness!P209,IF(2=Element_Stiffness!$E$180,Element_Stiffness!V209,0)),0)),0)+IF(Element_Stiffness!$C$216,IF(Element_Stiffness!$C$215=7,IF(2=Element_Stiffness!$C$215,Element_Stiffness!P238,IF(2=Element_Stiffness!$E$215,Element_Stiffness!V238,0)),IF(Element_Stiffness!$E$215=7,IF(2=Element_Stiffness!$C$215,Element_Stiffness!P244,IF(2=Element_Stiffness!$E$215,Element_Stiffness!V244,0)),0)),0)</f>
        <v/>
      </c>
      <c r="P49" s="21">
        <f>IF(Element_Stiffness!$C$6,IF(Element_Stiffness!$C$5=7,IF(2=Element_Stiffness!$C$5,Element_Stiffness!Q28,IF(2=Element_Stiffness!$E$5,Element_Stiffness!W28,0)),IF(Element_Stiffness!$E$5=7,IF(2=Element_Stiffness!$C$5,Element_Stiffness!Q34,IF(2=Element_Stiffness!$E$5,Element_Stiffness!W34,0)),0)),0)+IF(Element_Stiffness!$C$41,IF(Element_Stiffness!$C$40=7,IF(2=Element_Stiffness!$C$40,Element_Stiffness!Q63,IF(2=Element_Stiffness!$E$40,Element_Stiffness!W63,0)),IF(Element_Stiffness!$E$40=7,IF(2=Element_Stiffness!$C$40,Element_Stiffness!Q69,IF(2=Element_Stiffness!$E$40,Element_Stiffness!W69,0)),0)),0)+IF(Element_Stiffness!$C$76,IF(Element_Stiffness!$C$75=7,IF(2=Element_Stiffness!$C$75,Element_Stiffness!Q98,IF(2=Element_Stiffness!$E$75,Element_Stiffness!W98,0)),IF(Element_Stiffness!$E$75=7,IF(2=Element_Stiffness!$C$75,Element_Stiffness!Q104,IF(2=Element_Stiffness!$E$75,Element_Stiffness!W104,0)),0)),0)+IF(Element_Stiffness!$C$111,IF(Element_Stiffness!$C$110=7,IF(2=Element_Stiffness!$C$110,Element_Stiffness!Q133,IF(2=Element_Stiffness!$E$110,Element_Stiffness!W133,0)),IF(Element_Stiffness!$E$110=7,IF(2=Element_Stiffness!$C$110,Element_Stiffness!Q139,IF(2=Element_Stiffness!$E$110,Element_Stiffness!W139,0)),0)),0)+IF(Element_Stiffness!$C$146,IF(Element_Stiffness!$C$145=7,IF(2=Element_Stiffness!$C$145,Element_Stiffness!Q168,IF(2=Element_Stiffness!$E$145,Element_Stiffness!W168,0)),IF(Element_Stiffness!$E$145=7,IF(2=Element_Stiffness!$C$145,Element_Stiffness!Q174,IF(2=Element_Stiffness!$E$145,Element_Stiffness!W174,0)),0)),0)+IF(Element_Stiffness!$C$181,IF(Element_Stiffness!$C$180=7,IF(2=Element_Stiffness!$C$180,Element_Stiffness!Q203,IF(2=Element_Stiffness!$E$180,Element_Stiffness!W203,0)),IF(Element_Stiffness!$E$180=7,IF(2=Element_Stiffness!$C$180,Element_Stiffness!Q209,IF(2=Element_Stiffness!$E$180,Element_Stiffness!W209,0)),0)),0)+IF(Element_Stiffness!$C$216,IF(Element_Stiffness!$C$215=7,IF(2=Element_Stiffness!$C$215,Element_Stiffness!Q238,IF(2=Element_Stiffness!$E$215,Element_Stiffness!W238,0)),IF(Element_Stiffness!$E$215=7,IF(2=Element_Stiffness!$C$215,Element_Stiffness!Q244,IF(2=Element_Stiffness!$E$215,Element_Stiffness!W244,0)),0)),0)</f>
        <v/>
      </c>
      <c r="Q49" s="21">
        <f>IF(Element_Stiffness!$C$6,IF(Element_Stiffness!$C$5=7,IF(2=Element_Stiffness!$C$5,Element_Stiffness!R28,IF(2=Element_Stiffness!$E$5,Element_Stiffness!X28,0)),IF(Element_Stiffness!$E$5=7,IF(2=Element_Stiffness!$C$5,Element_Stiffness!R34,IF(2=Element_Stiffness!$E$5,Element_Stiffness!X34,0)),0)),0)+IF(Element_Stiffness!$C$41,IF(Element_Stiffness!$C$40=7,IF(2=Element_Stiffness!$C$40,Element_Stiffness!R63,IF(2=Element_Stiffness!$E$40,Element_Stiffness!X63,0)),IF(Element_Stiffness!$E$40=7,IF(2=Element_Stiffness!$C$40,Element_Stiffness!R69,IF(2=Element_Stiffness!$E$40,Element_Stiffness!X69,0)),0)),0)+IF(Element_Stiffness!$C$76,IF(Element_Stiffness!$C$75=7,IF(2=Element_Stiffness!$C$75,Element_Stiffness!R98,IF(2=Element_Stiffness!$E$75,Element_Stiffness!X98,0)),IF(Element_Stiffness!$E$75=7,IF(2=Element_Stiffness!$C$75,Element_Stiffness!R104,IF(2=Element_Stiffness!$E$75,Element_Stiffness!X104,0)),0)),0)+IF(Element_Stiffness!$C$111,IF(Element_Stiffness!$C$110=7,IF(2=Element_Stiffness!$C$110,Element_Stiffness!R133,IF(2=Element_Stiffness!$E$110,Element_Stiffness!X133,0)),IF(Element_Stiffness!$E$110=7,IF(2=Element_Stiffness!$C$110,Element_Stiffness!R139,IF(2=Element_Stiffness!$E$110,Element_Stiffness!X139,0)),0)),0)+IF(Element_Stiffness!$C$146,IF(Element_Stiffness!$C$145=7,IF(2=Element_Stiffness!$C$145,Element_Stiffness!R168,IF(2=Element_Stiffness!$E$145,Element_Stiffness!X168,0)),IF(Element_Stiffness!$E$145=7,IF(2=Element_Stiffness!$C$145,Element_Stiffness!R174,IF(2=Element_Stiffness!$E$145,Element_Stiffness!X174,0)),0)),0)+IF(Element_Stiffness!$C$181,IF(Element_Stiffness!$C$180=7,IF(2=Element_Stiffness!$C$180,Element_Stiffness!R203,IF(2=Element_Stiffness!$E$180,Element_Stiffness!X203,0)),IF(Element_Stiffness!$E$180=7,IF(2=Element_Stiffness!$C$180,Element_Stiffness!R209,IF(2=Element_Stiffness!$E$180,Element_Stiffness!X209,0)),0)),0)+IF(Element_Stiffness!$C$216,IF(Element_Stiffness!$C$215=7,IF(2=Element_Stiffness!$C$215,Element_Stiffness!R238,IF(2=Element_Stiffness!$E$215,Element_Stiffness!X238,0)),IF(Element_Stiffness!$E$215=7,IF(2=Element_Stiffness!$C$215,Element_Stiffness!R244,IF(2=Element_Stiffness!$E$215,Element_Stiffness!X244,0)),0)),0)</f>
        <v/>
      </c>
      <c r="R49" s="21">
        <f>IF(Element_Stiffness!$C$6,IF(Element_Stiffness!$C$5=7,IF(2=Element_Stiffness!$C$5,Element_Stiffness!S28,IF(2=Element_Stiffness!$E$5,Element_Stiffness!Y28,0)),IF(Element_Stiffness!$E$5=7,IF(2=Element_Stiffness!$C$5,Element_Stiffness!S34,IF(2=Element_Stiffness!$E$5,Element_Stiffness!Y34,0)),0)),0)+IF(Element_Stiffness!$C$41,IF(Element_Stiffness!$C$40=7,IF(2=Element_Stiffness!$C$40,Element_Stiffness!S63,IF(2=Element_Stiffness!$E$40,Element_Stiffness!Y63,0)),IF(Element_Stiffness!$E$40=7,IF(2=Element_Stiffness!$C$40,Element_Stiffness!S69,IF(2=Element_Stiffness!$E$40,Element_Stiffness!Y69,0)),0)),0)+IF(Element_Stiffness!$C$76,IF(Element_Stiffness!$C$75=7,IF(2=Element_Stiffness!$C$75,Element_Stiffness!S98,IF(2=Element_Stiffness!$E$75,Element_Stiffness!Y98,0)),IF(Element_Stiffness!$E$75=7,IF(2=Element_Stiffness!$C$75,Element_Stiffness!S104,IF(2=Element_Stiffness!$E$75,Element_Stiffness!Y104,0)),0)),0)+IF(Element_Stiffness!$C$111,IF(Element_Stiffness!$C$110=7,IF(2=Element_Stiffness!$C$110,Element_Stiffness!S133,IF(2=Element_Stiffness!$E$110,Element_Stiffness!Y133,0)),IF(Element_Stiffness!$E$110=7,IF(2=Element_Stiffness!$C$110,Element_Stiffness!S139,IF(2=Element_Stiffness!$E$110,Element_Stiffness!Y139,0)),0)),0)+IF(Element_Stiffness!$C$146,IF(Element_Stiffness!$C$145=7,IF(2=Element_Stiffness!$C$145,Element_Stiffness!S168,IF(2=Element_Stiffness!$E$145,Element_Stiffness!Y168,0)),IF(Element_Stiffness!$E$145=7,IF(2=Element_Stiffness!$C$145,Element_Stiffness!S174,IF(2=Element_Stiffness!$E$145,Element_Stiffness!Y174,0)),0)),0)+IF(Element_Stiffness!$C$181,IF(Element_Stiffness!$C$180=7,IF(2=Element_Stiffness!$C$180,Element_Stiffness!S203,IF(2=Element_Stiffness!$E$180,Element_Stiffness!Y203,0)),IF(Element_Stiffness!$E$180=7,IF(2=Element_Stiffness!$C$180,Element_Stiffness!S209,IF(2=Element_Stiffness!$E$180,Element_Stiffness!Y209,0)),0)),0)+IF(Element_Stiffness!$C$216,IF(Element_Stiffness!$C$215=7,IF(2=Element_Stiffness!$C$215,Element_Stiffness!S238,IF(2=Element_Stiffness!$E$215,Element_Stiffness!Y238,0)),IF(Element_Stiffness!$E$215=7,IF(2=Element_Stiffness!$C$215,Element_Stiffness!S244,IF(2=Element_Stiffness!$E$215,Element_Stiffness!Y244,0)),0)),0)</f>
        <v/>
      </c>
      <c r="S49" s="21">
        <f>IF(Element_Stiffness!$C$6,IF(Element_Stiffness!$C$5=7,IF(2=Element_Stiffness!$C$5,Element_Stiffness!T28,IF(2=Element_Stiffness!$E$5,Element_Stiffness!Z28,0)),IF(Element_Stiffness!$E$5=7,IF(2=Element_Stiffness!$C$5,Element_Stiffness!T34,IF(2=Element_Stiffness!$E$5,Element_Stiffness!Z34,0)),0)),0)+IF(Element_Stiffness!$C$41,IF(Element_Stiffness!$C$40=7,IF(2=Element_Stiffness!$C$40,Element_Stiffness!T63,IF(2=Element_Stiffness!$E$40,Element_Stiffness!Z63,0)),IF(Element_Stiffness!$E$40=7,IF(2=Element_Stiffness!$C$40,Element_Stiffness!T69,IF(2=Element_Stiffness!$E$40,Element_Stiffness!Z69,0)),0)),0)+IF(Element_Stiffness!$C$76,IF(Element_Stiffness!$C$75=7,IF(2=Element_Stiffness!$C$75,Element_Stiffness!T98,IF(2=Element_Stiffness!$E$75,Element_Stiffness!Z98,0)),IF(Element_Stiffness!$E$75=7,IF(2=Element_Stiffness!$C$75,Element_Stiffness!T104,IF(2=Element_Stiffness!$E$75,Element_Stiffness!Z104,0)),0)),0)+IF(Element_Stiffness!$C$111,IF(Element_Stiffness!$C$110=7,IF(2=Element_Stiffness!$C$110,Element_Stiffness!T133,IF(2=Element_Stiffness!$E$110,Element_Stiffness!Z133,0)),IF(Element_Stiffness!$E$110=7,IF(2=Element_Stiffness!$C$110,Element_Stiffness!T139,IF(2=Element_Stiffness!$E$110,Element_Stiffness!Z139,0)),0)),0)+IF(Element_Stiffness!$C$146,IF(Element_Stiffness!$C$145=7,IF(2=Element_Stiffness!$C$145,Element_Stiffness!T168,IF(2=Element_Stiffness!$E$145,Element_Stiffness!Z168,0)),IF(Element_Stiffness!$E$145=7,IF(2=Element_Stiffness!$C$145,Element_Stiffness!T174,IF(2=Element_Stiffness!$E$145,Element_Stiffness!Z174,0)),0)),0)+IF(Element_Stiffness!$C$181,IF(Element_Stiffness!$C$180=7,IF(2=Element_Stiffness!$C$180,Element_Stiffness!T203,IF(2=Element_Stiffness!$E$180,Element_Stiffness!Z203,0)),IF(Element_Stiffness!$E$180=7,IF(2=Element_Stiffness!$C$180,Element_Stiffness!T209,IF(2=Element_Stiffness!$E$180,Element_Stiffness!Z209,0)),0)),0)+IF(Element_Stiffness!$C$216,IF(Element_Stiffness!$C$215=7,IF(2=Element_Stiffness!$C$215,Element_Stiffness!T238,IF(2=Element_Stiffness!$E$215,Element_Stiffness!Z238,0)),IF(Element_Stiffness!$E$215=7,IF(2=Element_Stiffness!$C$215,Element_Stiffness!T244,IF(2=Element_Stiffness!$E$215,Element_Stiffness!Z244,0)),0)),0)</f>
        <v/>
      </c>
      <c r="T49" s="21">
        <f>IF(Element_Stiffness!$C$6,IF(Element_Stiffness!$C$5=7,IF(2=Element_Stiffness!$C$5,Element_Stiffness!U28,IF(2=Element_Stiffness!$E$5,Element_Stiffness!AA28,0)),IF(Element_Stiffness!$E$5=7,IF(2=Element_Stiffness!$C$5,Element_Stiffness!U34,IF(2=Element_Stiffness!$E$5,Element_Stiffness!AA34,0)),0)),0)+IF(Element_Stiffness!$C$41,IF(Element_Stiffness!$C$40=7,IF(2=Element_Stiffness!$C$40,Element_Stiffness!U63,IF(2=Element_Stiffness!$E$40,Element_Stiffness!AA63,0)),IF(Element_Stiffness!$E$40=7,IF(2=Element_Stiffness!$C$40,Element_Stiffness!U69,IF(2=Element_Stiffness!$E$40,Element_Stiffness!AA69,0)),0)),0)+IF(Element_Stiffness!$C$76,IF(Element_Stiffness!$C$75=7,IF(2=Element_Stiffness!$C$75,Element_Stiffness!U98,IF(2=Element_Stiffness!$E$75,Element_Stiffness!AA98,0)),IF(Element_Stiffness!$E$75=7,IF(2=Element_Stiffness!$C$75,Element_Stiffness!U104,IF(2=Element_Stiffness!$E$75,Element_Stiffness!AA104,0)),0)),0)+IF(Element_Stiffness!$C$111,IF(Element_Stiffness!$C$110=7,IF(2=Element_Stiffness!$C$110,Element_Stiffness!U133,IF(2=Element_Stiffness!$E$110,Element_Stiffness!AA133,0)),IF(Element_Stiffness!$E$110=7,IF(2=Element_Stiffness!$C$110,Element_Stiffness!U139,IF(2=Element_Stiffness!$E$110,Element_Stiffness!AA139,0)),0)),0)+IF(Element_Stiffness!$C$146,IF(Element_Stiffness!$C$145=7,IF(2=Element_Stiffness!$C$145,Element_Stiffness!U168,IF(2=Element_Stiffness!$E$145,Element_Stiffness!AA168,0)),IF(Element_Stiffness!$E$145=7,IF(2=Element_Stiffness!$C$145,Element_Stiffness!U174,IF(2=Element_Stiffness!$E$145,Element_Stiffness!AA174,0)),0)),0)+IF(Element_Stiffness!$C$181,IF(Element_Stiffness!$C$180=7,IF(2=Element_Stiffness!$C$180,Element_Stiffness!U203,IF(2=Element_Stiffness!$E$180,Element_Stiffness!AA203,0)),IF(Element_Stiffness!$E$180=7,IF(2=Element_Stiffness!$C$180,Element_Stiffness!U209,IF(2=Element_Stiffness!$E$180,Element_Stiffness!AA209,0)),0)),0)+IF(Element_Stiffness!$C$216,IF(Element_Stiffness!$C$215=7,IF(2=Element_Stiffness!$C$215,Element_Stiffness!U238,IF(2=Element_Stiffness!$E$215,Element_Stiffness!AA238,0)),IF(Element_Stiffness!$E$215=7,IF(2=Element_Stiffness!$C$215,Element_Stiffness!U244,IF(2=Element_Stiffness!$E$215,Element_Stiffness!AA244,0)),0)),0)</f>
        <v/>
      </c>
      <c r="U49" s="21">
        <f>IF(Element_Stiffness!$C$6,IF(Element_Stiffness!$C$5=7,IF(3=Element_Stiffness!$C$5,Element_Stiffness!P28,IF(3=Element_Stiffness!$E$5,Element_Stiffness!V28,0)),IF(Element_Stiffness!$E$5=7,IF(3=Element_Stiffness!$C$5,Element_Stiffness!P34,IF(3=Element_Stiffness!$E$5,Element_Stiffness!V34,0)),0)),0)+IF(Element_Stiffness!$C$41,IF(Element_Stiffness!$C$40=7,IF(3=Element_Stiffness!$C$40,Element_Stiffness!P63,IF(3=Element_Stiffness!$E$40,Element_Stiffness!V63,0)),IF(Element_Stiffness!$E$40=7,IF(3=Element_Stiffness!$C$40,Element_Stiffness!P69,IF(3=Element_Stiffness!$E$40,Element_Stiffness!V69,0)),0)),0)+IF(Element_Stiffness!$C$76,IF(Element_Stiffness!$C$75=7,IF(3=Element_Stiffness!$C$75,Element_Stiffness!P98,IF(3=Element_Stiffness!$E$75,Element_Stiffness!V98,0)),IF(Element_Stiffness!$E$75=7,IF(3=Element_Stiffness!$C$75,Element_Stiffness!P104,IF(3=Element_Stiffness!$E$75,Element_Stiffness!V104,0)),0)),0)+IF(Element_Stiffness!$C$111,IF(Element_Stiffness!$C$110=7,IF(3=Element_Stiffness!$C$110,Element_Stiffness!P133,IF(3=Element_Stiffness!$E$110,Element_Stiffness!V133,0)),IF(Element_Stiffness!$E$110=7,IF(3=Element_Stiffness!$C$110,Element_Stiffness!P139,IF(3=Element_Stiffness!$E$110,Element_Stiffness!V139,0)),0)),0)+IF(Element_Stiffness!$C$146,IF(Element_Stiffness!$C$145=7,IF(3=Element_Stiffness!$C$145,Element_Stiffness!P168,IF(3=Element_Stiffness!$E$145,Element_Stiffness!V168,0)),IF(Element_Stiffness!$E$145=7,IF(3=Element_Stiffness!$C$145,Element_Stiffness!P174,IF(3=Element_Stiffness!$E$145,Element_Stiffness!V174,0)),0)),0)+IF(Element_Stiffness!$C$181,IF(Element_Stiffness!$C$180=7,IF(3=Element_Stiffness!$C$180,Element_Stiffness!P203,IF(3=Element_Stiffness!$E$180,Element_Stiffness!V203,0)),IF(Element_Stiffness!$E$180=7,IF(3=Element_Stiffness!$C$180,Element_Stiffness!P209,IF(3=Element_Stiffness!$E$180,Element_Stiffness!V209,0)),0)),0)+IF(Element_Stiffness!$C$216,IF(Element_Stiffness!$C$215=7,IF(3=Element_Stiffness!$C$215,Element_Stiffness!P238,IF(3=Element_Stiffness!$E$215,Element_Stiffness!V238,0)),IF(Element_Stiffness!$E$215=7,IF(3=Element_Stiffness!$C$215,Element_Stiffness!P244,IF(3=Element_Stiffness!$E$215,Element_Stiffness!V244,0)),0)),0)</f>
        <v/>
      </c>
      <c r="V49" s="21">
        <f>IF(Element_Stiffness!$C$6,IF(Element_Stiffness!$C$5=7,IF(3=Element_Stiffness!$C$5,Element_Stiffness!Q28,IF(3=Element_Stiffness!$E$5,Element_Stiffness!W28,0)),IF(Element_Stiffness!$E$5=7,IF(3=Element_Stiffness!$C$5,Element_Stiffness!Q34,IF(3=Element_Stiffness!$E$5,Element_Stiffness!W34,0)),0)),0)+IF(Element_Stiffness!$C$41,IF(Element_Stiffness!$C$40=7,IF(3=Element_Stiffness!$C$40,Element_Stiffness!Q63,IF(3=Element_Stiffness!$E$40,Element_Stiffness!W63,0)),IF(Element_Stiffness!$E$40=7,IF(3=Element_Stiffness!$C$40,Element_Stiffness!Q69,IF(3=Element_Stiffness!$E$40,Element_Stiffness!W69,0)),0)),0)+IF(Element_Stiffness!$C$76,IF(Element_Stiffness!$C$75=7,IF(3=Element_Stiffness!$C$75,Element_Stiffness!Q98,IF(3=Element_Stiffness!$E$75,Element_Stiffness!W98,0)),IF(Element_Stiffness!$E$75=7,IF(3=Element_Stiffness!$C$75,Element_Stiffness!Q104,IF(3=Element_Stiffness!$E$75,Element_Stiffness!W104,0)),0)),0)+IF(Element_Stiffness!$C$111,IF(Element_Stiffness!$C$110=7,IF(3=Element_Stiffness!$C$110,Element_Stiffness!Q133,IF(3=Element_Stiffness!$E$110,Element_Stiffness!W133,0)),IF(Element_Stiffness!$E$110=7,IF(3=Element_Stiffness!$C$110,Element_Stiffness!Q139,IF(3=Element_Stiffness!$E$110,Element_Stiffness!W139,0)),0)),0)+IF(Element_Stiffness!$C$146,IF(Element_Stiffness!$C$145=7,IF(3=Element_Stiffness!$C$145,Element_Stiffness!Q168,IF(3=Element_Stiffness!$E$145,Element_Stiffness!W168,0)),IF(Element_Stiffness!$E$145=7,IF(3=Element_Stiffness!$C$145,Element_Stiffness!Q174,IF(3=Element_Stiffness!$E$145,Element_Stiffness!W174,0)),0)),0)+IF(Element_Stiffness!$C$181,IF(Element_Stiffness!$C$180=7,IF(3=Element_Stiffness!$C$180,Element_Stiffness!Q203,IF(3=Element_Stiffness!$E$180,Element_Stiffness!W203,0)),IF(Element_Stiffness!$E$180=7,IF(3=Element_Stiffness!$C$180,Element_Stiffness!Q209,IF(3=Element_Stiffness!$E$180,Element_Stiffness!W209,0)),0)),0)+IF(Element_Stiffness!$C$216,IF(Element_Stiffness!$C$215=7,IF(3=Element_Stiffness!$C$215,Element_Stiffness!Q238,IF(3=Element_Stiffness!$E$215,Element_Stiffness!W238,0)),IF(Element_Stiffness!$E$215=7,IF(3=Element_Stiffness!$C$215,Element_Stiffness!Q244,IF(3=Element_Stiffness!$E$215,Element_Stiffness!W244,0)),0)),0)</f>
        <v/>
      </c>
      <c r="W49" s="21">
        <f>IF(Element_Stiffness!$C$6,IF(Element_Stiffness!$C$5=7,IF(3=Element_Stiffness!$C$5,Element_Stiffness!R28,IF(3=Element_Stiffness!$E$5,Element_Stiffness!X28,0)),IF(Element_Stiffness!$E$5=7,IF(3=Element_Stiffness!$C$5,Element_Stiffness!R34,IF(3=Element_Stiffness!$E$5,Element_Stiffness!X34,0)),0)),0)+IF(Element_Stiffness!$C$41,IF(Element_Stiffness!$C$40=7,IF(3=Element_Stiffness!$C$40,Element_Stiffness!R63,IF(3=Element_Stiffness!$E$40,Element_Stiffness!X63,0)),IF(Element_Stiffness!$E$40=7,IF(3=Element_Stiffness!$C$40,Element_Stiffness!R69,IF(3=Element_Stiffness!$E$40,Element_Stiffness!X69,0)),0)),0)+IF(Element_Stiffness!$C$76,IF(Element_Stiffness!$C$75=7,IF(3=Element_Stiffness!$C$75,Element_Stiffness!R98,IF(3=Element_Stiffness!$E$75,Element_Stiffness!X98,0)),IF(Element_Stiffness!$E$75=7,IF(3=Element_Stiffness!$C$75,Element_Stiffness!R104,IF(3=Element_Stiffness!$E$75,Element_Stiffness!X104,0)),0)),0)+IF(Element_Stiffness!$C$111,IF(Element_Stiffness!$C$110=7,IF(3=Element_Stiffness!$C$110,Element_Stiffness!R133,IF(3=Element_Stiffness!$E$110,Element_Stiffness!X133,0)),IF(Element_Stiffness!$E$110=7,IF(3=Element_Stiffness!$C$110,Element_Stiffness!R139,IF(3=Element_Stiffness!$E$110,Element_Stiffness!X139,0)),0)),0)+IF(Element_Stiffness!$C$146,IF(Element_Stiffness!$C$145=7,IF(3=Element_Stiffness!$C$145,Element_Stiffness!R168,IF(3=Element_Stiffness!$E$145,Element_Stiffness!X168,0)),IF(Element_Stiffness!$E$145=7,IF(3=Element_Stiffness!$C$145,Element_Stiffness!R174,IF(3=Element_Stiffness!$E$145,Element_Stiffness!X174,0)),0)),0)+IF(Element_Stiffness!$C$181,IF(Element_Stiffness!$C$180=7,IF(3=Element_Stiffness!$C$180,Element_Stiffness!R203,IF(3=Element_Stiffness!$E$180,Element_Stiffness!X203,0)),IF(Element_Stiffness!$E$180=7,IF(3=Element_Stiffness!$C$180,Element_Stiffness!R209,IF(3=Element_Stiffness!$E$180,Element_Stiffness!X209,0)),0)),0)+IF(Element_Stiffness!$C$216,IF(Element_Stiffness!$C$215=7,IF(3=Element_Stiffness!$C$215,Element_Stiffness!R238,IF(3=Element_Stiffness!$E$215,Element_Stiffness!X238,0)),IF(Element_Stiffness!$E$215=7,IF(3=Element_Stiffness!$C$215,Element_Stiffness!R244,IF(3=Element_Stiffness!$E$215,Element_Stiffness!X244,0)),0)),0)</f>
        <v/>
      </c>
      <c r="X49" s="21">
        <f>IF(Element_Stiffness!$C$6,IF(Element_Stiffness!$C$5=7,IF(3=Element_Stiffness!$C$5,Element_Stiffness!S28,IF(3=Element_Stiffness!$E$5,Element_Stiffness!Y28,0)),IF(Element_Stiffness!$E$5=7,IF(3=Element_Stiffness!$C$5,Element_Stiffness!S34,IF(3=Element_Stiffness!$E$5,Element_Stiffness!Y34,0)),0)),0)+IF(Element_Stiffness!$C$41,IF(Element_Stiffness!$C$40=7,IF(3=Element_Stiffness!$C$40,Element_Stiffness!S63,IF(3=Element_Stiffness!$E$40,Element_Stiffness!Y63,0)),IF(Element_Stiffness!$E$40=7,IF(3=Element_Stiffness!$C$40,Element_Stiffness!S69,IF(3=Element_Stiffness!$E$40,Element_Stiffness!Y69,0)),0)),0)+IF(Element_Stiffness!$C$76,IF(Element_Stiffness!$C$75=7,IF(3=Element_Stiffness!$C$75,Element_Stiffness!S98,IF(3=Element_Stiffness!$E$75,Element_Stiffness!Y98,0)),IF(Element_Stiffness!$E$75=7,IF(3=Element_Stiffness!$C$75,Element_Stiffness!S104,IF(3=Element_Stiffness!$E$75,Element_Stiffness!Y104,0)),0)),0)+IF(Element_Stiffness!$C$111,IF(Element_Stiffness!$C$110=7,IF(3=Element_Stiffness!$C$110,Element_Stiffness!S133,IF(3=Element_Stiffness!$E$110,Element_Stiffness!Y133,0)),IF(Element_Stiffness!$E$110=7,IF(3=Element_Stiffness!$C$110,Element_Stiffness!S139,IF(3=Element_Stiffness!$E$110,Element_Stiffness!Y139,0)),0)),0)+IF(Element_Stiffness!$C$146,IF(Element_Stiffness!$C$145=7,IF(3=Element_Stiffness!$C$145,Element_Stiffness!S168,IF(3=Element_Stiffness!$E$145,Element_Stiffness!Y168,0)),IF(Element_Stiffness!$E$145=7,IF(3=Element_Stiffness!$C$145,Element_Stiffness!S174,IF(3=Element_Stiffness!$E$145,Element_Stiffness!Y174,0)),0)),0)+IF(Element_Stiffness!$C$181,IF(Element_Stiffness!$C$180=7,IF(3=Element_Stiffness!$C$180,Element_Stiffness!S203,IF(3=Element_Stiffness!$E$180,Element_Stiffness!Y203,0)),IF(Element_Stiffness!$E$180=7,IF(3=Element_Stiffness!$C$180,Element_Stiffness!S209,IF(3=Element_Stiffness!$E$180,Element_Stiffness!Y209,0)),0)),0)+IF(Element_Stiffness!$C$216,IF(Element_Stiffness!$C$215=7,IF(3=Element_Stiffness!$C$215,Element_Stiffness!S238,IF(3=Element_Stiffness!$E$215,Element_Stiffness!Y238,0)),IF(Element_Stiffness!$E$215=7,IF(3=Element_Stiffness!$C$215,Element_Stiffness!S244,IF(3=Element_Stiffness!$E$215,Element_Stiffness!Y244,0)),0)),0)</f>
        <v/>
      </c>
      <c r="Y49" s="21">
        <f>IF(Element_Stiffness!$C$6,IF(Element_Stiffness!$C$5=7,IF(3=Element_Stiffness!$C$5,Element_Stiffness!T28,IF(3=Element_Stiffness!$E$5,Element_Stiffness!Z28,0)),IF(Element_Stiffness!$E$5=7,IF(3=Element_Stiffness!$C$5,Element_Stiffness!T34,IF(3=Element_Stiffness!$E$5,Element_Stiffness!Z34,0)),0)),0)+IF(Element_Stiffness!$C$41,IF(Element_Stiffness!$C$40=7,IF(3=Element_Stiffness!$C$40,Element_Stiffness!T63,IF(3=Element_Stiffness!$E$40,Element_Stiffness!Z63,0)),IF(Element_Stiffness!$E$40=7,IF(3=Element_Stiffness!$C$40,Element_Stiffness!T69,IF(3=Element_Stiffness!$E$40,Element_Stiffness!Z69,0)),0)),0)+IF(Element_Stiffness!$C$76,IF(Element_Stiffness!$C$75=7,IF(3=Element_Stiffness!$C$75,Element_Stiffness!T98,IF(3=Element_Stiffness!$E$75,Element_Stiffness!Z98,0)),IF(Element_Stiffness!$E$75=7,IF(3=Element_Stiffness!$C$75,Element_Stiffness!T104,IF(3=Element_Stiffness!$E$75,Element_Stiffness!Z104,0)),0)),0)+IF(Element_Stiffness!$C$111,IF(Element_Stiffness!$C$110=7,IF(3=Element_Stiffness!$C$110,Element_Stiffness!T133,IF(3=Element_Stiffness!$E$110,Element_Stiffness!Z133,0)),IF(Element_Stiffness!$E$110=7,IF(3=Element_Stiffness!$C$110,Element_Stiffness!T139,IF(3=Element_Stiffness!$E$110,Element_Stiffness!Z139,0)),0)),0)+IF(Element_Stiffness!$C$146,IF(Element_Stiffness!$C$145=7,IF(3=Element_Stiffness!$C$145,Element_Stiffness!T168,IF(3=Element_Stiffness!$E$145,Element_Stiffness!Z168,0)),IF(Element_Stiffness!$E$145=7,IF(3=Element_Stiffness!$C$145,Element_Stiffness!T174,IF(3=Element_Stiffness!$E$145,Element_Stiffness!Z174,0)),0)),0)+IF(Element_Stiffness!$C$181,IF(Element_Stiffness!$C$180=7,IF(3=Element_Stiffness!$C$180,Element_Stiffness!T203,IF(3=Element_Stiffness!$E$180,Element_Stiffness!Z203,0)),IF(Element_Stiffness!$E$180=7,IF(3=Element_Stiffness!$C$180,Element_Stiffness!T209,IF(3=Element_Stiffness!$E$180,Element_Stiffness!Z209,0)),0)),0)+IF(Element_Stiffness!$C$216,IF(Element_Stiffness!$C$215=7,IF(3=Element_Stiffness!$C$215,Element_Stiffness!T238,IF(3=Element_Stiffness!$E$215,Element_Stiffness!Z238,0)),IF(Element_Stiffness!$E$215=7,IF(3=Element_Stiffness!$C$215,Element_Stiffness!T244,IF(3=Element_Stiffness!$E$215,Element_Stiffness!Z244,0)),0)),0)</f>
        <v/>
      </c>
      <c r="Z49" s="21">
        <f>IF(Element_Stiffness!$C$6,IF(Element_Stiffness!$C$5=7,IF(3=Element_Stiffness!$C$5,Element_Stiffness!U28,IF(3=Element_Stiffness!$E$5,Element_Stiffness!AA28,0)),IF(Element_Stiffness!$E$5=7,IF(3=Element_Stiffness!$C$5,Element_Stiffness!U34,IF(3=Element_Stiffness!$E$5,Element_Stiffness!AA34,0)),0)),0)+IF(Element_Stiffness!$C$41,IF(Element_Stiffness!$C$40=7,IF(3=Element_Stiffness!$C$40,Element_Stiffness!U63,IF(3=Element_Stiffness!$E$40,Element_Stiffness!AA63,0)),IF(Element_Stiffness!$E$40=7,IF(3=Element_Stiffness!$C$40,Element_Stiffness!U69,IF(3=Element_Stiffness!$E$40,Element_Stiffness!AA69,0)),0)),0)+IF(Element_Stiffness!$C$76,IF(Element_Stiffness!$C$75=7,IF(3=Element_Stiffness!$C$75,Element_Stiffness!U98,IF(3=Element_Stiffness!$E$75,Element_Stiffness!AA98,0)),IF(Element_Stiffness!$E$75=7,IF(3=Element_Stiffness!$C$75,Element_Stiffness!U104,IF(3=Element_Stiffness!$E$75,Element_Stiffness!AA104,0)),0)),0)+IF(Element_Stiffness!$C$111,IF(Element_Stiffness!$C$110=7,IF(3=Element_Stiffness!$C$110,Element_Stiffness!U133,IF(3=Element_Stiffness!$E$110,Element_Stiffness!AA133,0)),IF(Element_Stiffness!$E$110=7,IF(3=Element_Stiffness!$C$110,Element_Stiffness!U139,IF(3=Element_Stiffness!$E$110,Element_Stiffness!AA139,0)),0)),0)+IF(Element_Stiffness!$C$146,IF(Element_Stiffness!$C$145=7,IF(3=Element_Stiffness!$C$145,Element_Stiffness!U168,IF(3=Element_Stiffness!$E$145,Element_Stiffness!AA168,0)),IF(Element_Stiffness!$E$145=7,IF(3=Element_Stiffness!$C$145,Element_Stiffness!U174,IF(3=Element_Stiffness!$E$145,Element_Stiffness!AA174,0)),0)),0)+IF(Element_Stiffness!$C$181,IF(Element_Stiffness!$C$180=7,IF(3=Element_Stiffness!$C$180,Element_Stiffness!U203,IF(3=Element_Stiffness!$E$180,Element_Stiffness!AA203,0)),IF(Element_Stiffness!$E$180=7,IF(3=Element_Stiffness!$C$180,Element_Stiffness!U209,IF(3=Element_Stiffness!$E$180,Element_Stiffness!AA209,0)),0)),0)+IF(Element_Stiffness!$C$216,IF(Element_Stiffness!$C$215=7,IF(3=Element_Stiffness!$C$215,Element_Stiffness!U238,IF(3=Element_Stiffness!$E$215,Element_Stiffness!AA238,0)),IF(Element_Stiffness!$E$215=7,IF(3=Element_Stiffness!$C$215,Element_Stiffness!U244,IF(3=Element_Stiffness!$E$215,Element_Stiffness!AA244,0)),0)),0)</f>
        <v/>
      </c>
      <c r="AA49" s="21">
        <f>IF(Element_Stiffness!$C$6,IF(Element_Stiffness!$C$5=7,IF(4=Element_Stiffness!$C$5,Element_Stiffness!P28,IF(4=Element_Stiffness!$E$5,Element_Stiffness!V28,0)),IF(Element_Stiffness!$E$5=7,IF(4=Element_Stiffness!$C$5,Element_Stiffness!P34,IF(4=Element_Stiffness!$E$5,Element_Stiffness!V34,0)),0)),0)+IF(Element_Stiffness!$C$41,IF(Element_Stiffness!$C$40=7,IF(4=Element_Stiffness!$C$40,Element_Stiffness!P63,IF(4=Element_Stiffness!$E$40,Element_Stiffness!V63,0)),IF(Element_Stiffness!$E$40=7,IF(4=Element_Stiffness!$C$40,Element_Stiffness!P69,IF(4=Element_Stiffness!$E$40,Element_Stiffness!V69,0)),0)),0)+IF(Element_Stiffness!$C$76,IF(Element_Stiffness!$C$75=7,IF(4=Element_Stiffness!$C$75,Element_Stiffness!P98,IF(4=Element_Stiffness!$E$75,Element_Stiffness!V98,0)),IF(Element_Stiffness!$E$75=7,IF(4=Element_Stiffness!$C$75,Element_Stiffness!P104,IF(4=Element_Stiffness!$E$75,Element_Stiffness!V104,0)),0)),0)+IF(Element_Stiffness!$C$111,IF(Element_Stiffness!$C$110=7,IF(4=Element_Stiffness!$C$110,Element_Stiffness!P133,IF(4=Element_Stiffness!$E$110,Element_Stiffness!V133,0)),IF(Element_Stiffness!$E$110=7,IF(4=Element_Stiffness!$C$110,Element_Stiffness!P139,IF(4=Element_Stiffness!$E$110,Element_Stiffness!V139,0)),0)),0)+IF(Element_Stiffness!$C$146,IF(Element_Stiffness!$C$145=7,IF(4=Element_Stiffness!$C$145,Element_Stiffness!P168,IF(4=Element_Stiffness!$E$145,Element_Stiffness!V168,0)),IF(Element_Stiffness!$E$145=7,IF(4=Element_Stiffness!$C$145,Element_Stiffness!P174,IF(4=Element_Stiffness!$E$145,Element_Stiffness!V174,0)),0)),0)+IF(Element_Stiffness!$C$181,IF(Element_Stiffness!$C$180=7,IF(4=Element_Stiffness!$C$180,Element_Stiffness!P203,IF(4=Element_Stiffness!$E$180,Element_Stiffness!V203,0)),IF(Element_Stiffness!$E$180=7,IF(4=Element_Stiffness!$C$180,Element_Stiffness!P209,IF(4=Element_Stiffness!$E$180,Element_Stiffness!V209,0)),0)),0)+IF(Element_Stiffness!$C$216,IF(Element_Stiffness!$C$215=7,IF(4=Element_Stiffness!$C$215,Element_Stiffness!P238,IF(4=Element_Stiffness!$E$215,Element_Stiffness!V238,0)),IF(Element_Stiffness!$E$215=7,IF(4=Element_Stiffness!$C$215,Element_Stiffness!P244,IF(4=Element_Stiffness!$E$215,Element_Stiffness!V244,0)),0)),0)</f>
        <v/>
      </c>
      <c r="AB49" s="21">
        <f>IF(Element_Stiffness!$C$6,IF(Element_Stiffness!$C$5=7,IF(4=Element_Stiffness!$C$5,Element_Stiffness!Q28,IF(4=Element_Stiffness!$E$5,Element_Stiffness!W28,0)),IF(Element_Stiffness!$E$5=7,IF(4=Element_Stiffness!$C$5,Element_Stiffness!Q34,IF(4=Element_Stiffness!$E$5,Element_Stiffness!W34,0)),0)),0)+IF(Element_Stiffness!$C$41,IF(Element_Stiffness!$C$40=7,IF(4=Element_Stiffness!$C$40,Element_Stiffness!Q63,IF(4=Element_Stiffness!$E$40,Element_Stiffness!W63,0)),IF(Element_Stiffness!$E$40=7,IF(4=Element_Stiffness!$C$40,Element_Stiffness!Q69,IF(4=Element_Stiffness!$E$40,Element_Stiffness!W69,0)),0)),0)+IF(Element_Stiffness!$C$76,IF(Element_Stiffness!$C$75=7,IF(4=Element_Stiffness!$C$75,Element_Stiffness!Q98,IF(4=Element_Stiffness!$E$75,Element_Stiffness!W98,0)),IF(Element_Stiffness!$E$75=7,IF(4=Element_Stiffness!$C$75,Element_Stiffness!Q104,IF(4=Element_Stiffness!$E$75,Element_Stiffness!W104,0)),0)),0)+IF(Element_Stiffness!$C$111,IF(Element_Stiffness!$C$110=7,IF(4=Element_Stiffness!$C$110,Element_Stiffness!Q133,IF(4=Element_Stiffness!$E$110,Element_Stiffness!W133,0)),IF(Element_Stiffness!$E$110=7,IF(4=Element_Stiffness!$C$110,Element_Stiffness!Q139,IF(4=Element_Stiffness!$E$110,Element_Stiffness!W139,0)),0)),0)+IF(Element_Stiffness!$C$146,IF(Element_Stiffness!$C$145=7,IF(4=Element_Stiffness!$C$145,Element_Stiffness!Q168,IF(4=Element_Stiffness!$E$145,Element_Stiffness!W168,0)),IF(Element_Stiffness!$E$145=7,IF(4=Element_Stiffness!$C$145,Element_Stiffness!Q174,IF(4=Element_Stiffness!$E$145,Element_Stiffness!W174,0)),0)),0)+IF(Element_Stiffness!$C$181,IF(Element_Stiffness!$C$180=7,IF(4=Element_Stiffness!$C$180,Element_Stiffness!Q203,IF(4=Element_Stiffness!$E$180,Element_Stiffness!W203,0)),IF(Element_Stiffness!$E$180=7,IF(4=Element_Stiffness!$C$180,Element_Stiffness!Q209,IF(4=Element_Stiffness!$E$180,Element_Stiffness!W209,0)),0)),0)+IF(Element_Stiffness!$C$216,IF(Element_Stiffness!$C$215=7,IF(4=Element_Stiffness!$C$215,Element_Stiffness!Q238,IF(4=Element_Stiffness!$E$215,Element_Stiffness!W238,0)),IF(Element_Stiffness!$E$215=7,IF(4=Element_Stiffness!$C$215,Element_Stiffness!Q244,IF(4=Element_Stiffness!$E$215,Element_Stiffness!W244,0)),0)),0)</f>
        <v/>
      </c>
      <c r="AC49" s="21">
        <f>IF(Element_Stiffness!$C$6,IF(Element_Stiffness!$C$5=7,IF(4=Element_Stiffness!$C$5,Element_Stiffness!R28,IF(4=Element_Stiffness!$E$5,Element_Stiffness!X28,0)),IF(Element_Stiffness!$E$5=7,IF(4=Element_Stiffness!$C$5,Element_Stiffness!R34,IF(4=Element_Stiffness!$E$5,Element_Stiffness!X34,0)),0)),0)+IF(Element_Stiffness!$C$41,IF(Element_Stiffness!$C$40=7,IF(4=Element_Stiffness!$C$40,Element_Stiffness!R63,IF(4=Element_Stiffness!$E$40,Element_Stiffness!X63,0)),IF(Element_Stiffness!$E$40=7,IF(4=Element_Stiffness!$C$40,Element_Stiffness!R69,IF(4=Element_Stiffness!$E$40,Element_Stiffness!X69,0)),0)),0)+IF(Element_Stiffness!$C$76,IF(Element_Stiffness!$C$75=7,IF(4=Element_Stiffness!$C$75,Element_Stiffness!R98,IF(4=Element_Stiffness!$E$75,Element_Stiffness!X98,0)),IF(Element_Stiffness!$E$75=7,IF(4=Element_Stiffness!$C$75,Element_Stiffness!R104,IF(4=Element_Stiffness!$E$75,Element_Stiffness!X104,0)),0)),0)+IF(Element_Stiffness!$C$111,IF(Element_Stiffness!$C$110=7,IF(4=Element_Stiffness!$C$110,Element_Stiffness!R133,IF(4=Element_Stiffness!$E$110,Element_Stiffness!X133,0)),IF(Element_Stiffness!$E$110=7,IF(4=Element_Stiffness!$C$110,Element_Stiffness!R139,IF(4=Element_Stiffness!$E$110,Element_Stiffness!X139,0)),0)),0)+IF(Element_Stiffness!$C$146,IF(Element_Stiffness!$C$145=7,IF(4=Element_Stiffness!$C$145,Element_Stiffness!R168,IF(4=Element_Stiffness!$E$145,Element_Stiffness!X168,0)),IF(Element_Stiffness!$E$145=7,IF(4=Element_Stiffness!$C$145,Element_Stiffness!R174,IF(4=Element_Stiffness!$E$145,Element_Stiffness!X174,0)),0)),0)+IF(Element_Stiffness!$C$181,IF(Element_Stiffness!$C$180=7,IF(4=Element_Stiffness!$C$180,Element_Stiffness!R203,IF(4=Element_Stiffness!$E$180,Element_Stiffness!X203,0)),IF(Element_Stiffness!$E$180=7,IF(4=Element_Stiffness!$C$180,Element_Stiffness!R209,IF(4=Element_Stiffness!$E$180,Element_Stiffness!X209,0)),0)),0)+IF(Element_Stiffness!$C$216,IF(Element_Stiffness!$C$215=7,IF(4=Element_Stiffness!$C$215,Element_Stiffness!R238,IF(4=Element_Stiffness!$E$215,Element_Stiffness!X238,0)),IF(Element_Stiffness!$E$215=7,IF(4=Element_Stiffness!$C$215,Element_Stiffness!R244,IF(4=Element_Stiffness!$E$215,Element_Stiffness!X244,0)),0)),0)</f>
        <v/>
      </c>
      <c r="AD49" s="21">
        <f>IF(Element_Stiffness!$C$6,IF(Element_Stiffness!$C$5=7,IF(4=Element_Stiffness!$C$5,Element_Stiffness!S28,IF(4=Element_Stiffness!$E$5,Element_Stiffness!Y28,0)),IF(Element_Stiffness!$E$5=7,IF(4=Element_Stiffness!$C$5,Element_Stiffness!S34,IF(4=Element_Stiffness!$E$5,Element_Stiffness!Y34,0)),0)),0)+IF(Element_Stiffness!$C$41,IF(Element_Stiffness!$C$40=7,IF(4=Element_Stiffness!$C$40,Element_Stiffness!S63,IF(4=Element_Stiffness!$E$40,Element_Stiffness!Y63,0)),IF(Element_Stiffness!$E$40=7,IF(4=Element_Stiffness!$C$40,Element_Stiffness!S69,IF(4=Element_Stiffness!$E$40,Element_Stiffness!Y69,0)),0)),0)+IF(Element_Stiffness!$C$76,IF(Element_Stiffness!$C$75=7,IF(4=Element_Stiffness!$C$75,Element_Stiffness!S98,IF(4=Element_Stiffness!$E$75,Element_Stiffness!Y98,0)),IF(Element_Stiffness!$E$75=7,IF(4=Element_Stiffness!$C$75,Element_Stiffness!S104,IF(4=Element_Stiffness!$E$75,Element_Stiffness!Y104,0)),0)),0)+IF(Element_Stiffness!$C$111,IF(Element_Stiffness!$C$110=7,IF(4=Element_Stiffness!$C$110,Element_Stiffness!S133,IF(4=Element_Stiffness!$E$110,Element_Stiffness!Y133,0)),IF(Element_Stiffness!$E$110=7,IF(4=Element_Stiffness!$C$110,Element_Stiffness!S139,IF(4=Element_Stiffness!$E$110,Element_Stiffness!Y139,0)),0)),0)+IF(Element_Stiffness!$C$146,IF(Element_Stiffness!$C$145=7,IF(4=Element_Stiffness!$C$145,Element_Stiffness!S168,IF(4=Element_Stiffness!$E$145,Element_Stiffness!Y168,0)),IF(Element_Stiffness!$E$145=7,IF(4=Element_Stiffness!$C$145,Element_Stiffness!S174,IF(4=Element_Stiffness!$E$145,Element_Stiffness!Y174,0)),0)),0)+IF(Element_Stiffness!$C$181,IF(Element_Stiffness!$C$180=7,IF(4=Element_Stiffness!$C$180,Element_Stiffness!S203,IF(4=Element_Stiffness!$E$180,Element_Stiffness!Y203,0)),IF(Element_Stiffness!$E$180=7,IF(4=Element_Stiffness!$C$180,Element_Stiffness!S209,IF(4=Element_Stiffness!$E$180,Element_Stiffness!Y209,0)),0)),0)+IF(Element_Stiffness!$C$216,IF(Element_Stiffness!$C$215=7,IF(4=Element_Stiffness!$C$215,Element_Stiffness!S238,IF(4=Element_Stiffness!$E$215,Element_Stiffness!Y238,0)),IF(Element_Stiffness!$E$215=7,IF(4=Element_Stiffness!$C$215,Element_Stiffness!S244,IF(4=Element_Stiffness!$E$215,Element_Stiffness!Y244,0)),0)),0)</f>
        <v/>
      </c>
      <c r="AE49" s="21">
        <f>IF(Element_Stiffness!$C$6,IF(Element_Stiffness!$C$5=7,IF(4=Element_Stiffness!$C$5,Element_Stiffness!T28,IF(4=Element_Stiffness!$E$5,Element_Stiffness!Z28,0)),IF(Element_Stiffness!$E$5=7,IF(4=Element_Stiffness!$C$5,Element_Stiffness!T34,IF(4=Element_Stiffness!$E$5,Element_Stiffness!Z34,0)),0)),0)+IF(Element_Stiffness!$C$41,IF(Element_Stiffness!$C$40=7,IF(4=Element_Stiffness!$C$40,Element_Stiffness!T63,IF(4=Element_Stiffness!$E$40,Element_Stiffness!Z63,0)),IF(Element_Stiffness!$E$40=7,IF(4=Element_Stiffness!$C$40,Element_Stiffness!T69,IF(4=Element_Stiffness!$E$40,Element_Stiffness!Z69,0)),0)),0)+IF(Element_Stiffness!$C$76,IF(Element_Stiffness!$C$75=7,IF(4=Element_Stiffness!$C$75,Element_Stiffness!T98,IF(4=Element_Stiffness!$E$75,Element_Stiffness!Z98,0)),IF(Element_Stiffness!$E$75=7,IF(4=Element_Stiffness!$C$75,Element_Stiffness!T104,IF(4=Element_Stiffness!$E$75,Element_Stiffness!Z104,0)),0)),0)+IF(Element_Stiffness!$C$111,IF(Element_Stiffness!$C$110=7,IF(4=Element_Stiffness!$C$110,Element_Stiffness!T133,IF(4=Element_Stiffness!$E$110,Element_Stiffness!Z133,0)),IF(Element_Stiffness!$E$110=7,IF(4=Element_Stiffness!$C$110,Element_Stiffness!T139,IF(4=Element_Stiffness!$E$110,Element_Stiffness!Z139,0)),0)),0)+IF(Element_Stiffness!$C$146,IF(Element_Stiffness!$C$145=7,IF(4=Element_Stiffness!$C$145,Element_Stiffness!T168,IF(4=Element_Stiffness!$E$145,Element_Stiffness!Z168,0)),IF(Element_Stiffness!$E$145=7,IF(4=Element_Stiffness!$C$145,Element_Stiffness!T174,IF(4=Element_Stiffness!$E$145,Element_Stiffness!Z174,0)),0)),0)+IF(Element_Stiffness!$C$181,IF(Element_Stiffness!$C$180=7,IF(4=Element_Stiffness!$C$180,Element_Stiffness!T203,IF(4=Element_Stiffness!$E$180,Element_Stiffness!Z203,0)),IF(Element_Stiffness!$E$180=7,IF(4=Element_Stiffness!$C$180,Element_Stiffness!T209,IF(4=Element_Stiffness!$E$180,Element_Stiffness!Z209,0)),0)),0)+IF(Element_Stiffness!$C$216,IF(Element_Stiffness!$C$215=7,IF(4=Element_Stiffness!$C$215,Element_Stiffness!T238,IF(4=Element_Stiffness!$E$215,Element_Stiffness!Z238,0)),IF(Element_Stiffness!$E$215=7,IF(4=Element_Stiffness!$C$215,Element_Stiffness!T244,IF(4=Element_Stiffness!$E$215,Element_Stiffness!Z244,0)),0)),0)</f>
        <v/>
      </c>
      <c r="AF49" s="21">
        <f>IF(Element_Stiffness!$C$6,IF(Element_Stiffness!$C$5=7,IF(4=Element_Stiffness!$C$5,Element_Stiffness!U28,IF(4=Element_Stiffness!$E$5,Element_Stiffness!AA28,0)),IF(Element_Stiffness!$E$5=7,IF(4=Element_Stiffness!$C$5,Element_Stiffness!U34,IF(4=Element_Stiffness!$E$5,Element_Stiffness!AA34,0)),0)),0)+IF(Element_Stiffness!$C$41,IF(Element_Stiffness!$C$40=7,IF(4=Element_Stiffness!$C$40,Element_Stiffness!U63,IF(4=Element_Stiffness!$E$40,Element_Stiffness!AA63,0)),IF(Element_Stiffness!$E$40=7,IF(4=Element_Stiffness!$C$40,Element_Stiffness!U69,IF(4=Element_Stiffness!$E$40,Element_Stiffness!AA69,0)),0)),0)+IF(Element_Stiffness!$C$76,IF(Element_Stiffness!$C$75=7,IF(4=Element_Stiffness!$C$75,Element_Stiffness!U98,IF(4=Element_Stiffness!$E$75,Element_Stiffness!AA98,0)),IF(Element_Stiffness!$E$75=7,IF(4=Element_Stiffness!$C$75,Element_Stiffness!U104,IF(4=Element_Stiffness!$E$75,Element_Stiffness!AA104,0)),0)),0)+IF(Element_Stiffness!$C$111,IF(Element_Stiffness!$C$110=7,IF(4=Element_Stiffness!$C$110,Element_Stiffness!U133,IF(4=Element_Stiffness!$E$110,Element_Stiffness!AA133,0)),IF(Element_Stiffness!$E$110=7,IF(4=Element_Stiffness!$C$110,Element_Stiffness!U139,IF(4=Element_Stiffness!$E$110,Element_Stiffness!AA139,0)),0)),0)+IF(Element_Stiffness!$C$146,IF(Element_Stiffness!$C$145=7,IF(4=Element_Stiffness!$C$145,Element_Stiffness!U168,IF(4=Element_Stiffness!$E$145,Element_Stiffness!AA168,0)),IF(Element_Stiffness!$E$145=7,IF(4=Element_Stiffness!$C$145,Element_Stiffness!U174,IF(4=Element_Stiffness!$E$145,Element_Stiffness!AA174,0)),0)),0)+IF(Element_Stiffness!$C$181,IF(Element_Stiffness!$C$180=7,IF(4=Element_Stiffness!$C$180,Element_Stiffness!U203,IF(4=Element_Stiffness!$E$180,Element_Stiffness!AA203,0)),IF(Element_Stiffness!$E$180=7,IF(4=Element_Stiffness!$C$180,Element_Stiffness!U209,IF(4=Element_Stiffness!$E$180,Element_Stiffness!AA209,0)),0)),0)+IF(Element_Stiffness!$C$216,IF(Element_Stiffness!$C$215=7,IF(4=Element_Stiffness!$C$215,Element_Stiffness!U238,IF(4=Element_Stiffness!$E$215,Element_Stiffness!AA238,0)),IF(Element_Stiffness!$E$215=7,IF(4=Element_Stiffness!$C$215,Element_Stiffness!U244,IF(4=Element_Stiffness!$E$215,Element_Stiffness!AA244,0)),0)),0)</f>
        <v/>
      </c>
      <c r="AG49" s="21">
        <f>IF(Element_Stiffness!$C$6,IF(Element_Stiffness!$C$5=7,IF(5=Element_Stiffness!$C$5,Element_Stiffness!P28,IF(5=Element_Stiffness!$E$5,Element_Stiffness!V28,0)),IF(Element_Stiffness!$E$5=7,IF(5=Element_Stiffness!$C$5,Element_Stiffness!P34,IF(5=Element_Stiffness!$E$5,Element_Stiffness!V34,0)),0)),0)+IF(Element_Stiffness!$C$41,IF(Element_Stiffness!$C$40=7,IF(5=Element_Stiffness!$C$40,Element_Stiffness!P63,IF(5=Element_Stiffness!$E$40,Element_Stiffness!V63,0)),IF(Element_Stiffness!$E$40=7,IF(5=Element_Stiffness!$C$40,Element_Stiffness!P69,IF(5=Element_Stiffness!$E$40,Element_Stiffness!V69,0)),0)),0)+IF(Element_Stiffness!$C$76,IF(Element_Stiffness!$C$75=7,IF(5=Element_Stiffness!$C$75,Element_Stiffness!P98,IF(5=Element_Stiffness!$E$75,Element_Stiffness!V98,0)),IF(Element_Stiffness!$E$75=7,IF(5=Element_Stiffness!$C$75,Element_Stiffness!P104,IF(5=Element_Stiffness!$E$75,Element_Stiffness!V104,0)),0)),0)+IF(Element_Stiffness!$C$111,IF(Element_Stiffness!$C$110=7,IF(5=Element_Stiffness!$C$110,Element_Stiffness!P133,IF(5=Element_Stiffness!$E$110,Element_Stiffness!V133,0)),IF(Element_Stiffness!$E$110=7,IF(5=Element_Stiffness!$C$110,Element_Stiffness!P139,IF(5=Element_Stiffness!$E$110,Element_Stiffness!V139,0)),0)),0)+IF(Element_Stiffness!$C$146,IF(Element_Stiffness!$C$145=7,IF(5=Element_Stiffness!$C$145,Element_Stiffness!P168,IF(5=Element_Stiffness!$E$145,Element_Stiffness!V168,0)),IF(Element_Stiffness!$E$145=7,IF(5=Element_Stiffness!$C$145,Element_Stiffness!P174,IF(5=Element_Stiffness!$E$145,Element_Stiffness!V174,0)),0)),0)+IF(Element_Stiffness!$C$181,IF(Element_Stiffness!$C$180=7,IF(5=Element_Stiffness!$C$180,Element_Stiffness!P203,IF(5=Element_Stiffness!$E$180,Element_Stiffness!V203,0)),IF(Element_Stiffness!$E$180=7,IF(5=Element_Stiffness!$C$180,Element_Stiffness!P209,IF(5=Element_Stiffness!$E$180,Element_Stiffness!V209,0)),0)),0)+IF(Element_Stiffness!$C$216,IF(Element_Stiffness!$C$215=7,IF(5=Element_Stiffness!$C$215,Element_Stiffness!P238,IF(5=Element_Stiffness!$E$215,Element_Stiffness!V238,0)),IF(Element_Stiffness!$E$215=7,IF(5=Element_Stiffness!$C$215,Element_Stiffness!P244,IF(5=Element_Stiffness!$E$215,Element_Stiffness!V244,0)),0)),0)</f>
        <v/>
      </c>
      <c r="AH49" s="21">
        <f>IF(Element_Stiffness!$C$6,IF(Element_Stiffness!$C$5=7,IF(5=Element_Stiffness!$C$5,Element_Stiffness!Q28,IF(5=Element_Stiffness!$E$5,Element_Stiffness!W28,0)),IF(Element_Stiffness!$E$5=7,IF(5=Element_Stiffness!$C$5,Element_Stiffness!Q34,IF(5=Element_Stiffness!$E$5,Element_Stiffness!W34,0)),0)),0)+IF(Element_Stiffness!$C$41,IF(Element_Stiffness!$C$40=7,IF(5=Element_Stiffness!$C$40,Element_Stiffness!Q63,IF(5=Element_Stiffness!$E$40,Element_Stiffness!W63,0)),IF(Element_Stiffness!$E$40=7,IF(5=Element_Stiffness!$C$40,Element_Stiffness!Q69,IF(5=Element_Stiffness!$E$40,Element_Stiffness!W69,0)),0)),0)+IF(Element_Stiffness!$C$76,IF(Element_Stiffness!$C$75=7,IF(5=Element_Stiffness!$C$75,Element_Stiffness!Q98,IF(5=Element_Stiffness!$E$75,Element_Stiffness!W98,0)),IF(Element_Stiffness!$E$75=7,IF(5=Element_Stiffness!$C$75,Element_Stiffness!Q104,IF(5=Element_Stiffness!$E$75,Element_Stiffness!W104,0)),0)),0)+IF(Element_Stiffness!$C$111,IF(Element_Stiffness!$C$110=7,IF(5=Element_Stiffness!$C$110,Element_Stiffness!Q133,IF(5=Element_Stiffness!$E$110,Element_Stiffness!W133,0)),IF(Element_Stiffness!$E$110=7,IF(5=Element_Stiffness!$C$110,Element_Stiffness!Q139,IF(5=Element_Stiffness!$E$110,Element_Stiffness!W139,0)),0)),0)+IF(Element_Stiffness!$C$146,IF(Element_Stiffness!$C$145=7,IF(5=Element_Stiffness!$C$145,Element_Stiffness!Q168,IF(5=Element_Stiffness!$E$145,Element_Stiffness!W168,0)),IF(Element_Stiffness!$E$145=7,IF(5=Element_Stiffness!$C$145,Element_Stiffness!Q174,IF(5=Element_Stiffness!$E$145,Element_Stiffness!W174,0)),0)),0)+IF(Element_Stiffness!$C$181,IF(Element_Stiffness!$C$180=7,IF(5=Element_Stiffness!$C$180,Element_Stiffness!Q203,IF(5=Element_Stiffness!$E$180,Element_Stiffness!W203,0)),IF(Element_Stiffness!$E$180=7,IF(5=Element_Stiffness!$C$180,Element_Stiffness!Q209,IF(5=Element_Stiffness!$E$180,Element_Stiffness!W209,0)),0)),0)+IF(Element_Stiffness!$C$216,IF(Element_Stiffness!$C$215=7,IF(5=Element_Stiffness!$C$215,Element_Stiffness!Q238,IF(5=Element_Stiffness!$E$215,Element_Stiffness!W238,0)),IF(Element_Stiffness!$E$215=7,IF(5=Element_Stiffness!$C$215,Element_Stiffness!Q244,IF(5=Element_Stiffness!$E$215,Element_Stiffness!W244,0)),0)),0)</f>
        <v/>
      </c>
      <c r="AI49" s="21">
        <f>IF(Element_Stiffness!$C$6,IF(Element_Stiffness!$C$5=7,IF(5=Element_Stiffness!$C$5,Element_Stiffness!R28,IF(5=Element_Stiffness!$E$5,Element_Stiffness!X28,0)),IF(Element_Stiffness!$E$5=7,IF(5=Element_Stiffness!$C$5,Element_Stiffness!R34,IF(5=Element_Stiffness!$E$5,Element_Stiffness!X34,0)),0)),0)+IF(Element_Stiffness!$C$41,IF(Element_Stiffness!$C$40=7,IF(5=Element_Stiffness!$C$40,Element_Stiffness!R63,IF(5=Element_Stiffness!$E$40,Element_Stiffness!X63,0)),IF(Element_Stiffness!$E$40=7,IF(5=Element_Stiffness!$C$40,Element_Stiffness!R69,IF(5=Element_Stiffness!$E$40,Element_Stiffness!X69,0)),0)),0)+IF(Element_Stiffness!$C$76,IF(Element_Stiffness!$C$75=7,IF(5=Element_Stiffness!$C$75,Element_Stiffness!R98,IF(5=Element_Stiffness!$E$75,Element_Stiffness!X98,0)),IF(Element_Stiffness!$E$75=7,IF(5=Element_Stiffness!$C$75,Element_Stiffness!R104,IF(5=Element_Stiffness!$E$75,Element_Stiffness!X104,0)),0)),0)+IF(Element_Stiffness!$C$111,IF(Element_Stiffness!$C$110=7,IF(5=Element_Stiffness!$C$110,Element_Stiffness!R133,IF(5=Element_Stiffness!$E$110,Element_Stiffness!X133,0)),IF(Element_Stiffness!$E$110=7,IF(5=Element_Stiffness!$C$110,Element_Stiffness!R139,IF(5=Element_Stiffness!$E$110,Element_Stiffness!X139,0)),0)),0)+IF(Element_Stiffness!$C$146,IF(Element_Stiffness!$C$145=7,IF(5=Element_Stiffness!$C$145,Element_Stiffness!R168,IF(5=Element_Stiffness!$E$145,Element_Stiffness!X168,0)),IF(Element_Stiffness!$E$145=7,IF(5=Element_Stiffness!$C$145,Element_Stiffness!R174,IF(5=Element_Stiffness!$E$145,Element_Stiffness!X174,0)),0)),0)+IF(Element_Stiffness!$C$181,IF(Element_Stiffness!$C$180=7,IF(5=Element_Stiffness!$C$180,Element_Stiffness!R203,IF(5=Element_Stiffness!$E$180,Element_Stiffness!X203,0)),IF(Element_Stiffness!$E$180=7,IF(5=Element_Stiffness!$C$180,Element_Stiffness!R209,IF(5=Element_Stiffness!$E$180,Element_Stiffness!X209,0)),0)),0)+IF(Element_Stiffness!$C$216,IF(Element_Stiffness!$C$215=7,IF(5=Element_Stiffness!$C$215,Element_Stiffness!R238,IF(5=Element_Stiffness!$E$215,Element_Stiffness!X238,0)),IF(Element_Stiffness!$E$215=7,IF(5=Element_Stiffness!$C$215,Element_Stiffness!R244,IF(5=Element_Stiffness!$E$215,Element_Stiffness!X244,0)),0)),0)</f>
        <v/>
      </c>
      <c r="AJ49" s="21">
        <f>IF(Element_Stiffness!$C$6,IF(Element_Stiffness!$C$5=7,IF(5=Element_Stiffness!$C$5,Element_Stiffness!S28,IF(5=Element_Stiffness!$E$5,Element_Stiffness!Y28,0)),IF(Element_Stiffness!$E$5=7,IF(5=Element_Stiffness!$C$5,Element_Stiffness!S34,IF(5=Element_Stiffness!$E$5,Element_Stiffness!Y34,0)),0)),0)+IF(Element_Stiffness!$C$41,IF(Element_Stiffness!$C$40=7,IF(5=Element_Stiffness!$C$40,Element_Stiffness!S63,IF(5=Element_Stiffness!$E$40,Element_Stiffness!Y63,0)),IF(Element_Stiffness!$E$40=7,IF(5=Element_Stiffness!$C$40,Element_Stiffness!S69,IF(5=Element_Stiffness!$E$40,Element_Stiffness!Y69,0)),0)),0)+IF(Element_Stiffness!$C$76,IF(Element_Stiffness!$C$75=7,IF(5=Element_Stiffness!$C$75,Element_Stiffness!S98,IF(5=Element_Stiffness!$E$75,Element_Stiffness!Y98,0)),IF(Element_Stiffness!$E$75=7,IF(5=Element_Stiffness!$C$75,Element_Stiffness!S104,IF(5=Element_Stiffness!$E$75,Element_Stiffness!Y104,0)),0)),0)+IF(Element_Stiffness!$C$111,IF(Element_Stiffness!$C$110=7,IF(5=Element_Stiffness!$C$110,Element_Stiffness!S133,IF(5=Element_Stiffness!$E$110,Element_Stiffness!Y133,0)),IF(Element_Stiffness!$E$110=7,IF(5=Element_Stiffness!$C$110,Element_Stiffness!S139,IF(5=Element_Stiffness!$E$110,Element_Stiffness!Y139,0)),0)),0)+IF(Element_Stiffness!$C$146,IF(Element_Stiffness!$C$145=7,IF(5=Element_Stiffness!$C$145,Element_Stiffness!S168,IF(5=Element_Stiffness!$E$145,Element_Stiffness!Y168,0)),IF(Element_Stiffness!$E$145=7,IF(5=Element_Stiffness!$C$145,Element_Stiffness!S174,IF(5=Element_Stiffness!$E$145,Element_Stiffness!Y174,0)),0)),0)+IF(Element_Stiffness!$C$181,IF(Element_Stiffness!$C$180=7,IF(5=Element_Stiffness!$C$180,Element_Stiffness!S203,IF(5=Element_Stiffness!$E$180,Element_Stiffness!Y203,0)),IF(Element_Stiffness!$E$180=7,IF(5=Element_Stiffness!$C$180,Element_Stiffness!S209,IF(5=Element_Stiffness!$E$180,Element_Stiffness!Y209,0)),0)),0)+IF(Element_Stiffness!$C$216,IF(Element_Stiffness!$C$215=7,IF(5=Element_Stiffness!$C$215,Element_Stiffness!S238,IF(5=Element_Stiffness!$E$215,Element_Stiffness!Y238,0)),IF(Element_Stiffness!$E$215=7,IF(5=Element_Stiffness!$C$215,Element_Stiffness!S244,IF(5=Element_Stiffness!$E$215,Element_Stiffness!Y244,0)),0)),0)</f>
        <v/>
      </c>
      <c r="AK49" s="21">
        <f>IF(Element_Stiffness!$C$6,IF(Element_Stiffness!$C$5=7,IF(5=Element_Stiffness!$C$5,Element_Stiffness!T28,IF(5=Element_Stiffness!$E$5,Element_Stiffness!Z28,0)),IF(Element_Stiffness!$E$5=7,IF(5=Element_Stiffness!$C$5,Element_Stiffness!T34,IF(5=Element_Stiffness!$E$5,Element_Stiffness!Z34,0)),0)),0)+IF(Element_Stiffness!$C$41,IF(Element_Stiffness!$C$40=7,IF(5=Element_Stiffness!$C$40,Element_Stiffness!T63,IF(5=Element_Stiffness!$E$40,Element_Stiffness!Z63,0)),IF(Element_Stiffness!$E$40=7,IF(5=Element_Stiffness!$C$40,Element_Stiffness!T69,IF(5=Element_Stiffness!$E$40,Element_Stiffness!Z69,0)),0)),0)+IF(Element_Stiffness!$C$76,IF(Element_Stiffness!$C$75=7,IF(5=Element_Stiffness!$C$75,Element_Stiffness!T98,IF(5=Element_Stiffness!$E$75,Element_Stiffness!Z98,0)),IF(Element_Stiffness!$E$75=7,IF(5=Element_Stiffness!$C$75,Element_Stiffness!T104,IF(5=Element_Stiffness!$E$75,Element_Stiffness!Z104,0)),0)),0)+IF(Element_Stiffness!$C$111,IF(Element_Stiffness!$C$110=7,IF(5=Element_Stiffness!$C$110,Element_Stiffness!T133,IF(5=Element_Stiffness!$E$110,Element_Stiffness!Z133,0)),IF(Element_Stiffness!$E$110=7,IF(5=Element_Stiffness!$C$110,Element_Stiffness!T139,IF(5=Element_Stiffness!$E$110,Element_Stiffness!Z139,0)),0)),0)+IF(Element_Stiffness!$C$146,IF(Element_Stiffness!$C$145=7,IF(5=Element_Stiffness!$C$145,Element_Stiffness!T168,IF(5=Element_Stiffness!$E$145,Element_Stiffness!Z168,0)),IF(Element_Stiffness!$E$145=7,IF(5=Element_Stiffness!$C$145,Element_Stiffness!T174,IF(5=Element_Stiffness!$E$145,Element_Stiffness!Z174,0)),0)),0)+IF(Element_Stiffness!$C$181,IF(Element_Stiffness!$C$180=7,IF(5=Element_Stiffness!$C$180,Element_Stiffness!T203,IF(5=Element_Stiffness!$E$180,Element_Stiffness!Z203,0)),IF(Element_Stiffness!$E$180=7,IF(5=Element_Stiffness!$C$180,Element_Stiffness!T209,IF(5=Element_Stiffness!$E$180,Element_Stiffness!Z209,0)),0)),0)+IF(Element_Stiffness!$C$216,IF(Element_Stiffness!$C$215=7,IF(5=Element_Stiffness!$C$215,Element_Stiffness!T238,IF(5=Element_Stiffness!$E$215,Element_Stiffness!Z238,0)),IF(Element_Stiffness!$E$215=7,IF(5=Element_Stiffness!$C$215,Element_Stiffness!T244,IF(5=Element_Stiffness!$E$215,Element_Stiffness!Z244,0)),0)),0)</f>
        <v/>
      </c>
      <c r="AL49" s="21">
        <f>IF(Element_Stiffness!$C$6,IF(Element_Stiffness!$C$5=7,IF(5=Element_Stiffness!$C$5,Element_Stiffness!U28,IF(5=Element_Stiffness!$E$5,Element_Stiffness!AA28,0)),IF(Element_Stiffness!$E$5=7,IF(5=Element_Stiffness!$C$5,Element_Stiffness!U34,IF(5=Element_Stiffness!$E$5,Element_Stiffness!AA34,0)),0)),0)+IF(Element_Stiffness!$C$41,IF(Element_Stiffness!$C$40=7,IF(5=Element_Stiffness!$C$40,Element_Stiffness!U63,IF(5=Element_Stiffness!$E$40,Element_Stiffness!AA63,0)),IF(Element_Stiffness!$E$40=7,IF(5=Element_Stiffness!$C$40,Element_Stiffness!U69,IF(5=Element_Stiffness!$E$40,Element_Stiffness!AA69,0)),0)),0)+IF(Element_Stiffness!$C$76,IF(Element_Stiffness!$C$75=7,IF(5=Element_Stiffness!$C$75,Element_Stiffness!U98,IF(5=Element_Stiffness!$E$75,Element_Stiffness!AA98,0)),IF(Element_Stiffness!$E$75=7,IF(5=Element_Stiffness!$C$75,Element_Stiffness!U104,IF(5=Element_Stiffness!$E$75,Element_Stiffness!AA104,0)),0)),0)+IF(Element_Stiffness!$C$111,IF(Element_Stiffness!$C$110=7,IF(5=Element_Stiffness!$C$110,Element_Stiffness!U133,IF(5=Element_Stiffness!$E$110,Element_Stiffness!AA133,0)),IF(Element_Stiffness!$E$110=7,IF(5=Element_Stiffness!$C$110,Element_Stiffness!U139,IF(5=Element_Stiffness!$E$110,Element_Stiffness!AA139,0)),0)),0)+IF(Element_Stiffness!$C$146,IF(Element_Stiffness!$C$145=7,IF(5=Element_Stiffness!$C$145,Element_Stiffness!U168,IF(5=Element_Stiffness!$E$145,Element_Stiffness!AA168,0)),IF(Element_Stiffness!$E$145=7,IF(5=Element_Stiffness!$C$145,Element_Stiffness!U174,IF(5=Element_Stiffness!$E$145,Element_Stiffness!AA174,0)),0)),0)+IF(Element_Stiffness!$C$181,IF(Element_Stiffness!$C$180=7,IF(5=Element_Stiffness!$C$180,Element_Stiffness!U203,IF(5=Element_Stiffness!$E$180,Element_Stiffness!AA203,0)),IF(Element_Stiffness!$E$180=7,IF(5=Element_Stiffness!$C$180,Element_Stiffness!U209,IF(5=Element_Stiffness!$E$180,Element_Stiffness!AA209,0)),0)),0)+IF(Element_Stiffness!$C$216,IF(Element_Stiffness!$C$215=7,IF(5=Element_Stiffness!$C$215,Element_Stiffness!U238,IF(5=Element_Stiffness!$E$215,Element_Stiffness!AA238,0)),IF(Element_Stiffness!$E$215=7,IF(5=Element_Stiffness!$C$215,Element_Stiffness!U244,IF(5=Element_Stiffness!$E$215,Element_Stiffness!AA244,0)),0)),0)</f>
        <v/>
      </c>
      <c r="AM49" s="21">
        <f>IF(Element_Stiffness!$C$6,IF(Element_Stiffness!$C$5=7,IF(6=Element_Stiffness!$C$5,Element_Stiffness!P28,IF(6=Element_Stiffness!$E$5,Element_Stiffness!V28,0)),IF(Element_Stiffness!$E$5=7,IF(6=Element_Stiffness!$C$5,Element_Stiffness!P34,IF(6=Element_Stiffness!$E$5,Element_Stiffness!V34,0)),0)),0)+IF(Element_Stiffness!$C$41,IF(Element_Stiffness!$C$40=7,IF(6=Element_Stiffness!$C$40,Element_Stiffness!P63,IF(6=Element_Stiffness!$E$40,Element_Stiffness!V63,0)),IF(Element_Stiffness!$E$40=7,IF(6=Element_Stiffness!$C$40,Element_Stiffness!P69,IF(6=Element_Stiffness!$E$40,Element_Stiffness!V69,0)),0)),0)+IF(Element_Stiffness!$C$76,IF(Element_Stiffness!$C$75=7,IF(6=Element_Stiffness!$C$75,Element_Stiffness!P98,IF(6=Element_Stiffness!$E$75,Element_Stiffness!V98,0)),IF(Element_Stiffness!$E$75=7,IF(6=Element_Stiffness!$C$75,Element_Stiffness!P104,IF(6=Element_Stiffness!$E$75,Element_Stiffness!V104,0)),0)),0)+IF(Element_Stiffness!$C$111,IF(Element_Stiffness!$C$110=7,IF(6=Element_Stiffness!$C$110,Element_Stiffness!P133,IF(6=Element_Stiffness!$E$110,Element_Stiffness!V133,0)),IF(Element_Stiffness!$E$110=7,IF(6=Element_Stiffness!$C$110,Element_Stiffness!P139,IF(6=Element_Stiffness!$E$110,Element_Stiffness!V139,0)),0)),0)+IF(Element_Stiffness!$C$146,IF(Element_Stiffness!$C$145=7,IF(6=Element_Stiffness!$C$145,Element_Stiffness!P168,IF(6=Element_Stiffness!$E$145,Element_Stiffness!V168,0)),IF(Element_Stiffness!$E$145=7,IF(6=Element_Stiffness!$C$145,Element_Stiffness!P174,IF(6=Element_Stiffness!$E$145,Element_Stiffness!V174,0)),0)),0)+IF(Element_Stiffness!$C$181,IF(Element_Stiffness!$C$180=7,IF(6=Element_Stiffness!$C$180,Element_Stiffness!P203,IF(6=Element_Stiffness!$E$180,Element_Stiffness!V203,0)),IF(Element_Stiffness!$E$180=7,IF(6=Element_Stiffness!$C$180,Element_Stiffness!P209,IF(6=Element_Stiffness!$E$180,Element_Stiffness!V209,0)),0)),0)+IF(Element_Stiffness!$C$216,IF(Element_Stiffness!$C$215=7,IF(6=Element_Stiffness!$C$215,Element_Stiffness!P238,IF(6=Element_Stiffness!$E$215,Element_Stiffness!V238,0)),IF(Element_Stiffness!$E$215=7,IF(6=Element_Stiffness!$C$215,Element_Stiffness!P244,IF(6=Element_Stiffness!$E$215,Element_Stiffness!V244,0)),0)),0)</f>
        <v/>
      </c>
      <c r="AN49" s="21">
        <f>IF(Element_Stiffness!$C$6,IF(Element_Stiffness!$C$5=7,IF(6=Element_Stiffness!$C$5,Element_Stiffness!Q28,IF(6=Element_Stiffness!$E$5,Element_Stiffness!W28,0)),IF(Element_Stiffness!$E$5=7,IF(6=Element_Stiffness!$C$5,Element_Stiffness!Q34,IF(6=Element_Stiffness!$E$5,Element_Stiffness!W34,0)),0)),0)+IF(Element_Stiffness!$C$41,IF(Element_Stiffness!$C$40=7,IF(6=Element_Stiffness!$C$40,Element_Stiffness!Q63,IF(6=Element_Stiffness!$E$40,Element_Stiffness!W63,0)),IF(Element_Stiffness!$E$40=7,IF(6=Element_Stiffness!$C$40,Element_Stiffness!Q69,IF(6=Element_Stiffness!$E$40,Element_Stiffness!W69,0)),0)),0)+IF(Element_Stiffness!$C$76,IF(Element_Stiffness!$C$75=7,IF(6=Element_Stiffness!$C$75,Element_Stiffness!Q98,IF(6=Element_Stiffness!$E$75,Element_Stiffness!W98,0)),IF(Element_Stiffness!$E$75=7,IF(6=Element_Stiffness!$C$75,Element_Stiffness!Q104,IF(6=Element_Stiffness!$E$75,Element_Stiffness!W104,0)),0)),0)+IF(Element_Stiffness!$C$111,IF(Element_Stiffness!$C$110=7,IF(6=Element_Stiffness!$C$110,Element_Stiffness!Q133,IF(6=Element_Stiffness!$E$110,Element_Stiffness!W133,0)),IF(Element_Stiffness!$E$110=7,IF(6=Element_Stiffness!$C$110,Element_Stiffness!Q139,IF(6=Element_Stiffness!$E$110,Element_Stiffness!W139,0)),0)),0)+IF(Element_Stiffness!$C$146,IF(Element_Stiffness!$C$145=7,IF(6=Element_Stiffness!$C$145,Element_Stiffness!Q168,IF(6=Element_Stiffness!$E$145,Element_Stiffness!W168,0)),IF(Element_Stiffness!$E$145=7,IF(6=Element_Stiffness!$C$145,Element_Stiffness!Q174,IF(6=Element_Stiffness!$E$145,Element_Stiffness!W174,0)),0)),0)+IF(Element_Stiffness!$C$181,IF(Element_Stiffness!$C$180=7,IF(6=Element_Stiffness!$C$180,Element_Stiffness!Q203,IF(6=Element_Stiffness!$E$180,Element_Stiffness!W203,0)),IF(Element_Stiffness!$E$180=7,IF(6=Element_Stiffness!$C$180,Element_Stiffness!Q209,IF(6=Element_Stiffness!$E$180,Element_Stiffness!W209,0)),0)),0)+IF(Element_Stiffness!$C$216,IF(Element_Stiffness!$C$215=7,IF(6=Element_Stiffness!$C$215,Element_Stiffness!Q238,IF(6=Element_Stiffness!$E$215,Element_Stiffness!W238,0)),IF(Element_Stiffness!$E$215=7,IF(6=Element_Stiffness!$C$215,Element_Stiffness!Q244,IF(6=Element_Stiffness!$E$215,Element_Stiffness!W244,0)),0)),0)</f>
        <v/>
      </c>
      <c r="AO49" s="21">
        <f>IF(Element_Stiffness!$C$6,IF(Element_Stiffness!$C$5=7,IF(6=Element_Stiffness!$C$5,Element_Stiffness!R28,IF(6=Element_Stiffness!$E$5,Element_Stiffness!X28,0)),IF(Element_Stiffness!$E$5=7,IF(6=Element_Stiffness!$C$5,Element_Stiffness!R34,IF(6=Element_Stiffness!$E$5,Element_Stiffness!X34,0)),0)),0)+IF(Element_Stiffness!$C$41,IF(Element_Stiffness!$C$40=7,IF(6=Element_Stiffness!$C$40,Element_Stiffness!R63,IF(6=Element_Stiffness!$E$40,Element_Stiffness!X63,0)),IF(Element_Stiffness!$E$40=7,IF(6=Element_Stiffness!$C$40,Element_Stiffness!R69,IF(6=Element_Stiffness!$E$40,Element_Stiffness!X69,0)),0)),0)+IF(Element_Stiffness!$C$76,IF(Element_Stiffness!$C$75=7,IF(6=Element_Stiffness!$C$75,Element_Stiffness!R98,IF(6=Element_Stiffness!$E$75,Element_Stiffness!X98,0)),IF(Element_Stiffness!$E$75=7,IF(6=Element_Stiffness!$C$75,Element_Stiffness!R104,IF(6=Element_Stiffness!$E$75,Element_Stiffness!X104,0)),0)),0)+IF(Element_Stiffness!$C$111,IF(Element_Stiffness!$C$110=7,IF(6=Element_Stiffness!$C$110,Element_Stiffness!R133,IF(6=Element_Stiffness!$E$110,Element_Stiffness!X133,0)),IF(Element_Stiffness!$E$110=7,IF(6=Element_Stiffness!$C$110,Element_Stiffness!R139,IF(6=Element_Stiffness!$E$110,Element_Stiffness!X139,0)),0)),0)+IF(Element_Stiffness!$C$146,IF(Element_Stiffness!$C$145=7,IF(6=Element_Stiffness!$C$145,Element_Stiffness!R168,IF(6=Element_Stiffness!$E$145,Element_Stiffness!X168,0)),IF(Element_Stiffness!$E$145=7,IF(6=Element_Stiffness!$C$145,Element_Stiffness!R174,IF(6=Element_Stiffness!$E$145,Element_Stiffness!X174,0)),0)),0)+IF(Element_Stiffness!$C$181,IF(Element_Stiffness!$C$180=7,IF(6=Element_Stiffness!$C$180,Element_Stiffness!R203,IF(6=Element_Stiffness!$E$180,Element_Stiffness!X203,0)),IF(Element_Stiffness!$E$180=7,IF(6=Element_Stiffness!$C$180,Element_Stiffness!R209,IF(6=Element_Stiffness!$E$180,Element_Stiffness!X209,0)),0)),0)+IF(Element_Stiffness!$C$216,IF(Element_Stiffness!$C$215=7,IF(6=Element_Stiffness!$C$215,Element_Stiffness!R238,IF(6=Element_Stiffness!$E$215,Element_Stiffness!X238,0)),IF(Element_Stiffness!$E$215=7,IF(6=Element_Stiffness!$C$215,Element_Stiffness!R244,IF(6=Element_Stiffness!$E$215,Element_Stiffness!X244,0)),0)),0)</f>
        <v/>
      </c>
      <c r="AP49" s="21">
        <f>IF(Element_Stiffness!$C$6,IF(Element_Stiffness!$C$5=7,IF(6=Element_Stiffness!$C$5,Element_Stiffness!S28,IF(6=Element_Stiffness!$E$5,Element_Stiffness!Y28,0)),IF(Element_Stiffness!$E$5=7,IF(6=Element_Stiffness!$C$5,Element_Stiffness!S34,IF(6=Element_Stiffness!$E$5,Element_Stiffness!Y34,0)),0)),0)+IF(Element_Stiffness!$C$41,IF(Element_Stiffness!$C$40=7,IF(6=Element_Stiffness!$C$40,Element_Stiffness!S63,IF(6=Element_Stiffness!$E$40,Element_Stiffness!Y63,0)),IF(Element_Stiffness!$E$40=7,IF(6=Element_Stiffness!$C$40,Element_Stiffness!S69,IF(6=Element_Stiffness!$E$40,Element_Stiffness!Y69,0)),0)),0)+IF(Element_Stiffness!$C$76,IF(Element_Stiffness!$C$75=7,IF(6=Element_Stiffness!$C$75,Element_Stiffness!S98,IF(6=Element_Stiffness!$E$75,Element_Stiffness!Y98,0)),IF(Element_Stiffness!$E$75=7,IF(6=Element_Stiffness!$C$75,Element_Stiffness!S104,IF(6=Element_Stiffness!$E$75,Element_Stiffness!Y104,0)),0)),0)+IF(Element_Stiffness!$C$111,IF(Element_Stiffness!$C$110=7,IF(6=Element_Stiffness!$C$110,Element_Stiffness!S133,IF(6=Element_Stiffness!$E$110,Element_Stiffness!Y133,0)),IF(Element_Stiffness!$E$110=7,IF(6=Element_Stiffness!$C$110,Element_Stiffness!S139,IF(6=Element_Stiffness!$E$110,Element_Stiffness!Y139,0)),0)),0)+IF(Element_Stiffness!$C$146,IF(Element_Stiffness!$C$145=7,IF(6=Element_Stiffness!$C$145,Element_Stiffness!S168,IF(6=Element_Stiffness!$E$145,Element_Stiffness!Y168,0)),IF(Element_Stiffness!$E$145=7,IF(6=Element_Stiffness!$C$145,Element_Stiffness!S174,IF(6=Element_Stiffness!$E$145,Element_Stiffness!Y174,0)),0)),0)+IF(Element_Stiffness!$C$181,IF(Element_Stiffness!$C$180=7,IF(6=Element_Stiffness!$C$180,Element_Stiffness!S203,IF(6=Element_Stiffness!$E$180,Element_Stiffness!Y203,0)),IF(Element_Stiffness!$E$180=7,IF(6=Element_Stiffness!$C$180,Element_Stiffness!S209,IF(6=Element_Stiffness!$E$180,Element_Stiffness!Y209,0)),0)),0)+IF(Element_Stiffness!$C$216,IF(Element_Stiffness!$C$215=7,IF(6=Element_Stiffness!$C$215,Element_Stiffness!S238,IF(6=Element_Stiffness!$E$215,Element_Stiffness!Y238,0)),IF(Element_Stiffness!$E$215=7,IF(6=Element_Stiffness!$C$215,Element_Stiffness!S244,IF(6=Element_Stiffness!$E$215,Element_Stiffness!Y244,0)),0)),0)</f>
        <v/>
      </c>
      <c r="AQ49" s="21">
        <f>IF(Element_Stiffness!$C$6,IF(Element_Stiffness!$C$5=7,IF(6=Element_Stiffness!$C$5,Element_Stiffness!T28,IF(6=Element_Stiffness!$E$5,Element_Stiffness!Z28,0)),IF(Element_Stiffness!$E$5=7,IF(6=Element_Stiffness!$C$5,Element_Stiffness!T34,IF(6=Element_Stiffness!$E$5,Element_Stiffness!Z34,0)),0)),0)+IF(Element_Stiffness!$C$41,IF(Element_Stiffness!$C$40=7,IF(6=Element_Stiffness!$C$40,Element_Stiffness!T63,IF(6=Element_Stiffness!$E$40,Element_Stiffness!Z63,0)),IF(Element_Stiffness!$E$40=7,IF(6=Element_Stiffness!$C$40,Element_Stiffness!T69,IF(6=Element_Stiffness!$E$40,Element_Stiffness!Z69,0)),0)),0)+IF(Element_Stiffness!$C$76,IF(Element_Stiffness!$C$75=7,IF(6=Element_Stiffness!$C$75,Element_Stiffness!T98,IF(6=Element_Stiffness!$E$75,Element_Stiffness!Z98,0)),IF(Element_Stiffness!$E$75=7,IF(6=Element_Stiffness!$C$75,Element_Stiffness!T104,IF(6=Element_Stiffness!$E$75,Element_Stiffness!Z104,0)),0)),0)+IF(Element_Stiffness!$C$111,IF(Element_Stiffness!$C$110=7,IF(6=Element_Stiffness!$C$110,Element_Stiffness!T133,IF(6=Element_Stiffness!$E$110,Element_Stiffness!Z133,0)),IF(Element_Stiffness!$E$110=7,IF(6=Element_Stiffness!$C$110,Element_Stiffness!T139,IF(6=Element_Stiffness!$E$110,Element_Stiffness!Z139,0)),0)),0)+IF(Element_Stiffness!$C$146,IF(Element_Stiffness!$C$145=7,IF(6=Element_Stiffness!$C$145,Element_Stiffness!T168,IF(6=Element_Stiffness!$E$145,Element_Stiffness!Z168,0)),IF(Element_Stiffness!$E$145=7,IF(6=Element_Stiffness!$C$145,Element_Stiffness!T174,IF(6=Element_Stiffness!$E$145,Element_Stiffness!Z174,0)),0)),0)+IF(Element_Stiffness!$C$181,IF(Element_Stiffness!$C$180=7,IF(6=Element_Stiffness!$C$180,Element_Stiffness!T203,IF(6=Element_Stiffness!$E$180,Element_Stiffness!Z203,0)),IF(Element_Stiffness!$E$180=7,IF(6=Element_Stiffness!$C$180,Element_Stiffness!T209,IF(6=Element_Stiffness!$E$180,Element_Stiffness!Z209,0)),0)),0)+IF(Element_Stiffness!$C$216,IF(Element_Stiffness!$C$215=7,IF(6=Element_Stiffness!$C$215,Element_Stiffness!T238,IF(6=Element_Stiffness!$E$215,Element_Stiffness!Z238,0)),IF(Element_Stiffness!$E$215=7,IF(6=Element_Stiffness!$C$215,Element_Stiffness!T244,IF(6=Element_Stiffness!$E$215,Element_Stiffness!Z244,0)),0)),0)</f>
        <v/>
      </c>
      <c r="AR49" s="21">
        <f>IF(Element_Stiffness!$C$6,IF(Element_Stiffness!$C$5=7,IF(6=Element_Stiffness!$C$5,Element_Stiffness!U28,IF(6=Element_Stiffness!$E$5,Element_Stiffness!AA28,0)),IF(Element_Stiffness!$E$5=7,IF(6=Element_Stiffness!$C$5,Element_Stiffness!U34,IF(6=Element_Stiffness!$E$5,Element_Stiffness!AA34,0)),0)),0)+IF(Element_Stiffness!$C$41,IF(Element_Stiffness!$C$40=7,IF(6=Element_Stiffness!$C$40,Element_Stiffness!U63,IF(6=Element_Stiffness!$E$40,Element_Stiffness!AA63,0)),IF(Element_Stiffness!$E$40=7,IF(6=Element_Stiffness!$C$40,Element_Stiffness!U69,IF(6=Element_Stiffness!$E$40,Element_Stiffness!AA69,0)),0)),0)+IF(Element_Stiffness!$C$76,IF(Element_Stiffness!$C$75=7,IF(6=Element_Stiffness!$C$75,Element_Stiffness!U98,IF(6=Element_Stiffness!$E$75,Element_Stiffness!AA98,0)),IF(Element_Stiffness!$E$75=7,IF(6=Element_Stiffness!$C$75,Element_Stiffness!U104,IF(6=Element_Stiffness!$E$75,Element_Stiffness!AA104,0)),0)),0)+IF(Element_Stiffness!$C$111,IF(Element_Stiffness!$C$110=7,IF(6=Element_Stiffness!$C$110,Element_Stiffness!U133,IF(6=Element_Stiffness!$E$110,Element_Stiffness!AA133,0)),IF(Element_Stiffness!$E$110=7,IF(6=Element_Stiffness!$C$110,Element_Stiffness!U139,IF(6=Element_Stiffness!$E$110,Element_Stiffness!AA139,0)),0)),0)+IF(Element_Stiffness!$C$146,IF(Element_Stiffness!$C$145=7,IF(6=Element_Stiffness!$C$145,Element_Stiffness!U168,IF(6=Element_Stiffness!$E$145,Element_Stiffness!AA168,0)),IF(Element_Stiffness!$E$145=7,IF(6=Element_Stiffness!$C$145,Element_Stiffness!U174,IF(6=Element_Stiffness!$E$145,Element_Stiffness!AA174,0)),0)),0)+IF(Element_Stiffness!$C$181,IF(Element_Stiffness!$C$180=7,IF(6=Element_Stiffness!$C$180,Element_Stiffness!U203,IF(6=Element_Stiffness!$E$180,Element_Stiffness!AA203,0)),IF(Element_Stiffness!$E$180=7,IF(6=Element_Stiffness!$C$180,Element_Stiffness!U209,IF(6=Element_Stiffness!$E$180,Element_Stiffness!AA209,0)),0)),0)+IF(Element_Stiffness!$C$216,IF(Element_Stiffness!$C$215=7,IF(6=Element_Stiffness!$C$215,Element_Stiffness!U238,IF(6=Element_Stiffness!$E$215,Element_Stiffness!AA238,0)),IF(Element_Stiffness!$E$215=7,IF(6=Element_Stiffness!$C$215,Element_Stiffness!U244,IF(6=Element_Stiffness!$E$215,Element_Stiffness!AA244,0)),0)),0)</f>
        <v/>
      </c>
      <c r="AS49" s="21">
        <f>IF(Element_Stiffness!$C$6,IF(Element_Stiffness!$C$5=7,IF(7=Element_Stiffness!$C$5,Element_Stiffness!P28,IF(7=Element_Stiffness!$E$5,Element_Stiffness!V28,0)),IF(Element_Stiffness!$E$5=7,IF(7=Element_Stiffness!$C$5,Element_Stiffness!P34,IF(7=Element_Stiffness!$E$5,Element_Stiffness!V34,0)),0)),0)+IF(Element_Stiffness!$C$41,IF(Element_Stiffness!$C$40=7,IF(7=Element_Stiffness!$C$40,Element_Stiffness!P63,IF(7=Element_Stiffness!$E$40,Element_Stiffness!V63,0)),IF(Element_Stiffness!$E$40=7,IF(7=Element_Stiffness!$C$40,Element_Stiffness!P69,IF(7=Element_Stiffness!$E$40,Element_Stiffness!V69,0)),0)),0)+IF(Element_Stiffness!$C$76,IF(Element_Stiffness!$C$75=7,IF(7=Element_Stiffness!$C$75,Element_Stiffness!P98,IF(7=Element_Stiffness!$E$75,Element_Stiffness!V98,0)),IF(Element_Stiffness!$E$75=7,IF(7=Element_Stiffness!$C$75,Element_Stiffness!P104,IF(7=Element_Stiffness!$E$75,Element_Stiffness!V104,0)),0)),0)+IF(Element_Stiffness!$C$111,IF(Element_Stiffness!$C$110=7,IF(7=Element_Stiffness!$C$110,Element_Stiffness!P133,IF(7=Element_Stiffness!$E$110,Element_Stiffness!V133,0)),IF(Element_Stiffness!$E$110=7,IF(7=Element_Stiffness!$C$110,Element_Stiffness!P139,IF(7=Element_Stiffness!$E$110,Element_Stiffness!V139,0)),0)),0)+IF(Element_Stiffness!$C$146,IF(Element_Stiffness!$C$145=7,IF(7=Element_Stiffness!$C$145,Element_Stiffness!P168,IF(7=Element_Stiffness!$E$145,Element_Stiffness!V168,0)),IF(Element_Stiffness!$E$145=7,IF(7=Element_Stiffness!$C$145,Element_Stiffness!P174,IF(7=Element_Stiffness!$E$145,Element_Stiffness!V174,0)),0)),0)+IF(Element_Stiffness!$C$181,IF(Element_Stiffness!$C$180=7,IF(7=Element_Stiffness!$C$180,Element_Stiffness!P203,IF(7=Element_Stiffness!$E$180,Element_Stiffness!V203,0)),IF(Element_Stiffness!$E$180=7,IF(7=Element_Stiffness!$C$180,Element_Stiffness!P209,IF(7=Element_Stiffness!$E$180,Element_Stiffness!V209,0)),0)),0)+IF(Element_Stiffness!$C$216,IF(Element_Stiffness!$C$215=7,IF(7=Element_Stiffness!$C$215,Element_Stiffness!P238,IF(7=Element_Stiffness!$E$215,Element_Stiffness!V238,0)),IF(Element_Stiffness!$E$215=7,IF(7=Element_Stiffness!$C$215,Element_Stiffness!P244,IF(7=Element_Stiffness!$E$215,Element_Stiffness!V244,0)),0)),0)</f>
        <v/>
      </c>
      <c r="AT49" s="21">
        <f>IF(Element_Stiffness!$C$6,IF(Element_Stiffness!$C$5=7,IF(7=Element_Stiffness!$C$5,Element_Stiffness!Q28,IF(7=Element_Stiffness!$E$5,Element_Stiffness!W28,0)),IF(Element_Stiffness!$E$5=7,IF(7=Element_Stiffness!$C$5,Element_Stiffness!Q34,IF(7=Element_Stiffness!$E$5,Element_Stiffness!W34,0)),0)),0)+IF(Element_Stiffness!$C$41,IF(Element_Stiffness!$C$40=7,IF(7=Element_Stiffness!$C$40,Element_Stiffness!Q63,IF(7=Element_Stiffness!$E$40,Element_Stiffness!W63,0)),IF(Element_Stiffness!$E$40=7,IF(7=Element_Stiffness!$C$40,Element_Stiffness!Q69,IF(7=Element_Stiffness!$E$40,Element_Stiffness!W69,0)),0)),0)+IF(Element_Stiffness!$C$76,IF(Element_Stiffness!$C$75=7,IF(7=Element_Stiffness!$C$75,Element_Stiffness!Q98,IF(7=Element_Stiffness!$E$75,Element_Stiffness!W98,0)),IF(Element_Stiffness!$E$75=7,IF(7=Element_Stiffness!$C$75,Element_Stiffness!Q104,IF(7=Element_Stiffness!$E$75,Element_Stiffness!W104,0)),0)),0)+IF(Element_Stiffness!$C$111,IF(Element_Stiffness!$C$110=7,IF(7=Element_Stiffness!$C$110,Element_Stiffness!Q133,IF(7=Element_Stiffness!$E$110,Element_Stiffness!W133,0)),IF(Element_Stiffness!$E$110=7,IF(7=Element_Stiffness!$C$110,Element_Stiffness!Q139,IF(7=Element_Stiffness!$E$110,Element_Stiffness!W139,0)),0)),0)+IF(Element_Stiffness!$C$146,IF(Element_Stiffness!$C$145=7,IF(7=Element_Stiffness!$C$145,Element_Stiffness!Q168,IF(7=Element_Stiffness!$E$145,Element_Stiffness!W168,0)),IF(Element_Stiffness!$E$145=7,IF(7=Element_Stiffness!$C$145,Element_Stiffness!Q174,IF(7=Element_Stiffness!$E$145,Element_Stiffness!W174,0)),0)),0)+IF(Element_Stiffness!$C$181,IF(Element_Stiffness!$C$180=7,IF(7=Element_Stiffness!$C$180,Element_Stiffness!Q203,IF(7=Element_Stiffness!$E$180,Element_Stiffness!W203,0)),IF(Element_Stiffness!$E$180=7,IF(7=Element_Stiffness!$C$180,Element_Stiffness!Q209,IF(7=Element_Stiffness!$E$180,Element_Stiffness!W209,0)),0)),0)+IF(Element_Stiffness!$C$216,IF(Element_Stiffness!$C$215=7,IF(7=Element_Stiffness!$C$215,Element_Stiffness!Q238,IF(7=Element_Stiffness!$E$215,Element_Stiffness!W238,0)),IF(Element_Stiffness!$E$215=7,IF(7=Element_Stiffness!$C$215,Element_Stiffness!Q244,IF(7=Element_Stiffness!$E$215,Element_Stiffness!W244,0)),0)),0)</f>
        <v/>
      </c>
      <c r="AU49" s="21">
        <f>IF(Element_Stiffness!$C$6,IF(Element_Stiffness!$C$5=7,IF(7=Element_Stiffness!$C$5,Element_Stiffness!R28,IF(7=Element_Stiffness!$E$5,Element_Stiffness!X28,0)),IF(Element_Stiffness!$E$5=7,IF(7=Element_Stiffness!$C$5,Element_Stiffness!R34,IF(7=Element_Stiffness!$E$5,Element_Stiffness!X34,0)),0)),0)+IF(Element_Stiffness!$C$41,IF(Element_Stiffness!$C$40=7,IF(7=Element_Stiffness!$C$40,Element_Stiffness!R63,IF(7=Element_Stiffness!$E$40,Element_Stiffness!X63,0)),IF(Element_Stiffness!$E$40=7,IF(7=Element_Stiffness!$C$40,Element_Stiffness!R69,IF(7=Element_Stiffness!$E$40,Element_Stiffness!X69,0)),0)),0)+IF(Element_Stiffness!$C$76,IF(Element_Stiffness!$C$75=7,IF(7=Element_Stiffness!$C$75,Element_Stiffness!R98,IF(7=Element_Stiffness!$E$75,Element_Stiffness!X98,0)),IF(Element_Stiffness!$E$75=7,IF(7=Element_Stiffness!$C$75,Element_Stiffness!R104,IF(7=Element_Stiffness!$E$75,Element_Stiffness!X104,0)),0)),0)+IF(Element_Stiffness!$C$111,IF(Element_Stiffness!$C$110=7,IF(7=Element_Stiffness!$C$110,Element_Stiffness!R133,IF(7=Element_Stiffness!$E$110,Element_Stiffness!X133,0)),IF(Element_Stiffness!$E$110=7,IF(7=Element_Stiffness!$C$110,Element_Stiffness!R139,IF(7=Element_Stiffness!$E$110,Element_Stiffness!X139,0)),0)),0)+IF(Element_Stiffness!$C$146,IF(Element_Stiffness!$C$145=7,IF(7=Element_Stiffness!$C$145,Element_Stiffness!R168,IF(7=Element_Stiffness!$E$145,Element_Stiffness!X168,0)),IF(Element_Stiffness!$E$145=7,IF(7=Element_Stiffness!$C$145,Element_Stiffness!R174,IF(7=Element_Stiffness!$E$145,Element_Stiffness!X174,0)),0)),0)+IF(Element_Stiffness!$C$181,IF(Element_Stiffness!$C$180=7,IF(7=Element_Stiffness!$C$180,Element_Stiffness!R203,IF(7=Element_Stiffness!$E$180,Element_Stiffness!X203,0)),IF(Element_Stiffness!$E$180=7,IF(7=Element_Stiffness!$C$180,Element_Stiffness!R209,IF(7=Element_Stiffness!$E$180,Element_Stiffness!X209,0)),0)),0)+IF(Element_Stiffness!$C$216,IF(Element_Stiffness!$C$215=7,IF(7=Element_Stiffness!$C$215,Element_Stiffness!R238,IF(7=Element_Stiffness!$E$215,Element_Stiffness!X238,0)),IF(Element_Stiffness!$E$215=7,IF(7=Element_Stiffness!$C$215,Element_Stiffness!R244,IF(7=Element_Stiffness!$E$215,Element_Stiffness!X244,0)),0)),0)+IF(Inputs!E47=TRUE,1E15,IF(ISNUMBER(Inputs!E47),Inputs!E47,0))</f>
        <v/>
      </c>
      <c r="AV49" s="21">
        <f>IF(Element_Stiffness!$C$6,IF(Element_Stiffness!$C$5=7,IF(7=Element_Stiffness!$C$5,Element_Stiffness!S28,IF(7=Element_Stiffness!$E$5,Element_Stiffness!Y28,0)),IF(Element_Stiffness!$E$5=7,IF(7=Element_Stiffness!$C$5,Element_Stiffness!S34,IF(7=Element_Stiffness!$E$5,Element_Stiffness!Y34,0)),0)),0)+IF(Element_Stiffness!$C$41,IF(Element_Stiffness!$C$40=7,IF(7=Element_Stiffness!$C$40,Element_Stiffness!S63,IF(7=Element_Stiffness!$E$40,Element_Stiffness!Y63,0)),IF(Element_Stiffness!$E$40=7,IF(7=Element_Stiffness!$C$40,Element_Stiffness!S69,IF(7=Element_Stiffness!$E$40,Element_Stiffness!Y69,0)),0)),0)+IF(Element_Stiffness!$C$76,IF(Element_Stiffness!$C$75=7,IF(7=Element_Stiffness!$C$75,Element_Stiffness!S98,IF(7=Element_Stiffness!$E$75,Element_Stiffness!Y98,0)),IF(Element_Stiffness!$E$75=7,IF(7=Element_Stiffness!$C$75,Element_Stiffness!S104,IF(7=Element_Stiffness!$E$75,Element_Stiffness!Y104,0)),0)),0)+IF(Element_Stiffness!$C$111,IF(Element_Stiffness!$C$110=7,IF(7=Element_Stiffness!$C$110,Element_Stiffness!S133,IF(7=Element_Stiffness!$E$110,Element_Stiffness!Y133,0)),IF(Element_Stiffness!$E$110=7,IF(7=Element_Stiffness!$C$110,Element_Stiffness!S139,IF(7=Element_Stiffness!$E$110,Element_Stiffness!Y139,0)),0)),0)+IF(Element_Stiffness!$C$146,IF(Element_Stiffness!$C$145=7,IF(7=Element_Stiffness!$C$145,Element_Stiffness!S168,IF(7=Element_Stiffness!$E$145,Element_Stiffness!Y168,0)),IF(Element_Stiffness!$E$145=7,IF(7=Element_Stiffness!$C$145,Element_Stiffness!S174,IF(7=Element_Stiffness!$E$145,Element_Stiffness!Y174,0)),0)),0)+IF(Element_Stiffness!$C$181,IF(Element_Stiffness!$C$180=7,IF(7=Element_Stiffness!$C$180,Element_Stiffness!S203,IF(7=Element_Stiffness!$E$180,Element_Stiffness!Y203,0)),IF(Element_Stiffness!$E$180=7,IF(7=Element_Stiffness!$C$180,Element_Stiffness!S209,IF(7=Element_Stiffness!$E$180,Element_Stiffness!Y209,0)),0)),0)+IF(Element_Stiffness!$C$216,IF(Element_Stiffness!$C$215=7,IF(7=Element_Stiffness!$C$215,Element_Stiffness!S238,IF(7=Element_Stiffness!$E$215,Element_Stiffness!Y238,0)),IF(Element_Stiffness!$E$215=7,IF(7=Element_Stiffness!$C$215,Element_Stiffness!S244,IF(7=Element_Stiffness!$E$215,Element_Stiffness!Y244,0)),0)),0)</f>
        <v/>
      </c>
      <c r="AW49" s="21">
        <f>IF(Element_Stiffness!$C$6,IF(Element_Stiffness!$C$5=7,IF(7=Element_Stiffness!$C$5,Element_Stiffness!T28,IF(7=Element_Stiffness!$E$5,Element_Stiffness!Z28,0)),IF(Element_Stiffness!$E$5=7,IF(7=Element_Stiffness!$C$5,Element_Stiffness!T34,IF(7=Element_Stiffness!$E$5,Element_Stiffness!Z34,0)),0)),0)+IF(Element_Stiffness!$C$41,IF(Element_Stiffness!$C$40=7,IF(7=Element_Stiffness!$C$40,Element_Stiffness!T63,IF(7=Element_Stiffness!$E$40,Element_Stiffness!Z63,0)),IF(Element_Stiffness!$E$40=7,IF(7=Element_Stiffness!$C$40,Element_Stiffness!T69,IF(7=Element_Stiffness!$E$40,Element_Stiffness!Z69,0)),0)),0)+IF(Element_Stiffness!$C$76,IF(Element_Stiffness!$C$75=7,IF(7=Element_Stiffness!$C$75,Element_Stiffness!T98,IF(7=Element_Stiffness!$E$75,Element_Stiffness!Z98,0)),IF(Element_Stiffness!$E$75=7,IF(7=Element_Stiffness!$C$75,Element_Stiffness!T104,IF(7=Element_Stiffness!$E$75,Element_Stiffness!Z104,0)),0)),0)+IF(Element_Stiffness!$C$111,IF(Element_Stiffness!$C$110=7,IF(7=Element_Stiffness!$C$110,Element_Stiffness!T133,IF(7=Element_Stiffness!$E$110,Element_Stiffness!Z133,0)),IF(Element_Stiffness!$E$110=7,IF(7=Element_Stiffness!$C$110,Element_Stiffness!T139,IF(7=Element_Stiffness!$E$110,Element_Stiffness!Z139,0)),0)),0)+IF(Element_Stiffness!$C$146,IF(Element_Stiffness!$C$145=7,IF(7=Element_Stiffness!$C$145,Element_Stiffness!T168,IF(7=Element_Stiffness!$E$145,Element_Stiffness!Z168,0)),IF(Element_Stiffness!$E$145=7,IF(7=Element_Stiffness!$C$145,Element_Stiffness!T174,IF(7=Element_Stiffness!$E$145,Element_Stiffness!Z174,0)),0)),0)+IF(Element_Stiffness!$C$181,IF(Element_Stiffness!$C$180=7,IF(7=Element_Stiffness!$C$180,Element_Stiffness!T203,IF(7=Element_Stiffness!$E$180,Element_Stiffness!Z203,0)),IF(Element_Stiffness!$E$180=7,IF(7=Element_Stiffness!$C$180,Element_Stiffness!T209,IF(7=Element_Stiffness!$E$180,Element_Stiffness!Z209,0)),0)),0)+IF(Element_Stiffness!$C$216,IF(Element_Stiffness!$C$215=7,IF(7=Element_Stiffness!$C$215,Element_Stiffness!T238,IF(7=Element_Stiffness!$E$215,Element_Stiffness!Z238,0)),IF(Element_Stiffness!$E$215=7,IF(7=Element_Stiffness!$C$215,Element_Stiffness!T244,IF(7=Element_Stiffness!$E$215,Element_Stiffness!Z244,0)),0)),0)</f>
        <v/>
      </c>
      <c r="AX49" s="21">
        <f>IF(Element_Stiffness!$C$6,IF(Element_Stiffness!$C$5=7,IF(7=Element_Stiffness!$C$5,Element_Stiffness!U28,IF(7=Element_Stiffness!$E$5,Element_Stiffness!AA28,0)),IF(Element_Stiffness!$E$5=7,IF(7=Element_Stiffness!$C$5,Element_Stiffness!U34,IF(7=Element_Stiffness!$E$5,Element_Stiffness!AA34,0)),0)),0)+IF(Element_Stiffness!$C$41,IF(Element_Stiffness!$C$40=7,IF(7=Element_Stiffness!$C$40,Element_Stiffness!U63,IF(7=Element_Stiffness!$E$40,Element_Stiffness!AA63,0)),IF(Element_Stiffness!$E$40=7,IF(7=Element_Stiffness!$C$40,Element_Stiffness!U69,IF(7=Element_Stiffness!$E$40,Element_Stiffness!AA69,0)),0)),0)+IF(Element_Stiffness!$C$76,IF(Element_Stiffness!$C$75=7,IF(7=Element_Stiffness!$C$75,Element_Stiffness!U98,IF(7=Element_Stiffness!$E$75,Element_Stiffness!AA98,0)),IF(Element_Stiffness!$E$75=7,IF(7=Element_Stiffness!$C$75,Element_Stiffness!U104,IF(7=Element_Stiffness!$E$75,Element_Stiffness!AA104,0)),0)),0)+IF(Element_Stiffness!$C$111,IF(Element_Stiffness!$C$110=7,IF(7=Element_Stiffness!$C$110,Element_Stiffness!U133,IF(7=Element_Stiffness!$E$110,Element_Stiffness!AA133,0)),IF(Element_Stiffness!$E$110=7,IF(7=Element_Stiffness!$C$110,Element_Stiffness!U139,IF(7=Element_Stiffness!$E$110,Element_Stiffness!AA139,0)),0)),0)+IF(Element_Stiffness!$C$146,IF(Element_Stiffness!$C$145=7,IF(7=Element_Stiffness!$C$145,Element_Stiffness!U168,IF(7=Element_Stiffness!$E$145,Element_Stiffness!AA168,0)),IF(Element_Stiffness!$E$145=7,IF(7=Element_Stiffness!$C$145,Element_Stiffness!U174,IF(7=Element_Stiffness!$E$145,Element_Stiffness!AA174,0)),0)),0)+IF(Element_Stiffness!$C$181,IF(Element_Stiffness!$C$180=7,IF(7=Element_Stiffness!$C$180,Element_Stiffness!U203,IF(7=Element_Stiffness!$E$180,Element_Stiffness!AA203,0)),IF(Element_Stiffness!$E$180=7,IF(7=Element_Stiffness!$C$180,Element_Stiffness!U209,IF(7=Element_Stiffness!$E$180,Element_Stiffness!AA209,0)),0)),0)+IF(Element_Stiffness!$C$216,IF(Element_Stiffness!$C$215=7,IF(7=Element_Stiffness!$C$215,Element_Stiffness!U238,IF(7=Element_Stiffness!$E$215,Element_Stiffness!AA238,0)),IF(Element_Stiffness!$E$215=7,IF(7=Element_Stiffness!$C$215,Element_Stiffness!U244,IF(7=Element_Stiffness!$E$215,Element_Stiffness!AA244,0)),0)),0)</f>
        <v/>
      </c>
      <c r="AY49" s="21" t="n">
        <v>0</v>
      </c>
      <c r="AZ49" s="21">
        <f>IF(Element_Stiffness!$C$6,IF(Element_Stiffness!$C$5=7,Element_Stiffness!C28,IF(Element_Stiffness!$E$5=7,Element_Stiffness!C34,0)),0)+IF(Element_Stiffness!$C$41,IF(Element_Stiffness!$C$40=7,Element_Stiffness!C63,IF(Element_Stiffness!$E$40=7,Element_Stiffness!C69,0)),0)+IF(Element_Stiffness!$C$76,IF(Element_Stiffness!$C$75=7,Element_Stiffness!C98,IF(Element_Stiffness!$E$75=7,Element_Stiffness!C104,0)),0)+IF(Element_Stiffness!$C$111,IF(Element_Stiffness!$C$110=7,Element_Stiffness!C133,IF(Element_Stiffness!$E$110=7,Element_Stiffness!C139,0)),0)+IF(Element_Stiffness!$C$146,IF(Element_Stiffness!$C$145=7,Element_Stiffness!C168,IF(Element_Stiffness!$E$145=7,Element_Stiffness!C174,0)),0)+IF(Element_Stiffness!$C$181,IF(Element_Stiffness!$C$180=7,Element_Stiffness!C203,IF(Element_Stiffness!$E$180=7,Element_Stiffness!C209,0)),0)+IF(Element_Stiffness!$C$216,IF(Element_Stiffness!$C$215=7,Element_Stiffness!C238,IF(Element_Stiffness!$E$215=7,Element_Stiffness!C244,0)),0)</f>
        <v/>
      </c>
      <c r="BB49" s="28">
        <f>INDEX(MMULT(MINVERSE(C5:AX52), AY5:AY52), 45, 1)</f>
        <v/>
      </c>
      <c r="BC49" s="28">
        <f>INDEX(MMULT(MINVERSE(C5:AX52), AZ5:AZ52), 45, 1)</f>
        <v/>
      </c>
    </row>
    <row r="50">
      <c r="B50" s="27" t="inlineStr">
        <is>
          <t>N7_rx</t>
        </is>
      </c>
      <c r="C50" s="21">
        <f>IF(Element_Stiffness!$C$6,IF(Element_Stiffness!$C$5=7,IF(0=Element_Stiffness!$C$5,Element_Stiffness!P29,IF(0=Element_Stiffness!$E$5,Element_Stiffness!V29,0)),IF(Element_Stiffness!$E$5=7,IF(0=Element_Stiffness!$C$5,Element_Stiffness!P35,IF(0=Element_Stiffness!$E$5,Element_Stiffness!V35,0)),0)),0)+IF(Element_Stiffness!$C$41,IF(Element_Stiffness!$C$40=7,IF(0=Element_Stiffness!$C$40,Element_Stiffness!P64,IF(0=Element_Stiffness!$E$40,Element_Stiffness!V64,0)),IF(Element_Stiffness!$E$40=7,IF(0=Element_Stiffness!$C$40,Element_Stiffness!P70,IF(0=Element_Stiffness!$E$40,Element_Stiffness!V70,0)),0)),0)+IF(Element_Stiffness!$C$76,IF(Element_Stiffness!$C$75=7,IF(0=Element_Stiffness!$C$75,Element_Stiffness!P99,IF(0=Element_Stiffness!$E$75,Element_Stiffness!V99,0)),IF(Element_Stiffness!$E$75=7,IF(0=Element_Stiffness!$C$75,Element_Stiffness!P105,IF(0=Element_Stiffness!$E$75,Element_Stiffness!V105,0)),0)),0)+IF(Element_Stiffness!$C$111,IF(Element_Stiffness!$C$110=7,IF(0=Element_Stiffness!$C$110,Element_Stiffness!P134,IF(0=Element_Stiffness!$E$110,Element_Stiffness!V134,0)),IF(Element_Stiffness!$E$110=7,IF(0=Element_Stiffness!$C$110,Element_Stiffness!P140,IF(0=Element_Stiffness!$E$110,Element_Stiffness!V140,0)),0)),0)+IF(Element_Stiffness!$C$146,IF(Element_Stiffness!$C$145=7,IF(0=Element_Stiffness!$C$145,Element_Stiffness!P169,IF(0=Element_Stiffness!$E$145,Element_Stiffness!V169,0)),IF(Element_Stiffness!$E$145=7,IF(0=Element_Stiffness!$C$145,Element_Stiffness!P175,IF(0=Element_Stiffness!$E$145,Element_Stiffness!V175,0)),0)),0)+IF(Element_Stiffness!$C$181,IF(Element_Stiffness!$C$180=7,IF(0=Element_Stiffness!$C$180,Element_Stiffness!P204,IF(0=Element_Stiffness!$E$180,Element_Stiffness!V204,0)),IF(Element_Stiffness!$E$180=7,IF(0=Element_Stiffness!$C$180,Element_Stiffness!P210,IF(0=Element_Stiffness!$E$180,Element_Stiffness!V210,0)),0)),0)+IF(Element_Stiffness!$C$216,IF(Element_Stiffness!$C$215=7,IF(0=Element_Stiffness!$C$215,Element_Stiffness!P239,IF(0=Element_Stiffness!$E$215,Element_Stiffness!V239,0)),IF(Element_Stiffness!$E$215=7,IF(0=Element_Stiffness!$C$215,Element_Stiffness!P245,IF(0=Element_Stiffness!$E$215,Element_Stiffness!V245,0)),0)),0)</f>
        <v/>
      </c>
      <c r="D50" s="21">
        <f>IF(Element_Stiffness!$C$6,IF(Element_Stiffness!$C$5=7,IF(0=Element_Stiffness!$C$5,Element_Stiffness!Q29,IF(0=Element_Stiffness!$E$5,Element_Stiffness!W29,0)),IF(Element_Stiffness!$E$5=7,IF(0=Element_Stiffness!$C$5,Element_Stiffness!Q35,IF(0=Element_Stiffness!$E$5,Element_Stiffness!W35,0)),0)),0)+IF(Element_Stiffness!$C$41,IF(Element_Stiffness!$C$40=7,IF(0=Element_Stiffness!$C$40,Element_Stiffness!Q64,IF(0=Element_Stiffness!$E$40,Element_Stiffness!W64,0)),IF(Element_Stiffness!$E$40=7,IF(0=Element_Stiffness!$C$40,Element_Stiffness!Q70,IF(0=Element_Stiffness!$E$40,Element_Stiffness!W70,0)),0)),0)+IF(Element_Stiffness!$C$76,IF(Element_Stiffness!$C$75=7,IF(0=Element_Stiffness!$C$75,Element_Stiffness!Q99,IF(0=Element_Stiffness!$E$75,Element_Stiffness!W99,0)),IF(Element_Stiffness!$E$75=7,IF(0=Element_Stiffness!$C$75,Element_Stiffness!Q105,IF(0=Element_Stiffness!$E$75,Element_Stiffness!W105,0)),0)),0)+IF(Element_Stiffness!$C$111,IF(Element_Stiffness!$C$110=7,IF(0=Element_Stiffness!$C$110,Element_Stiffness!Q134,IF(0=Element_Stiffness!$E$110,Element_Stiffness!W134,0)),IF(Element_Stiffness!$E$110=7,IF(0=Element_Stiffness!$C$110,Element_Stiffness!Q140,IF(0=Element_Stiffness!$E$110,Element_Stiffness!W140,0)),0)),0)+IF(Element_Stiffness!$C$146,IF(Element_Stiffness!$C$145=7,IF(0=Element_Stiffness!$C$145,Element_Stiffness!Q169,IF(0=Element_Stiffness!$E$145,Element_Stiffness!W169,0)),IF(Element_Stiffness!$E$145=7,IF(0=Element_Stiffness!$C$145,Element_Stiffness!Q175,IF(0=Element_Stiffness!$E$145,Element_Stiffness!W175,0)),0)),0)+IF(Element_Stiffness!$C$181,IF(Element_Stiffness!$C$180=7,IF(0=Element_Stiffness!$C$180,Element_Stiffness!Q204,IF(0=Element_Stiffness!$E$180,Element_Stiffness!W204,0)),IF(Element_Stiffness!$E$180=7,IF(0=Element_Stiffness!$C$180,Element_Stiffness!Q210,IF(0=Element_Stiffness!$E$180,Element_Stiffness!W210,0)),0)),0)+IF(Element_Stiffness!$C$216,IF(Element_Stiffness!$C$215=7,IF(0=Element_Stiffness!$C$215,Element_Stiffness!Q239,IF(0=Element_Stiffness!$E$215,Element_Stiffness!W239,0)),IF(Element_Stiffness!$E$215=7,IF(0=Element_Stiffness!$C$215,Element_Stiffness!Q245,IF(0=Element_Stiffness!$E$215,Element_Stiffness!W245,0)),0)),0)</f>
        <v/>
      </c>
      <c r="E50" s="21">
        <f>IF(Element_Stiffness!$C$6,IF(Element_Stiffness!$C$5=7,IF(0=Element_Stiffness!$C$5,Element_Stiffness!R29,IF(0=Element_Stiffness!$E$5,Element_Stiffness!X29,0)),IF(Element_Stiffness!$E$5=7,IF(0=Element_Stiffness!$C$5,Element_Stiffness!R35,IF(0=Element_Stiffness!$E$5,Element_Stiffness!X35,0)),0)),0)+IF(Element_Stiffness!$C$41,IF(Element_Stiffness!$C$40=7,IF(0=Element_Stiffness!$C$40,Element_Stiffness!R64,IF(0=Element_Stiffness!$E$40,Element_Stiffness!X64,0)),IF(Element_Stiffness!$E$40=7,IF(0=Element_Stiffness!$C$40,Element_Stiffness!R70,IF(0=Element_Stiffness!$E$40,Element_Stiffness!X70,0)),0)),0)+IF(Element_Stiffness!$C$76,IF(Element_Stiffness!$C$75=7,IF(0=Element_Stiffness!$C$75,Element_Stiffness!R99,IF(0=Element_Stiffness!$E$75,Element_Stiffness!X99,0)),IF(Element_Stiffness!$E$75=7,IF(0=Element_Stiffness!$C$75,Element_Stiffness!R105,IF(0=Element_Stiffness!$E$75,Element_Stiffness!X105,0)),0)),0)+IF(Element_Stiffness!$C$111,IF(Element_Stiffness!$C$110=7,IF(0=Element_Stiffness!$C$110,Element_Stiffness!R134,IF(0=Element_Stiffness!$E$110,Element_Stiffness!X134,0)),IF(Element_Stiffness!$E$110=7,IF(0=Element_Stiffness!$C$110,Element_Stiffness!R140,IF(0=Element_Stiffness!$E$110,Element_Stiffness!X140,0)),0)),0)+IF(Element_Stiffness!$C$146,IF(Element_Stiffness!$C$145=7,IF(0=Element_Stiffness!$C$145,Element_Stiffness!R169,IF(0=Element_Stiffness!$E$145,Element_Stiffness!X169,0)),IF(Element_Stiffness!$E$145=7,IF(0=Element_Stiffness!$C$145,Element_Stiffness!R175,IF(0=Element_Stiffness!$E$145,Element_Stiffness!X175,0)),0)),0)+IF(Element_Stiffness!$C$181,IF(Element_Stiffness!$C$180=7,IF(0=Element_Stiffness!$C$180,Element_Stiffness!R204,IF(0=Element_Stiffness!$E$180,Element_Stiffness!X204,0)),IF(Element_Stiffness!$E$180=7,IF(0=Element_Stiffness!$C$180,Element_Stiffness!R210,IF(0=Element_Stiffness!$E$180,Element_Stiffness!X210,0)),0)),0)+IF(Element_Stiffness!$C$216,IF(Element_Stiffness!$C$215=7,IF(0=Element_Stiffness!$C$215,Element_Stiffness!R239,IF(0=Element_Stiffness!$E$215,Element_Stiffness!X239,0)),IF(Element_Stiffness!$E$215=7,IF(0=Element_Stiffness!$C$215,Element_Stiffness!R245,IF(0=Element_Stiffness!$E$215,Element_Stiffness!X245,0)),0)),0)</f>
        <v/>
      </c>
      <c r="F50" s="21">
        <f>IF(Element_Stiffness!$C$6,IF(Element_Stiffness!$C$5=7,IF(0=Element_Stiffness!$C$5,Element_Stiffness!S29,IF(0=Element_Stiffness!$E$5,Element_Stiffness!Y29,0)),IF(Element_Stiffness!$E$5=7,IF(0=Element_Stiffness!$C$5,Element_Stiffness!S35,IF(0=Element_Stiffness!$E$5,Element_Stiffness!Y35,0)),0)),0)+IF(Element_Stiffness!$C$41,IF(Element_Stiffness!$C$40=7,IF(0=Element_Stiffness!$C$40,Element_Stiffness!S64,IF(0=Element_Stiffness!$E$40,Element_Stiffness!Y64,0)),IF(Element_Stiffness!$E$40=7,IF(0=Element_Stiffness!$C$40,Element_Stiffness!S70,IF(0=Element_Stiffness!$E$40,Element_Stiffness!Y70,0)),0)),0)+IF(Element_Stiffness!$C$76,IF(Element_Stiffness!$C$75=7,IF(0=Element_Stiffness!$C$75,Element_Stiffness!S99,IF(0=Element_Stiffness!$E$75,Element_Stiffness!Y99,0)),IF(Element_Stiffness!$E$75=7,IF(0=Element_Stiffness!$C$75,Element_Stiffness!S105,IF(0=Element_Stiffness!$E$75,Element_Stiffness!Y105,0)),0)),0)+IF(Element_Stiffness!$C$111,IF(Element_Stiffness!$C$110=7,IF(0=Element_Stiffness!$C$110,Element_Stiffness!S134,IF(0=Element_Stiffness!$E$110,Element_Stiffness!Y134,0)),IF(Element_Stiffness!$E$110=7,IF(0=Element_Stiffness!$C$110,Element_Stiffness!S140,IF(0=Element_Stiffness!$E$110,Element_Stiffness!Y140,0)),0)),0)+IF(Element_Stiffness!$C$146,IF(Element_Stiffness!$C$145=7,IF(0=Element_Stiffness!$C$145,Element_Stiffness!S169,IF(0=Element_Stiffness!$E$145,Element_Stiffness!Y169,0)),IF(Element_Stiffness!$E$145=7,IF(0=Element_Stiffness!$C$145,Element_Stiffness!S175,IF(0=Element_Stiffness!$E$145,Element_Stiffness!Y175,0)),0)),0)+IF(Element_Stiffness!$C$181,IF(Element_Stiffness!$C$180=7,IF(0=Element_Stiffness!$C$180,Element_Stiffness!S204,IF(0=Element_Stiffness!$E$180,Element_Stiffness!Y204,0)),IF(Element_Stiffness!$E$180=7,IF(0=Element_Stiffness!$C$180,Element_Stiffness!S210,IF(0=Element_Stiffness!$E$180,Element_Stiffness!Y210,0)),0)),0)+IF(Element_Stiffness!$C$216,IF(Element_Stiffness!$C$215=7,IF(0=Element_Stiffness!$C$215,Element_Stiffness!S239,IF(0=Element_Stiffness!$E$215,Element_Stiffness!Y239,0)),IF(Element_Stiffness!$E$215=7,IF(0=Element_Stiffness!$C$215,Element_Stiffness!S245,IF(0=Element_Stiffness!$E$215,Element_Stiffness!Y245,0)),0)),0)</f>
        <v/>
      </c>
      <c r="G50" s="21">
        <f>IF(Element_Stiffness!$C$6,IF(Element_Stiffness!$C$5=7,IF(0=Element_Stiffness!$C$5,Element_Stiffness!T29,IF(0=Element_Stiffness!$E$5,Element_Stiffness!Z29,0)),IF(Element_Stiffness!$E$5=7,IF(0=Element_Stiffness!$C$5,Element_Stiffness!T35,IF(0=Element_Stiffness!$E$5,Element_Stiffness!Z35,0)),0)),0)+IF(Element_Stiffness!$C$41,IF(Element_Stiffness!$C$40=7,IF(0=Element_Stiffness!$C$40,Element_Stiffness!T64,IF(0=Element_Stiffness!$E$40,Element_Stiffness!Z64,0)),IF(Element_Stiffness!$E$40=7,IF(0=Element_Stiffness!$C$40,Element_Stiffness!T70,IF(0=Element_Stiffness!$E$40,Element_Stiffness!Z70,0)),0)),0)+IF(Element_Stiffness!$C$76,IF(Element_Stiffness!$C$75=7,IF(0=Element_Stiffness!$C$75,Element_Stiffness!T99,IF(0=Element_Stiffness!$E$75,Element_Stiffness!Z99,0)),IF(Element_Stiffness!$E$75=7,IF(0=Element_Stiffness!$C$75,Element_Stiffness!T105,IF(0=Element_Stiffness!$E$75,Element_Stiffness!Z105,0)),0)),0)+IF(Element_Stiffness!$C$111,IF(Element_Stiffness!$C$110=7,IF(0=Element_Stiffness!$C$110,Element_Stiffness!T134,IF(0=Element_Stiffness!$E$110,Element_Stiffness!Z134,0)),IF(Element_Stiffness!$E$110=7,IF(0=Element_Stiffness!$C$110,Element_Stiffness!T140,IF(0=Element_Stiffness!$E$110,Element_Stiffness!Z140,0)),0)),0)+IF(Element_Stiffness!$C$146,IF(Element_Stiffness!$C$145=7,IF(0=Element_Stiffness!$C$145,Element_Stiffness!T169,IF(0=Element_Stiffness!$E$145,Element_Stiffness!Z169,0)),IF(Element_Stiffness!$E$145=7,IF(0=Element_Stiffness!$C$145,Element_Stiffness!T175,IF(0=Element_Stiffness!$E$145,Element_Stiffness!Z175,0)),0)),0)+IF(Element_Stiffness!$C$181,IF(Element_Stiffness!$C$180=7,IF(0=Element_Stiffness!$C$180,Element_Stiffness!T204,IF(0=Element_Stiffness!$E$180,Element_Stiffness!Z204,0)),IF(Element_Stiffness!$E$180=7,IF(0=Element_Stiffness!$C$180,Element_Stiffness!T210,IF(0=Element_Stiffness!$E$180,Element_Stiffness!Z210,0)),0)),0)+IF(Element_Stiffness!$C$216,IF(Element_Stiffness!$C$215=7,IF(0=Element_Stiffness!$C$215,Element_Stiffness!T239,IF(0=Element_Stiffness!$E$215,Element_Stiffness!Z239,0)),IF(Element_Stiffness!$E$215=7,IF(0=Element_Stiffness!$C$215,Element_Stiffness!T245,IF(0=Element_Stiffness!$E$215,Element_Stiffness!Z245,0)),0)),0)</f>
        <v/>
      </c>
      <c r="H50" s="21">
        <f>IF(Element_Stiffness!$C$6,IF(Element_Stiffness!$C$5=7,IF(0=Element_Stiffness!$C$5,Element_Stiffness!U29,IF(0=Element_Stiffness!$E$5,Element_Stiffness!AA29,0)),IF(Element_Stiffness!$E$5=7,IF(0=Element_Stiffness!$C$5,Element_Stiffness!U35,IF(0=Element_Stiffness!$E$5,Element_Stiffness!AA35,0)),0)),0)+IF(Element_Stiffness!$C$41,IF(Element_Stiffness!$C$40=7,IF(0=Element_Stiffness!$C$40,Element_Stiffness!U64,IF(0=Element_Stiffness!$E$40,Element_Stiffness!AA64,0)),IF(Element_Stiffness!$E$40=7,IF(0=Element_Stiffness!$C$40,Element_Stiffness!U70,IF(0=Element_Stiffness!$E$40,Element_Stiffness!AA70,0)),0)),0)+IF(Element_Stiffness!$C$76,IF(Element_Stiffness!$C$75=7,IF(0=Element_Stiffness!$C$75,Element_Stiffness!U99,IF(0=Element_Stiffness!$E$75,Element_Stiffness!AA99,0)),IF(Element_Stiffness!$E$75=7,IF(0=Element_Stiffness!$C$75,Element_Stiffness!U105,IF(0=Element_Stiffness!$E$75,Element_Stiffness!AA105,0)),0)),0)+IF(Element_Stiffness!$C$111,IF(Element_Stiffness!$C$110=7,IF(0=Element_Stiffness!$C$110,Element_Stiffness!U134,IF(0=Element_Stiffness!$E$110,Element_Stiffness!AA134,0)),IF(Element_Stiffness!$E$110=7,IF(0=Element_Stiffness!$C$110,Element_Stiffness!U140,IF(0=Element_Stiffness!$E$110,Element_Stiffness!AA140,0)),0)),0)+IF(Element_Stiffness!$C$146,IF(Element_Stiffness!$C$145=7,IF(0=Element_Stiffness!$C$145,Element_Stiffness!U169,IF(0=Element_Stiffness!$E$145,Element_Stiffness!AA169,0)),IF(Element_Stiffness!$E$145=7,IF(0=Element_Stiffness!$C$145,Element_Stiffness!U175,IF(0=Element_Stiffness!$E$145,Element_Stiffness!AA175,0)),0)),0)+IF(Element_Stiffness!$C$181,IF(Element_Stiffness!$C$180=7,IF(0=Element_Stiffness!$C$180,Element_Stiffness!U204,IF(0=Element_Stiffness!$E$180,Element_Stiffness!AA204,0)),IF(Element_Stiffness!$E$180=7,IF(0=Element_Stiffness!$C$180,Element_Stiffness!U210,IF(0=Element_Stiffness!$E$180,Element_Stiffness!AA210,0)),0)),0)+IF(Element_Stiffness!$C$216,IF(Element_Stiffness!$C$215=7,IF(0=Element_Stiffness!$C$215,Element_Stiffness!U239,IF(0=Element_Stiffness!$E$215,Element_Stiffness!AA239,0)),IF(Element_Stiffness!$E$215=7,IF(0=Element_Stiffness!$C$215,Element_Stiffness!U245,IF(0=Element_Stiffness!$E$215,Element_Stiffness!AA245,0)),0)),0)</f>
        <v/>
      </c>
      <c r="I50" s="21">
        <f>IF(Element_Stiffness!$C$6,IF(Element_Stiffness!$C$5=7,IF(1=Element_Stiffness!$C$5,Element_Stiffness!P29,IF(1=Element_Stiffness!$E$5,Element_Stiffness!V29,0)),IF(Element_Stiffness!$E$5=7,IF(1=Element_Stiffness!$C$5,Element_Stiffness!P35,IF(1=Element_Stiffness!$E$5,Element_Stiffness!V35,0)),0)),0)+IF(Element_Stiffness!$C$41,IF(Element_Stiffness!$C$40=7,IF(1=Element_Stiffness!$C$40,Element_Stiffness!P64,IF(1=Element_Stiffness!$E$40,Element_Stiffness!V64,0)),IF(Element_Stiffness!$E$40=7,IF(1=Element_Stiffness!$C$40,Element_Stiffness!P70,IF(1=Element_Stiffness!$E$40,Element_Stiffness!V70,0)),0)),0)+IF(Element_Stiffness!$C$76,IF(Element_Stiffness!$C$75=7,IF(1=Element_Stiffness!$C$75,Element_Stiffness!P99,IF(1=Element_Stiffness!$E$75,Element_Stiffness!V99,0)),IF(Element_Stiffness!$E$75=7,IF(1=Element_Stiffness!$C$75,Element_Stiffness!P105,IF(1=Element_Stiffness!$E$75,Element_Stiffness!V105,0)),0)),0)+IF(Element_Stiffness!$C$111,IF(Element_Stiffness!$C$110=7,IF(1=Element_Stiffness!$C$110,Element_Stiffness!P134,IF(1=Element_Stiffness!$E$110,Element_Stiffness!V134,0)),IF(Element_Stiffness!$E$110=7,IF(1=Element_Stiffness!$C$110,Element_Stiffness!P140,IF(1=Element_Stiffness!$E$110,Element_Stiffness!V140,0)),0)),0)+IF(Element_Stiffness!$C$146,IF(Element_Stiffness!$C$145=7,IF(1=Element_Stiffness!$C$145,Element_Stiffness!P169,IF(1=Element_Stiffness!$E$145,Element_Stiffness!V169,0)),IF(Element_Stiffness!$E$145=7,IF(1=Element_Stiffness!$C$145,Element_Stiffness!P175,IF(1=Element_Stiffness!$E$145,Element_Stiffness!V175,0)),0)),0)+IF(Element_Stiffness!$C$181,IF(Element_Stiffness!$C$180=7,IF(1=Element_Stiffness!$C$180,Element_Stiffness!P204,IF(1=Element_Stiffness!$E$180,Element_Stiffness!V204,0)),IF(Element_Stiffness!$E$180=7,IF(1=Element_Stiffness!$C$180,Element_Stiffness!P210,IF(1=Element_Stiffness!$E$180,Element_Stiffness!V210,0)),0)),0)+IF(Element_Stiffness!$C$216,IF(Element_Stiffness!$C$215=7,IF(1=Element_Stiffness!$C$215,Element_Stiffness!P239,IF(1=Element_Stiffness!$E$215,Element_Stiffness!V239,0)),IF(Element_Stiffness!$E$215=7,IF(1=Element_Stiffness!$C$215,Element_Stiffness!P245,IF(1=Element_Stiffness!$E$215,Element_Stiffness!V245,0)),0)),0)</f>
        <v/>
      </c>
      <c r="J50" s="21">
        <f>IF(Element_Stiffness!$C$6,IF(Element_Stiffness!$C$5=7,IF(1=Element_Stiffness!$C$5,Element_Stiffness!Q29,IF(1=Element_Stiffness!$E$5,Element_Stiffness!W29,0)),IF(Element_Stiffness!$E$5=7,IF(1=Element_Stiffness!$C$5,Element_Stiffness!Q35,IF(1=Element_Stiffness!$E$5,Element_Stiffness!W35,0)),0)),0)+IF(Element_Stiffness!$C$41,IF(Element_Stiffness!$C$40=7,IF(1=Element_Stiffness!$C$40,Element_Stiffness!Q64,IF(1=Element_Stiffness!$E$40,Element_Stiffness!W64,0)),IF(Element_Stiffness!$E$40=7,IF(1=Element_Stiffness!$C$40,Element_Stiffness!Q70,IF(1=Element_Stiffness!$E$40,Element_Stiffness!W70,0)),0)),0)+IF(Element_Stiffness!$C$76,IF(Element_Stiffness!$C$75=7,IF(1=Element_Stiffness!$C$75,Element_Stiffness!Q99,IF(1=Element_Stiffness!$E$75,Element_Stiffness!W99,0)),IF(Element_Stiffness!$E$75=7,IF(1=Element_Stiffness!$C$75,Element_Stiffness!Q105,IF(1=Element_Stiffness!$E$75,Element_Stiffness!W105,0)),0)),0)+IF(Element_Stiffness!$C$111,IF(Element_Stiffness!$C$110=7,IF(1=Element_Stiffness!$C$110,Element_Stiffness!Q134,IF(1=Element_Stiffness!$E$110,Element_Stiffness!W134,0)),IF(Element_Stiffness!$E$110=7,IF(1=Element_Stiffness!$C$110,Element_Stiffness!Q140,IF(1=Element_Stiffness!$E$110,Element_Stiffness!W140,0)),0)),0)+IF(Element_Stiffness!$C$146,IF(Element_Stiffness!$C$145=7,IF(1=Element_Stiffness!$C$145,Element_Stiffness!Q169,IF(1=Element_Stiffness!$E$145,Element_Stiffness!W169,0)),IF(Element_Stiffness!$E$145=7,IF(1=Element_Stiffness!$C$145,Element_Stiffness!Q175,IF(1=Element_Stiffness!$E$145,Element_Stiffness!W175,0)),0)),0)+IF(Element_Stiffness!$C$181,IF(Element_Stiffness!$C$180=7,IF(1=Element_Stiffness!$C$180,Element_Stiffness!Q204,IF(1=Element_Stiffness!$E$180,Element_Stiffness!W204,0)),IF(Element_Stiffness!$E$180=7,IF(1=Element_Stiffness!$C$180,Element_Stiffness!Q210,IF(1=Element_Stiffness!$E$180,Element_Stiffness!W210,0)),0)),0)+IF(Element_Stiffness!$C$216,IF(Element_Stiffness!$C$215=7,IF(1=Element_Stiffness!$C$215,Element_Stiffness!Q239,IF(1=Element_Stiffness!$E$215,Element_Stiffness!W239,0)),IF(Element_Stiffness!$E$215=7,IF(1=Element_Stiffness!$C$215,Element_Stiffness!Q245,IF(1=Element_Stiffness!$E$215,Element_Stiffness!W245,0)),0)),0)</f>
        <v/>
      </c>
      <c r="K50" s="21">
        <f>IF(Element_Stiffness!$C$6,IF(Element_Stiffness!$C$5=7,IF(1=Element_Stiffness!$C$5,Element_Stiffness!R29,IF(1=Element_Stiffness!$E$5,Element_Stiffness!X29,0)),IF(Element_Stiffness!$E$5=7,IF(1=Element_Stiffness!$C$5,Element_Stiffness!R35,IF(1=Element_Stiffness!$E$5,Element_Stiffness!X35,0)),0)),0)+IF(Element_Stiffness!$C$41,IF(Element_Stiffness!$C$40=7,IF(1=Element_Stiffness!$C$40,Element_Stiffness!R64,IF(1=Element_Stiffness!$E$40,Element_Stiffness!X64,0)),IF(Element_Stiffness!$E$40=7,IF(1=Element_Stiffness!$C$40,Element_Stiffness!R70,IF(1=Element_Stiffness!$E$40,Element_Stiffness!X70,0)),0)),0)+IF(Element_Stiffness!$C$76,IF(Element_Stiffness!$C$75=7,IF(1=Element_Stiffness!$C$75,Element_Stiffness!R99,IF(1=Element_Stiffness!$E$75,Element_Stiffness!X99,0)),IF(Element_Stiffness!$E$75=7,IF(1=Element_Stiffness!$C$75,Element_Stiffness!R105,IF(1=Element_Stiffness!$E$75,Element_Stiffness!X105,0)),0)),0)+IF(Element_Stiffness!$C$111,IF(Element_Stiffness!$C$110=7,IF(1=Element_Stiffness!$C$110,Element_Stiffness!R134,IF(1=Element_Stiffness!$E$110,Element_Stiffness!X134,0)),IF(Element_Stiffness!$E$110=7,IF(1=Element_Stiffness!$C$110,Element_Stiffness!R140,IF(1=Element_Stiffness!$E$110,Element_Stiffness!X140,0)),0)),0)+IF(Element_Stiffness!$C$146,IF(Element_Stiffness!$C$145=7,IF(1=Element_Stiffness!$C$145,Element_Stiffness!R169,IF(1=Element_Stiffness!$E$145,Element_Stiffness!X169,0)),IF(Element_Stiffness!$E$145=7,IF(1=Element_Stiffness!$C$145,Element_Stiffness!R175,IF(1=Element_Stiffness!$E$145,Element_Stiffness!X175,0)),0)),0)+IF(Element_Stiffness!$C$181,IF(Element_Stiffness!$C$180=7,IF(1=Element_Stiffness!$C$180,Element_Stiffness!R204,IF(1=Element_Stiffness!$E$180,Element_Stiffness!X204,0)),IF(Element_Stiffness!$E$180=7,IF(1=Element_Stiffness!$C$180,Element_Stiffness!R210,IF(1=Element_Stiffness!$E$180,Element_Stiffness!X210,0)),0)),0)+IF(Element_Stiffness!$C$216,IF(Element_Stiffness!$C$215=7,IF(1=Element_Stiffness!$C$215,Element_Stiffness!R239,IF(1=Element_Stiffness!$E$215,Element_Stiffness!X239,0)),IF(Element_Stiffness!$E$215=7,IF(1=Element_Stiffness!$C$215,Element_Stiffness!R245,IF(1=Element_Stiffness!$E$215,Element_Stiffness!X245,0)),0)),0)</f>
        <v/>
      </c>
      <c r="L50" s="21">
        <f>IF(Element_Stiffness!$C$6,IF(Element_Stiffness!$C$5=7,IF(1=Element_Stiffness!$C$5,Element_Stiffness!S29,IF(1=Element_Stiffness!$E$5,Element_Stiffness!Y29,0)),IF(Element_Stiffness!$E$5=7,IF(1=Element_Stiffness!$C$5,Element_Stiffness!S35,IF(1=Element_Stiffness!$E$5,Element_Stiffness!Y35,0)),0)),0)+IF(Element_Stiffness!$C$41,IF(Element_Stiffness!$C$40=7,IF(1=Element_Stiffness!$C$40,Element_Stiffness!S64,IF(1=Element_Stiffness!$E$40,Element_Stiffness!Y64,0)),IF(Element_Stiffness!$E$40=7,IF(1=Element_Stiffness!$C$40,Element_Stiffness!S70,IF(1=Element_Stiffness!$E$40,Element_Stiffness!Y70,0)),0)),0)+IF(Element_Stiffness!$C$76,IF(Element_Stiffness!$C$75=7,IF(1=Element_Stiffness!$C$75,Element_Stiffness!S99,IF(1=Element_Stiffness!$E$75,Element_Stiffness!Y99,0)),IF(Element_Stiffness!$E$75=7,IF(1=Element_Stiffness!$C$75,Element_Stiffness!S105,IF(1=Element_Stiffness!$E$75,Element_Stiffness!Y105,0)),0)),0)+IF(Element_Stiffness!$C$111,IF(Element_Stiffness!$C$110=7,IF(1=Element_Stiffness!$C$110,Element_Stiffness!S134,IF(1=Element_Stiffness!$E$110,Element_Stiffness!Y134,0)),IF(Element_Stiffness!$E$110=7,IF(1=Element_Stiffness!$C$110,Element_Stiffness!S140,IF(1=Element_Stiffness!$E$110,Element_Stiffness!Y140,0)),0)),0)+IF(Element_Stiffness!$C$146,IF(Element_Stiffness!$C$145=7,IF(1=Element_Stiffness!$C$145,Element_Stiffness!S169,IF(1=Element_Stiffness!$E$145,Element_Stiffness!Y169,0)),IF(Element_Stiffness!$E$145=7,IF(1=Element_Stiffness!$C$145,Element_Stiffness!S175,IF(1=Element_Stiffness!$E$145,Element_Stiffness!Y175,0)),0)),0)+IF(Element_Stiffness!$C$181,IF(Element_Stiffness!$C$180=7,IF(1=Element_Stiffness!$C$180,Element_Stiffness!S204,IF(1=Element_Stiffness!$E$180,Element_Stiffness!Y204,0)),IF(Element_Stiffness!$E$180=7,IF(1=Element_Stiffness!$C$180,Element_Stiffness!S210,IF(1=Element_Stiffness!$E$180,Element_Stiffness!Y210,0)),0)),0)+IF(Element_Stiffness!$C$216,IF(Element_Stiffness!$C$215=7,IF(1=Element_Stiffness!$C$215,Element_Stiffness!S239,IF(1=Element_Stiffness!$E$215,Element_Stiffness!Y239,0)),IF(Element_Stiffness!$E$215=7,IF(1=Element_Stiffness!$C$215,Element_Stiffness!S245,IF(1=Element_Stiffness!$E$215,Element_Stiffness!Y245,0)),0)),0)</f>
        <v/>
      </c>
      <c r="M50" s="21">
        <f>IF(Element_Stiffness!$C$6,IF(Element_Stiffness!$C$5=7,IF(1=Element_Stiffness!$C$5,Element_Stiffness!T29,IF(1=Element_Stiffness!$E$5,Element_Stiffness!Z29,0)),IF(Element_Stiffness!$E$5=7,IF(1=Element_Stiffness!$C$5,Element_Stiffness!T35,IF(1=Element_Stiffness!$E$5,Element_Stiffness!Z35,0)),0)),0)+IF(Element_Stiffness!$C$41,IF(Element_Stiffness!$C$40=7,IF(1=Element_Stiffness!$C$40,Element_Stiffness!T64,IF(1=Element_Stiffness!$E$40,Element_Stiffness!Z64,0)),IF(Element_Stiffness!$E$40=7,IF(1=Element_Stiffness!$C$40,Element_Stiffness!T70,IF(1=Element_Stiffness!$E$40,Element_Stiffness!Z70,0)),0)),0)+IF(Element_Stiffness!$C$76,IF(Element_Stiffness!$C$75=7,IF(1=Element_Stiffness!$C$75,Element_Stiffness!T99,IF(1=Element_Stiffness!$E$75,Element_Stiffness!Z99,0)),IF(Element_Stiffness!$E$75=7,IF(1=Element_Stiffness!$C$75,Element_Stiffness!T105,IF(1=Element_Stiffness!$E$75,Element_Stiffness!Z105,0)),0)),0)+IF(Element_Stiffness!$C$111,IF(Element_Stiffness!$C$110=7,IF(1=Element_Stiffness!$C$110,Element_Stiffness!T134,IF(1=Element_Stiffness!$E$110,Element_Stiffness!Z134,0)),IF(Element_Stiffness!$E$110=7,IF(1=Element_Stiffness!$C$110,Element_Stiffness!T140,IF(1=Element_Stiffness!$E$110,Element_Stiffness!Z140,0)),0)),0)+IF(Element_Stiffness!$C$146,IF(Element_Stiffness!$C$145=7,IF(1=Element_Stiffness!$C$145,Element_Stiffness!T169,IF(1=Element_Stiffness!$E$145,Element_Stiffness!Z169,0)),IF(Element_Stiffness!$E$145=7,IF(1=Element_Stiffness!$C$145,Element_Stiffness!T175,IF(1=Element_Stiffness!$E$145,Element_Stiffness!Z175,0)),0)),0)+IF(Element_Stiffness!$C$181,IF(Element_Stiffness!$C$180=7,IF(1=Element_Stiffness!$C$180,Element_Stiffness!T204,IF(1=Element_Stiffness!$E$180,Element_Stiffness!Z204,0)),IF(Element_Stiffness!$E$180=7,IF(1=Element_Stiffness!$C$180,Element_Stiffness!T210,IF(1=Element_Stiffness!$E$180,Element_Stiffness!Z210,0)),0)),0)+IF(Element_Stiffness!$C$216,IF(Element_Stiffness!$C$215=7,IF(1=Element_Stiffness!$C$215,Element_Stiffness!T239,IF(1=Element_Stiffness!$E$215,Element_Stiffness!Z239,0)),IF(Element_Stiffness!$E$215=7,IF(1=Element_Stiffness!$C$215,Element_Stiffness!T245,IF(1=Element_Stiffness!$E$215,Element_Stiffness!Z245,0)),0)),0)</f>
        <v/>
      </c>
      <c r="N50" s="21">
        <f>IF(Element_Stiffness!$C$6,IF(Element_Stiffness!$C$5=7,IF(1=Element_Stiffness!$C$5,Element_Stiffness!U29,IF(1=Element_Stiffness!$E$5,Element_Stiffness!AA29,0)),IF(Element_Stiffness!$E$5=7,IF(1=Element_Stiffness!$C$5,Element_Stiffness!U35,IF(1=Element_Stiffness!$E$5,Element_Stiffness!AA35,0)),0)),0)+IF(Element_Stiffness!$C$41,IF(Element_Stiffness!$C$40=7,IF(1=Element_Stiffness!$C$40,Element_Stiffness!U64,IF(1=Element_Stiffness!$E$40,Element_Stiffness!AA64,0)),IF(Element_Stiffness!$E$40=7,IF(1=Element_Stiffness!$C$40,Element_Stiffness!U70,IF(1=Element_Stiffness!$E$40,Element_Stiffness!AA70,0)),0)),0)+IF(Element_Stiffness!$C$76,IF(Element_Stiffness!$C$75=7,IF(1=Element_Stiffness!$C$75,Element_Stiffness!U99,IF(1=Element_Stiffness!$E$75,Element_Stiffness!AA99,0)),IF(Element_Stiffness!$E$75=7,IF(1=Element_Stiffness!$C$75,Element_Stiffness!U105,IF(1=Element_Stiffness!$E$75,Element_Stiffness!AA105,0)),0)),0)+IF(Element_Stiffness!$C$111,IF(Element_Stiffness!$C$110=7,IF(1=Element_Stiffness!$C$110,Element_Stiffness!U134,IF(1=Element_Stiffness!$E$110,Element_Stiffness!AA134,0)),IF(Element_Stiffness!$E$110=7,IF(1=Element_Stiffness!$C$110,Element_Stiffness!U140,IF(1=Element_Stiffness!$E$110,Element_Stiffness!AA140,0)),0)),0)+IF(Element_Stiffness!$C$146,IF(Element_Stiffness!$C$145=7,IF(1=Element_Stiffness!$C$145,Element_Stiffness!U169,IF(1=Element_Stiffness!$E$145,Element_Stiffness!AA169,0)),IF(Element_Stiffness!$E$145=7,IF(1=Element_Stiffness!$C$145,Element_Stiffness!U175,IF(1=Element_Stiffness!$E$145,Element_Stiffness!AA175,0)),0)),0)+IF(Element_Stiffness!$C$181,IF(Element_Stiffness!$C$180=7,IF(1=Element_Stiffness!$C$180,Element_Stiffness!U204,IF(1=Element_Stiffness!$E$180,Element_Stiffness!AA204,0)),IF(Element_Stiffness!$E$180=7,IF(1=Element_Stiffness!$C$180,Element_Stiffness!U210,IF(1=Element_Stiffness!$E$180,Element_Stiffness!AA210,0)),0)),0)+IF(Element_Stiffness!$C$216,IF(Element_Stiffness!$C$215=7,IF(1=Element_Stiffness!$C$215,Element_Stiffness!U239,IF(1=Element_Stiffness!$E$215,Element_Stiffness!AA239,0)),IF(Element_Stiffness!$E$215=7,IF(1=Element_Stiffness!$C$215,Element_Stiffness!U245,IF(1=Element_Stiffness!$E$215,Element_Stiffness!AA245,0)),0)),0)</f>
        <v/>
      </c>
      <c r="O50" s="21">
        <f>IF(Element_Stiffness!$C$6,IF(Element_Stiffness!$C$5=7,IF(2=Element_Stiffness!$C$5,Element_Stiffness!P29,IF(2=Element_Stiffness!$E$5,Element_Stiffness!V29,0)),IF(Element_Stiffness!$E$5=7,IF(2=Element_Stiffness!$C$5,Element_Stiffness!P35,IF(2=Element_Stiffness!$E$5,Element_Stiffness!V35,0)),0)),0)+IF(Element_Stiffness!$C$41,IF(Element_Stiffness!$C$40=7,IF(2=Element_Stiffness!$C$40,Element_Stiffness!P64,IF(2=Element_Stiffness!$E$40,Element_Stiffness!V64,0)),IF(Element_Stiffness!$E$40=7,IF(2=Element_Stiffness!$C$40,Element_Stiffness!P70,IF(2=Element_Stiffness!$E$40,Element_Stiffness!V70,0)),0)),0)+IF(Element_Stiffness!$C$76,IF(Element_Stiffness!$C$75=7,IF(2=Element_Stiffness!$C$75,Element_Stiffness!P99,IF(2=Element_Stiffness!$E$75,Element_Stiffness!V99,0)),IF(Element_Stiffness!$E$75=7,IF(2=Element_Stiffness!$C$75,Element_Stiffness!P105,IF(2=Element_Stiffness!$E$75,Element_Stiffness!V105,0)),0)),0)+IF(Element_Stiffness!$C$111,IF(Element_Stiffness!$C$110=7,IF(2=Element_Stiffness!$C$110,Element_Stiffness!P134,IF(2=Element_Stiffness!$E$110,Element_Stiffness!V134,0)),IF(Element_Stiffness!$E$110=7,IF(2=Element_Stiffness!$C$110,Element_Stiffness!P140,IF(2=Element_Stiffness!$E$110,Element_Stiffness!V140,0)),0)),0)+IF(Element_Stiffness!$C$146,IF(Element_Stiffness!$C$145=7,IF(2=Element_Stiffness!$C$145,Element_Stiffness!P169,IF(2=Element_Stiffness!$E$145,Element_Stiffness!V169,0)),IF(Element_Stiffness!$E$145=7,IF(2=Element_Stiffness!$C$145,Element_Stiffness!P175,IF(2=Element_Stiffness!$E$145,Element_Stiffness!V175,0)),0)),0)+IF(Element_Stiffness!$C$181,IF(Element_Stiffness!$C$180=7,IF(2=Element_Stiffness!$C$180,Element_Stiffness!P204,IF(2=Element_Stiffness!$E$180,Element_Stiffness!V204,0)),IF(Element_Stiffness!$E$180=7,IF(2=Element_Stiffness!$C$180,Element_Stiffness!P210,IF(2=Element_Stiffness!$E$180,Element_Stiffness!V210,0)),0)),0)+IF(Element_Stiffness!$C$216,IF(Element_Stiffness!$C$215=7,IF(2=Element_Stiffness!$C$215,Element_Stiffness!P239,IF(2=Element_Stiffness!$E$215,Element_Stiffness!V239,0)),IF(Element_Stiffness!$E$215=7,IF(2=Element_Stiffness!$C$215,Element_Stiffness!P245,IF(2=Element_Stiffness!$E$215,Element_Stiffness!V245,0)),0)),0)</f>
        <v/>
      </c>
      <c r="P50" s="21">
        <f>IF(Element_Stiffness!$C$6,IF(Element_Stiffness!$C$5=7,IF(2=Element_Stiffness!$C$5,Element_Stiffness!Q29,IF(2=Element_Stiffness!$E$5,Element_Stiffness!W29,0)),IF(Element_Stiffness!$E$5=7,IF(2=Element_Stiffness!$C$5,Element_Stiffness!Q35,IF(2=Element_Stiffness!$E$5,Element_Stiffness!W35,0)),0)),0)+IF(Element_Stiffness!$C$41,IF(Element_Stiffness!$C$40=7,IF(2=Element_Stiffness!$C$40,Element_Stiffness!Q64,IF(2=Element_Stiffness!$E$40,Element_Stiffness!W64,0)),IF(Element_Stiffness!$E$40=7,IF(2=Element_Stiffness!$C$40,Element_Stiffness!Q70,IF(2=Element_Stiffness!$E$40,Element_Stiffness!W70,0)),0)),0)+IF(Element_Stiffness!$C$76,IF(Element_Stiffness!$C$75=7,IF(2=Element_Stiffness!$C$75,Element_Stiffness!Q99,IF(2=Element_Stiffness!$E$75,Element_Stiffness!W99,0)),IF(Element_Stiffness!$E$75=7,IF(2=Element_Stiffness!$C$75,Element_Stiffness!Q105,IF(2=Element_Stiffness!$E$75,Element_Stiffness!W105,0)),0)),0)+IF(Element_Stiffness!$C$111,IF(Element_Stiffness!$C$110=7,IF(2=Element_Stiffness!$C$110,Element_Stiffness!Q134,IF(2=Element_Stiffness!$E$110,Element_Stiffness!W134,0)),IF(Element_Stiffness!$E$110=7,IF(2=Element_Stiffness!$C$110,Element_Stiffness!Q140,IF(2=Element_Stiffness!$E$110,Element_Stiffness!W140,0)),0)),0)+IF(Element_Stiffness!$C$146,IF(Element_Stiffness!$C$145=7,IF(2=Element_Stiffness!$C$145,Element_Stiffness!Q169,IF(2=Element_Stiffness!$E$145,Element_Stiffness!W169,0)),IF(Element_Stiffness!$E$145=7,IF(2=Element_Stiffness!$C$145,Element_Stiffness!Q175,IF(2=Element_Stiffness!$E$145,Element_Stiffness!W175,0)),0)),0)+IF(Element_Stiffness!$C$181,IF(Element_Stiffness!$C$180=7,IF(2=Element_Stiffness!$C$180,Element_Stiffness!Q204,IF(2=Element_Stiffness!$E$180,Element_Stiffness!W204,0)),IF(Element_Stiffness!$E$180=7,IF(2=Element_Stiffness!$C$180,Element_Stiffness!Q210,IF(2=Element_Stiffness!$E$180,Element_Stiffness!W210,0)),0)),0)+IF(Element_Stiffness!$C$216,IF(Element_Stiffness!$C$215=7,IF(2=Element_Stiffness!$C$215,Element_Stiffness!Q239,IF(2=Element_Stiffness!$E$215,Element_Stiffness!W239,0)),IF(Element_Stiffness!$E$215=7,IF(2=Element_Stiffness!$C$215,Element_Stiffness!Q245,IF(2=Element_Stiffness!$E$215,Element_Stiffness!W245,0)),0)),0)</f>
        <v/>
      </c>
      <c r="Q50" s="21">
        <f>IF(Element_Stiffness!$C$6,IF(Element_Stiffness!$C$5=7,IF(2=Element_Stiffness!$C$5,Element_Stiffness!R29,IF(2=Element_Stiffness!$E$5,Element_Stiffness!X29,0)),IF(Element_Stiffness!$E$5=7,IF(2=Element_Stiffness!$C$5,Element_Stiffness!R35,IF(2=Element_Stiffness!$E$5,Element_Stiffness!X35,0)),0)),0)+IF(Element_Stiffness!$C$41,IF(Element_Stiffness!$C$40=7,IF(2=Element_Stiffness!$C$40,Element_Stiffness!R64,IF(2=Element_Stiffness!$E$40,Element_Stiffness!X64,0)),IF(Element_Stiffness!$E$40=7,IF(2=Element_Stiffness!$C$40,Element_Stiffness!R70,IF(2=Element_Stiffness!$E$40,Element_Stiffness!X70,0)),0)),0)+IF(Element_Stiffness!$C$76,IF(Element_Stiffness!$C$75=7,IF(2=Element_Stiffness!$C$75,Element_Stiffness!R99,IF(2=Element_Stiffness!$E$75,Element_Stiffness!X99,0)),IF(Element_Stiffness!$E$75=7,IF(2=Element_Stiffness!$C$75,Element_Stiffness!R105,IF(2=Element_Stiffness!$E$75,Element_Stiffness!X105,0)),0)),0)+IF(Element_Stiffness!$C$111,IF(Element_Stiffness!$C$110=7,IF(2=Element_Stiffness!$C$110,Element_Stiffness!R134,IF(2=Element_Stiffness!$E$110,Element_Stiffness!X134,0)),IF(Element_Stiffness!$E$110=7,IF(2=Element_Stiffness!$C$110,Element_Stiffness!R140,IF(2=Element_Stiffness!$E$110,Element_Stiffness!X140,0)),0)),0)+IF(Element_Stiffness!$C$146,IF(Element_Stiffness!$C$145=7,IF(2=Element_Stiffness!$C$145,Element_Stiffness!R169,IF(2=Element_Stiffness!$E$145,Element_Stiffness!X169,0)),IF(Element_Stiffness!$E$145=7,IF(2=Element_Stiffness!$C$145,Element_Stiffness!R175,IF(2=Element_Stiffness!$E$145,Element_Stiffness!X175,0)),0)),0)+IF(Element_Stiffness!$C$181,IF(Element_Stiffness!$C$180=7,IF(2=Element_Stiffness!$C$180,Element_Stiffness!R204,IF(2=Element_Stiffness!$E$180,Element_Stiffness!X204,0)),IF(Element_Stiffness!$E$180=7,IF(2=Element_Stiffness!$C$180,Element_Stiffness!R210,IF(2=Element_Stiffness!$E$180,Element_Stiffness!X210,0)),0)),0)+IF(Element_Stiffness!$C$216,IF(Element_Stiffness!$C$215=7,IF(2=Element_Stiffness!$C$215,Element_Stiffness!R239,IF(2=Element_Stiffness!$E$215,Element_Stiffness!X239,0)),IF(Element_Stiffness!$E$215=7,IF(2=Element_Stiffness!$C$215,Element_Stiffness!R245,IF(2=Element_Stiffness!$E$215,Element_Stiffness!X245,0)),0)),0)</f>
        <v/>
      </c>
      <c r="R50" s="21">
        <f>IF(Element_Stiffness!$C$6,IF(Element_Stiffness!$C$5=7,IF(2=Element_Stiffness!$C$5,Element_Stiffness!S29,IF(2=Element_Stiffness!$E$5,Element_Stiffness!Y29,0)),IF(Element_Stiffness!$E$5=7,IF(2=Element_Stiffness!$C$5,Element_Stiffness!S35,IF(2=Element_Stiffness!$E$5,Element_Stiffness!Y35,0)),0)),0)+IF(Element_Stiffness!$C$41,IF(Element_Stiffness!$C$40=7,IF(2=Element_Stiffness!$C$40,Element_Stiffness!S64,IF(2=Element_Stiffness!$E$40,Element_Stiffness!Y64,0)),IF(Element_Stiffness!$E$40=7,IF(2=Element_Stiffness!$C$40,Element_Stiffness!S70,IF(2=Element_Stiffness!$E$40,Element_Stiffness!Y70,0)),0)),0)+IF(Element_Stiffness!$C$76,IF(Element_Stiffness!$C$75=7,IF(2=Element_Stiffness!$C$75,Element_Stiffness!S99,IF(2=Element_Stiffness!$E$75,Element_Stiffness!Y99,0)),IF(Element_Stiffness!$E$75=7,IF(2=Element_Stiffness!$C$75,Element_Stiffness!S105,IF(2=Element_Stiffness!$E$75,Element_Stiffness!Y105,0)),0)),0)+IF(Element_Stiffness!$C$111,IF(Element_Stiffness!$C$110=7,IF(2=Element_Stiffness!$C$110,Element_Stiffness!S134,IF(2=Element_Stiffness!$E$110,Element_Stiffness!Y134,0)),IF(Element_Stiffness!$E$110=7,IF(2=Element_Stiffness!$C$110,Element_Stiffness!S140,IF(2=Element_Stiffness!$E$110,Element_Stiffness!Y140,0)),0)),0)+IF(Element_Stiffness!$C$146,IF(Element_Stiffness!$C$145=7,IF(2=Element_Stiffness!$C$145,Element_Stiffness!S169,IF(2=Element_Stiffness!$E$145,Element_Stiffness!Y169,0)),IF(Element_Stiffness!$E$145=7,IF(2=Element_Stiffness!$C$145,Element_Stiffness!S175,IF(2=Element_Stiffness!$E$145,Element_Stiffness!Y175,0)),0)),0)+IF(Element_Stiffness!$C$181,IF(Element_Stiffness!$C$180=7,IF(2=Element_Stiffness!$C$180,Element_Stiffness!S204,IF(2=Element_Stiffness!$E$180,Element_Stiffness!Y204,0)),IF(Element_Stiffness!$E$180=7,IF(2=Element_Stiffness!$C$180,Element_Stiffness!S210,IF(2=Element_Stiffness!$E$180,Element_Stiffness!Y210,0)),0)),0)+IF(Element_Stiffness!$C$216,IF(Element_Stiffness!$C$215=7,IF(2=Element_Stiffness!$C$215,Element_Stiffness!S239,IF(2=Element_Stiffness!$E$215,Element_Stiffness!Y239,0)),IF(Element_Stiffness!$E$215=7,IF(2=Element_Stiffness!$C$215,Element_Stiffness!S245,IF(2=Element_Stiffness!$E$215,Element_Stiffness!Y245,0)),0)),0)</f>
        <v/>
      </c>
      <c r="S50" s="21">
        <f>IF(Element_Stiffness!$C$6,IF(Element_Stiffness!$C$5=7,IF(2=Element_Stiffness!$C$5,Element_Stiffness!T29,IF(2=Element_Stiffness!$E$5,Element_Stiffness!Z29,0)),IF(Element_Stiffness!$E$5=7,IF(2=Element_Stiffness!$C$5,Element_Stiffness!T35,IF(2=Element_Stiffness!$E$5,Element_Stiffness!Z35,0)),0)),0)+IF(Element_Stiffness!$C$41,IF(Element_Stiffness!$C$40=7,IF(2=Element_Stiffness!$C$40,Element_Stiffness!T64,IF(2=Element_Stiffness!$E$40,Element_Stiffness!Z64,0)),IF(Element_Stiffness!$E$40=7,IF(2=Element_Stiffness!$C$40,Element_Stiffness!T70,IF(2=Element_Stiffness!$E$40,Element_Stiffness!Z70,0)),0)),0)+IF(Element_Stiffness!$C$76,IF(Element_Stiffness!$C$75=7,IF(2=Element_Stiffness!$C$75,Element_Stiffness!T99,IF(2=Element_Stiffness!$E$75,Element_Stiffness!Z99,0)),IF(Element_Stiffness!$E$75=7,IF(2=Element_Stiffness!$C$75,Element_Stiffness!T105,IF(2=Element_Stiffness!$E$75,Element_Stiffness!Z105,0)),0)),0)+IF(Element_Stiffness!$C$111,IF(Element_Stiffness!$C$110=7,IF(2=Element_Stiffness!$C$110,Element_Stiffness!T134,IF(2=Element_Stiffness!$E$110,Element_Stiffness!Z134,0)),IF(Element_Stiffness!$E$110=7,IF(2=Element_Stiffness!$C$110,Element_Stiffness!T140,IF(2=Element_Stiffness!$E$110,Element_Stiffness!Z140,0)),0)),0)+IF(Element_Stiffness!$C$146,IF(Element_Stiffness!$C$145=7,IF(2=Element_Stiffness!$C$145,Element_Stiffness!T169,IF(2=Element_Stiffness!$E$145,Element_Stiffness!Z169,0)),IF(Element_Stiffness!$E$145=7,IF(2=Element_Stiffness!$C$145,Element_Stiffness!T175,IF(2=Element_Stiffness!$E$145,Element_Stiffness!Z175,0)),0)),0)+IF(Element_Stiffness!$C$181,IF(Element_Stiffness!$C$180=7,IF(2=Element_Stiffness!$C$180,Element_Stiffness!T204,IF(2=Element_Stiffness!$E$180,Element_Stiffness!Z204,0)),IF(Element_Stiffness!$E$180=7,IF(2=Element_Stiffness!$C$180,Element_Stiffness!T210,IF(2=Element_Stiffness!$E$180,Element_Stiffness!Z210,0)),0)),0)+IF(Element_Stiffness!$C$216,IF(Element_Stiffness!$C$215=7,IF(2=Element_Stiffness!$C$215,Element_Stiffness!T239,IF(2=Element_Stiffness!$E$215,Element_Stiffness!Z239,0)),IF(Element_Stiffness!$E$215=7,IF(2=Element_Stiffness!$C$215,Element_Stiffness!T245,IF(2=Element_Stiffness!$E$215,Element_Stiffness!Z245,0)),0)),0)</f>
        <v/>
      </c>
      <c r="T50" s="21">
        <f>IF(Element_Stiffness!$C$6,IF(Element_Stiffness!$C$5=7,IF(2=Element_Stiffness!$C$5,Element_Stiffness!U29,IF(2=Element_Stiffness!$E$5,Element_Stiffness!AA29,0)),IF(Element_Stiffness!$E$5=7,IF(2=Element_Stiffness!$C$5,Element_Stiffness!U35,IF(2=Element_Stiffness!$E$5,Element_Stiffness!AA35,0)),0)),0)+IF(Element_Stiffness!$C$41,IF(Element_Stiffness!$C$40=7,IF(2=Element_Stiffness!$C$40,Element_Stiffness!U64,IF(2=Element_Stiffness!$E$40,Element_Stiffness!AA64,0)),IF(Element_Stiffness!$E$40=7,IF(2=Element_Stiffness!$C$40,Element_Stiffness!U70,IF(2=Element_Stiffness!$E$40,Element_Stiffness!AA70,0)),0)),0)+IF(Element_Stiffness!$C$76,IF(Element_Stiffness!$C$75=7,IF(2=Element_Stiffness!$C$75,Element_Stiffness!U99,IF(2=Element_Stiffness!$E$75,Element_Stiffness!AA99,0)),IF(Element_Stiffness!$E$75=7,IF(2=Element_Stiffness!$C$75,Element_Stiffness!U105,IF(2=Element_Stiffness!$E$75,Element_Stiffness!AA105,0)),0)),0)+IF(Element_Stiffness!$C$111,IF(Element_Stiffness!$C$110=7,IF(2=Element_Stiffness!$C$110,Element_Stiffness!U134,IF(2=Element_Stiffness!$E$110,Element_Stiffness!AA134,0)),IF(Element_Stiffness!$E$110=7,IF(2=Element_Stiffness!$C$110,Element_Stiffness!U140,IF(2=Element_Stiffness!$E$110,Element_Stiffness!AA140,0)),0)),0)+IF(Element_Stiffness!$C$146,IF(Element_Stiffness!$C$145=7,IF(2=Element_Stiffness!$C$145,Element_Stiffness!U169,IF(2=Element_Stiffness!$E$145,Element_Stiffness!AA169,0)),IF(Element_Stiffness!$E$145=7,IF(2=Element_Stiffness!$C$145,Element_Stiffness!U175,IF(2=Element_Stiffness!$E$145,Element_Stiffness!AA175,0)),0)),0)+IF(Element_Stiffness!$C$181,IF(Element_Stiffness!$C$180=7,IF(2=Element_Stiffness!$C$180,Element_Stiffness!U204,IF(2=Element_Stiffness!$E$180,Element_Stiffness!AA204,0)),IF(Element_Stiffness!$E$180=7,IF(2=Element_Stiffness!$C$180,Element_Stiffness!U210,IF(2=Element_Stiffness!$E$180,Element_Stiffness!AA210,0)),0)),0)+IF(Element_Stiffness!$C$216,IF(Element_Stiffness!$C$215=7,IF(2=Element_Stiffness!$C$215,Element_Stiffness!U239,IF(2=Element_Stiffness!$E$215,Element_Stiffness!AA239,0)),IF(Element_Stiffness!$E$215=7,IF(2=Element_Stiffness!$C$215,Element_Stiffness!U245,IF(2=Element_Stiffness!$E$215,Element_Stiffness!AA245,0)),0)),0)</f>
        <v/>
      </c>
      <c r="U50" s="21">
        <f>IF(Element_Stiffness!$C$6,IF(Element_Stiffness!$C$5=7,IF(3=Element_Stiffness!$C$5,Element_Stiffness!P29,IF(3=Element_Stiffness!$E$5,Element_Stiffness!V29,0)),IF(Element_Stiffness!$E$5=7,IF(3=Element_Stiffness!$C$5,Element_Stiffness!P35,IF(3=Element_Stiffness!$E$5,Element_Stiffness!V35,0)),0)),0)+IF(Element_Stiffness!$C$41,IF(Element_Stiffness!$C$40=7,IF(3=Element_Stiffness!$C$40,Element_Stiffness!P64,IF(3=Element_Stiffness!$E$40,Element_Stiffness!V64,0)),IF(Element_Stiffness!$E$40=7,IF(3=Element_Stiffness!$C$40,Element_Stiffness!P70,IF(3=Element_Stiffness!$E$40,Element_Stiffness!V70,0)),0)),0)+IF(Element_Stiffness!$C$76,IF(Element_Stiffness!$C$75=7,IF(3=Element_Stiffness!$C$75,Element_Stiffness!P99,IF(3=Element_Stiffness!$E$75,Element_Stiffness!V99,0)),IF(Element_Stiffness!$E$75=7,IF(3=Element_Stiffness!$C$75,Element_Stiffness!P105,IF(3=Element_Stiffness!$E$75,Element_Stiffness!V105,0)),0)),0)+IF(Element_Stiffness!$C$111,IF(Element_Stiffness!$C$110=7,IF(3=Element_Stiffness!$C$110,Element_Stiffness!P134,IF(3=Element_Stiffness!$E$110,Element_Stiffness!V134,0)),IF(Element_Stiffness!$E$110=7,IF(3=Element_Stiffness!$C$110,Element_Stiffness!P140,IF(3=Element_Stiffness!$E$110,Element_Stiffness!V140,0)),0)),0)+IF(Element_Stiffness!$C$146,IF(Element_Stiffness!$C$145=7,IF(3=Element_Stiffness!$C$145,Element_Stiffness!P169,IF(3=Element_Stiffness!$E$145,Element_Stiffness!V169,0)),IF(Element_Stiffness!$E$145=7,IF(3=Element_Stiffness!$C$145,Element_Stiffness!P175,IF(3=Element_Stiffness!$E$145,Element_Stiffness!V175,0)),0)),0)+IF(Element_Stiffness!$C$181,IF(Element_Stiffness!$C$180=7,IF(3=Element_Stiffness!$C$180,Element_Stiffness!P204,IF(3=Element_Stiffness!$E$180,Element_Stiffness!V204,0)),IF(Element_Stiffness!$E$180=7,IF(3=Element_Stiffness!$C$180,Element_Stiffness!P210,IF(3=Element_Stiffness!$E$180,Element_Stiffness!V210,0)),0)),0)+IF(Element_Stiffness!$C$216,IF(Element_Stiffness!$C$215=7,IF(3=Element_Stiffness!$C$215,Element_Stiffness!P239,IF(3=Element_Stiffness!$E$215,Element_Stiffness!V239,0)),IF(Element_Stiffness!$E$215=7,IF(3=Element_Stiffness!$C$215,Element_Stiffness!P245,IF(3=Element_Stiffness!$E$215,Element_Stiffness!V245,0)),0)),0)</f>
        <v/>
      </c>
      <c r="V50" s="21">
        <f>IF(Element_Stiffness!$C$6,IF(Element_Stiffness!$C$5=7,IF(3=Element_Stiffness!$C$5,Element_Stiffness!Q29,IF(3=Element_Stiffness!$E$5,Element_Stiffness!W29,0)),IF(Element_Stiffness!$E$5=7,IF(3=Element_Stiffness!$C$5,Element_Stiffness!Q35,IF(3=Element_Stiffness!$E$5,Element_Stiffness!W35,0)),0)),0)+IF(Element_Stiffness!$C$41,IF(Element_Stiffness!$C$40=7,IF(3=Element_Stiffness!$C$40,Element_Stiffness!Q64,IF(3=Element_Stiffness!$E$40,Element_Stiffness!W64,0)),IF(Element_Stiffness!$E$40=7,IF(3=Element_Stiffness!$C$40,Element_Stiffness!Q70,IF(3=Element_Stiffness!$E$40,Element_Stiffness!W70,0)),0)),0)+IF(Element_Stiffness!$C$76,IF(Element_Stiffness!$C$75=7,IF(3=Element_Stiffness!$C$75,Element_Stiffness!Q99,IF(3=Element_Stiffness!$E$75,Element_Stiffness!W99,0)),IF(Element_Stiffness!$E$75=7,IF(3=Element_Stiffness!$C$75,Element_Stiffness!Q105,IF(3=Element_Stiffness!$E$75,Element_Stiffness!W105,0)),0)),0)+IF(Element_Stiffness!$C$111,IF(Element_Stiffness!$C$110=7,IF(3=Element_Stiffness!$C$110,Element_Stiffness!Q134,IF(3=Element_Stiffness!$E$110,Element_Stiffness!W134,0)),IF(Element_Stiffness!$E$110=7,IF(3=Element_Stiffness!$C$110,Element_Stiffness!Q140,IF(3=Element_Stiffness!$E$110,Element_Stiffness!W140,0)),0)),0)+IF(Element_Stiffness!$C$146,IF(Element_Stiffness!$C$145=7,IF(3=Element_Stiffness!$C$145,Element_Stiffness!Q169,IF(3=Element_Stiffness!$E$145,Element_Stiffness!W169,0)),IF(Element_Stiffness!$E$145=7,IF(3=Element_Stiffness!$C$145,Element_Stiffness!Q175,IF(3=Element_Stiffness!$E$145,Element_Stiffness!W175,0)),0)),0)+IF(Element_Stiffness!$C$181,IF(Element_Stiffness!$C$180=7,IF(3=Element_Stiffness!$C$180,Element_Stiffness!Q204,IF(3=Element_Stiffness!$E$180,Element_Stiffness!W204,0)),IF(Element_Stiffness!$E$180=7,IF(3=Element_Stiffness!$C$180,Element_Stiffness!Q210,IF(3=Element_Stiffness!$E$180,Element_Stiffness!W210,0)),0)),0)+IF(Element_Stiffness!$C$216,IF(Element_Stiffness!$C$215=7,IF(3=Element_Stiffness!$C$215,Element_Stiffness!Q239,IF(3=Element_Stiffness!$E$215,Element_Stiffness!W239,0)),IF(Element_Stiffness!$E$215=7,IF(3=Element_Stiffness!$C$215,Element_Stiffness!Q245,IF(3=Element_Stiffness!$E$215,Element_Stiffness!W245,0)),0)),0)</f>
        <v/>
      </c>
      <c r="W50" s="21">
        <f>IF(Element_Stiffness!$C$6,IF(Element_Stiffness!$C$5=7,IF(3=Element_Stiffness!$C$5,Element_Stiffness!R29,IF(3=Element_Stiffness!$E$5,Element_Stiffness!X29,0)),IF(Element_Stiffness!$E$5=7,IF(3=Element_Stiffness!$C$5,Element_Stiffness!R35,IF(3=Element_Stiffness!$E$5,Element_Stiffness!X35,0)),0)),0)+IF(Element_Stiffness!$C$41,IF(Element_Stiffness!$C$40=7,IF(3=Element_Stiffness!$C$40,Element_Stiffness!R64,IF(3=Element_Stiffness!$E$40,Element_Stiffness!X64,0)),IF(Element_Stiffness!$E$40=7,IF(3=Element_Stiffness!$C$40,Element_Stiffness!R70,IF(3=Element_Stiffness!$E$40,Element_Stiffness!X70,0)),0)),0)+IF(Element_Stiffness!$C$76,IF(Element_Stiffness!$C$75=7,IF(3=Element_Stiffness!$C$75,Element_Stiffness!R99,IF(3=Element_Stiffness!$E$75,Element_Stiffness!X99,0)),IF(Element_Stiffness!$E$75=7,IF(3=Element_Stiffness!$C$75,Element_Stiffness!R105,IF(3=Element_Stiffness!$E$75,Element_Stiffness!X105,0)),0)),0)+IF(Element_Stiffness!$C$111,IF(Element_Stiffness!$C$110=7,IF(3=Element_Stiffness!$C$110,Element_Stiffness!R134,IF(3=Element_Stiffness!$E$110,Element_Stiffness!X134,0)),IF(Element_Stiffness!$E$110=7,IF(3=Element_Stiffness!$C$110,Element_Stiffness!R140,IF(3=Element_Stiffness!$E$110,Element_Stiffness!X140,0)),0)),0)+IF(Element_Stiffness!$C$146,IF(Element_Stiffness!$C$145=7,IF(3=Element_Stiffness!$C$145,Element_Stiffness!R169,IF(3=Element_Stiffness!$E$145,Element_Stiffness!X169,0)),IF(Element_Stiffness!$E$145=7,IF(3=Element_Stiffness!$C$145,Element_Stiffness!R175,IF(3=Element_Stiffness!$E$145,Element_Stiffness!X175,0)),0)),0)+IF(Element_Stiffness!$C$181,IF(Element_Stiffness!$C$180=7,IF(3=Element_Stiffness!$C$180,Element_Stiffness!R204,IF(3=Element_Stiffness!$E$180,Element_Stiffness!X204,0)),IF(Element_Stiffness!$E$180=7,IF(3=Element_Stiffness!$C$180,Element_Stiffness!R210,IF(3=Element_Stiffness!$E$180,Element_Stiffness!X210,0)),0)),0)+IF(Element_Stiffness!$C$216,IF(Element_Stiffness!$C$215=7,IF(3=Element_Stiffness!$C$215,Element_Stiffness!R239,IF(3=Element_Stiffness!$E$215,Element_Stiffness!X239,0)),IF(Element_Stiffness!$E$215=7,IF(3=Element_Stiffness!$C$215,Element_Stiffness!R245,IF(3=Element_Stiffness!$E$215,Element_Stiffness!X245,0)),0)),0)</f>
        <v/>
      </c>
      <c r="X50" s="21">
        <f>IF(Element_Stiffness!$C$6,IF(Element_Stiffness!$C$5=7,IF(3=Element_Stiffness!$C$5,Element_Stiffness!S29,IF(3=Element_Stiffness!$E$5,Element_Stiffness!Y29,0)),IF(Element_Stiffness!$E$5=7,IF(3=Element_Stiffness!$C$5,Element_Stiffness!S35,IF(3=Element_Stiffness!$E$5,Element_Stiffness!Y35,0)),0)),0)+IF(Element_Stiffness!$C$41,IF(Element_Stiffness!$C$40=7,IF(3=Element_Stiffness!$C$40,Element_Stiffness!S64,IF(3=Element_Stiffness!$E$40,Element_Stiffness!Y64,0)),IF(Element_Stiffness!$E$40=7,IF(3=Element_Stiffness!$C$40,Element_Stiffness!S70,IF(3=Element_Stiffness!$E$40,Element_Stiffness!Y70,0)),0)),0)+IF(Element_Stiffness!$C$76,IF(Element_Stiffness!$C$75=7,IF(3=Element_Stiffness!$C$75,Element_Stiffness!S99,IF(3=Element_Stiffness!$E$75,Element_Stiffness!Y99,0)),IF(Element_Stiffness!$E$75=7,IF(3=Element_Stiffness!$C$75,Element_Stiffness!S105,IF(3=Element_Stiffness!$E$75,Element_Stiffness!Y105,0)),0)),0)+IF(Element_Stiffness!$C$111,IF(Element_Stiffness!$C$110=7,IF(3=Element_Stiffness!$C$110,Element_Stiffness!S134,IF(3=Element_Stiffness!$E$110,Element_Stiffness!Y134,0)),IF(Element_Stiffness!$E$110=7,IF(3=Element_Stiffness!$C$110,Element_Stiffness!S140,IF(3=Element_Stiffness!$E$110,Element_Stiffness!Y140,0)),0)),0)+IF(Element_Stiffness!$C$146,IF(Element_Stiffness!$C$145=7,IF(3=Element_Stiffness!$C$145,Element_Stiffness!S169,IF(3=Element_Stiffness!$E$145,Element_Stiffness!Y169,0)),IF(Element_Stiffness!$E$145=7,IF(3=Element_Stiffness!$C$145,Element_Stiffness!S175,IF(3=Element_Stiffness!$E$145,Element_Stiffness!Y175,0)),0)),0)+IF(Element_Stiffness!$C$181,IF(Element_Stiffness!$C$180=7,IF(3=Element_Stiffness!$C$180,Element_Stiffness!S204,IF(3=Element_Stiffness!$E$180,Element_Stiffness!Y204,0)),IF(Element_Stiffness!$E$180=7,IF(3=Element_Stiffness!$C$180,Element_Stiffness!S210,IF(3=Element_Stiffness!$E$180,Element_Stiffness!Y210,0)),0)),0)+IF(Element_Stiffness!$C$216,IF(Element_Stiffness!$C$215=7,IF(3=Element_Stiffness!$C$215,Element_Stiffness!S239,IF(3=Element_Stiffness!$E$215,Element_Stiffness!Y239,0)),IF(Element_Stiffness!$E$215=7,IF(3=Element_Stiffness!$C$215,Element_Stiffness!S245,IF(3=Element_Stiffness!$E$215,Element_Stiffness!Y245,0)),0)),0)</f>
        <v/>
      </c>
      <c r="Y50" s="21">
        <f>IF(Element_Stiffness!$C$6,IF(Element_Stiffness!$C$5=7,IF(3=Element_Stiffness!$C$5,Element_Stiffness!T29,IF(3=Element_Stiffness!$E$5,Element_Stiffness!Z29,0)),IF(Element_Stiffness!$E$5=7,IF(3=Element_Stiffness!$C$5,Element_Stiffness!T35,IF(3=Element_Stiffness!$E$5,Element_Stiffness!Z35,0)),0)),0)+IF(Element_Stiffness!$C$41,IF(Element_Stiffness!$C$40=7,IF(3=Element_Stiffness!$C$40,Element_Stiffness!T64,IF(3=Element_Stiffness!$E$40,Element_Stiffness!Z64,0)),IF(Element_Stiffness!$E$40=7,IF(3=Element_Stiffness!$C$40,Element_Stiffness!T70,IF(3=Element_Stiffness!$E$40,Element_Stiffness!Z70,0)),0)),0)+IF(Element_Stiffness!$C$76,IF(Element_Stiffness!$C$75=7,IF(3=Element_Stiffness!$C$75,Element_Stiffness!T99,IF(3=Element_Stiffness!$E$75,Element_Stiffness!Z99,0)),IF(Element_Stiffness!$E$75=7,IF(3=Element_Stiffness!$C$75,Element_Stiffness!T105,IF(3=Element_Stiffness!$E$75,Element_Stiffness!Z105,0)),0)),0)+IF(Element_Stiffness!$C$111,IF(Element_Stiffness!$C$110=7,IF(3=Element_Stiffness!$C$110,Element_Stiffness!T134,IF(3=Element_Stiffness!$E$110,Element_Stiffness!Z134,0)),IF(Element_Stiffness!$E$110=7,IF(3=Element_Stiffness!$C$110,Element_Stiffness!T140,IF(3=Element_Stiffness!$E$110,Element_Stiffness!Z140,0)),0)),0)+IF(Element_Stiffness!$C$146,IF(Element_Stiffness!$C$145=7,IF(3=Element_Stiffness!$C$145,Element_Stiffness!T169,IF(3=Element_Stiffness!$E$145,Element_Stiffness!Z169,0)),IF(Element_Stiffness!$E$145=7,IF(3=Element_Stiffness!$C$145,Element_Stiffness!T175,IF(3=Element_Stiffness!$E$145,Element_Stiffness!Z175,0)),0)),0)+IF(Element_Stiffness!$C$181,IF(Element_Stiffness!$C$180=7,IF(3=Element_Stiffness!$C$180,Element_Stiffness!T204,IF(3=Element_Stiffness!$E$180,Element_Stiffness!Z204,0)),IF(Element_Stiffness!$E$180=7,IF(3=Element_Stiffness!$C$180,Element_Stiffness!T210,IF(3=Element_Stiffness!$E$180,Element_Stiffness!Z210,0)),0)),0)+IF(Element_Stiffness!$C$216,IF(Element_Stiffness!$C$215=7,IF(3=Element_Stiffness!$C$215,Element_Stiffness!T239,IF(3=Element_Stiffness!$E$215,Element_Stiffness!Z239,0)),IF(Element_Stiffness!$E$215=7,IF(3=Element_Stiffness!$C$215,Element_Stiffness!T245,IF(3=Element_Stiffness!$E$215,Element_Stiffness!Z245,0)),0)),0)</f>
        <v/>
      </c>
      <c r="Z50" s="21">
        <f>IF(Element_Stiffness!$C$6,IF(Element_Stiffness!$C$5=7,IF(3=Element_Stiffness!$C$5,Element_Stiffness!U29,IF(3=Element_Stiffness!$E$5,Element_Stiffness!AA29,0)),IF(Element_Stiffness!$E$5=7,IF(3=Element_Stiffness!$C$5,Element_Stiffness!U35,IF(3=Element_Stiffness!$E$5,Element_Stiffness!AA35,0)),0)),0)+IF(Element_Stiffness!$C$41,IF(Element_Stiffness!$C$40=7,IF(3=Element_Stiffness!$C$40,Element_Stiffness!U64,IF(3=Element_Stiffness!$E$40,Element_Stiffness!AA64,0)),IF(Element_Stiffness!$E$40=7,IF(3=Element_Stiffness!$C$40,Element_Stiffness!U70,IF(3=Element_Stiffness!$E$40,Element_Stiffness!AA70,0)),0)),0)+IF(Element_Stiffness!$C$76,IF(Element_Stiffness!$C$75=7,IF(3=Element_Stiffness!$C$75,Element_Stiffness!U99,IF(3=Element_Stiffness!$E$75,Element_Stiffness!AA99,0)),IF(Element_Stiffness!$E$75=7,IF(3=Element_Stiffness!$C$75,Element_Stiffness!U105,IF(3=Element_Stiffness!$E$75,Element_Stiffness!AA105,0)),0)),0)+IF(Element_Stiffness!$C$111,IF(Element_Stiffness!$C$110=7,IF(3=Element_Stiffness!$C$110,Element_Stiffness!U134,IF(3=Element_Stiffness!$E$110,Element_Stiffness!AA134,0)),IF(Element_Stiffness!$E$110=7,IF(3=Element_Stiffness!$C$110,Element_Stiffness!U140,IF(3=Element_Stiffness!$E$110,Element_Stiffness!AA140,0)),0)),0)+IF(Element_Stiffness!$C$146,IF(Element_Stiffness!$C$145=7,IF(3=Element_Stiffness!$C$145,Element_Stiffness!U169,IF(3=Element_Stiffness!$E$145,Element_Stiffness!AA169,0)),IF(Element_Stiffness!$E$145=7,IF(3=Element_Stiffness!$C$145,Element_Stiffness!U175,IF(3=Element_Stiffness!$E$145,Element_Stiffness!AA175,0)),0)),0)+IF(Element_Stiffness!$C$181,IF(Element_Stiffness!$C$180=7,IF(3=Element_Stiffness!$C$180,Element_Stiffness!U204,IF(3=Element_Stiffness!$E$180,Element_Stiffness!AA204,0)),IF(Element_Stiffness!$E$180=7,IF(3=Element_Stiffness!$C$180,Element_Stiffness!U210,IF(3=Element_Stiffness!$E$180,Element_Stiffness!AA210,0)),0)),0)+IF(Element_Stiffness!$C$216,IF(Element_Stiffness!$C$215=7,IF(3=Element_Stiffness!$C$215,Element_Stiffness!U239,IF(3=Element_Stiffness!$E$215,Element_Stiffness!AA239,0)),IF(Element_Stiffness!$E$215=7,IF(3=Element_Stiffness!$C$215,Element_Stiffness!U245,IF(3=Element_Stiffness!$E$215,Element_Stiffness!AA245,0)),0)),0)</f>
        <v/>
      </c>
      <c r="AA50" s="21">
        <f>IF(Element_Stiffness!$C$6,IF(Element_Stiffness!$C$5=7,IF(4=Element_Stiffness!$C$5,Element_Stiffness!P29,IF(4=Element_Stiffness!$E$5,Element_Stiffness!V29,0)),IF(Element_Stiffness!$E$5=7,IF(4=Element_Stiffness!$C$5,Element_Stiffness!P35,IF(4=Element_Stiffness!$E$5,Element_Stiffness!V35,0)),0)),0)+IF(Element_Stiffness!$C$41,IF(Element_Stiffness!$C$40=7,IF(4=Element_Stiffness!$C$40,Element_Stiffness!P64,IF(4=Element_Stiffness!$E$40,Element_Stiffness!V64,0)),IF(Element_Stiffness!$E$40=7,IF(4=Element_Stiffness!$C$40,Element_Stiffness!P70,IF(4=Element_Stiffness!$E$40,Element_Stiffness!V70,0)),0)),0)+IF(Element_Stiffness!$C$76,IF(Element_Stiffness!$C$75=7,IF(4=Element_Stiffness!$C$75,Element_Stiffness!P99,IF(4=Element_Stiffness!$E$75,Element_Stiffness!V99,0)),IF(Element_Stiffness!$E$75=7,IF(4=Element_Stiffness!$C$75,Element_Stiffness!P105,IF(4=Element_Stiffness!$E$75,Element_Stiffness!V105,0)),0)),0)+IF(Element_Stiffness!$C$111,IF(Element_Stiffness!$C$110=7,IF(4=Element_Stiffness!$C$110,Element_Stiffness!P134,IF(4=Element_Stiffness!$E$110,Element_Stiffness!V134,0)),IF(Element_Stiffness!$E$110=7,IF(4=Element_Stiffness!$C$110,Element_Stiffness!P140,IF(4=Element_Stiffness!$E$110,Element_Stiffness!V140,0)),0)),0)+IF(Element_Stiffness!$C$146,IF(Element_Stiffness!$C$145=7,IF(4=Element_Stiffness!$C$145,Element_Stiffness!P169,IF(4=Element_Stiffness!$E$145,Element_Stiffness!V169,0)),IF(Element_Stiffness!$E$145=7,IF(4=Element_Stiffness!$C$145,Element_Stiffness!P175,IF(4=Element_Stiffness!$E$145,Element_Stiffness!V175,0)),0)),0)+IF(Element_Stiffness!$C$181,IF(Element_Stiffness!$C$180=7,IF(4=Element_Stiffness!$C$180,Element_Stiffness!P204,IF(4=Element_Stiffness!$E$180,Element_Stiffness!V204,0)),IF(Element_Stiffness!$E$180=7,IF(4=Element_Stiffness!$C$180,Element_Stiffness!P210,IF(4=Element_Stiffness!$E$180,Element_Stiffness!V210,0)),0)),0)+IF(Element_Stiffness!$C$216,IF(Element_Stiffness!$C$215=7,IF(4=Element_Stiffness!$C$215,Element_Stiffness!P239,IF(4=Element_Stiffness!$E$215,Element_Stiffness!V239,0)),IF(Element_Stiffness!$E$215=7,IF(4=Element_Stiffness!$C$215,Element_Stiffness!P245,IF(4=Element_Stiffness!$E$215,Element_Stiffness!V245,0)),0)),0)</f>
        <v/>
      </c>
      <c r="AB50" s="21">
        <f>IF(Element_Stiffness!$C$6,IF(Element_Stiffness!$C$5=7,IF(4=Element_Stiffness!$C$5,Element_Stiffness!Q29,IF(4=Element_Stiffness!$E$5,Element_Stiffness!W29,0)),IF(Element_Stiffness!$E$5=7,IF(4=Element_Stiffness!$C$5,Element_Stiffness!Q35,IF(4=Element_Stiffness!$E$5,Element_Stiffness!W35,0)),0)),0)+IF(Element_Stiffness!$C$41,IF(Element_Stiffness!$C$40=7,IF(4=Element_Stiffness!$C$40,Element_Stiffness!Q64,IF(4=Element_Stiffness!$E$40,Element_Stiffness!W64,0)),IF(Element_Stiffness!$E$40=7,IF(4=Element_Stiffness!$C$40,Element_Stiffness!Q70,IF(4=Element_Stiffness!$E$40,Element_Stiffness!W70,0)),0)),0)+IF(Element_Stiffness!$C$76,IF(Element_Stiffness!$C$75=7,IF(4=Element_Stiffness!$C$75,Element_Stiffness!Q99,IF(4=Element_Stiffness!$E$75,Element_Stiffness!W99,0)),IF(Element_Stiffness!$E$75=7,IF(4=Element_Stiffness!$C$75,Element_Stiffness!Q105,IF(4=Element_Stiffness!$E$75,Element_Stiffness!W105,0)),0)),0)+IF(Element_Stiffness!$C$111,IF(Element_Stiffness!$C$110=7,IF(4=Element_Stiffness!$C$110,Element_Stiffness!Q134,IF(4=Element_Stiffness!$E$110,Element_Stiffness!W134,0)),IF(Element_Stiffness!$E$110=7,IF(4=Element_Stiffness!$C$110,Element_Stiffness!Q140,IF(4=Element_Stiffness!$E$110,Element_Stiffness!W140,0)),0)),0)+IF(Element_Stiffness!$C$146,IF(Element_Stiffness!$C$145=7,IF(4=Element_Stiffness!$C$145,Element_Stiffness!Q169,IF(4=Element_Stiffness!$E$145,Element_Stiffness!W169,0)),IF(Element_Stiffness!$E$145=7,IF(4=Element_Stiffness!$C$145,Element_Stiffness!Q175,IF(4=Element_Stiffness!$E$145,Element_Stiffness!W175,0)),0)),0)+IF(Element_Stiffness!$C$181,IF(Element_Stiffness!$C$180=7,IF(4=Element_Stiffness!$C$180,Element_Stiffness!Q204,IF(4=Element_Stiffness!$E$180,Element_Stiffness!W204,0)),IF(Element_Stiffness!$E$180=7,IF(4=Element_Stiffness!$C$180,Element_Stiffness!Q210,IF(4=Element_Stiffness!$E$180,Element_Stiffness!W210,0)),0)),0)+IF(Element_Stiffness!$C$216,IF(Element_Stiffness!$C$215=7,IF(4=Element_Stiffness!$C$215,Element_Stiffness!Q239,IF(4=Element_Stiffness!$E$215,Element_Stiffness!W239,0)),IF(Element_Stiffness!$E$215=7,IF(4=Element_Stiffness!$C$215,Element_Stiffness!Q245,IF(4=Element_Stiffness!$E$215,Element_Stiffness!W245,0)),0)),0)</f>
        <v/>
      </c>
      <c r="AC50" s="21">
        <f>IF(Element_Stiffness!$C$6,IF(Element_Stiffness!$C$5=7,IF(4=Element_Stiffness!$C$5,Element_Stiffness!R29,IF(4=Element_Stiffness!$E$5,Element_Stiffness!X29,0)),IF(Element_Stiffness!$E$5=7,IF(4=Element_Stiffness!$C$5,Element_Stiffness!R35,IF(4=Element_Stiffness!$E$5,Element_Stiffness!X35,0)),0)),0)+IF(Element_Stiffness!$C$41,IF(Element_Stiffness!$C$40=7,IF(4=Element_Stiffness!$C$40,Element_Stiffness!R64,IF(4=Element_Stiffness!$E$40,Element_Stiffness!X64,0)),IF(Element_Stiffness!$E$40=7,IF(4=Element_Stiffness!$C$40,Element_Stiffness!R70,IF(4=Element_Stiffness!$E$40,Element_Stiffness!X70,0)),0)),0)+IF(Element_Stiffness!$C$76,IF(Element_Stiffness!$C$75=7,IF(4=Element_Stiffness!$C$75,Element_Stiffness!R99,IF(4=Element_Stiffness!$E$75,Element_Stiffness!X99,0)),IF(Element_Stiffness!$E$75=7,IF(4=Element_Stiffness!$C$75,Element_Stiffness!R105,IF(4=Element_Stiffness!$E$75,Element_Stiffness!X105,0)),0)),0)+IF(Element_Stiffness!$C$111,IF(Element_Stiffness!$C$110=7,IF(4=Element_Stiffness!$C$110,Element_Stiffness!R134,IF(4=Element_Stiffness!$E$110,Element_Stiffness!X134,0)),IF(Element_Stiffness!$E$110=7,IF(4=Element_Stiffness!$C$110,Element_Stiffness!R140,IF(4=Element_Stiffness!$E$110,Element_Stiffness!X140,0)),0)),0)+IF(Element_Stiffness!$C$146,IF(Element_Stiffness!$C$145=7,IF(4=Element_Stiffness!$C$145,Element_Stiffness!R169,IF(4=Element_Stiffness!$E$145,Element_Stiffness!X169,0)),IF(Element_Stiffness!$E$145=7,IF(4=Element_Stiffness!$C$145,Element_Stiffness!R175,IF(4=Element_Stiffness!$E$145,Element_Stiffness!X175,0)),0)),0)+IF(Element_Stiffness!$C$181,IF(Element_Stiffness!$C$180=7,IF(4=Element_Stiffness!$C$180,Element_Stiffness!R204,IF(4=Element_Stiffness!$E$180,Element_Stiffness!X204,0)),IF(Element_Stiffness!$E$180=7,IF(4=Element_Stiffness!$C$180,Element_Stiffness!R210,IF(4=Element_Stiffness!$E$180,Element_Stiffness!X210,0)),0)),0)+IF(Element_Stiffness!$C$216,IF(Element_Stiffness!$C$215=7,IF(4=Element_Stiffness!$C$215,Element_Stiffness!R239,IF(4=Element_Stiffness!$E$215,Element_Stiffness!X239,0)),IF(Element_Stiffness!$E$215=7,IF(4=Element_Stiffness!$C$215,Element_Stiffness!R245,IF(4=Element_Stiffness!$E$215,Element_Stiffness!X245,0)),0)),0)</f>
        <v/>
      </c>
      <c r="AD50" s="21">
        <f>IF(Element_Stiffness!$C$6,IF(Element_Stiffness!$C$5=7,IF(4=Element_Stiffness!$C$5,Element_Stiffness!S29,IF(4=Element_Stiffness!$E$5,Element_Stiffness!Y29,0)),IF(Element_Stiffness!$E$5=7,IF(4=Element_Stiffness!$C$5,Element_Stiffness!S35,IF(4=Element_Stiffness!$E$5,Element_Stiffness!Y35,0)),0)),0)+IF(Element_Stiffness!$C$41,IF(Element_Stiffness!$C$40=7,IF(4=Element_Stiffness!$C$40,Element_Stiffness!S64,IF(4=Element_Stiffness!$E$40,Element_Stiffness!Y64,0)),IF(Element_Stiffness!$E$40=7,IF(4=Element_Stiffness!$C$40,Element_Stiffness!S70,IF(4=Element_Stiffness!$E$40,Element_Stiffness!Y70,0)),0)),0)+IF(Element_Stiffness!$C$76,IF(Element_Stiffness!$C$75=7,IF(4=Element_Stiffness!$C$75,Element_Stiffness!S99,IF(4=Element_Stiffness!$E$75,Element_Stiffness!Y99,0)),IF(Element_Stiffness!$E$75=7,IF(4=Element_Stiffness!$C$75,Element_Stiffness!S105,IF(4=Element_Stiffness!$E$75,Element_Stiffness!Y105,0)),0)),0)+IF(Element_Stiffness!$C$111,IF(Element_Stiffness!$C$110=7,IF(4=Element_Stiffness!$C$110,Element_Stiffness!S134,IF(4=Element_Stiffness!$E$110,Element_Stiffness!Y134,0)),IF(Element_Stiffness!$E$110=7,IF(4=Element_Stiffness!$C$110,Element_Stiffness!S140,IF(4=Element_Stiffness!$E$110,Element_Stiffness!Y140,0)),0)),0)+IF(Element_Stiffness!$C$146,IF(Element_Stiffness!$C$145=7,IF(4=Element_Stiffness!$C$145,Element_Stiffness!S169,IF(4=Element_Stiffness!$E$145,Element_Stiffness!Y169,0)),IF(Element_Stiffness!$E$145=7,IF(4=Element_Stiffness!$C$145,Element_Stiffness!S175,IF(4=Element_Stiffness!$E$145,Element_Stiffness!Y175,0)),0)),0)+IF(Element_Stiffness!$C$181,IF(Element_Stiffness!$C$180=7,IF(4=Element_Stiffness!$C$180,Element_Stiffness!S204,IF(4=Element_Stiffness!$E$180,Element_Stiffness!Y204,0)),IF(Element_Stiffness!$E$180=7,IF(4=Element_Stiffness!$C$180,Element_Stiffness!S210,IF(4=Element_Stiffness!$E$180,Element_Stiffness!Y210,0)),0)),0)+IF(Element_Stiffness!$C$216,IF(Element_Stiffness!$C$215=7,IF(4=Element_Stiffness!$C$215,Element_Stiffness!S239,IF(4=Element_Stiffness!$E$215,Element_Stiffness!Y239,0)),IF(Element_Stiffness!$E$215=7,IF(4=Element_Stiffness!$C$215,Element_Stiffness!S245,IF(4=Element_Stiffness!$E$215,Element_Stiffness!Y245,0)),0)),0)</f>
        <v/>
      </c>
      <c r="AE50" s="21">
        <f>IF(Element_Stiffness!$C$6,IF(Element_Stiffness!$C$5=7,IF(4=Element_Stiffness!$C$5,Element_Stiffness!T29,IF(4=Element_Stiffness!$E$5,Element_Stiffness!Z29,0)),IF(Element_Stiffness!$E$5=7,IF(4=Element_Stiffness!$C$5,Element_Stiffness!T35,IF(4=Element_Stiffness!$E$5,Element_Stiffness!Z35,0)),0)),0)+IF(Element_Stiffness!$C$41,IF(Element_Stiffness!$C$40=7,IF(4=Element_Stiffness!$C$40,Element_Stiffness!T64,IF(4=Element_Stiffness!$E$40,Element_Stiffness!Z64,0)),IF(Element_Stiffness!$E$40=7,IF(4=Element_Stiffness!$C$40,Element_Stiffness!T70,IF(4=Element_Stiffness!$E$40,Element_Stiffness!Z70,0)),0)),0)+IF(Element_Stiffness!$C$76,IF(Element_Stiffness!$C$75=7,IF(4=Element_Stiffness!$C$75,Element_Stiffness!T99,IF(4=Element_Stiffness!$E$75,Element_Stiffness!Z99,0)),IF(Element_Stiffness!$E$75=7,IF(4=Element_Stiffness!$C$75,Element_Stiffness!T105,IF(4=Element_Stiffness!$E$75,Element_Stiffness!Z105,0)),0)),0)+IF(Element_Stiffness!$C$111,IF(Element_Stiffness!$C$110=7,IF(4=Element_Stiffness!$C$110,Element_Stiffness!T134,IF(4=Element_Stiffness!$E$110,Element_Stiffness!Z134,0)),IF(Element_Stiffness!$E$110=7,IF(4=Element_Stiffness!$C$110,Element_Stiffness!T140,IF(4=Element_Stiffness!$E$110,Element_Stiffness!Z140,0)),0)),0)+IF(Element_Stiffness!$C$146,IF(Element_Stiffness!$C$145=7,IF(4=Element_Stiffness!$C$145,Element_Stiffness!T169,IF(4=Element_Stiffness!$E$145,Element_Stiffness!Z169,0)),IF(Element_Stiffness!$E$145=7,IF(4=Element_Stiffness!$C$145,Element_Stiffness!T175,IF(4=Element_Stiffness!$E$145,Element_Stiffness!Z175,0)),0)),0)+IF(Element_Stiffness!$C$181,IF(Element_Stiffness!$C$180=7,IF(4=Element_Stiffness!$C$180,Element_Stiffness!T204,IF(4=Element_Stiffness!$E$180,Element_Stiffness!Z204,0)),IF(Element_Stiffness!$E$180=7,IF(4=Element_Stiffness!$C$180,Element_Stiffness!T210,IF(4=Element_Stiffness!$E$180,Element_Stiffness!Z210,0)),0)),0)+IF(Element_Stiffness!$C$216,IF(Element_Stiffness!$C$215=7,IF(4=Element_Stiffness!$C$215,Element_Stiffness!T239,IF(4=Element_Stiffness!$E$215,Element_Stiffness!Z239,0)),IF(Element_Stiffness!$E$215=7,IF(4=Element_Stiffness!$C$215,Element_Stiffness!T245,IF(4=Element_Stiffness!$E$215,Element_Stiffness!Z245,0)),0)),0)</f>
        <v/>
      </c>
      <c r="AF50" s="21">
        <f>IF(Element_Stiffness!$C$6,IF(Element_Stiffness!$C$5=7,IF(4=Element_Stiffness!$C$5,Element_Stiffness!U29,IF(4=Element_Stiffness!$E$5,Element_Stiffness!AA29,0)),IF(Element_Stiffness!$E$5=7,IF(4=Element_Stiffness!$C$5,Element_Stiffness!U35,IF(4=Element_Stiffness!$E$5,Element_Stiffness!AA35,0)),0)),0)+IF(Element_Stiffness!$C$41,IF(Element_Stiffness!$C$40=7,IF(4=Element_Stiffness!$C$40,Element_Stiffness!U64,IF(4=Element_Stiffness!$E$40,Element_Stiffness!AA64,0)),IF(Element_Stiffness!$E$40=7,IF(4=Element_Stiffness!$C$40,Element_Stiffness!U70,IF(4=Element_Stiffness!$E$40,Element_Stiffness!AA70,0)),0)),0)+IF(Element_Stiffness!$C$76,IF(Element_Stiffness!$C$75=7,IF(4=Element_Stiffness!$C$75,Element_Stiffness!U99,IF(4=Element_Stiffness!$E$75,Element_Stiffness!AA99,0)),IF(Element_Stiffness!$E$75=7,IF(4=Element_Stiffness!$C$75,Element_Stiffness!U105,IF(4=Element_Stiffness!$E$75,Element_Stiffness!AA105,0)),0)),0)+IF(Element_Stiffness!$C$111,IF(Element_Stiffness!$C$110=7,IF(4=Element_Stiffness!$C$110,Element_Stiffness!U134,IF(4=Element_Stiffness!$E$110,Element_Stiffness!AA134,0)),IF(Element_Stiffness!$E$110=7,IF(4=Element_Stiffness!$C$110,Element_Stiffness!U140,IF(4=Element_Stiffness!$E$110,Element_Stiffness!AA140,0)),0)),0)+IF(Element_Stiffness!$C$146,IF(Element_Stiffness!$C$145=7,IF(4=Element_Stiffness!$C$145,Element_Stiffness!U169,IF(4=Element_Stiffness!$E$145,Element_Stiffness!AA169,0)),IF(Element_Stiffness!$E$145=7,IF(4=Element_Stiffness!$C$145,Element_Stiffness!U175,IF(4=Element_Stiffness!$E$145,Element_Stiffness!AA175,0)),0)),0)+IF(Element_Stiffness!$C$181,IF(Element_Stiffness!$C$180=7,IF(4=Element_Stiffness!$C$180,Element_Stiffness!U204,IF(4=Element_Stiffness!$E$180,Element_Stiffness!AA204,0)),IF(Element_Stiffness!$E$180=7,IF(4=Element_Stiffness!$C$180,Element_Stiffness!U210,IF(4=Element_Stiffness!$E$180,Element_Stiffness!AA210,0)),0)),0)+IF(Element_Stiffness!$C$216,IF(Element_Stiffness!$C$215=7,IF(4=Element_Stiffness!$C$215,Element_Stiffness!U239,IF(4=Element_Stiffness!$E$215,Element_Stiffness!AA239,0)),IF(Element_Stiffness!$E$215=7,IF(4=Element_Stiffness!$C$215,Element_Stiffness!U245,IF(4=Element_Stiffness!$E$215,Element_Stiffness!AA245,0)),0)),0)</f>
        <v/>
      </c>
      <c r="AG50" s="21">
        <f>IF(Element_Stiffness!$C$6,IF(Element_Stiffness!$C$5=7,IF(5=Element_Stiffness!$C$5,Element_Stiffness!P29,IF(5=Element_Stiffness!$E$5,Element_Stiffness!V29,0)),IF(Element_Stiffness!$E$5=7,IF(5=Element_Stiffness!$C$5,Element_Stiffness!P35,IF(5=Element_Stiffness!$E$5,Element_Stiffness!V35,0)),0)),0)+IF(Element_Stiffness!$C$41,IF(Element_Stiffness!$C$40=7,IF(5=Element_Stiffness!$C$40,Element_Stiffness!P64,IF(5=Element_Stiffness!$E$40,Element_Stiffness!V64,0)),IF(Element_Stiffness!$E$40=7,IF(5=Element_Stiffness!$C$40,Element_Stiffness!P70,IF(5=Element_Stiffness!$E$40,Element_Stiffness!V70,0)),0)),0)+IF(Element_Stiffness!$C$76,IF(Element_Stiffness!$C$75=7,IF(5=Element_Stiffness!$C$75,Element_Stiffness!P99,IF(5=Element_Stiffness!$E$75,Element_Stiffness!V99,0)),IF(Element_Stiffness!$E$75=7,IF(5=Element_Stiffness!$C$75,Element_Stiffness!P105,IF(5=Element_Stiffness!$E$75,Element_Stiffness!V105,0)),0)),0)+IF(Element_Stiffness!$C$111,IF(Element_Stiffness!$C$110=7,IF(5=Element_Stiffness!$C$110,Element_Stiffness!P134,IF(5=Element_Stiffness!$E$110,Element_Stiffness!V134,0)),IF(Element_Stiffness!$E$110=7,IF(5=Element_Stiffness!$C$110,Element_Stiffness!P140,IF(5=Element_Stiffness!$E$110,Element_Stiffness!V140,0)),0)),0)+IF(Element_Stiffness!$C$146,IF(Element_Stiffness!$C$145=7,IF(5=Element_Stiffness!$C$145,Element_Stiffness!P169,IF(5=Element_Stiffness!$E$145,Element_Stiffness!V169,0)),IF(Element_Stiffness!$E$145=7,IF(5=Element_Stiffness!$C$145,Element_Stiffness!P175,IF(5=Element_Stiffness!$E$145,Element_Stiffness!V175,0)),0)),0)+IF(Element_Stiffness!$C$181,IF(Element_Stiffness!$C$180=7,IF(5=Element_Stiffness!$C$180,Element_Stiffness!P204,IF(5=Element_Stiffness!$E$180,Element_Stiffness!V204,0)),IF(Element_Stiffness!$E$180=7,IF(5=Element_Stiffness!$C$180,Element_Stiffness!P210,IF(5=Element_Stiffness!$E$180,Element_Stiffness!V210,0)),0)),0)+IF(Element_Stiffness!$C$216,IF(Element_Stiffness!$C$215=7,IF(5=Element_Stiffness!$C$215,Element_Stiffness!P239,IF(5=Element_Stiffness!$E$215,Element_Stiffness!V239,0)),IF(Element_Stiffness!$E$215=7,IF(5=Element_Stiffness!$C$215,Element_Stiffness!P245,IF(5=Element_Stiffness!$E$215,Element_Stiffness!V245,0)),0)),0)</f>
        <v/>
      </c>
      <c r="AH50" s="21">
        <f>IF(Element_Stiffness!$C$6,IF(Element_Stiffness!$C$5=7,IF(5=Element_Stiffness!$C$5,Element_Stiffness!Q29,IF(5=Element_Stiffness!$E$5,Element_Stiffness!W29,0)),IF(Element_Stiffness!$E$5=7,IF(5=Element_Stiffness!$C$5,Element_Stiffness!Q35,IF(5=Element_Stiffness!$E$5,Element_Stiffness!W35,0)),0)),0)+IF(Element_Stiffness!$C$41,IF(Element_Stiffness!$C$40=7,IF(5=Element_Stiffness!$C$40,Element_Stiffness!Q64,IF(5=Element_Stiffness!$E$40,Element_Stiffness!W64,0)),IF(Element_Stiffness!$E$40=7,IF(5=Element_Stiffness!$C$40,Element_Stiffness!Q70,IF(5=Element_Stiffness!$E$40,Element_Stiffness!W70,0)),0)),0)+IF(Element_Stiffness!$C$76,IF(Element_Stiffness!$C$75=7,IF(5=Element_Stiffness!$C$75,Element_Stiffness!Q99,IF(5=Element_Stiffness!$E$75,Element_Stiffness!W99,0)),IF(Element_Stiffness!$E$75=7,IF(5=Element_Stiffness!$C$75,Element_Stiffness!Q105,IF(5=Element_Stiffness!$E$75,Element_Stiffness!W105,0)),0)),0)+IF(Element_Stiffness!$C$111,IF(Element_Stiffness!$C$110=7,IF(5=Element_Stiffness!$C$110,Element_Stiffness!Q134,IF(5=Element_Stiffness!$E$110,Element_Stiffness!W134,0)),IF(Element_Stiffness!$E$110=7,IF(5=Element_Stiffness!$C$110,Element_Stiffness!Q140,IF(5=Element_Stiffness!$E$110,Element_Stiffness!W140,0)),0)),0)+IF(Element_Stiffness!$C$146,IF(Element_Stiffness!$C$145=7,IF(5=Element_Stiffness!$C$145,Element_Stiffness!Q169,IF(5=Element_Stiffness!$E$145,Element_Stiffness!W169,0)),IF(Element_Stiffness!$E$145=7,IF(5=Element_Stiffness!$C$145,Element_Stiffness!Q175,IF(5=Element_Stiffness!$E$145,Element_Stiffness!W175,0)),0)),0)+IF(Element_Stiffness!$C$181,IF(Element_Stiffness!$C$180=7,IF(5=Element_Stiffness!$C$180,Element_Stiffness!Q204,IF(5=Element_Stiffness!$E$180,Element_Stiffness!W204,0)),IF(Element_Stiffness!$E$180=7,IF(5=Element_Stiffness!$C$180,Element_Stiffness!Q210,IF(5=Element_Stiffness!$E$180,Element_Stiffness!W210,0)),0)),0)+IF(Element_Stiffness!$C$216,IF(Element_Stiffness!$C$215=7,IF(5=Element_Stiffness!$C$215,Element_Stiffness!Q239,IF(5=Element_Stiffness!$E$215,Element_Stiffness!W239,0)),IF(Element_Stiffness!$E$215=7,IF(5=Element_Stiffness!$C$215,Element_Stiffness!Q245,IF(5=Element_Stiffness!$E$215,Element_Stiffness!W245,0)),0)),0)</f>
        <v/>
      </c>
      <c r="AI50" s="21">
        <f>IF(Element_Stiffness!$C$6,IF(Element_Stiffness!$C$5=7,IF(5=Element_Stiffness!$C$5,Element_Stiffness!R29,IF(5=Element_Stiffness!$E$5,Element_Stiffness!X29,0)),IF(Element_Stiffness!$E$5=7,IF(5=Element_Stiffness!$C$5,Element_Stiffness!R35,IF(5=Element_Stiffness!$E$5,Element_Stiffness!X35,0)),0)),0)+IF(Element_Stiffness!$C$41,IF(Element_Stiffness!$C$40=7,IF(5=Element_Stiffness!$C$40,Element_Stiffness!R64,IF(5=Element_Stiffness!$E$40,Element_Stiffness!X64,0)),IF(Element_Stiffness!$E$40=7,IF(5=Element_Stiffness!$C$40,Element_Stiffness!R70,IF(5=Element_Stiffness!$E$40,Element_Stiffness!X70,0)),0)),0)+IF(Element_Stiffness!$C$76,IF(Element_Stiffness!$C$75=7,IF(5=Element_Stiffness!$C$75,Element_Stiffness!R99,IF(5=Element_Stiffness!$E$75,Element_Stiffness!X99,0)),IF(Element_Stiffness!$E$75=7,IF(5=Element_Stiffness!$C$75,Element_Stiffness!R105,IF(5=Element_Stiffness!$E$75,Element_Stiffness!X105,0)),0)),0)+IF(Element_Stiffness!$C$111,IF(Element_Stiffness!$C$110=7,IF(5=Element_Stiffness!$C$110,Element_Stiffness!R134,IF(5=Element_Stiffness!$E$110,Element_Stiffness!X134,0)),IF(Element_Stiffness!$E$110=7,IF(5=Element_Stiffness!$C$110,Element_Stiffness!R140,IF(5=Element_Stiffness!$E$110,Element_Stiffness!X140,0)),0)),0)+IF(Element_Stiffness!$C$146,IF(Element_Stiffness!$C$145=7,IF(5=Element_Stiffness!$C$145,Element_Stiffness!R169,IF(5=Element_Stiffness!$E$145,Element_Stiffness!X169,0)),IF(Element_Stiffness!$E$145=7,IF(5=Element_Stiffness!$C$145,Element_Stiffness!R175,IF(5=Element_Stiffness!$E$145,Element_Stiffness!X175,0)),0)),0)+IF(Element_Stiffness!$C$181,IF(Element_Stiffness!$C$180=7,IF(5=Element_Stiffness!$C$180,Element_Stiffness!R204,IF(5=Element_Stiffness!$E$180,Element_Stiffness!X204,0)),IF(Element_Stiffness!$E$180=7,IF(5=Element_Stiffness!$C$180,Element_Stiffness!R210,IF(5=Element_Stiffness!$E$180,Element_Stiffness!X210,0)),0)),0)+IF(Element_Stiffness!$C$216,IF(Element_Stiffness!$C$215=7,IF(5=Element_Stiffness!$C$215,Element_Stiffness!R239,IF(5=Element_Stiffness!$E$215,Element_Stiffness!X239,0)),IF(Element_Stiffness!$E$215=7,IF(5=Element_Stiffness!$C$215,Element_Stiffness!R245,IF(5=Element_Stiffness!$E$215,Element_Stiffness!X245,0)),0)),0)</f>
        <v/>
      </c>
      <c r="AJ50" s="21">
        <f>IF(Element_Stiffness!$C$6,IF(Element_Stiffness!$C$5=7,IF(5=Element_Stiffness!$C$5,Element_Stiffness!S29,IF(5=Element_Stiffness!$E$5,Element_Stiffness!Y29,0)),IF(Element_Stiffness!$E$5=7,IF(5=Element_Stiffness!$C$5,Element_Stiffness!S35,IF(5=Element_Stiffness!$E$5,Element_Stiffness!Y35,0)),0)),0)+IF(Element_Stiffness!$C$41,IF(Element_Stiffness!$C$40=7,IF(5=Element_Stiffness!$C$40,Element_Stiffness!S64,IF(5=Element_Stiffness!$E$40,Element_Stiffness!Y64,0)),IF(Element_Stiffness!$E$40=7,IF(5=Element_Stiffness!$C$40,Element_Stiffness!S70,IF(5=Element_Stiffness!$E$40,Element_Stiffness!Y70,0)),0)),0)+IF(Element_Stiffness!$C$76,IF(Element_Stiffness!$C$75=7,IF(5=Element_Stiffness!$C$75,Element_Stiffness!S99,IF(5=Element_Stiffness!$E$75,Element_Stiffness!Y99,0)),IF(Element_Stiffness!$E$75=7,IF(5=Element_Stiffness!$C$75,Element_Stiffness!S105,IF(5=Element_Stiffness!$E$75,Element_Stiffness!Y105,0)),0)),0)+IF(Element_Stiffness!$C$111,IF(Element_Stiffness!$C$110=7,IF(5=Element_Stiffness!$C$110,Element_Stiffness!S134,IF(5=Element_Stiffness!$E$110,Element_Stiffness!Y134,0)),IF(Element_Stiffness!$E$110=7,IF(5=Element_Stiffness!$C$110,Element_Stiffness!S140,IF(5=Element_Stiffness!$E$110,Element_Stiffness!Y140,0)),0)),0)+IF(Element_Stiffness!$C$146,IF(Element_Stiffness!$C$145=7,IF(5=Element_Stiffness!$C$145,Element_Stiffness!S169,IF(5=Element_Stiffness!$E$145,Element_Stiffness!Y169,0)),IF(Element_Stiffness!$E$145=7,IF(5=Element_Stiffness!$C$145,Element_Stiffness!S175,IF(5=Element_Stiffness!$E$145,Element_Stiffness!Y175,0)),0)),0)+IF(Element_Stiffness!$C$181,IF(Element_Stiffness!$C$180=7,IF(5=Element_Stiffness!$C$180,Element_Stiffness!S204,IF(5=Element_Stiffness!$E$180,Element_Stiffness!Y204,0)),IF(Element_Stiffness!$E$180=7,IF(5=Element_Stiffness!$C$180,Element_Stiffness!S210,IF(5=Element_Stiffness!$E$180,Element_Stiffness!Y210,0)),0)),0)+IF(Element_Stiffness!$C$216,IF(Element_Stiffness!$C$215=7,IF(5=Element_Stiffness!$C$215,Element_Stiffness!S239,IF(5=Element_Stiffness!$E$215,Element_Stiffness!Y239,0)),IF(Element_Stiffness!$E$215=7,IF(5=Element_Stiffness!$C$215,Element_Stiffness!S245,IF(5=Element_Stiffness!$E$215,Element_Stiffness!Y245,0)),0)),0)</f>
        <v/>
      </c>
      <c r="AK50" s="21">
        <f>IF(Element_Stiffness!$C$6,IF(Element_Stiffness!$C$5=7,IF(5=Element_Stiffness!$C$5,Element_Stiffness!T29,IF(5=Element_Stiffness!$E$5,Element_Stiffness!Z29,0)),IF(Element_Stiffness!$E$5=7,IF(5=Element_Stiffness!$C$5,Element_Stiffness!T35,IF(5=Element_Stiffness!$E$5,Element_Stiffness!Z35,0)),0)),0)+IF(Element_Stiffness!$C$41,IF(Element_Stiffness!$C$40=7,IF(5=Element_Stiffness!$C$40,Element_Stiffness!T64,IF(5=Element_Stiffness!$E$40,Element_Stiffness!Z64,0)),IF(Element_Stiffness!$E$40=7,IF(5=Element_Stiffness!$C$40,Element_Stiffness!T70,IF(5=Element_Stiffness!$E$40,Element_Stiffness!Z70,0)),0)),0)+IF(Element_Stiffness!$C$76,IF(Element_Stiffness!$C$75=7,IF(5=Element_Stiffness!$C$75,Element_Stiffness!T99,IF(5=Element_Stiffness!$E$75,Element_Stiffness!Z99,0)),IF(Element_Stiffness!$E$75=7,IF(5=Element_Stiffness!$C$75,Element_Stiffness!T105,IF(5=Element_Stiffness!$E$75,Element_Stiffness!Z105,0)),0)),0)+IF(Element_Stiffness!$C$111,IF(Element_Stiffness!$C$110=7,IF(5=Element_Stiffness!$C$110,Element_Stiffness!T134,IF(5=Element_Stiffness!$E$110,Element_Stiffness!Z134,0)),IF(Element_Stiffness!$E$110=7,IF(5=Element_Stiffness!$C$110,Element_Stiffness!T140,IF(5=Element_Stiffness!$E$110,Element_Stiffness!Z140,0)),0)),0)+IF(Element_Stiffness!$C$146,IF(Element_Stiffness!$C$145=7,IF(5=Element_Stiffness!$C$145,Element_Stiffness!T169,IF(5=Element_Stiffness!$E$145,Element_Stiffness!Z169,0)),IF(Element_Stiffness!$E$145=7,IF(5=Element_Stiffness!$C$145,Element_Stiffness!T175,IF(5=Element_Stiffness!$E$145,Element_Stiffness!Z175,0)),0)),0)+IF(Element_Stiffness!$C$181,IF(Element_Stiffness!$C$180=7,IF(5=Element_Stiffness!$C$180,Element_Stiffness!T204,IF(5=Element_Stiffness!$E$180,Element_Stiffness!Z204,0)),IF(Element_Stiffness!$E$180=7,IF(5=Element_Stiffness!$C$180,Element_Stiffness!T210,IF(5=Element_Stiffness!$E$180,Element_Stiffness!Z210,0)),0)),0)+IF(Element_Stiffness!$C$216,IF(Element_Stiffness!$C$215=7,IF(5=Element_Stiffness!$C$215,Element_Stiffness!T239,IF(5=Element_Stiffness!$E$215,Element_Stiffness!Z239,0)),IF(Element_Stiffness!$E$215=7,IF(5=Element_Stiffness!$C$215,Element_Stiffness!T245,IF(5=Element_Stiffness!$E$215,Element_Stiffness!Z245,0)),0)),0)</f>
        <v/>
      </c>
      <c r="AL50" s="21">
        <f>IF(Element_Stiffness!$C$6,IF(Element_Stiffness!$C$5=7,IF(5=Element_Stiffness!$C$5,Element_Stiffness!U29,IF(5=Element_Stiffness!$E$5,Element_Stiffness!AA29,0)),IF(Element_Stiffness!$E$5=7,IF(5=Element_Stiffness!$C$5,Element_Stiffness!U35,IF(5=Element_Stiffness!$E$5,Element_Stiffness!AA35,0)),0)),0)+IF(Element_Stiffness!$C$41,IF(Element_Stiffness!$C$40=7,IF(5=Element_Stiffness!$C$40,Element_Stiffness!U64,IF(5=Element_Stiffness!$E$40,Element_Stiffness!AA64,0)),IF(Element_Stiffness!$E$40=7,IF(5=Element_Stiffness!$C$40,Element_Stiffness!U70,IF(5=Element_Stiffness!$E$40,Element_Stiffness!AA70,0)),0)),0)+IF(Element_Stiffness!$C$76,IF(Element_Stiffness!$C$75=7,IF(5=Element_Stiffness!$C$75,Element_Stiffness!U99,IF(5=Element_Stiffness!$E$75,Element_Stiffness!AA99,0)),IF(Element_Stiffness!$E$75=7,IF(5=Element_Stiffness!$C$75,Element_Stiffness!U105,IF(5=Element_Stiffness!$E$75,Element_Stiffness!AA105,0)),0)),0)+IF(Element_Stiffness!$C$111,IF(Element_Stiffness!$C$110=7,IF(5=Element_Stiffness!$C$110,Element_Stiffness!U134,IF(5=Element_Stiffness!$E$110,Element_Stiffness!AA134,0)),IF(Element_Stiffness!$E$110=7,IF(5=Element_Stiffness!$C$110,Element_Stiffness!U140,IF(5=Element_Stiffness!$E$110,Element_Stiffness!AA140,0)),0)),0)+IF(Element_Stiffness!$C$146,IF(Element_Stiffness!$C$145=7,IF(5=Element_Stiffness!$C$145,Element_Stiffness!U169,IF(5=Element_Stiffness!$E$145,Element_Stiffness!AA169,0)),IF(Element_Stiffness!$E$145=7,IF(5=Element_Stiffness!$C$145,Element_Stiffness!U175,IF(5=Element_Stiffness!$E$145,Element_Stiffness!AA175,0)),0)),0)+IF(Element_Stiffness!$C$181,IF(Element_Stiffness!$C$180=7,IF(5=Element_Stiffness!$C$180,Element_Stiffness!U204,IF(5=Element_Stiffness!$E$180,Element_Stiffness!AA204,0)),IF(Element_Stiffness!$E$180=7,IF(5=Element_Stiffness!$C$180,Element_Stiffness!U210,IF(5=Element_Stiffness!$E$180,Element_Stiffness!AA210,0)),0)),0)+IF(Element_Stiffness!$C$216,IF(Element_Stiffness!$C$215=7,IF(5=Element_Stiffness!$C$215,Element_Stiffness!U239,IF(5=Element_Stiffness!$E$215,Element_Stiffness!AA239,0)),IF(Element_Stiffness!$E$215=7,IF(5=Element_Stiffness!$C$215,Element_Stiffness!U245,IF(5=Element_Stiffness!$E$215,Element_Stiffness!AA245,0)),0)),0)</f>
        <v/>
      </c>
      <c r="AM50" s="21">
        <f>IF(Element_Stiffness!$C$6,IF(Element_Stiffness!$C$5=7,IF(6=Element_Stiffness!$C$5,Element_Stiffness!P29,IF(6=Element_Stiffness!$E$5,Element_Stiffness!V29,0)),IF(Element_Stiffness!$E$5=7,IF(6=Element_Stiffness!$C$5,Element_Stiffness!P35,IF(6=Element_Stiffness!$E$5,Element_Stiffness!V35,0)),0)),0)+IF(Element_Stiffness!$C$41,IF(Element_Stiffness!$C$40=7,IF(6=Element_Stiffness!$C$40,Element_Stiffness!P64,IF(6=Element_Stiffness!$E$40,Element_Stiffness!V64,0)),IF(Element_Stiffness!$E$40=7,IF(6=Element_Stiffness!$C$40,Element_Stiffness!P70,IF(6=Element_Stiffness!$E$40,Element_Stiffness!V70,0)),0)),0)+IF(Element_Stiffness!$C$76,IF(Element_Stiffness!$C$75=7,IF(6=Element_Stiffness!$C$75,Element_Stiffness!P99,IF(6=Element_Stiffness!$E$75,Element_Stiffness!V99,0)),IF(Element_Stiffness!$E$75=7,IF(6=Element_Stiffness!$C$75,Element_Stiffness!P105,IF(6=Element_Stiffness!$E$75,Element_Stiffness!V105,0)),0)),0)+IF(Element_Stiffness!$C$111,IF(Element_Stiffness!$C$110=7,IF(6=Element_Stiffness!$C$110,Element_Stiffness!P134,IF(6=Element_Stiffness!$E$110,Element_Stiffness!V134,0)),IF(Element_Stiffness!$E$110=7,IF(6=Element_Stiffness!$C$110,Element_Stiffness!P140,IF(6=Element_Stiffness!$E$110,Element_Stiffness!V140,0)),0)),0)+IF(Element_Stiffness!$C$146,IF(Element_Stiffness!$C$145=7,IF(6=Element_Stiffness!$C$145,Element_Stiffness!P169,IF(6=Element_Stiffness!$E$145,Element_Stiffness!V169,0)),IF(Element_Stiffness!$E$145=7,IF(6=Element_Stiffness!$C$145,Element_Stiffness!P175,IF(6=Element_Stiffness!$E$145,Element_Stiffness!V175,0)),0)),0)+IF(Element_Stiffness!$C$181,IF(Element_Stiffness!$C$180=7,IF(6=Element_Stiffness!$C$180,Element_Stiffness!P204,IF(6=Element_Stiffness!$E$180,Element_Stiffness!V204,0)),IF(Element_Stiffness!$E$180=7,IF(6=Element_Stiffness!$C$180,Element_Stiffness!P210,IF(6=Element_Stiffness!$E$180,Element_Stiffness!V210,0)),0)),0)+IF(Element_Stiffness!$C$216,IF(Element_Stiffness!$C$215=7,IF(6=Element_Stiffness!$C$215,Element_Stiffness!P239,IF(6=Element_Stiffness!$E$215,Element_Stiffness!V239,0)),IF(Element_Stiffness!$E$215=7,IF(6=Element_Stiffness!$C$215,Element_Stiffness!P245,IF(6=Element_Stiffness!$E$215,Element_Stiffness!V245,0)),0)),0)</f>
        <v/>
      </c>
      <c r="AN50" s="21">
        <f>IF(Element_Stiffness!$C$6,IF(Element_Stiffness!$C$5=7,IF(6=Element_Stiffness!$C$5,Element_Stiffness!Q29,IF(6=Element_Stiffness!$E$5,Element_Stiffness!W29,0)),IF(Element_Stiffness!$E$5=7,IF(6=Element_Stiffness!$C$5,Element_Stiffness!Q35,IF(6=Element_Stiffness!$E$5,Element_Stiffness!W35,0)),0)),0)+IF(Element_Stiffness!$C$41,IF(Element_Stiffness!$C$40=7,IF(6=Element_Stiffness!$C$40,Element_Stiffness!Q64,IF(6=Element_Stiffness!$E$40,Element_Stiffness!W64,0)),IF(Element_Stiffness!$E$40=7,IF(6=Element_Stiffness!$C$40,Element_Stiffness!Q70,IF(6=Element_Stiffness!$E$40,Element_Stiffness!W70,0)),0)),0)+IF(Element_Stiffness!$C$76,IF(Element_Stiffness!$C$75=7,IF(6=Element_Stiffness!$C$75,Element_Stiffness!Q99,IF(6=Element_Stiffness!$E$75,Element_Stiffness!W99,0)),IF(Element_Stiffness!$E$75=7,IF(6=Element_Stiffness!$C$75,Element_Stiffness!Q105,IF(6=Element_Stiffness!$E$75,Element_Stiffness!W105,0)),0)),0)+IF(Element_Stiffness!$C$111,IF(Element_Stiffness!$C$110=7,IF(6=Element_Stiffness!$C$110,Element_Stiffness!Q134,IF(6=Element_Stiffness!$E$110,Element_Stiffness!W134,0)),IF(Element_Stiffness!$E$110=7,IF(6=Element_Stiffness!$C$110,Element_Stiffness!Q140,IF(6=Element_Stiffness!$E$110,Element_Stiffness!W140,0)),0)),0)+IF(Element_Stiffness!$C$146,IF(Element_Stiffness!$C$145=7,IF(6=Element_Stiffness!$C$145,Element_Stiffness!Q169,IF(6=Element_Stiffness!$E$145,Element_Stiffness!W169,0)),IF(Element_Stiffness!$E$145=7,IF(6=Element_Stiffness!$C$145,Element_Stiffness!Q175,IF(6=Element_Stiffness!$E$145,Element_Stiffness!W175,0)),0)),0)+IF(Element_Stiffness!$C$181,IF(Element_Stiffness!$C$180=7,IF(6=Element_Stiffness!$C$180,Element_Stiffness!Q204,IF(6=Element_Stiffness!$E$180,Element_Stiffness!W204,0)),IF(Element_Stiffness!$E$180=7,IF(6=Element_Stiffness!$C$180,Element_Stiffness!Q210,IF(6=Element_Stiffness!$E$180,Element_Stiffness!W210,0)),0)),0)+IF(Element_Stiffness!$C$216,IF(Element_Stiffness!$C$215=7,IF(6=Element_Stiffness!$C$215,Element_Stiffness!Q239,IF(6=Element_Stiffness!$E$215,Element_Stiffness!W239,0)),IF(Element_Stiffness!$E$215=7,IF(6=Element_Stiffness!$C$215,Element_Stiffness!Q245,IF(6=Element_Stiffness!$E$215,Element_Stiffness!W245,0)),0)),0)</f>
        <v/>
      </c>
      <c r="AO50" s="21">
        <f>IF(Element_Stiffness!$C$6,IF(Element_Stiffness!$C$5=7,IF(6=Element_Stiffness!$C$5,Element_Stiffness!R29,IF(6=Element_Stiffness!$E$5,Element_Stiffness!X29,0)),IF(Element_Stiffness!$E$5=7,IF(6=Element_Stiffness!$C$5,Element_Stiffness!R35,IF(6=Element_Stiffness!$E$5,Element_Stiffness!X35,0)),0)),0)+IF(Element_Stiffness!$C$41,IF(Element_Stiffness!$C$40=7,IF(6=Element_Stiffness!$C$40,Element_Stiffness!R64,IF(6=Element_Stiffness!$E$40,Element_Stiffness!X64,0)),IF(Element_Stiffness!$E$40=7,IF(6=Element_Stiffness!$C$40,Element_Stiffness!R70,IF(6=Element_Stiffness!$E$40,Element_Stiffness!X70,0)),0)),0)+IF(Element_Stiffness!$C$76,IF(Element_Stiffness!$C$75=7,IF(6=Element_Stiffness!$C$75,Element_Stiffness!R99,IF(6=Element_Stiffness!$E$75,Element_Stiffness!X99,0)),IF(Element_Stiffness!$E$75=7,IF(6=Element_Stiffness!$C$75,Element_Stiffness!R105,IF(6=Element_Stiffness!$E$75,Element_Stiffness!X105,0)),0)),0)+IF(Element_Stiffness!$C$111,IF(Element_Stiffness!$C$110=7,IF(6=Element_Stiffness!$C$110,Element_Stiffness!R134,IF(6=Element_Stiffness!$E$110,Element_Stiffness!X134,0)),IF(Element_Stiffness!$E$110=7,IF(6=Element_Stiffness!$C$110,Element_Stiffness!R140,IF(6=Element_Stiffness!$E$110,Element_Stiffness!X140,0)),0)),0)+IF(Element_Stiffness!$C$146,IF(Element_Stiffness!$C$145=7,IF(6=Element_Stiffness!$C$145,Element_Stiffness!R169,IF(6=Element_Stiffness!$E$145,Element_Stiffness!X169,0)),IF(Element_Stiffness!$E$145=7,IF(6=Element_Stiffness!$C$145,Element_Stiffness!R175,IF(6=Element_Stiffness!$E$145,Element_Stiffness!X175,0)),0)),0)+IF(Element_Stiffness!$C$181,IF(Element_Stiffness!$C$180=7,IF(6=Element_Stiffness!$C$180,Element_Stiffness!R204,IF(6=Element_Stiffness!$E$180,Element_Stiffness!X204,0)),IF(Element_Stiffness!$E$180=7,IF(6=Element_Stiffness!$C$180,Element_Stiffness!R210,IF(6=Element_Stiffness!$E$180,Element_Stiffness!X210,0)),0)),0)+IF(Element_Stiffness!$C$216,IF(Element_Stiffness!$C$215=7,IF(6=Element_Stiffness!$C$215,Element_Stiffness!R239,IF(6=Element_Stiffness!$E$215,Element_Stiffness!X239,0)),IF(Element_Stiffness!$E$215=7,IF(6=Element_Stiffness!$C$215,Element_Stiffness!R245,IF(6=Element_Stiffness!$E$215,Element_Stiffness!X245,0)),0)),0)</f>
        <v/>
      </c>
      <c r="AP50" s="21">
        <f>IF(Element_Stiffness!$C$6,IF(Element_Stiffness!$C$5=7,IF(6=Element_Stiffness!$C$5,Element_Stiffness!S29,IF(6=Element_Stiffness!$E$5,Element_Stiffness!Y29,0)),IF(Element_Stiffness!$E$5=7,IF(6=Element_Stiffness!$C$5,Element_Stiffness!S35,IF(6=Element_Stiffness!$E$5,Element_Stiffness!Y35,0)),0)),0)+IF(Element_Stiffness!$C$41,IF(Element_Stiffness!$C$40=7,IF(6=Element_Stiffness!$C$40,Element_Stiffness!S64,IF(6=Element_Stiffness!$E$40,Element_Stiffness!Y64,0)),IF(Element_Stiffness!$E$40=7,IF(6=Element_Stiffness!$C$40,Element_Stiffness!S70,IF(6=Element_Stiffness!$E$40,Element_Stiffness!Y70,0)),0)),0)+IF(Element_Stiffness!$C$76,IF(Element_Stiffness!$C$75=7,IF(6=Element_Stiffness!$C$75,Element_Stiffness!S99,IF(6=Element_Stiffness!$E$75,Element_Stiffness!Y99,0)),IF(Element_Stiffness!$E$75=7,IF(6=Element_Stiffness!$C$75,Element_Stiffness!S105,IF(6=Element_Stiffness!$E$75,Element_Stiffness!Y105,0)),0)),0)+IF(Element_Stiffness!$C$111,IF(Element_Stiffness!$C$110=7,IF(6=Element_Stiffness!$C$110,Element_Stiffness!S134,IF(6=Element_Stiffness!$E$110,Element_Stiffness!Y134,0)),IF(Element_Stiffness!$E$110=7,IF(6=Element_Stiffness!$C$110,Element_Stiffness!S140,IF(6=Element_Stiffness!$E$110,Element_Stiffness!Y140,0)),0)),0)+IF(Element_Stiffness!$C$146,IF(Element_Stiffness!$C$145=7,IF(6=Element_Stiffness!$C$145,Element_Stiffness!S169,IF(6=Element_Stiffness!$E$145,Element_Stiffness!Y169,0)),IF(Element_Stiffness!$E$145=7,IF(6=Element_Stiffness!$C$145,Element_Stiffness!S175,IF(6=Element_Stiffness!$E$145,Element_Stiffness!Y175,0)),0)),0)+IF(Element_Stiffness!$C$181,IF(Element_Stiffness!$C$180=7,IF(6=Element_Stiffness!$C$180,Element_Stiffness!S204,IF(6=Element_Stiffness!$E$180,Element_Stiffness!Y204,0)),IF(Element_Stiffness!$E$180=7,IF(6=Element_Stiffness!$C$180,Element_Stiffness!S210,IF(6=Element_Stiffness!$E$180,Element_Stiffness!Y210,0)),0)),0)+IF(Element_Stiffness!$C$216,IF(Element_Stiffness!$C$215=7,IF(6=Element_Stiffness!$C$215,Element_Stiffness!S239,IF(6=Element_Stiffness!$E$215,Element_Stiffness!Y239,0)),IF(Element_Stiffness!$E$215=7,IF(6=Element_Stiffness!$C$215,Element_Stiffness!S245,IF(6=Element_Stiffness!$E$215,Element_Stiffness!Y245,0)),0)),0)</f>
        <v/>
      </c>
      <c r="AQ50" s="21">
        <f>IF(Element_Stiffness!$C$6,IF(Element_Stiffness!$C$5=7,IF(6=Element_Stiffness!$C$5,Element_Stiffness!T29,IF(6=Element_Stiffness!$E$5,Element_Stiffness!Z29,0)),IF(Element_Stiffness!$E$5=7,IF(6=Element_Stiffness!$C$5,Element_Stiffness!T35,IF(6=Element_Stiffness!$E$5,Element_Stiffness!Z35,0)),0)),0)+IF(Element_Stiffness!$C$41,IF(Element_Stiffness!$C$40=7,IF(6=Element_Stiffness!$C$40,Element_Stiffness!T64,IF(6=Element_Stiffness!$E$40,Element_Stiffness!Z64,0)),IF(Element_Stiffness!$E$40=7,IF(6=Element_Stiffness!$C$40,Element_Stiffness!T70,IF(6=Element_Stiffness!$E$40,Element_Stiffness!Z70,0)),0)),0)+IF(Element_Stiffness!$C$76,IF(Element_Stiffness!$C$75=7,IF(6=Element_Stiffness!$C$75,Element_Stiffness!T99,IF(6=Element_Stiffness!$E$75,Element_Stiffness!Z99,0)),IF(Element_Stiffness!$E$75=7,IF(6=Element_Stiffness!$C$75,Element_Stiffness!T105,IF(6=Element_Stiffness!$E$75,Element_Stiffness!Z105,0)),0)),0)+IF(Element_Stiffness!$C$111,IF(Element_Stiffness!$C$110=7,IF(6=Element_Stiffness!$C$110,Element_Stiffness!T134,IF(6=Element_Stiffness!$E$110,Element_Stiffness!Z134,0)),IF(Element_Stiffness!$E$110=7,IF(6=Element_Stiffness!$C$110,Element_Stiffness!T140,IF(6=Element_Stiffness!$E$110,Element_Stiffness!Z140,0)),0)),0)+IF(Element_Stiffness!$C$146,IF(Element_Stiffness!$C$145=7,IF(6=Element_Stiffness!$C$145,Element_Stiffness!T169,IF(6=Element_Stiffness!$E$145,Element_Stiffness!Z169,0)),IF(Element_Stiffness!$E$145=7,IF(6=Element_Stiffness!$C$145,Element_Stiffness!T175,IF(6=Element_Stiffness!$E$145,Element_Stiffness!Z175,0)),0)),0)+IF(Element_Stiffness!$C$181,IF(Element_Stiffness!$C$180=7,IF(6=Element_Stiffness!$C$180,Element_Stiffness!T204,IF(6=Element_Stiffness!$E$180,Element_Stiffness!Z204,0)),IF(Element_Stiffness!$E$180=7,IF(6=Element_Stiffness!$C$180,Element_Stiffness!T210,IF(6=Element_Stiffness!$E$180,Element_Stiffness!Z210,0)),0)),0)+IF(Element_Stiffness!$C$216,IF(Element_Stiffness!$C$215=7,IF(6=Element_Stiffness!$C$215,Element_Stiffness!T239,IF(6=Element_Stiffness!$E$215,Element_Stiffness!Z239,0)),IF(Element_Stiffness!$E$215=7,IF(6=Element_Stiffness!$C$215,Element_Stiffness!T245,IF(6=Element_Stiffness!$E$215,Element_Stiffness!Z245,0)),0)),0)</f>
        <v/>
      </c>
      <c r="AR50" s="21">
        <f>IF(Element_Stiffness!$C$6,IF(Element_Stiffness!$C$5=7,IF(6=Element_Stiffness!$C$5,Element_Stiffness!U29,IF(6=Element_Stiffness!$E$5,Element_Stiffness!AA29,0)),IF(Element_Stiffness!$E$5=7,IF(6=Element_Stiffness!$C$5,Element_Stiffness!U35,IF(6=Element_Stiffness!$E$5,Element_Stiffness!AA35,0)),0)),0)+IF(Element_Stiffness!$C$41,IF(Element_Stiffness!$C$40=7,IF(6=Element_Stiffness!$C$40,Element_Stiffness!U64,IF(6=Element_Stiffness!$E$40,Element_Stiffness!AA64,0)),IF(Element_Stiffness!$E$40=7,IF(6=Element_Stiffness!$C$40,Element_Stiffness!U70,IF(6=Element_Stiffness!$E$40,Element_Stiffness!AA70,0)),0)),0)+IF(Element_Stiffness!$C$76,IF(Element_Stiffness!$C$75=7,IF(6=Element_Stiffness!$C$75,Element_Stiffness!U99,IF(6=Element_Stiffness!$E$75,Element_Stiffness!AA99,0)),IF(Element_Stiffness!$E$75=7,IF(6=Element_Stiffness!$C$75,Element_Stiffness!U105,IF(6=Element_Stiffness!$E$75,Element_Stiffness!AA105,0)),0)),0)+IF(Element_Stiffness!$C$111,IF(Element_Stiffness!$C$110=7,IF(6=Element_Stiffness!$C$110,Element_Stiffness!U134,IF(6=Element_Stiffness!$E$110,Element_Stiffness!AA134,0)),IF(Element_Stiffness!$E$110=7,IF(6=Element_Stiffness!$C$110,Element_Stiffness!U140,IF(6=Element_Stiffness!$E$110,Element_Stiffness!AA140,0)),0)),0)+IF(Element_Stiffness!$C$146,IF(Element_Stiffness!$C$145=7,IF(6=Element_Stiffness!$C$145,Element_Stiffness!U169,IF(6=Element_Stiffness!$E$145,Element_Stiffness!AA169,0)),IF(Element_Stiffness!$E$145=7,IF(6=Element_Stiffness!$C$145,Element_Stiffness!U175,IF(6=Element_Stiffness!$E$145,Element_Stiffness!AA175,0)),0)),0)+IF(Element_Stiffness!$C$181,IF(Element_Stiffness!$C$180=7,IF(6=Element_Stiffness!$C$180,Element_Stiffness!U204,IF(6=Element_Stiffness!$E$180,Element_Stiffness!AA204,0)),IF(Element_Stiffness!$E$180=7,IF(6=Element_Stiffness!$C$180,Element_Stiffness!U210,IF(6=Element_Stiffness!$E$180,Element_Stiffness!AA210,0)),0)),0)+IF(Element_Stiffness!$C$216,IF(Element_Stiffness!$C$215=7,IF(6=Element_Stiffness!$C$215,Element_Stiffness!U239,IF(6=Element_Stiffness!$E$215,Element_Stiffness!AA239,0)),IF(Element_Stiffness!$E$215=7,IF(6=Element_Stiffness!$C$215,Element_Stiffness!U245,IF(6=Element_Stiffness!$E$215,Element_Stiffness!AA245,0)),0)),0)</f>
        <v/>
      </c>
      <c r="AS50" s="21">
        <f>IF(Element_Stiffness!$C$6,IF(Element_Stiffness!$C$5=7,IF(7=Element_Stiffness!$C$5,Element_Stiffness!P29,IF(7=Element_Stiffness!$E$5,Element_Stiffness!V29,0)),IF(Element_Stiffness!$E$5=7,IF(7=Element_Stiffness!$C$5,Element_Stiffness!P35,IF(7=Element_Stiffness!$E$5,Element_Stiffness!V35,0)),0)),0)+IF(Element_Stiffness!$C$41,IF(Element_Stiffness!$C$40=7,IF(7=Element_Stiffness!$C$40,Element_Stiffness!P64,IF(7=Element_Stiffness!$E$40,Element_Stiffness!V64,0)),IF(Element_Stiffness!$E$40=7,IF(7=Element_Stiffness!$C$40,Element_Stiffness!P70,IF(7=Element_Stiffness!$E$40,Element_Stiffness!V70,0)),0)),0)+IF(Element_Stiffness!$C$76,IF(Element_Stiffness!$C$75=7,IF(7=Element_Stiffness!$C$75,Element_Stiffness!P99,IF(7=Element_Stiffness!$E$75,Element_Stiffness!V99,0)),IF(Element_Stiffness!$E$75=7,IF(7=Element_Stiffness!$C$75,Element_Stiffness!P105,IF(7=Element_Stiffness!$E$75,Element_Stiffness!V105,0)),0)),0)+IF(Element_Stiffness!$C$111,IF(Element_Stiffness!$C$110=7,IF(7=Element_Stiffness!$C$110,Element_Stiffness!P134,IF(7=Element_Stiffness!$E$110,Element_Stiffness!V134,0)),IF(Element_Stiffness!$E$110=7,IF(7=Element_Stiffness!$C$110,Element_Stiffness!P140,IF(7=Element_Stiffness!$E$110,Element_Stiffness!V140,0)),0)),0)+IF(Element_Stiffness!$C$146,IF(Element_Stiffness!$C$145=7,IF(7=Element_Stiffness!$C$145,Element_Stiffness!P169,IF(7=Element_Stiffness!$E$145,Element_Stiffness!V169,0)),IF(Element_Stiffness!$E$145=7,IF(7=Element_Stiffness!$C$145,Element_Stiffness!P175,IF(7=Element_Stiffness!$E$145,Element_Stiffness!V175,0)),0)),0)+IF(Element_Stiffness!$C$181,IF(Element_Stiffness!$C$180=7,IF(7=Element_Stiffness!$C$180,Element_Stiffness!P204,IF(7=Element_Stiffness!$E$180,Element_Stiffness!V204,0)),IF(Element_Stiffness!$E$180=7,IF(7=Element_Stiffness!$C$180,Element_Stiffness!P210,IF(7=Element_Stiffness!$E$180,Element_Stiffness!V210,0)),0)),0)+IF(Element_Stiffness!$C$216,IF(Element_Stiffness!$C$215=7,IF(7=Element_Stiffness!$C$215,Element_Stiffness!P239,IF(7=Element_Stiffness!$E$215,Element_Stiffness!V239,0)),IF(Element_Stiffness!$E$215=7,IF(7=Element_Stiffness!$C$215,Element_Stiffness!P245,IF(7=Element_Stiffness!$E$215,Element_Stiffness!V245,0)),0)),0)</f>
        <v/>
      </c>
      <c r="AT50" s="21">
        <f>IF(Element_Stiffness!$C$6,IF(Element_Stiffness!$C$5=7,IF(7=Element_Stiffness!$C$5,Element_Stiffness!Q29,IF(7=Element_Stiffness!$E$5,Element_Stiffness!W29,0)),IF(Element_Stiffness!$E$5=7,IF(7=Element_Stiffness!$C$5,Element_Stiffness!Q35,IF(7=Element_Stiffness!$E$5,Element_Stiffness!W35,0)),0)),0)+IF(Element_Stiffness!$C$41,IF(Element_Stiffness!$C$40=7,IF(7=Element_Stiffness!$C$40,Element_Stiffness!Q64,IF(7=Element_Stiffness!$E$40,Element_Stiffness!W64,0)),IF(Element_Stiffness!$E$40=7,IF(7=Element_Stiffness!$C$40,Element_Stiffness!Q70,IF(7=Element_Stiffness!$E$40,Element_Stiffness!W70,0)),0)),0)+IF(Element_Stiffness!$C$76,IF(Element_Stiffness!$C$75=7,IF(7=Element_Stiffness!$C$75,Element_Stiffness!Q99,IF(7=Element_Stiffness!$E$75,Element_Stiffness!W99,0)),IF(Element_Stiffness!$E$75=7,IF(7=Element_Stiffness!$C$75,Element_Stiffness!Q105,IF(7=Element_Stiffness!$E$75,Element_Stiffness!W105,0)),0)),0)+IF(Element_Stiffness!$C$111,IF(Element_Stiffness!$C$110=7,IF(7=Element_Stiffness!$C$110,Element_Stiffness!Q134,IF(7=Element_Stiffness!$E$110,Element_Stiffness!W134,0)),IF(Element_Stiffness!$E$110=7,IF(7=Element_Stiffness!$C$110,Element_Stiffness!Q140,IF(7=Element_Stiffness!$E$110,Element_Stiffness!W140,0)),0)),0)+IF(Element_Stiffness!$C$146,IF(Element_Stiffness!$C$145=7,IF(7=Element_Stiffness!$C$145,Element_Stiffness!Q169,IF(7=Element_Stiffness!$E$145,Element_Stiffness!W169,0)),IF(Element_Stiffness!$E$145=7,IF(7=Element_Stiffness!$C$145,Element_Stiffness!Q175,IF(7=Element_Stiffness!$E$145,Element_Stiffness!W175,0)),0)),0)+IF(Element_Stiffness!$C$181,IF(Element_Stiffness!$C$180=7,IF(7=Element_Stiffness!$C$180,Element_Stiffness!Q204,IF(7=Element_Stiffness!$E$180,Element_Stiffness!W204,0)),IF(Element_Stiffness!$E$180=7,IF(7=Element_Stiffness!$C$180,Element_Stiffness!Q210,IF(7=Element_Stiffness!$E$180,Element_Stiffness!W210,0)),0)),0)+IF(Element_Stiffness!$C$216,IF(Element_Stiffness!$C$215=7,IF(7=Element_Stiffness!$C$215,Element_Stiffness!Q239,IF(7=Element_Stiffness!$E$215,Element_Stiffness!W239,0)),IF(Element_Stiffness!$E$215=7,IF(7=Element_Stiffness!$C$215,Element_Stiffness!Q245,IF(7=Element_Stiffness!$E$215,Element_Stiffness!W245,0)),0)),0)</f>
        <v/>
      </c>
      <c r="AU50" s="21">
        <f>IF(Element_Stiffness!$C$6,IF(Element_Stiffness!$C$5=7,IF(7=Element_Stiffness!$C$5,Element_Stiffness!R29,IF(7=Element_Stiffness!$E$5,Element_Stiffness!X29,0)),IF(Element_Stiffness!$E$5=7,IF(7=Element_Stiffness!$C$5,Element_Stiffness!R35,IF(7=Element_Stiffness!$E$5,Element_Stiffness!X35,0)),0)),0)+IF(Element_Stiffness!$C$41,IF(Element_Stiffness!$C$40=7,IF(7=Element_Stiffness!$C$40,Element_Stiffness!R64,IF(7=Element_Stiffness!$E$40,Element_Stiffness!X64,0)),IF(Element_Stiffness!$E$40=7,IF(7=Element_Stiffness!$C$40,Element_Stiffness!R70,IF(7=Element_Stiffness!$E$40,Element_Stiffness!X70,0)),0)),0)+IF(Element_Stiffness!$C$76,IF(Element_Stiffness!$C$75=7,IF(7=Element_Stiffness!$C$75,Element_Stiffness!R99,IF(7=Element_Stiffness!$E$75,Element_Stiffness!X99,0)),IF(Element_Stiffness!$E$75=7,IF(7=Element_Stiffness!$C$75,Element_Stiffness!R105,IF(7=Element_Stiffness!$E$75,Element_Stiffness!X105,0)),0)),0)+IF(Element_Stiffness!$C$111,IF(Element_Stiffness!$C$110=7,IF(7=Element_Stiffness!$C$110,Element_Stiffness!R134,IF(7=Element_Stiffness!$E$110,Element_Stiffness!X134,0)),IF(Element_Stiffness!$E$110=7,IF(7=Element_Stiffness!$C$110,Element_Stiffness!R140,IF(7=Element_Stiffness!$E$110,Element_Stiffness!X140,0)),0)),0)+IF(Element_Stiffness!$C$146,IF(Element_Stiffness!$C$145=7,IF(7=Element_Stiffness!$C$145,Element_Stiffness!R169,IF(7=Element_Stiffness!$E$145,Element_Stiffness!X169,0)),IF(Element_Stiffness!$E$145=7,IF(7=Element_Stiffness!$C$145,Element_Stiffness!R175,IF(7=Element_Stiffness!$E$145,Element_Stiffness!X175,0)),0)),0)+IF(Element_Stiffness!$C$181,IF(Element_Stiffness!$C$180=7,IF(7=Element_Stiffness!$C$180,Element_Stiffness!R204,IF(7=Element_Stiffness!$E$180,Element_Stiffness!X204,0)),IF(Element_Stiffness!$E$180=7,IF(7=Element_Stiffness!$C$180,Element_Stiffness!R210,IF(7=Element_Stiffness!$E$180,Element_Stiffness!X210,0)),0)),0)+IF(Element_Stiffness!$C$216,IF(Element_Stiffness!$C$215=7,IF(7=Element_Stiffness!$C$215,Element_Stiffness!R239,IF(7=Element_Stiffness!$E$215,Element_Stiffness!X239,0)),IF(Element_Stiffness!$E$215=7,IF(7=Element_Stiffness!$C$215,Element_Stiffness!R245,IF(7=Element_Stiffness!$E$215,Element_Stiffness!X245,0)),0)),0)</f>
        <v/>
      </c>
      <c r="AV50" s="21">
        <f>IF(Element_Stiffness!$C$6,IF(Element_Stiffness!$C$5=7,IF(7=Element_Stiffness!$C$5,Element_Stiffness!S29,IF(7=Element_Stiffness!$E$5,Element_Stiffness!Y29,0)),IF(Element_Stiffness!$E$5=7,IF(7=Element_Stiffness!$C$5,Element_Stiffness!S35,IF(7=Element_Stiffness!$E$5,Element_Stiffness!Y35,0)),0)),0)+IF(Element_Stiffness!$C$41,IF(Element_Stiffness!$C$40=7,IF(7=Element_Stiffness!$C$40,Element_Stiffness!S64,IF(7=Element_Stiffness!$E$40,Element_Stiffness!Y64,0)),IF(Element_Stiffness!$E$40=7,IF(7=Element_Stiffness!$C$40,Element_Stiffness!S70,IF(7=Element_Stiffness!$E$40,Element_Stiffness!Y70,0)),0)),0)+IF(Element_Stiffness!$C$76,IF(Element_Stiffness!$C$75=7,IF(7=Element_Stiffness!$C$75,Element_Stiffness!S99,IF(7=Element_Stiffness!$E$75,Element_Stiffness!Y99,0)),IF(Element_Stiffness!$E$75=7,IF(7=Element_Stiffness!$C$75,Element_Stiffness!S105,IF(7=Element_Stiffness!$E$75,Element_Stiffness!Y105,0)),0)),0)+IF(Element_Stiffness!$C$111,IF(Element_Stiffness!$C$110=7,IF(7=Element_Stiffness!$C$110,Element_Stiffness!S134,IF(7=Element_Stiffness!$E$110,Element_Stiffness!Y134,0)),IF(Element_Stiffness!$E$110=7,IF(7=Element_Stiffness!$C$110,Element_Stiffness!S140,IF(7=Element_Stiffness!$E$110,Element_Stiffness!Y140,0)),0)),0)+IF(Element_Stiffness!$C$146,IF(Element_Stiffness!$C$145=7,IF(7=Element_Stiffness!$C$145,Element_Stiffness!S169,IF(7=Element_Stiffness!$E$145,Element_Stiffness!Y169,0)),IF(Element_Stiffness!$E$145=7,IF(7=Element_Stiffness!$C$145,Element_Stiffness!S175,IF(7=Element_Stiffness!$E$145,Element_Stiffness!Y175,0)),0)),0)+IF(Element_Stiffness!$C$181,IF(Element_Stiffness!$C$180=7,IF(7=Element_Stiffness!$C$180,Element_Stiffness!S204,IF(7=Element_Stiffness!$E$180,Element_Stiffness!Y204,0)),IF(Element_Stiffness!$E$180=7,IF(7=Element_Stiffness!$C$180,Element_Stiffness!S210,IF(7=Element_Stiffness!$E$180,Element_Stiffness!Y210,0)),0)),0)+IF(Element_Stiffness!$C$216,IF(Element_Stiffness!$C$215=7,IF(7=Element_Stiffness!$C$215,Element_Stiffness!S239,IF(7=Element_Stiffness!$E$215,Element_Stiffness!Y239,0)),IF(Element_Stiffness!$E$215=7,IF(7=Element_Stiffness!$C$215,Element_Stiffness!S245,IF(7=Element_Stiffness!$E$215,Element_Stiffness!Y245,0)),0)),0)+IF(Inputs!F47=TRUE,1E15,IF(ISNUMBER(Inputs!F47),Inputs!F47,0))</f>
        <v/>
      </c>
      <c r="AW50" s="21">
        <f>IF(Element_Stiffness!$C$6,IF(Element_Stiffness!$C$5=7,IF(7=Element_Stiffness!$C$5,Element_Stiffness!T29,IF(7=Element_Stiffness!$E$5,Element_Stiffness!Z29,0)),IF(Element_Stiffness!$E$5=7,IF(7=Element_Stiffness!$C$5,Element_Stiffness!T35,IF(7=Element_Stiffness!$E$5,Element_Stiffness!Z35,0)),0)),0)+IF(Element_Stiffness!$C$41,IF(Element_Stiffness!$C$40=7,IF(7=Element_Stiffness!$C$40,Element_Stiffness!T64,IF(7=Element_Stiffness!$E$40,Element_Stiffness!Z64,0)),IF(Element_Stiffness!$E$40=7,IF(7=Element_Stiffness!$C$40,Element_Stiffness!T70,IF(7=Element_Stiffness!$E$40,Element_Stiffness!Z70,0)),0)),0)+IF(Element_Stiffness!$C$76,IF(Element_Stiffness!$C$75=7,IF(7=Element_Stiffness!$C$75,Element_Stiffness!T99,IF(7=Element_Stiffness!$E$75,Element_Stiffness!Z99,0)),IF(Element_Stiffness!$E$75=7,IF(7=Element_Stiffness!$C$75,Element_Stiffness!T105,IF(7=Element_Stiffness!$E$75,Element_Stiffness!Z105,0)),0)),0)+IF(Element_Stiffness!$C$111,IF(Element_Stiffness!$C$110=7,IF(7=Element_Stiffness!$C$110,Element_Stiffness!T134,IF(7=Element_Stiffness!$E$110,Element_Stiffness!Z134,0)),IF(Element_Stiffness!$E$110=7,IF(7=Element_Stiffness!$C$110,Element_Stiffness!T140,IF(7=Element_Stiffness!$E$110,Element_Stiffness!Z140,0)),0)),0)+IF(Element_Stiffness!$C$146,IF(Element_Stiffness!$C$145=7,IF(7=Element_Stiffness!$C$145,Element_Stiffness!T169,IF(7=Element_Stiffness!$E$145,Element_Stiffness!Z169,0)),IF(Element_Stiffness!$E$145=7,IF(7=Element_Stiffness!$C$145,Element_Stiffness!T175,IF(7=Element_Stiffness!$E$145,Element_Stiffness!Z175,0)),0)),0)+IF(Element_Stiffness!$C$181,IF(Element_Stiffness!$C$180=7,IF(7=Element_Stiffness!$C$180,Element_Stiffness!T204,IF(7=Element_Stiffness!$E$180,Element_Stiffness!Z204,0)),IF(Element_Stiffness!$E$180=7,IF(7=Element_Stiffness!$C$180,Element_Stiffness!T210,IF(7=Element_Stiffness!$E$180,Element_Stiffness!Z210,0)),0)),0)+IF(Element_Stiffness!$C$216,IF(Element_Stiffness!$C$215=7,IF(7=Element_Stiffness!$C$215,Element_Stiffness!T239,IF(7=Element_Stiffness!$E$215,Element_Stiffness!Z239,0)),IF(Element_Stiffness!$E$215=7,IF(7=Element_Stiffness!$C$215,Element_Stiffness!T245,IF(7=Element_Stiffness!$E$215,Element_Stiffness!Z245,0)),0)),0)</f>
        <v/>
      </c>
      <c r="AX50" s="21">
        <f>IF(Element_Stiffness!$C$6,IF(Element_Stiffness!$C$5=7,IF(7=Element_Stiffness!$C$5,Element_Stiffness!U29,IF(7=Element_Stiffness!$E$5,Element_Stiffness!AA29,0)),IF(Element_Stiffness!$E$5=7,IF(7=Element_Stiffness!$C$5,Element_Stiffness!U35,IF(7=Element_Stiffness!$E$5,Element_Stiffness!AA35,0)),0)),0)+IF(Element_Stiffness!$C$41,IF(Element_Stiffness!$C$40=7,IF(7=Element_Stiffness!$C$40,Element_Stiffness!U64,IF(7=Element_Stiffness!$E$40,Element_Stiffness!AA64,0)),IF(Element_Stiffness!$E$40=7,IF(7=Element_Stiffness!$C$40,Element_Stiffness!U70,IF(7=Element_Stiffness!$E$40,Element_Stiffness!AA70,0)),0)),0)+IF(Element_Stiffness!$C$76,IF(Element_Stiffness!$C$75=7,IF(7=Element_Stiffness!$C$75,Element_Stiffness!U99,IF(7=Element_Stiffness!$E$75,Element_Stiffness!AA99,0)),IF(Element_Stiffness!$E$75=7,IF(7=Element_Stiffness!$C$75,Element_Stiffness!U105,IF(7=Element_Stiffness!$E$75,Element_Stiffness!AA105,0)),0)),0)+IF(Element_Stiffness!$C$111,IF(Element_Stiffness!$C$110=7,IF(7=Element_Stiffness!$C$110,Element_Stiffness!U134,IF(7=Element_Stiffness!$E$110,Element_Stiffness!AA134,0)),IF(Element_Stiffness!$E$110=7,IF(7=Element_Stiffness!$C$110,Element_Stiffness!U140,IF(7=Element_Stiffness!$E$110,Element_Stiffness!AA140,0)),0)),0)+IF(Element_Stiffness!$C$146,IF(Element_Stiffness!$C$145=7,IF(7=Element_Stiffness!$C$145,Element_Stiffness!U169,IF(7=Element_Stiffness!$E$145,Element_Stiffness!AA169,0)),IF(Element_Stiffness!$E$145=7,IF(7=Element_Stiffness!$C$145,Element_Stiffness!U175,IF(7=Element_Stiffness!$E$145,Element_Stiffness!AA175,0)),0)),0)+IF(Element_Stiffness!$C$181,IF(Element_Stiffness!$C$180=7,IF(7=Element_Stiffness!$C$180,Element_Stiffness!U204,IF(7=Element_Stiffness!$E$180,Element_Stiffness!AA204,0)),IF(Element_Stiffness!$E$180=7,IF(7=Element_Stiffness!$C$180,Element_Stiffness!U210,IF(7=Element_Stiffness!$E$180,Element_Stiffness!AA210,0)),0)),0)+IF(Element_Stiffness!$C$216,IF(Element_Stiffness!$C$215=7,IF(7=Element_Stiffness!$C$215,Element_Stiffness!U239,IF(7=Element_Stiffness!$E$215,Element_Stiffness!AA239,0)),IF(Element_Stiffness!$E$215=7,IF(7=Element_Stiffness!$C$215,Element_Stiffness!U245,IF(7=Element_Stiffness!$E$215,Element_Stiffness!AA245,0)),0)),0)</f>
        <v/>
      </c>
      <c r="AY50" s="21" t="n">
        <v>0</v>
      </c>
      <c r="AZ50" s="21">
        <f>IF(Element_Stiffness!$C$6,IF(Element_Stiffness!$C$5=7,Element_Stiffness!C29,IF(Element_Stiffness!$E$5=7,Element_Stiffness!C35,0)),0)+IF(Element_Stiffness!$C$41,IF(Element_Stiffness!$C$40=7,Element_Stiffness!C64,IF(Element_Stiffness!$E$40=7,Element_Stiffness!C70,0)),0)+IF(Element_Stiffness!$C$76,IF(Element_Stiffness!$C$75=7,Element_Stiffness!C99,IF(Element_Stiffness!$E$75=7,Element_Stiffness!C105,0)),0)+IF(Element_Stiffness!$C$111,IF(Element_Stiffness!$C$110=7,Element_Stiffness!C134,IF(Element_Stiffness!$E$110=7,Element_Stiffness!C140,0)),0)+IF(Element_Stiffness!$C$146,IF(Element_Stiffness!$C$145=7,Element_Stiffness!C169,IF(Element_Stiffness!$E$145=7,Element_Stiffness!C175,0)),0)+IF(Element_Stiffness!$C$181,IF(Element_Stiffness!$C$180=7,Element_Stiffness!C204,IF(Element_Stiffness!$E$180=7,Element_Stiffness!C210,0)),0)+IF(Element_Stiffness!$C$216,IF(Element_Stiffness!$C$215=7,Element_Stiffness!C239,IF(Element_Stiffness!$E$215=7,Element_Stiffness!C245,0)),0)</f>
        <v/>
      </c>
      <c r="BB50" s="28">
        <f>INDEX(MMULT(MINVERSE(C5:AX52), AY5:AY52), 46, 1)</f>
        <v/>
      </c>
      <c r="BC50" s="28">
        <f>INDEX(MMULT(MINVERSE(C5:AX52), AZ5:AZ52), 46, 1)</f>
        <v/>
      </c>
    </row>
    <row r="51">
      <c r="B51" s="27" t="inlineStr">
        <is>
          <t>N7_ry</t>
        </is>
      </c>
      <c r="C51" s="21">
        <f>IF(Element_Stiffness!$C$6,IF(Element_Stiffness!$C$5=7,IF(0=Element_Stiffness!$C$5,Element_Stiffness!P30,IF(0=Element_Stiffness!$E$5,Element_Stiffness!V30,0)),IF(Element_Stiffness!$E$5=7,IF(0=Element_Stiffness!$C$5,Element_Stiffness!P36,IF(0=Element_Stiffness!$E$5,Element_Stiffness!V36,0)),0)),0)+IF(Element_Stiffness!$C$41,IF(Element_Stiffness!$C$40=7,IF(0=Element_Stiffness!$C$40,Element_Stiffness!P65,IF(0=Element_Stiffness!$E$40,Element_Stiffness!V65,0)),IF(Element_Stiffness!$E$40=7,IF(0=Element_Stiffness!$C$40,Element_Stiffness!P71,IF(0=Element_Stiffness!$E$40,Element_Stiffness!V71,0)),0)),0)+IF(Element_Stiffness!$C$76,IF(Element_Stiffness!$C$75=7,IF(0=Element_Stiffness!$C$75,Element_Stiffness!P100,IF(0=Element_Stiffness!$E$75,Element_Stiffness!V100,0)),IF(Element_Stiffness!$E$75=7,IF(0=Element_Stiffness!$C$75,Element_Stiffness!P106,IF(0=Element_Stiffness!$E$75,Element_Stiffness!V106,0)),0)),0)+IF(Element_Stiffness!$C$111,IF(Element_Stiffness!$C$110=7,IF(0=Element_Stiffness!$C$110,Element_Stiffness!P135,IF(0=Element_Stiffness!$E$110,Element_Stiffness!V135,0)),IF(Element_Stiffness!$E$110=7,IF(0=Element_Stiffness!$C$110,Element_Stiffness!P141,IF(0=Element_Stiffness!$E$110,Element_Stiffness!V141,0)),0)),0)+IF(Element_Stiffness!$C$146,IF(Element_Stiffness!$C$145=7,IF(0=Element_Stiffness!$C$145,Element_Stiffness!P170,IF(0=Element_Stiffness!$E$145,Element_Stiffness!V170,0)),IF(Element_Stiffness!$E$145=7,IF(0=Element_Stiffness!$C$145,Element_Stiffness!P176,IF(0=Element_Stiffness!$E$145,Element_Stiffness!V176,0)),0)),0)+IF(Element_Stiffness!$C$181,IF(Element_Stiffness!$C$180=7,IF(0=Element_Stiffness!$C$180,Element_Stiffness!P205,IF(0=Element_Stiffness!$E$180,Element_Stiffness!V205,0)),IF(Element_Stiffness!$E$180=7,IF(0=Element_Stiffness!$C$180,Element_Stiffness!P211,IF(0=Element_Stiffness!$E$180,Element_Stiffness!V211,0)),0)),0)+IF(Element_Stiffness!$C$216,IF(Element_Stiffness!$C$215=7,IF(0=Element_Stiffness!$C$215,Element_Stiffness!P240,IF(0=Element_Stiffness!$E$215,Element_Stiffness!V240,0)),IF(Element_Stiffness!$E$215=7,IF(0=Element_Stiffness!$C$215,Element_Stiffness!P246,IF(0=Element_Stiffness!$E$215,Element_Stiffness!V246,0)),0)),0)</f>
        <v/>
      </c>
      <c r="D51" s="21">
        <f>IF(Element_Stiffness!$C$6,IF(Element_Stiffness!$C$5=7,IF(0=Element_Stiffness!$C$5,Element_Stiffness!Q30,IF(0=Element_Stiffness!$E$5,Element_Stiffness!W30,0)),IF(Element_Stiffness!$E$5=7,IF(0=Element_Stiffness!$C$5,Element_Stiffness!Q36,IF(0=Element_Stiffness!$E$5,Element_Stiffness!W36,0)),0)),0)+IF(Element_Stiffness!$C$41,IF(Element_Stiffness!$C$40=7,IF(0=Element_Stiffness!$C$40,Element_Stiffness!Q65,IF(0=Element_Stiffness!$E$40,Element_Stiffness!W65,0)),IF(Element_Stiffness!$E$40=7,IF(0=Element_Stiffness!$C$40,Element_Stiffness!Q71,IF(0=Element_Stiffness!$E$40,Element_Stiffness!W71,0)),0)),0)+IF(Element_Stiffness!$C$76,IF(Element_Stiffness!$C$75=7,IF(0=Element_Stiffness!$C$75,Element_Stiffness!Q100,IF(0=Element_Stiffness!$E$75,Element_Stiffness!W100,0)),IF(Element_Stiffness!$E$75=7,IF(0=Element_Stiffness!$C$75,Element_Stiffness!Q106,IF(0=Element_Stiffness!$E$75,Element_Stiffness!W106,0)),0)),0)+IF(Element_Stiffness!$C$111,IF(Element_Stiffness!$C$110=7,IF(0=Element_Stiffness!$C$110,Element_Stiffness!Q135,IF(0=Element_Stiffness!$E$110,Element_Stiffness!W135,0)),IF(Element_Stiffness!$E$110=7,IF(0=Element_Stiffness!$C$110,Element_Stiffness!Q141,IF(0=Element_Stiffness!$E$110,Element_Stiffness!W141,0)),0)),0)+IF(Element_Stiffness!$C$146,IF(Element_Stiffness!$C$145=7,IF(0=Element_Stiffness!$C$145,Element_Stiffness!Q170,IF(0=Element_Stiffness!$E$145,Element_Stiffness!W170,0)),IF(Element_Stiffness!$E$145=7,IF(0=Element_Stiffness!$C$145,Element_Stiffness!Q176,IF(0=Element_Stiffness!$E$145,Element_Stiffness!W176,0)),0)),0)+IF(Element_Stiffness!$C$181,IF(Element_Stiffness!$C$180=7,IF(0=Element_Stiffness!$C$180,Element_Stiffness!Q205,IF(0=Element_Stiffness!$E$180,Element_Stiffness!W205,0)),IF(Element_Stiffness!$E$180=7,IF(0=Element_Stiffness!$C$180,Element_Stiffness!Q211,IF(0=Element_Stiffness!$E$180,Element_Stiffness!W211,0)),0)),0)+IF(Element_Stiffness!$C$216,IF(Element_Stiffness!$C$215=7,IF(0=Element_Stiffness!$C$215,Element_Stiffness!Q240,IF(0=Element_Stiffness!$E$215,Element_Stiffness!W240,0)),IF(Element_Stiffness!$E$215=7,IF(0=Element_Stiffness!$C$215,Element_Stiffness!Q246,IF(0=Element_Stiffness!$E$215,Element_Stiffness!W246,0)),0)),0)</f>
        <v/>
      </c>
      <c r="E51" s="21">
        <f>IF(Element_Stiffness!$C$6,IF(Element_Stiffness!$C$5=7,IF(0=Element_Stiffness!$C$5,Element_Stiffness!R30,IF(0=Element_Stiffness!$E$5,Element_Stiffness!X30,0)),IF(Element_Stiffness!$E$5=7,IF(0=Element_Stiffness!$C$5,Element_Stiffness!R36,IF(0=Element_Stiffness!$E$5,Element_Stiffness!X36,0)),0)),0)+IF(Element_Stiffness!$C$41,IF(Element_Stiffness!$C$40=7,IF(0=Element_Stiffness!$C$40,Element_Stiffness!R65,IF(0=Element_Stiffness!$E$40,Element_Stiffness!X65,0)),IF(Element_Stiffness!$E$40=7,IF(0=Element_Stiffness!$C$40,Element_Stiffness!R71,IF(0=Element_Stiffness!$E$40,Element_Stiffness!X71,0)),0)),0)+IF(Element_Stiffness!$C$76,IF(Element_Stiffness!$C$75=7,IF(0=Element_Stiffness!$C$75,Element_Stiffness!R100,IF(0=Element_Stiffness!$E$75,Element_Stiffness!X100,0)),IF(Element_Stiffness!$E$75=7,IF(0=Element_Stiffness!$C$75,Element_Stiffness!R106,IF(0=Element_Stiffness!$E$75,Element_Stiffness!X106,0)),0)),0)+IF(Element_Stiffness!$C$111,IF(Element_Stiffness!$C$110=7,IF(0=Element_Stiffness!$C$110,Element_Stiffness!R135,IF(0=Element_Stiffness!$E$110,Element_Stiffness!X135,0)),IF(Element_Stiffness!$E$110=7,IF(0=Element_Stiffness!$C$110,Element_Stiffness!R141,IF(0=Element_Stiffness!$E$110,Element_Stiffness!X141,0)),0)),0)+IF(Element_Stiffness!$C$146,IF(Element_Stiffness!$C$145=7,IF(0=Element_Stiffness!$C$145,Element_Stiffness!R170,IF(0=Element_Stiffness!$E$145,Element_Stiffness!X170,0)),IF(Element_Stiffness!$E$145=7,IF(0=Element_Stiffness!$C$145,Element_Stiffness!R176,IF(0=Element_Stiffness!$E$145,Element_Stiffness!X176,0)),0)),0)+IF(Element_Stiffness!$C$181,IF(Element_Stiffness!$C$180=7,IF(0=Element_Stiffness!$C$180,Element_Stiffness!R205,IF(0=Element_Stiffness!$E$180,Element_Stiffness!X205,0)),IF(Element_Stiffness!$E$180=7,IF(0=Element_Stiffness!$C$180,Element_Stiffness!R211,IF(0=Element_Stiffness!$E$180,Element_Stiffness!X211,0)),0)),0)+IF(Element_Stiffness!$C$216,IF(Element_Stiffness!$C$215=7,IF(0=Element_Stiffness!$C$215,Element_Stiffness!R240,IF(0=Element_Stiffness!$E$215,Element_Stiffness!X240,0)),IF(Element_Stiffness!$E$215=7,IF(0=Element_Stiffness!$C$215,Element_Stiffness!R246,IF(0=Element_Stiffness!$E$215,Element_Stiffness!X246,0)),0)),0)</f>
        <v/>
      </c>
      <c r="F51" s="21">
        <f>IF(Element_Stiffness!$C$6,IF(Element_Stiffness!$C$5=7,IF(0=Element_Stiffness!$C$5,Element_Stiffness!S30,IF(0=Element_Stiffness!$E$5,Element_Stiffness!Y30,0)),IF(Element_Stiffness!$E$5=7,IF(0=Element_Stiffness!$C$5,Element_Stiffness!S36,IF(0=Element_Stiffness!$E$5,Element_Stiffness!Y36,0)),0)),0)+IF(Element_Stiffness!$C$41,IF(Element_Stiffness!$C$40=7,IF(0=Element_Stiffness!$C$40,Element_Stiffness!S65,IF(0=Element_Stiffness!$E$40,Element_Stiffness!Y65,0)),IF(Element_Stiffness!$E$40=7,IF(0=Element_Stiffness!$C$40,Element_Stiffness!S71,IF(0=Element_Stiffness!$E$40,Element_Stiffness!Y71,0)),0)),0)+IF(Element_Stiffness!$C$76,IF(Element_Stiffness!$C$75=7,IF(0=Element_Stiffness!$C$75,Element_Stiffness!S100,IF(0=Element_Stiffness!$E$75,Element_Stiffness!Y100,0)),IF(Element_Stiffness!$E$75=7,IF(0=Element_Stiffness!$C$75,Element_Stiffness!S106,IF(0=Element_Stiffness!$E$75,Element_Stiffness!Y106,0)),0)),0)+IF(Element_Stiffness!$C$111,IF(Element_Stiffness!$C$110=7,IF(0=Element_Stiffness!$C$110,Element_Stiffness!S135,IF(0=Element_Stiffness!$E$110,Element_Stiffness!Y135,0)),IF(Element_Stiffness!$E$110=7,IF(0=Element_Stiffness!$C$110,Element_Stiffness!S141,IF(0=Element_Stiffness!$E$110,Element_Stiffness!Y141,0)),0)),0)+IF(Element_Stiffness!$C$146,IF(Element_Stiffness!$C$145=7,IF(0=Element_Stiffness!$C$145,Element_Stiffness!S170,IF(0=Element_Stiffness!$E$145,Element_Stiffness!Y170,0)),IF(Element_Stiffness!$E$145=7,IF(0=Element_Stiffness!$C$145,Element_Stiffness!S176,IF(0=Element_Stiffness!$E$145,Element_Stiffness!Y176,0)),0)),0)+IF(Element_Stiffness!$C$181,IF(Element_Stiffness!$C$180=7,IF(0=Element_Stiffness!$C$180,Element_Stiffness!S205,IF(0=Element_Stiffness!$E$180,Element_Stiffness!Y205,0)),IF(Element_Stiffness!$E$180=7,IF(0=Element_Stiffness!$C$180,Element_Stiffness!S211,IF(0=Element_Stiffness!$E$180,Element_Stiffness!Y211,0)),0)),0)+IF(Element_Stiffness!$C$216,IF(Element_Stiffness!$C$215=7,IF(0=Element_Stiffness!$C$215,Element_Stiffness!S240,IF(0=Element_Stiffness!$E$215,Element_Stiffness!Y240,0)),IF(Element_Stiffness!$E$215=7,IF(0=Element_Stiffness!$C$215,Element_Stiffness!S246,IF(0=Element_Stiffness!$E$215,Element_Stiffness!Y246,0)),0)),0)</f>
        <v/>
      </c>
      <c r="G51" s="21">
        <f>IF(Element_Stiffness!$C$6,IF(Element_Stiffness!$C$5=7,IF(0=Element_Stiffness!$C$5,Element_Stiffness!T30,IF(0=Element_Stiffness!$E$5,Element_Stiffness!Z30,0)),IF(Element_Stiffness!$E$5=7,IF(0=Element_Stiffness!$C$5,Element_Stiffness!T36,IF(0=Element_Stiffness!$E$5,Element_Stiffness!Z36,0)),0)),0)+IF(Element_Stiffness!$C$41,IF(Element_Stiffness!$C$40=7,IF(0=Element_Stiffness!$C$40,Element_Stiffness!T65,IF(0=Element_Stiffness!$E$40,Element_Stiffness!Z65,0)),IF(Element_Stiffness!$E$40=7,IF(0=Element_Stiffness!$C$40,Element_Stiffness!T71,IF(0=Element_Stiffness!$E$40,Element_Stiffness!Z71,0)),0)),0)+IF(Element_Stiffness!$C$76,IF(Element_Stiffness!$C$75=7,IF(0=Element_Stiffness!$C$75,Element_Stiffness!T100,IF(0=Element_Stiffness!$E$75,Element_Stiffness!Z100,0)),IF(Element_Stiffness!$E$75=7,IF(0=Element_Stiffness!$C$75,Element_Stiffness!T106,IF(0=Element_Stiffness!$E$75,Element_Stiffness!Z106,0)),0)),0)+IF(Element_Stiffness!$C$111,IF(Element_Stiffness!$C$110=7,IF(0=Element_Stiffness!$C$110,Element_Stiffness!T135,IF(0=Element_Stiffness!$E$110,Element_Stiffness!Z135,0)),IF(Element_Stiffness!$E$110=7,IF(0=Element_Stiffness!$C$110,Element_Stiffness!T141,IF(0=Element_Stiffness!$E$110,Element_Stiffness!Z141,0)),0)),0)+IF(Element_Stiffness!$C$146,IF(Element_Stiffness!$C$145=7,IF(0=Element_Stiffness!$C$145,Element_Stiffness!T170,IF(0=Element_Stiffness!$E$145,Element_Stiffness!Z170,0)),IF(Element_Stiffness!$E$145=7,IF(0=Element_Stiffness!$C$145,Element_Stiffness!T176,IF(0=Element_Stiffness!$E$145,Element_Stiffness!Z176,0)),0)),0)+IF(Element_Stiffness!$C$181,IF(Element_Stiffness!$C$180=7,IF(0=Element_Stiffness!$C$180,Element_Stiffness!T205,IF(0=Element_Stiffness!$E$180,Element_Stiffness!Z205,0)),IF(Element_Stiffness!$E$180=7,IF(0=Element_Stiffness!$C$180,Element_Stiffness!T211,IF(0=Element_Stiffness!$E$180,Element_Stiffness!Z211,0)),0)),0)+IF(Element_Stiffness!$C$216,IF(Element_Stiffness!$C$215=7,IF(0=Element_Stiffness!$C$215,Element_Stiffness!T240,IF(0=Element_Stiffness!$E$215,Element_Stiffness!Z240,0)),IF(Element_Stiffness!$E$215=7,IF(0=Element_Stiffness!$C$215,Element_Stiffness!T246,IF(0=Element_Stiffness!$E$215,Element_Stiffness!Z246,0)),0)),0)</f>
        <v/>
      </c>
      <c r="H51" s="21">
        <f>IF(Element_Stiffness!$C$6,IF(Element_Stiffness!$C$5=7,IF(0=Element_Stiffness!$C$5,Element_Stiffness!U30,IF(0=Element_Stiffness!$E$5,Element_Stiffness!AA30,0)),IF(Element_Stiffness!$E$5=7,IF(0=Element_Stiffness!$C$5,Element_Stiffness!U36,IF(0=Element_Stiffness!$E$5,Element_Stiffness!AA36,0)),0)),0)+IF(Element_Stiffness!$C$41,IF(Element_Stiffness!$C$40=7,IF(0=Element_Stiffness!$C$40,Element_Stiffness!U65,IF(0=Element_Stiffness!$E$40,Element_Stiffness!AA65,0)),IF(Element_Stiffness!$E$40=7,IF(0=Element_Stiffness!$C$40,Element_Stiffness!U71,IF(0=Element_Stiffness!$E$40,Element_Stiffness!AA71,0)),0)),0)+IF(Element_Stiffness!$C$76,IF(Element_Stiffness!$C$75=7,IF(0=Element_Stiffness!$C$75,Element_Stiffness!U100,IF(0=Element_Stiffness!$E$75,Element_Stiffness!AA100,0)),IF(Element_Stiffness!$E$75=7,IF(0=Element_Stiffness!$C$75,Element_Stiffness!U106,IF(0=Element_Stiffness!$E$75,Element_Stiffness!AA106,0)),0)),0)+IF(Element_Stiffness!$C$111,IF(Element_Stiffness!$C$110=7,IF(0=Element_Stiffness!$C$110,Element_Stiffness!U135,IF(0=Element_Stiffness!$E$110,Element_Stiffness!AA135,0)),IF(Element_Stiffness!$E$110=7,IF(0=Element_Stiffness!$C$110,Element_Stiffness!U141,IF(0=Element_Stiffness!$E$110,Element_Stiffness!AA141,0)),0)),0)+IF(Element_Stiffness!$C$146,IF(Element_Stiffness!$C$145=7,IF(0=Element_Stiffness!$C$145,Element_Stiffness!U170,IF(0=Element_Stiffness!$E$145,Element_Stiffness!AA170,0)),IF(Element_Stiffness!$E$145=7,IF(0=Element_Stiffness!$C$145,Element_Stiffness!U176,IF(0=Element_Stiffness!$E$145,Element_Stiffness!AA176,0)),0)),0)+IF(Element_Stiffness!$C$181,IF(Element_Stiffness!$C$180=7,IF(0=Element_Stiffness!$C$180,Element_Stiffness!U205,IF(0=Element_Stiffness!$E$180,Element_Stiffness!AA205,0)),IF(Element_Stiffness!$E$180=7,IF(0=Element_Stiffness!$C$180,Element_Stiffness!U211,IF(0=Element_Stiffness!$E$180,Element_Stiffness!AA211,0)),0)),0)+IF(Element_Stiffness!$C$216,IF(Element_Stiffness!$C$215=7,IF(0=Element_Stiffness!$C$215,Element_Stiffness!U240,IF(0=Element_Stiffness!$E$215,Element_Stiffness!AA240,0)),IF(Element_Stiffness!$E$215=7,IF(0=Element_Stiffness!$C$215,Element_Stiffness!U246,IF(0=Element_Stiffness!$E$215,Element_Stiffness!AA246,0)),0)),0)</f>
        <v/>
      </c>
      <c r="I51" s="21">
        <f>IF(Element_Stiffness!$C$6,IF(Element_Stiffness!$C$5=7,IF(1=Element_Stiffness!$C$5,Element_Stiffness!P30,IF(1=Element_Stiffness!$E$5,Element_Stiffness!V30,0)),IF(Element_Stiffness!$E$5=7,IF(1=Element_Stiffness!$C$5,Element_Stiffness!P36,IF(1=Element_Stiffness!$E$5,Element_Stiffness!V36,0)),0)),0)+IF(Element_Stiffness!$C$41,IF(Element_Stiffness!$C$40=7,IF(1=Element_Stiffness!$C$40,Element_Stiffness!P65,IF(1=Element_Stiffness!$E$40,Element_Stiffness!V65,0)),IF(Element_Stiffness!$E$40=7,IF(1=Element_Stiffness!$C$40,Element_Stiffness!P71,IF(1=Element_Stiffness!$E$40,Element_Stiffness!V71,0)),0)),0)+IF(Element_Stiffness!$C$76,IF(Element_Stiffness!$C$75=7,IF(1=Element_Stiffness!$C$75,Element_Stiffness!P100,IF(1=Element_Stiffness!$E$75,Element_Stiffness!V100,0)),IF(Element_Stiffness!$E$75=7,IF(1=Element_Stiffness!$C$75,Element_Stiffness!P106,IF(1=Element_Stiffness!$E$75,Element_Stiffness!V106,0)),0)),0)+IF(Element_Stiffness!$C$111,IF(Element_Stiffness!$C$110=7,IF(1=Element_Stiffness!$C$110,Element_Stiffness!P135,IF(1=Element_Stiffness!$E$110,Element_Stiffness!V135,0)),IF(Element_Stiffness!$E$110=7,IF(1=Element_Stiffness!$C$110,Element_Stiffness!P141,IF(1=Element_Stiffness!$E$110,Element_Stiffness!V141,0)),0)),0)+IF(Element_Stiffness!$C$146,IF(Element_Stiffness!$C$145=7,IF(1=Element_Stiffness!$C$145,Element_Stiffness!P170,IF(1=Element_Stiffness!$E$145,Element_Stiffness!V170,0)),IF(Element_Stiffness!$E$145=7,IF(1=Element_Stiffness!$C$145,Element_Stiffness!P176,IF(1=Element_Stiffness!$E$145,Element_Stiffness!V176,0)),0)),0)+IF(Element_Stiffness!$C$181,IF(Element_Stiffness!$C$180=7,IF(1=Element_Stiffness!$C$180,Element_Stiffness!P205,IF(1=Element_Stiffness!$E$180,Element_Stiffness!V205,0)),IF(Element_Stiffness!$E$180=7,IF(1=Element_Stiffness!$C$180,Element_Stiffness!P211,IF(1=Element_Stiffness!$E$180,Element_Stiffness!V211,0)),0)),0)+IF(Element_Stiffness!$C$216,IF(Element_Stiffness!$C$215=7,IF(1=Element_Stiffness!$C$215,Element_Stiffness!P240,IF(1=Element_Stiffness!$E$215,Element_Stiffness!V240,0)),IF(Element_Stiffness!$E$215=7,IF(1=Element_Stiffness!$C$215,Element_Stiffness!P246,IF(1=Element_Stiffness!$E$215,Element_Stiffness!V246,0)),0)),0)</f>
        <v/>
      </c>
      <c r="J51" s="21">
        <f>IF(Element_Stiffness!$C$6,IF(Element_Stiffness!$C$5=7,IF(1=Element_Stiffness!$C$5,Element_Stiffness!Q30,IF(1=Element_Stiffness!$E$5,Element_Stiffness!W30,0)),IF(Element_Stiffness!$E$5=7,IF(1=Element_Stiffness!$C$5,Element_Stiffness!Q36,IF(1=Element_Stiffness!$E$5,Element_Stiffness!W36,0)),0)),0)+IF(Element_Stiffness!$C$41,IF(Element_Stiffness!$C$40=7,IF(1=Element_Stiffness!$C$40,Element_Stiffness!Q65,IF(1=Element_Stiffness!$E$40,Element_Stiffness!W65,0)),IF(Element_Stiffness!$E$40=7,IF(1=Element_Stiffness!$C$40,Element_Stiffness!Q71,IF(1=Element_Stiffness!$E$40,Element_Stiffness!W71,0)),0)),0)+IF(Element_Stiffness!$C$76,IF(Element_Stiffness!$C$75=7,IF(1=Element_Stiffness!$C$75,Element_Stiffness!Q100,IF(1=Element_Stiffness!$E$75,Element_Stiffness!W100,0)),IF(Element_Stiffness!$E$75=7,IF(1=Element_Stiffness!$C$75,Element_Stiffness!Q106,IF(1=Element_Stiffness!$E$75,Element_Stiffness!W106,0)),0)),0)+IF(Element_Stiffness!$C$111,IF(Element_Stiffness!$C$110=7,IF(1=Element_Stiffness!$C$110,Element_Stiffness!Q135,IF(1=Element_Stiffness!$E$110,Element_Stiffness!W135,0)),IF(Element_Stiffness!$E$110=7,IF(1=Element_Stiffness!$C$110,Element_Stiffness!Q141,IF(1=Element_Stiffness!$E$110,Element_Stiffness!W141,0)),0)),0)+IF(Element_Stiffness!$C$146,IF(Element_Stiffness!$C$145=7,IF(1=Element_Stiffness!$C$145,Element_Stiffness!Q170,IF(1=Element_Stiffness!$E$145,Element_Stiffness!W170,0)),IF(Element_Stiffness!$E$145=7,IF(1=Element_Stiffness!$C$145,Element_Stiffness!Q176,IF(1=Element_Stiffness!$E$145,Element_Stiffness!W176,0)),0)),0)+IF(Element_Stiffness!$C$181,IF(Element_Stiffness!$C$180=7,IF(1=Element_Stiffness!$C$180,Element_Stiffness!Q205,IF(1=Element_Stiffness!$E$180,Element_Stiffness!W205,0)),IF(Element_Stiffness!$E$180=7,IF(1=Element_Stiffness!$C$180,Element_Stiffness!Q211,IF(1=Element_Stiffness!$E$180,Element_Stiffness!W211,0)),0)),0)+IF(Element_Stiffness!$C$216,IF(Element_Stiffness!$C$215=7,IF(1=Element_Stiffness!$C$215,Element_Stiffness!Q240,IF(1=Element_Stiffness!$E$215,Element_Stiffness!W240,0)),IF(Element_Stiffness!$E$215=7,IF(1=Element_Stiffness!$C$215,Element_Stiffness!Q246,IF(1=Element_Stiffness!$E$215,Element_Stiffness!W246,0)),0)),0)</f>
        <v/>
      </c>
      <c r="K51" s="21">
        <f>IF(Element_Stiffness!$C$6,IF(Element_Stiffness!$C$5=7,IF(1=Element_Stiffness!$C$5,Element_Stiffness!R30,IF(1=Element_Stiffness!$E$5,Element_Stiffness!X30,0)),IF(Element_Stiffness!$E$5=7,IF(1=Element_Stiffness!$C$5,Element_Stiffness!R36,IF(1=Element_Stiffness!$E$5,Element_Stiffness!X36,0)),0)),0)+IF(Element_Stiffness!$C$41,IF(Element_Stiffness!$C$40=7,IF(1=Element_Stiffness!$C$40,Element_Stiffness!R65,IF(1=Element_Stiffness!$E$40,Element_Stiffness!X65,0)),IF(Element_Stiffness!$E$40=7,IF(1=Element_Stiffness!$C$40,Element_Stiffness!R71,IF(1=Element_Stiffness!$E$40,Element_Stiffness!X71,0)),0)),0)+IF(Element_Stiffness!$C$76,IF(Element_Stiffness!$C$75=7,IF(1=Element_Stiffness!$C$75,Element_Stiffness!R100,IF(1=Element_Stiffness!$E$75,Element_Stiffness!X100,0)),IF(Element_Stiffness!$E$75=7,IF(1=Element_Stiffness!$C$75,Element_Stiffness!R106,IF(1=Element_Stiffness!$E$75,Element_Stiffness!X106,0)),0)),0)+IF(Element_Stiffness!$C$111,IF(Element_Stiffness!$C$110=7,IF(1=Element_Stiffness!$C$110,Element_Stiffness!R135,IF(1=Element_Stiffness!$E$110,Element_Stiffness!X135,0)),IF(Element_Stiffness!$E$110=7,IF(1=Element_Stiffness!$C$110,Element_Stiffness!R141,IF(1=Element_Stiffness!$E$110,Element_Stiffness!X141,0)),0)),0)+IF(Element_Stiffness!$C$146,IF(Element_Stiffness!$C$145=7,IF(1=Element_Stiffness!$C$145,Element_Stiffness!R170,IF(1=Element_Stiffness!$E$145,Element_Stiffness!X170,0)),IF(Element_Stiffness!$E$145=7,IF(1=Element_Stiffness!$C$145,Element_Stiffness!R176,IF(1=Element_Stiffness!$E$145,Element_Stiffness!X176,0)),0)),0)+IF(Element_Stiffness!$C$181,IF(Element_Stiffness!$C$180=7,IF(1=Element_Stiffness!$C$180,Element_Stiffness!R205,IF(1=Element_Stiffness!$E$180,Element_Stiffness!X205,0)),IF(Element_Stiffness!$E$180=7,IF(1=Element_Stiffness!$C$180,Element_Stiffness!R211,IF(1=Element_Stiffness!$E$180,Element_Stiffness!X211,0)),0)),0)+IF(Element_Stiffness!$C$216,IF(Element_Stiffness!$C$215=7,IF(1=Element_Stiffness!$C$215,Element_Stiffness!R240,IF(1=Element_Stiffness!$E$215,Element_Stiffness!X240,0)),IF(Element_Stiffness!$E$215=7,IF(1=Element_Stiffness!$C$215,Element_Stiffness!R246,IF(1=Element_Stiffness!$E$215,Element_Stiffness!X246,0)),0)),0)</f>
        <v/>
      </c>
      <c r="L51" s="21">
        <f>IF(Element_Stiffness!$C$6,IF(Element_Stiffness!$C$5=7,IF(1=Element_Stiffness!$C$5,Element_Stiffness!S30,IF(1=Element_Stiffness!$E$5,Element_Stiffness!Y30,0)),IF(Element_Stiffness!$E$5=7,IF(1=Element_Stiffness!$C$5,Element_Stiffness!S36,IF(1=Element_Stiffness!$E$5,Element_Stiffness!Y36,0)),0)),0)+IF(Element_Stiffness!$C$41,IF(Element_Stiffness!$C$40=7,IF(1=Element_Stiffness!$C$40,Element_Stiffness!S65,IF(1=Element_Stiffness!$E$40,Element_Stiffness!Y65,0)),IF(Element_Stiffness!$E$40=7,IF(1=Element_Stiffness!$C$40,Element_Stiffness!S71,IF(1=Element_Stiffness!$E$40,Element_Stiffness!Y71,0)),0)),0)+IF(Element_Stiffness!$C$76,IF(Element_Stiffness!$C$75=7,IF(1=Element_Stiffness!$C$75,Element_Stiffness!S100,IF(1=Element_Stiffness!$E$75,Element_Stiffness!Y100,0)),IF(Element_Stiffness!$E$75=7,IF(1=Element_Stiffness!$C$75,Element_Stiffness!S106,IF(1=Element_Stiffness!$E$75,Element_Stiffness!Y106,0)),0)),0)+IF(Element_Stiffness!$C$111,IF(Element_Stiffness!$C$110=7,IF(1=Element_Stiffness!$C$110,Element_Stiffness!S135,IF(1=Element_Stiffness!$E$110,Element_Stiffness!Y135,0)),IF(Element_Stiffness!$E$110=7,IF(1=Element_Stiffness!$C$110,Element_Stiffness!S141,IF(1=Element_Stiffness!$E$110,Element_Stiffness!Y141,0)),0)),0)+IF(Element_Stiffness!$C$146,IF(Element_Stiffness!$C$145=7,IF(1=Element_Stiffness!$C$145,Element_Stiffness!S170,IF(1=Element_Stiffness!$E$145,Element_Stiffness!Y170,0)),IF(Element_Stiffness!$E$145=7,IF(1=Element_Stiffness!$C$145,Element_Stiffness!S176,IF(1=Element_Stiffness!$E$145,Element_Stiffness!Y176,0)),0)),0)+IF(Element_Stiffness!$C$181,IF(Element_Stiffness!$C$180=7,IF(1=Element_Stiffness!$C$180,Element_Stiffness!S205,IF(1=Element_Stiffness!$E$180,Element_Stiffness!Y205,0)),IF(Element_Stiffness!$E$180=7,IF(1=Element_Stiffness!$C$180,Element_Stiffness!S211,IF(1=Element_Stiffness!$E$180,Element_Stiffness!Y211,0)),0)),0)+IF(Element_Stiffness!$C$216,IF(Element_Stiffness!$C$215=7,IF(1=Element_Stiffness!$C$215,Element_Stiffness!S240,IF(1=Element_Stiffness!$E$215,Element_Stiffness!Y240,0)),IF(Element_Stiffness!$E$215=7,IF(1=Element_Stiffness!$C$215,Element_Stiffness!S246,IF(1=Element_Stiffness!$E$215,Element_Stiffness!Y246,0)),0)),0)</f>
        <v/>
      </c>
      <c r="M51" s="21">
        <f>IF(Element_Stiffness!$C$6,IF(Element_Stiffness!$C$5=7,IF(1=Element_Stiffness!$C$5,Element_Stiffness!T30,IF(1=Element_Stiffness!$E$5,Element_Stiffness!Z30,0)),IF(Element_Stiffness!$E$5=7,IF(1=Element_Stiffness!$C$5,Element_Stiffness!T36,IF(1=Element_Stiffness!$E$5,Element_Stiffness!Z36,0)),0)),0)+IF(Element_Stiffness!$C$41,IF(Element_Stiffness!$C$40=7,IF(1=Element_Stiffness!$C$40,Element_Stiffness!T65,IF(1=Element_Stiffness!$E$40,Element_Stiffness!Z65,0)),IF(Element_Stiffness!$E$40=7,IF(1=Element_Stiffness!$C$40,Element_Stiffness!T71,IF(1=Element_Stiffness!$E$40,Element_Stiffness!Z71,0)),0)),0)+IF(Element_Stiffness!$C$76,IF(Element_Stiffness!$C$75=7,IF(1=Element_Stiffness!$C$75,Element_Stiffness!T100,IF(1=Element_Stiffness!$E$75,Element_Stiffness!Z100,0)),IF(Element_Stiffness!$E$75=7,IF(1=Element_Stiffness!$C$75,Element_Stiffness!T106,IF(1=Element_Stiffness!$E$75,Element_Stiffness!Z106,0)),0)),0)+IF(Element_Stiffness!$C$111,IF(Element_Stiffness!$C$110=7,IF(1=Element_Stiffness!$C$110,Element_Stiffness!T135,IF(1=Element_Stiffness!$E$110,Element_Stiffness!Z135,0)),IF(Element_Stiffness!$E$110=7,IF(1=Element_Stiffness!$C$110,Element_Stiffness!T141,IF(1=Element_Stiffness!$E$110,Element_Stiffness!Z141,0)),0)),0)+IF(Element_Stiffness!$C$146,IF(Element_Stiffness!$C$145=7,IF(1=Element_Stiffness!$C$145,Element_Stiffness!T170,IF(1=Element_Stiffness!$E$145,Element_Stiffness!Z170,0)),IF(Element_Stiffness!$E$145=7,IF(1=Element_Stiffness!$C$145,Element_Stiffness!T176,IF(1=Element_Stiffness!$E$145,Element_Stiffness!Z176,0)),0)),0)+IF(Element_Stiffness!$C$181,IF(Element_Stiffness!$C$180=7,IF(1=Element_Stiffness!$C$180,Element_Stiffness!T205,IF(1=Element_Stiffness!$E$180,Element_Stiffness!Z205,0)),IF(Element_Stiffness!$E$180=7,IF(1=Element_Stiffness!$C$180,Element_Stiffness!T211,IF(1=Element_Stiffness!$E$180,Element_Stiffness!Z211,0)),0)),0)+IF(Element_Stiffness!$C$216,IF(Element_Stiffness!$C$215=7,IF(1=Element_Stiffness!$C$215,Element_Stiffness!T240,IF(1=Element_Stiffness!$E$215,Element_Stiffness!Z240,0)),IF(Element_Stiffness!$E$215=7,IF(1=Element_Stiffness!$C$215,Element_Stiffness!T246,IF(1=Element_Stiffness!$E$215,Element_Stiffness!Z246,0)),0)),0)</f>
        <v/>
      </c>
      <c r="N51" s="21">
        <f>IF(Element_Stiffness!$C$6,IF(Element_Stiffness!$C$5=7,IF(1=Element_Stiffness!$C$5,Element_Stiffness!U30,IF(1=Element_Stiffness!$E$5,Element_Stiffness!AA30,0)),IF(Element_Stiffness!$E$5=7,IF(1=Element_Stiffness!$C$5,Element_Stiffness!U36,IF(1=Element_Stiffness!$E$5,Element_Stiffness!AA36,0)),0)),0)+IF(Element_Stiffness!$C$41,IF(Element_Stiffness!$C$40=7,IF(1=Element_Stiffness!$C$40,Element_Stiffness!U65,IF(1=Element_Stiffness!$E$40,Element_Stiffness!AA65,0)),IF(Element_Stiffness!$E$40=7,IF(1=Element_Stiffness!$C$40,Element_Stiffness!U71,IF(1=Element_Stiffness!$E$40,Element_Stiffness!AA71,0)),0)),0)+IF(Element_Stiffness!$C$76,IF(Element_Stiffness!$C$75=7,IF(1=Element_Stiffness!$C$75,Element_Stiffness!U100,IF(1=Element_Stiffness!$E$75,Element_Stiffness!AA100,0)),IF(Element_Stiffness!$E$75=7,IF(1=Element_Stiffness!$C$75,Element_Stiffness!U106,IF(1=Element_Stiffness!$E$75,Element_Stiffness!AA106,0)),0)),0)+IF(Element_Stiffness!$C$111,IF(Element_Stiffness!$C$110=7,IF(1=Element_Stiffness!$C$110,Element_Stiffness!U135,IF(1=Element_Stiffness!$E$110,Element_Stiffness!AA135,0)),IF(Element_Stiffness!$E$110=7,IF(1=Element_Stiffness!$C$110,Element_Stiffness!U141,IF(1=Element_Stiffness!$E$110,Element_Stiffness!AA141,0)),0)),0)+IF(Element_Stiffness!$C$146,IF(Element_Stiffness!$C$145=7,IF(1=Element_Stiffness!$C$145,Element_Stiffness!U170,IF(1=Element_Stiffness!$E$145,Element_Stiffness!AA170,0)),IF(Element_Stiffness!$E$145=7,IF(1=Element_Stiffness!$C$145,Element_Stiffness!U176,IF(1=Element_Stiffness!$E$145,Element_Stiffness!AA176,0)),0)),0)+IF(Element_Stiffness!$C$181,IF(Element_Stiffness!$C$180=7,IF(1=Element_Stiffness!$C$180,Element_Stiffness!U205,IF(1=Element_Stiffness!$E$180,Element_Stiffness!AA205,0)),IF(Element_Stiffness!$E$180=7,IF(1=Element_Stiffness!$C$180,Element_Stiffness!U211,IF(1=Element_Stiffness!$E$180,Element_Stiffness!AA211,0)),0)),0)+IF(Element_Stiffness!$C$216,IF(Element_Stiffness!$C$215=7,IF(1=Element_Stiffness!$C$215,Element_Stiffness!U240,IF(1=Element_Stiffness!$E$215,Element_Stiffness!AA240,0)),IF(Element_Stiffness!$E$215=7,IF(1=Element_Stiffness!$C$215,Element_Stiffness!U246,IF(1=Element_Stiffness!$E$215,Element_Stiffness!AA246,0)),0)),0)</f>
        <v/>
      </c>
      <c r="O51" s="21">
        <f>IF(Element_Stiffness!$C$6,IF(Element_Stiffness!$C$5=7,IF(2=Element_Stiffness!$C$5,Element_Stiffness!P30,IF(2=Element_Stiffness!$E$5,Element_Stiffness!V30,0)),IF(Element_Stiffness!$E$5=7,IF(2=Element_Stiffness!$C$5,Element_Stiffness!P36,IF(2=Element_Stiffness!$E$5,Element_Stiffness!V36,0)),0)),0)+IF(Element_Stiffness!$C$41,IF(Element_Stiffness!$C$40=7,IF(2=Element_Stiffness!$C$40,Element_Stiffness!P65,IF(2=Element_Stiffness!$E$40,Element_Stiffness!V65,0)),IF(Element_Stiffness!$E$40=7,IF(2=Element_Stiffness!$C$40,Element_Stiffness!P71,IF(2=Element_Stiffness!$E$40,Element_Stiffness!V71,0)),0)),0)+IF(Element_Stiffness!$C$76,IF(Element_Stiffness!$C$75=7,IF(2=Element_Stiffness!$C$75,Element_Stiffness!P100,IF(2=Element_Stiffness!$E$75,Element_Stiffness!V100,0)),IF(Element_Stiffness!$E$75=7,IF(2=Element_Stiffness!$C$75,Element_Stiffness!P106,IF(2=Element_Stiffness!$E$75,Element_Stiffness!V106,0)),0)),0)+IF(Element_Stiffness!$C$111,IF(Element_Stiffness!$C$110=7,IF(2=Element_Stiffness!$C$110,Element_Stiffness!P135,IF(2=Element_Stiffness!$E$110,Element_Stiffness!V135,0)),IF(Element_Stiffness!$E$110=7,IF(2=Element_Stiffness!$C$110,Element_Stiffness!P141,IF(2=Element_Stiffness!$E$110,Element_Stiffness!V141,0)),0)),0)+IF(Element_Stiffness!$C$146,IF(Element_Stiffness!$C$145=7,IF(2=Element_Stiffness!$C$145,Element_Stiffness!P170,IF(2=Element_Stiffness!$E$145,Element_Stiffness!V170,0)),IF(Element_Stiffness!$E$145=7,IF(2=Element_Stiffness!$C$145,Element_Stiffness!P176,IF(2=Element_Stiffness!$E$145,Element_Stiffness!V176,0)),0)),0)+IF(Element_Stiffness!$C$181,IF(Element_Stiffness!$C$180=7,IF(2=Element_Stiffness!$C$180,Element_Stiffness!P205,IF(2=Element_Stiffness!$E$180,Element_Stiffness!V205,0)),IF(Element_Stiffness!$E$180=7,IF(2=Element_Stiffness!$C$180,Element_Stiffness!P211,IF(2=Element_Stiffness!$E$180,Element_Stiffness!V211,0)),0)),0)+IF(Element_Stiffness!$C$216,IF(Element_Stiffness!$C$215=7,IF(2=Element_Stiffness!$C$215,Element_Stiffness!P240,IF(2=Element_Stiffness!$E$215,Element_Stiffness!V240,0)),IF(Element_Stiffness!$E$215=7,IF(2=Element_Stiffness!$C$215,Element_Stiffness!P246,IF(2=Element_Stiffness!$E$215,Element_Stiffness!V246,0)),0)),0)</f>
        <v/>
      </c>
      <c r="P51" s="21">
        <f>IF(Element_Stiffness!$C$6,IF(Element_Stiffness!$C$5=7,IF(2=Element_Stiffness!$C$5,Element_Stiffness!Q30,IF(2=Element_Stiffness!$E$5,Element_Stiffness!W30,0)),IF(Element_Stiffness!$E$5=7,IF(2=Element_Stiffness!$C$5,Element_Stiffness!Q36,IF(2=Element_Stiffness!$E$5,Element_Stiffness!W36,0)),0)),0)+IF(Element_Stiffness!$C$41,IF(Element_Stiffness!$C$40=7,IF(2=Element_Stiffness!$C$40,Element_Stiffness!Q65,IF(2=Element_Stiffness!$E$40,Element_Stiffness!W65,0)),IF(Element_Stiffness!$E$40=7,IF(2=Element_Stiffness!$C$40,Element_Stiffness!Q71,IF(2=Element_Stiffness!$E$40,Element_Stiffness!W71,0)),0)),0)+IF(Element_Stiffness!$C$76,IF(Element_Stiffness!$C$75=7,IF(2=Element_Stiffness!$C$75,Element_Stiffness!Q100,IF(2=Element_Stiffness!$E$75,Element_Stiffness!W100,0)),IF(Element_Stiffness!$E$75=7,IF(2=Element_Stiffness!$C$75,Element_Stiffness!Q106,IF(2=Element_Stiffness!$E$75,Element_Stiffness!W106,0)),0)),0)+IF(Element_Stiffness!$C$111,IF(Element_Stiffness!$C$110=7,IF(2=Element_Stiffness!$C$110,Element_Stiffness!Q135,IF(2=Element_Stiffness!$E$110,Element_Stiffness!W135,0)),IF(Element_Stiffness!$E$110=7,IF(2=Element_Stiffness!$C$110,Element_Stiffness!Q141,IF(2=Element_Stiffness!$E$110,Element_Stiffness!W141,0)),0)),0)+IF(Element_Stiffness!$C$146,IF(Element_Stiffness!$C$145=7,IF(2=Element_Stiffness!$C$145,Element_Stiffness!Q170,IF(2=Element_Stiffness!$E$145,Element_Stiffness!W170,0)),IF(Element_Stiffness!$E$145=7,IF(2=Element_Stiffness!$C$145,Element_Stiffness!Q176,IF(2=Element_Stiffness!$E$145,Element_Stiffness!W176,0)),0)),0)+IF(Element_Stiffness!$C$181,IF(Element_Stiffness!$C$180=7,IF(2=Element_Stiffness!$C$180,Element_Stiffness!Q205,IF(2=Element_Stiffness!$E$180,Element_Stiffness!W205,0)),IF(Element_Stiffness!$E$180=7,IF(2=Element_Stiffness!$C$180,Element_Stiffness!Q211,IF(2=Element_Stiffness!$E$180,Element_Stiffness!W211,0)),0)),0)+IF(Element_Stiffness!$C$216,IF(Element_Stiffness!$C$215=7,IF(2=Element_Stiffness!$C$215,Element_Stiffness!Q240,IF(2=Element_Stiffness!$E$215,Element_Stiffness!W240,0)),IF(Element_Stiffness!$E$215=7,IF(2=Element_Stiffness!$C$215,Element_Stiffness!Q246,IF(2=Element_Stiffness!$E$215,Element_Stiffness!W246,0)),0)),0)</f>
        <v/>
      </c>
      <c r="Q51" s="21">
        <f>IF(Element_Stiffness!$C$6,IF(Element_Stiffness!$C$5=7,IF(2=Element_Stiffness!$C$5,Element_Stiffness!R30,IF(2=Element_Stiffness!$E$5,Element_Stiffness!X30,0)),IF(Element_Stiffness!$E$5=7,IF(2=Element_Stiffness!$C$5,Element_Stiffness!R36,IF(2=Element_Stiffness!$E$5,Element_Stiffness!X36,0)),0)),0)+IF(Element_Stiffness!$C$41,IF(Element_Stiffness!$C$40=7,IF(2=Element_Stiffness!$C$40,Element_Stiffness!R65,IF(2=Element_Stiffness!$E$40,Element_Stiffness!X65,0)),IF(Element_Stiffness!$E$40=7,IF(2=Element_Stiffness!$C$40,Element_Stiffness!R71,IF(2=Element_Stiffness!$E$40,Element_Stiffness!X71,0)),0)),0)+IF(Element_Stiffness!$C$76,IF(Element_Stiffness!$C$75=7,IF(2=Element_Stiffness!$C$75,Element_Stiffness!R100,IF(2=Element_Stiffness!$E$75,Element_Stiffness!X100,0)),IF(Element_Stiffness!$E$75=7,IF(2=Element_Stiffness!$C$75,Element_Stiffness!R106,IF(2=Element_Stiffness!$E$75,Element_Stiffness!X106,0)),0)),0)+IF(Element_Stiffness!$C$111,IF(Element_Stiffness!$C$110=7,IF(2=Element_Stiffness!$C$110,Element_Stiffness!R135,IF(2=Element_Stiffness!$E$110,Element_Stiffness!X135,0)),IF(Element_Stiffness!$E$110=7,IF(2=Element_Stiffness!$C$110,Element_Stiffness!R141,IF(2=Element_Stiffness!$E$110,Element_Stiffness!X141,0)),0)),0)+IF(Element_Stiffness!$C$146,IF(Element_Stiffness!$C$145=7,IF(2=Element_Stiffness!$C$145,Element_Stiffness!R170,IF(2=Element_Stiffness!$E$145,Element_Stiffness!X170,0)),IF(Element_Stiffness!$E$145=7,IF(2=Element_Stiffness!$C$145,Element_Stiffness!R176,IF(2=Element_Stiffness!$E$145,Element_Stiffness!X176,0)),0)),0)+IF(Element_Stiffness!$C$181,IF(Element_Stiffness!$C$180=7,IF(2=Element_Stiffness!$C$180,Element_Stiffness!R205,IF(2=Element_Stiffness!$E$180,Element_Stiffness!X205,0)),IF(Element_Stiffness!$E$180=7,IF(2=Element_Stiffness!$C$180,Element_Stiffness!R211,IF(2=Element_Stiffness!$E$180,Element_Stiffness!X211,0)),0)),0)+IF(Element_Stiffness!$C$216,IF(Element_Stiffness!$C$215=7,IF(2=Element_Stiffness!$C$215,Element_Stiffness!R240,IF(2=Element_Stiffness!$E$215,Element_Stiffness!X240,0)),IF(Element_Stiffness!$E$215=7,IF(2=Element_Stiffness!$C$215,Element_Stiffness!R246,IF(2=Element_Stiffness!$E$215,Element_Stiffness!X246,0)),0)),0)</f>
        <v/>
      </c>
      <c r="R51" s="21">
        <f>IF(Element_Stiffness!$C$6,IF(Element_Stiffness!$C$5=7,IF(2=Element_Stiffness!$C$5,Element_Stiffness!S30,IF(2=Element_Stiffness!$E$5,Element_Stiffness!Y30,0)),IF(Element_Stiffness!$E$5=7,IF(2=Element_Stiffness!$C$5,Element_Stiffness!S36,IF(2=Element_Stiffness!$E$5,Element_Stiffness!Y36,0)),0)),0)+IF(Element_Stiffness!$C$41,IF(Element_Stiffness!$C$40=7,IF(2=Element_Stiffness!$C$40,Element_Stiffness!S65,IF(2=Element_Stiffness!$E$40,Element_Stiffness!Y65,0)),IF(Element_Stiffness!$E$40=7,IF(2=Element_Stiffness!$C$40,Element_Stiffness!S71,IF(2=Element_Stiffness!$E$40,Element_Stiffness!Y71,0)),0)),0)+IF(Element_Stiffness!$C$76,IF(Element_Stiffness!$C$75=7,IF(2=Element_Stiffness!$C$75,Element_Stiffness!S100,IF(2=Element_Stiffness!$E$75,Element_Stiffness!Y100,0)),IF(Element_Stiffness!$E$75=7,IF(2=Element_Stiffness!$C$75,Element_Stiffness!S106,IF(2=Element_Stiffness!$E$75,Element_Stiffness!Y106,0)),0)),0)+IF(Element_Stiffness!$C$111,IF(Element_Stiffness!$C$110=7,IF(2=Element_Stiffness!$C$110,Element_Stiffness!S135,IF(2=Element_Stiffness!$E$110,Element_Stiffness!Y135,0)),IF(Element_Stiffness!$E$110=7,IF(2=Element_Stiffness!$C$110,Element_Stiffness!S141,IF(2=Element_Stiffness!$E$110,Element_Stiffness!Y141,0)),0)),0)+IF(Element_Stiffness!$C$146,IF(Element_Stiffness!$C$145=7,IF(2=Element_Stiffness!$C$145,Element_Stiffness!S170,IF(2=Element_Stiffness!$E$145,Element_Stiffness!Y170,0)),IF(Element_Stiffness!$E$145=7,IF(2=Element_Stiffness!$C$145,Element_Stiffness!S176,IF(2=Element_Stiffness!$E$145,Element_Stiffness!Y176,0)),0)),0)+IF(Element_Stiffness!$C$181,IF(Element_Stiffness!$C$180=7,IF(2=Element_Stiffness!$C$180,Element_Stiffness!S205,IF(2=Element_Stiffness!$E$180,Element_Stiffness!Y205,0)),IF(Element_Stiffness!$E$180=7,IF(2=Element_Stiffness!$C$180,Element_Stiffness!S211,IF(2=Element_Stiffness!$E$180,Element_Stiffness!Y211,0)),0)),0)+IF(Element_Stiffness!$C$216,IF(Element_Stiffness!$C$215=7,IF(2=Element_Stiffness!$C$215,Element_Stiffness!S240,IF(2=Element_Stiffness!$E$215,Element_Stiffness!Y240,0)),IF(Element_Stiffness!$E$215=7,IF(2=Element_Stiffness!$C$215,Element_Stiffness!S246,IF(2=Element_Stiffness!$E$215,Element_Stiffness!Y246,0)),0)),0)</f>
        <v/>
      </c>
      <c r="S51" s="21">
        <f>IF(Element_Stiffness!$C$6,IF(Element_Stiffness!$C$5=7,IF(2=Element_Stiffness!$C$5,Element_Stiffness!T30,IF(2=Element_Stiffness!$E$5,Element_Stiffness!Z30,0)),IF(Element_Stiffness!$E$5=7,IF(2=Element_Stiffness!$C$5,Element_Stiffness!T36,IF(2=Element_Stiffness!$E$5,Element_Stiffness!Z36,0)),0)),0)+IF(Element_Stiffness!$C$41,IF(Element_Stiffness!$C$40=7,IF(2=Element_Stiffness!$C$40,Element_Stiffness!T65,IF(2=Element_Stiffness!$E$40,Element_Stiffness!Z65,0)),IF(Element_Stiffness!$E$40=7,IF(2=Element_Stiffness!$C$40,Element_Stiffness!T71,IF(2=Element_Stiffness!$E$40,Element_Stiffness!Z71,0)),0)),0)+IF(Element_Stiffness!$C$76,IF(Element_Stiffness!$C$75=7,IF(2=Element_Stiffness!$C$75,Element_Stiffness!T100,IF(2=Element_Stiffness!$E$75,Element_Stiffness!Z100,0)),IF(Element_Stiffness!$E$75=7,IF(2=Element_Stiffness!$C$75,Element_Stiffness!T106,IF(2=Element_Stiffness!$E$75,Element_Stiffness!Z106,0)),0)),0)+IF(Element_Stiffness!$C$111,IF(Element_Stiffness!$C$110=7,IF(2=Element_Stiffness!$C$110,Element_Stiffness!T135,IF(2=Element_Stiffness!$E$110,Element_Stiffness!Z135,0)),IF(Element_Stiffness!$E$110=7,IF(2=Element_Stiffness!$C$110,Element_Stiffness!T141,IF(2=Element_Stiffness!$E$110,Element_Stiffness!Z141,0)),0)),0)+IF(Element_Stiffness!$C$146,IF(Element_Stiffness!$C$145=7,IF(2=Element_Stiffness!$C$145,Element_Stiffness!T170,IF(2=Element_Stiffness!$E$145,Element_Stiffness!Z170,0)),IF(Element_Stiffness!$E$145=7,IF(2=Element_Stiffness!$C$145,Element_Stiffness!T176,IF(2=Element_Stiffness!$E$145,Element_Stiffness!Z176,0)),0)),0)+IF(Element_Stiffness!$C$181,IF(Element_Stiffness!$C$180=7,IF(2=Element_Stiffness!$C$180,Element_Stiffness!T205,IF(2=Element_Stiffness!$E$180,Element_Stiffness!Z205,0)),IF(Element_Stiffness!$E$180=7,IF(2=Element_Stiffness!$C$180,Element_Stiffness!T211,IF(2=Element_Stiffness!$E$180,Element_Stiffness!Z211,0)),0)),0)+IF(Element_Stiffness!$C$216,IF(Element_Stiffness!$C$215=7,IF(2=Element_Stiffness!$C$215,Element_Stiffness!T240,IF(2=Element_Stiffness!$E$215,Element_Stiffness!Z240,0)),IF(Element_Stiffness!$E$215=7,IF(2=Element_Stiffness!$C$215,Element_Stiffness!T246,IF(2=Element_Stiffness!$E$215,Element_Stiffness!Z246,0)),0)),0)</f>
        <v/>
      </c>
      <c r="T51" s="21">
        <f>IF(Element_Stiffness!$C$6,IF(Element_Stiffness!$C$5=7,IF(2=Element_Stiffness!$C$5,Element_Stiffness!U30,IF(2=Element_Stiffness!$E$5,Element_Stiffness!AA30,0)),IF(Element_Stiffness!$E$5=7,IF(2=Element_Stiffness!$C$5,Element_Stiffness!U36,IF(2=Element_Stiffness!$E$5,Element_Stiffness!AA36,0)),0)),0)+IF(Element_Stiffness!$C$41,IF(Element_Stiffness!$C$40=7,IF(2=Element_Stiffness!$C$40,Element_Stiffness!U65,IF(2=Element_Stiffness!$E$40,Element_Stiffness!AA65,0)),IF(Element_Stiffness!$E$40=7,IF(2=Element_Stiffness!$C$40,Element_Stiffness!U71,IF(2=Element_Stiffness!$E$40,Element_Stiffness!AA71,0)),0)),0)+IF(Element_Stiffness!$C$76,IF(Element_Stiffness!$C$75=7,IF(2=Element_Stiffness!$C$75,Element_Stiffness!U100,IF(2=Element_Stiffness!$E$75,Element_Stiffness!AA100,0)),IF(Element_Stiffness!$E$75=7,IF(2=Element_Stiffness!$C$75,Element_Stiffness!U106,IF(2=Element_Stiffness!$E$75,Element_Stiffness!AA106,0)),0)),0)+IF(Element_Stiffness!$C$111,IF(Element_Stiffness!$C$110=7,IF(2=Element_Stiffness!$C$110,Element_Stiffness!U135,IF(2=Element_Stiffness!$E$110,Element_Stiffness!AA135,0)),IF(Element_Stiffness!$E$110=7,IF(2=Element_Stiffness!$C$110,Element_Stiffness!U141,IF(2=Element_Stiffness!$E$110,Element_Stiffness!AA141,0)),0)),0)+IF(Element_Stiffness!$C$146,IF(Element_Stiffness!$C$145=7,IF(2=Element_Stiffness!$C$145,Element_Stiffness!U170,IF(2=Element_Stiffness!$E$145,Element_Stiffness!AA170,0)),IF(Element_Stiffness!$E$145=7,IF(2=Element_Stiffness!$C$145,Element_Stiffness!U176,IF(2=Element_Stiffness!$E$145,Element_Stiffness!AA176,0)),0)),0)+IF(Element_Stiffness!$C$181,IF(Element_Stiffness!$C$180=7,IF(2=Element_Stiffness!$C$180,Element_Stiffness!U205,IF(2=Element_Stiffness!$E$180,Element_Stiffness!AA205,0)),IF(Element_Stiffness!$E$180=7,IF(2=Element_Stiffness!$C$180,Element_Stiffness!U211,IF(2=Element_Stiffness!$E$180,Element_Stiffness!AA211,0)),0)),0)+IF(Element_Stiffness!$C$216,IF(Element_Stiffness!$C$215=7,IF(2=Element_Stiffness!$C$215,Element_Stiffness!U240,IF(2=Element_Stiffness!$E$215,Element_Stiffness!AA240,0)),IF(Element_Stiffness!$E$215=7,IF(2=Element_Stiffness!$C$215,Element_Stiffness!U246,IF(2=Element_Stiffness!$E$215,Element_Stiffness!AA246,0)),0)),0)</f>
        <v/>
      </c>
      <c r="U51" s="21">
        <f>IF(Element_Stiffness!$C$6,IF(Element_Stiffness!$C$5=7,IF(3=Element_Stiffness!$C$5,Element_Stiffness!P30,IF(3=Element_Stiffness!$E$5,Element_Stiffness!V30,0)),IF(Element_Stiffness!$E$5=7,IF(3=Element_Stiffness!$C$5,Element_Stiffness!P36,IF(3=Element_Stiffness!$E$5,Element_Stiffness!V36,0)),0)),0)+IF(Element_Stiffness!$C$41,IF(Element_Stiffness!$C$40=7,IF(3=Element_Stiffness!$C$40,Element_Stiffness!P65,IF(3=Element_Stiffness!$E$40,Element_Stiffness!V65,0)),IF(Element_Stiffness!$E$40=7,IF(3=Element_Stiffness!$C$40,Element_Stiffness!P71,IF(3=Element_Stiffness!$E$40,Element_Stiffness!V71,0)),0)),0)+IF(Element_Stiffness!$C$76,IF(Element_Stiffness!$C$75=7,IF(3=Element_Stiffness!$C$75,Element_Stiffness!P100,IF(3=Element_Stiffness!$E$75,Element_Stiffness!V100,0)),IF(Element_Stiffness!$E$75=7,IF(3=Element_Stiffness!$C$75,Element_Stiffness!P106,IF(3=Element_Stiffness!$E$75,Element_Stiffness!V106,0)),0)),0)+IF(Element_Stiffness!$C$111,IF(Element_Stiffness!$C$110=7,IF(3=Element_Stiffness!$C$110,Element_Stiffness!P135,IF(3=Element_Stiffness!$E$110,Element_Stiffness!V135,0)),IF(Element_Stiffness!$E$110=7,IF(3=Element_Stiffness!$C$110,Element_Stiffness!P141,IF(3=Element_Stiffness!$E$110,Element_Stiffness!V141,0)),0)),0)+IF(Element_Stiffness!$C$146,IF(Element_Stiffness!$C$145=7,IF(3=Element_Stiffness!$C$145,Element_Stiffness!P170,IF(3=Element_Stiffness!$E$145,Element_Stiffness!V170,0)),IF(Element_Stiffness!$E$145=7,IF(3=Element_Stiffness!$C$145,Element_Stiffness!P176,IF(3=Element_Stiffness!$E$145,Element_Stiffness!V176,0)),0)),0)+IF(Element_Stiffness!$C$181,IF(Element_Stiffness!$C$180=7,IF(3=Element_Stiffness!$C$180,Element_Stiffness!P205,IF(3=Element_Stiffness!$E$180,Element_Stiffness!V205,0)),IF(Element_Stiffness!$E$180=7,IF(3=Element_Stiffness!$C$180,Element_Stiffness!P211,IF(3=Element_Stiffness!$E$180,Element_Stiffness!V211,0)),0)),0)+IF(Element_Stiffness!$C$216,IF(Element_Stiffness!$C$215=7,IF(3=Element_Stiffness!$C$215,Element_Stiffness!P240,IF(3=Element_Stiffness!$E$215,Element_Stiffness!V240,0)),IF(Element_Stiffness!$E$215=7,IF(3=Element_Stiffness!$C$215,Element_Stiffness!P246,IF(3=Element_Stiffness!$E$215,Element_Stiffness!V246,0)),0)),0)</f>
        <v/>
      </c>
      <c r="V51" s="21">
        <f>IF(Element_Stiffness!$C$6,IF(Element_Stiffness!$C$5=7,IF(3=Element_Stiffness!$C$5,Element_Stiffness!Q30,IF(3=Element_Stiffness!$E$5,Element_Stiffness!W30,0)),IF(Element_Stiffness!$E$5=7,IF(3=Element_Stiffness!$C$5,Element_Stiffness!Q36,IF(3=Element_Stiffness!$E$5,Element_Stiffness!W36,0)),0)),0)+IF(Element_Stiffness!$C$41,IF(Element_Stiffness!$C$40=7,IF(3=Element_Stiffness!$C$40,Element_Stiffness!Q65,IF(3=Element_Stiffness!$E$40,Element_Stiffness!W65,0)),IF(Element_Stiffness!$E$40=7,IF(3=Element_Stiffness!$C$40,Element_Stiffness!Q71,IF(3=Element_Stiffness!$E$40,Element_Stiffness!W71,0)),0)),0)+IF(Element_Stiffness!$C$76,IF(Element_Stiffness!$C$75=7,IF(3=Element_Stiffness!$C$75,Element_Stiffness!Q100,IF(3=Element_Stiffness!$E$75,Element_Stiffness!W100,0)),IF(Element_Stiffness!$E$75=7,IF(3=Element_Stiffness!$C$75,Element_Stiffness!Q106,IF(3=Element_Stiffness!$E$75,Element_Stiffness!W106,0)),0)),0)+IF(Element_Stiffness!$C$111,IF(Element_Stiffness!$C$110=7,IF(3=Element_Stiffness!$C$110,Element_Stiffness!Q135,IF(3=Element_Stiffness!$E$110,Element_Stiffness!W135,0)),IF(Element_Stiffness!$E$110=7,IF(3=Element_Stiffness!$C$110,Element_Stiffness!Q141,IF(3=Element_Stiffness!$E$110,Element_Stiffness!W141,0)),0)),0)+IF(Element_Stiffness!$C$146,IF(Element_Stiffness!$C$145=7,IF(3=Element_Stiffness!$C$145,Element_Stiffness!Q170,IF(3=Element_Stiffness!$E$145,Element_Stiffness!W170,0)),IF(Element_Stiffness!$E$145=7,IF(3=Element_Stiffness!$C$145,Element_Stiffness!Q176,IF(3=Element_Stiffness!$E$145,Element_Stiffness!W176,0)),0)),0)+IF(Element_Stiffness!$C$181,IF(Element_Stiffness!$C$180=7,IF(3=Element_Stiffness!$C$180,Element_Stiffness!Q205,IF(3=Element_Stiffness!$E$180,Element_Stiffness!W205,0)),IF(Element_Stiffness!$E$180=7,IF(3=Element_Stiffness!$C$180,Element_Stiffness!Q211,IF(3=Element_Stiffness!$E$180,Element_Stiffness!W211,0)),0)),0)+IF(Element_Stiffness!$C$216,IF(Element_Stiffness!$C$215=7,IF(3=Element_Stiffness!$C$215,Element_Stiffness!Q240,IF(3=Element_Stiffness!$E$215,Element_Stiffness!W240,0)),IF(Element_Stiffness!$E$215=7,IF(3=Element_Stiffness!$C$215,Element_Stiffness!Q246,IF(3=Element_Stiffness!$E$215,Element_Stiffness!W246,0)),0)),0)</f>
        <v/>
      </c>
      <c r="W51" s="21">
        <f>IF(Element_Stiffness!$C$6,IF(Element_Stiffness!$C$5=7,IF(3=Element_Stiffness!$C$5,Element_Stiffness!R30,IF(3=Element_Stiffness!$E$5,Element_Stiffness!X30,0)),IF(Element_Stiffness!$E$5=7,IF(3=Element_Stiffness!$C$5,Element_Stiffness!R36,IF(3=Element_Stiffness!$E$5,Element_Stiffness!X36,0)),0)),0)+IF(Element_Stiffness!$C$41,IF(Element_Stiffness!$C$40=7,IF(3=Element_Stiffness!$C$40,Element_Stiffness!R65,IF(3=Element_Stiffness!$E$40,Element_Stiffness!X65,0)),IF(Element_Stiffness!$E$40=7,IF(3=Element_Stiffness!$C$40,Element_Stiffness!R71,IF(3=Element_Stiffness!$E$40,Element_Stiffness!X71,0)),0)),0)+IF(Element_Stiffness!$C$76,IF(Element_Stiffness!$C$75=7,IF(3=Element_Stiffness!$C$75,Element_Stiffness!R100,IF(3=Element_Stiffness!$E$75,Element_Stiffness!X100,0)),IF(Element_Stiffness!$E$75=7,IF(3=Element_Stiffness!$C$75,Element_Stiffness!R106,IF(3=Element_Stiffness!$E$75,Element_Stiffness!X106,0)),0)),0)+IF(Element_Stiffness!$C$111,IF(Element_Stiffness!$C$110=7,IF(3=Element_Stiffness!$C$110,Element_Stiffness!R135,IF(3=Element_Stiffness!$E$110,Element_Stiffness!X135,0)),IF(Element_Stiffness!$E$110=7,IF(3=Element_Stiffness!$C$110,Element_Stiffness!R141,IF(3=Element_Stiffness!$E$110,Element_Stiffness!X141,0)),0)),0)+IF(Element_Stiffness!$C$146,IF(Element_Stiffness!$C$145=7,IF(3=Element_Stiffness!$C$145,Element_Stiffness!R170,IF(3=Element_Stiffness!$E$145,Element_Stiffness!X170,0)),IF(Element_Stiffness!$E$145=7,IF(3=Element_Stiffness!$C$145,Element_Stiffness!R176,IF(3=Element_Stiffness!$E$145,Element_Stiffness!X176,0)),0)),0)+IF(Element_Stiffness!$C$181,IF(Element_Stiffness!$C$180=7,IF(3=Element_Stiffness!$C$180,Element_Stiffness!R205,IF(3=Element_Stiffness!$E$180,Element_Stiffness!X205,0)),IF(Element_Stiffness!$E$180=7,IF(3=Element_Stiffness!$C$180,Element_Stiffness!R211,IF(3=Element_Stiffness!$E$180,Element_Stiffness!X211,0)),0)),0)+IF(Element_Stiffness!$C$216,IF(Element_Stiffness!$C$215=7,IF(3=Element_Stiffness!$C$215,Element_Stiffness!R240,IF(3=Element_Stiffness!$E$215,Element_Stiffness!X240,0)),IF(Element_Stiffness!$E$215=7,IF(3=Element_Stiffness!$C$215,Element_Stiffness!R246,IF(3=Element_Stiffness!$E$215,Element_Stiffness!X246,0)),0)),0)</f>
        <v/>
      </c>
      <c r="X51" s="21">
        <f>IF(Element_Stiffness!$C$6,IF(Element_Stiffness!$C$5=7,IF(3=Element_Stiffness!$C$5,Element_Stiffness!S30,IF(3=Element_Stiffness!$E$5,Element_Stiffness!Y30,0)),IF(Element_Stiffness!$E$5=7,IF(3=Element_Stiffness!$C$5,Element_Stiffness!S36,IF(3=Element_Stiffness!$E$5,Element_Stiffness!Y36,0)),0)),0)+IF(Element_Stiffness!$C$41,IF(Element_Stiffness!$C$40=7,IF(3=Element_Stiffness!$C$40,Element_Stiffness!S65,IF(3=Element_Stiffness!$E$40,Element_Stiffness!Y65,0)),IF(Element_Stiffness!$E$40=7,IF(3=Element_Stiffness!$C$40,Element_Stiffness!S71,IF(3=Element_Stiffness!$E$40,Element_Stiffness!Y71,0)),0)),0)+IF(Element_Stiffness!$C$76,IF(Element_Stiffness!$C$75=7,IF(3=Element_Stiffness!$C$75,Element_Stiffness!S100,IF(3=Element_Stiffness!$E$75,Element_Stiffness!Y100,0)),IF(Element_Stiffness!$E$75=7,IF(3=Element_Stiffness!$C$75,Element_Stiffness!S106,IF(3=Element_Stiffness!$E$75,Element_Stiffness!Y106,0)),0)),0)+IF(Element_Stiffness!$C$111,IF(Element_Stiffness!$C$110=7,IF(3=Element_Stiffness!$C$110,Element_Stiffness!S135,IF(3=Element_Stiffness!$E$110,Element_Stiffness!Y135,0)),IF(Element_Stiffness!$E$110=7,IF(3=Element_Stiffness!$C$110,Element_Stiffness!S141,IF(3=Element_Stiffness!$E$110,Element_Stiffness!Y141,0)),0)),0)+IF(Element_Stiffness!$C$146,IF(Element_Stiffness!$C$145=7,IF(3=Element_Stiffness!$C$145,Element_Stiffness!S170,IF(3=Element_Stiffness!$E$145,Element_Stiffness!Y170,0)),IF(Element_Stiffness!$E$145=7,IF(3=Element_Stiffness!$C$145,Element_Stiffness!S176,IF(3=Element_Stiffness!$E$145,Element_Stiffness!Y176,0)),0)),0)+IF(Element_Stiffness!$C$181,IF(Element_Stiffness!$C$180=7,IF(3=Element_Stiffness!$C$180,Element_Stiffness!S205,IF(3=Element_Stiffness!$E$180,Element_Stiffness!Y205,0)),IF(Element_Stiffness!$E$180=7,IF(3=Element_Stiffness!$C$180,Element_Stiffness!S211,IF(3=Element_Stiffness!$E$180,Element_Stiffness!Y211,0)),0)),0)+IF(Element_Stiffness!$C$216,IF(Element_Stiffness!$C$215=7,IF(3=Element_Stiffness!$C$215,Element_Stiffness!S240,IF(3=Element_Stiffness!$E$215,Element_Stiffness!Y240,0)),IF(Element_Stiffness!$E$215=7,IF(3=Element_Stiffness!$C$215,Element_Stiffness!S246,IF(3=Element_Stiffness!$E$215,Element_Stiffness!Y246,0)),0)),0)</f>
        <v/>
      </c>
      <c r="Y51" s="21">
        <f>IF(Element_Stiffness!$C$6,IF(Element_Stiffness!$C$5=7,IF(3=Element_Stiffness!$C$5,Element_Stiffness!T30,IF(3=Element_Stiffness!$E$5,Element_Stiffness!Z30,0)),IF(Element_Stiffness!$E$5=7,IF(3=Element_Stiffness!$C$5,Element_Stiffness!T36,IF(3=Element_Stiffness!$E$5,Element_Stiffness!Z36,0)),0)),0)+IF(Element_Stiffness!$C$41,IF(Element_Stiffness!$C$40=7,IF(3=Element_Stiffness!$C$40,Element_Stiffness!T65,IF(3=Element_Stiffness!$E$40,Element_Stiffness!Z65,0)),IF(Element_Stiffness!$E$40=7,IF(3=Element_Stiffness!$C$40,Element_Stiffness!T71,IF(3=Element_Stiffness!$E$40,Element_Stiffness!Z71,0)),0)),0)+IF(Element_Stiffness!$C$76,IF(Element_Stiffness!$C$75=7,IF(3=Element_Stiffness!$C$75,Element_Stiffness!T100,IF(3=Element_Stiffness!$E$75,Element_Stiffness!Z100,0)),IF(Element_Stiffness!$E$75=7,IF(3=Element_Stiffness!$C$75,Element_Stiffness!T106,IF(3=Element_Stiffness!$E$75,Element_Stiffness!Z106,0)),0)),0)+IF(Element_Stiffness!$C$111,IF(Element_Stiffness!$C$110=7,IF(3=Element_Stiffness!$C$110,Element_Stiffness!T135,IF(3=Element_Stiffness!$E$110,Element_Stiffness!Z135,0)),IF(Element_Stiffness!$E$110=7,IF(3=Element_Stiffness!$C$110,Element_Stiffness!T141,IF(3=Element_Stiffness!$E$110,Element_Stiffness!Z141,0)),0)),0)+IF(Element_Stiffness!$C$146,IF(Element_Stiffness!$C$145=7,IF(3=Element_Stiffness!$C$145,Element_Stiffness!T170,IF(3=Element_Stiffness!$E$145,Element_Stiffness!Z170,0)),IF(Element_Stiffness!$E$145=7,IF(3=Element_Stiffness!$C$145,Element_Stiffness!T176,IF(3=Element_Stiffness!$E$145,Element_Stiffness!Z176,0)),0)),0)+IF(Element_Stiffness!$C$181,IF(Element_Stiffness!$C$180=7,IF(3=Element_Stiffness!$C$180,Element_Stiffness!T205,IF(3=Element_Stiffness!$E$180,Element_Stiffness!Z205,0)),IF(Element_Stiffness!$E$180=7,IF(3=Element_Stiffness!$C$180,Element_Stiffness!T211,IF(3=Element_Stiffness!$E$180,Element_Stiffness!Z211,0)),0)),0)+IF(Element_Stiffness!$C$216,IF(Element_Stiffness!$C$215=7,IF(3=Element_Stiffness!$C$215,Element_Stiffness!T240,IF(3=Element_Stiffness!$E$215,Element_Stiffness!Z240,0)),IF(Element_Stiffness!$E$215=7,IF(3=Element_Stiffness!$C$215,Element_Stiffness!T246,IF(3=Element_Stiffness!$E$215,Element_Stiffness!Z246,0)),0)),0)</f>
        <v/>
      </c>
      <c r="Z51" s="21">
        <f>IF(Element_Stiffness!$C$6,IF(Element_Stiffness!$C$5=7,IF(3=Element_Stiffness!$C$5,Element_Stiffness!U30,IF(3=Element_Stiffness!$E$5,Element_Stiffness!AA30,0)),IF(Element_Stiffness!$E$5=7,IF(3=Element_Stiffness!$C$5,Element_Stiffness!U36,IF(3=Element_Stiffness!$E$5,Element_Stiffness!AA36,0)),0)),0)+IF(Element_Stiffness!$C$41,IF(Element_Stiffness!$C$40=7,IF(3=Element_Stiffness!$C$40,Element_Stiffness!U65,IF(3=Element_Stiffness!$E$40,Element_Stiffness!AA65,0)),IF(Element_Stiffness!$E$40=7,IF(3=Element_Stiffness!$C$40,Element_Stiffness!U71,IF(3=Element_Stiffness!$E$40,Element_Stiffness!AA71,0)),0)),0)+IF(Element_Stiffness!$C$76,IF(Element_Stiffness!$C$75=7,IF(3=Element_Stiffness!$C$75,Element_Stiffness!U100,IF(3=Element_Stiffness!$E$75,Element_Stiffness!AA100,0)),IF(Element_Stiffness!$E$75=7,IF(3=Element_Stiffness!$C$75,Element_Stiffness!U106,IF(3=Element_Stiffness!$E$75,Element_Stiffness!AA106,0)),0)),0)+IF(Element_Stiffness!$C$111,IF(Element_Stiffness!$C$110=7,IF(3=Element_Stiffness!$C$110,Element_Stiffness!U135,IF(3=Element_Stiffness!$E$110,Element_Stiffness!AA135,0)),IF(Element_Stiffness!$E$110=7,IF(3=Element_Stiffness!$C$110,Element_Stiffness!U141,IF(3=Element_Stiffness!$E$110,Element_Stiffness!AA141,0)),0)),0)+IF(Element_Stiffness!$C$146,IF(Element_Stiffness!$C$145=7,IF(3=Element_Stiffness!$C$145,Element_Stiffness!U170,IF(3=Element_Stiffness!$E$145,Element_Stiffness!AA170,0)),IF(Element_Stiffness!$E$145=7,IF(3=Element_Stiffness!$C$145,Element_Stiffness!U176,IF(3=Element_Stiffness!$E$145,Element_Stiffness!AA176,0)),0)),0)+IF(Element_Stiffness!$C$181,IF(Element_Stiffness!$C$180=7,IF(3=Element_Stiffness!$C$180,Element_Stiffness!U205,IF(3=Element_Stiffness!$E$180,Element_Stiffness!AA205,0)),IF(Element_Stiffness!$E$180=7,IF(3=Element_Stiffness!$C$180,Element_Stiffness!U211,IF(3=Element_Stiffness!$E$180,Element_Stiffness!AA211,0)),0)),0)+IF(Element_Stiffness!$C$216,IF(Element_Stiffness!$C$215=7,IF(3=Element_Stiffness!$C$215,Element_Stiffness!U240,IF(3=Element_Stiffness!$E$215,Element_Stiffness!AA240,0)),IF(Element_Stiffness!$E$215=7,IF(3=Element_Stiffness!$C$215,Element_Stiffness!U246,IF(3=Element_Stiffness!$E$215,Element_Stiffness!AA246,0)),0)),0)</f>
        <v/>
      </c>
      <c r="AA51" s="21">
        <f>IF(Element_Stiffness!$C$6,IF(Element_Stiffness!$C$5=7,IF(4=Element_Stiffness!$C$5,Element_Stiffness!P30,IF(4=Element_Stiffness!$E$5,Element_Stiffness!V30,0)),IF(Element_Stiffness!$E$5=7,IF(4=Element_Stiffness!$C$5,Element_Stiffness!P36,IF(4=Element_Stiffness!$E$5,Element_Stiffness!V36,0)),0)),0)+IF(Element_Stiffness!$C$41,IF(Element_Stiffness!$C$40=7,IF(4=Element_Stiffness!$C$40,Element_Stiffness!P65,IF(4=Element_Stiffness!$E$40,Element_Stiffness!V65,0)),IF(Element_Stiffness!$E$40=7,IF(4=Element_Stiffness!$C$40,Element_Stiffness!P71,IF(4=Element_Stiffness!$E$40,Element_Stiffness!V71,0)),0)),0)+IF(Element_Stiffness!$C$76,IF(Element_Stiffness!$C$75=7,IF(4=Element_Stiffness!$C$75,Element_Stiffness!P100,IF(4=Element_Stiffness!$E$75,Element_Stiffness!V100,0)),IF(Element_Stiffness!$E$75=7,IF(4=Element_Stiffness!$C$75,Element_Stiffness!P106,IF(4=Element_Stiffness!$E$75,Element_Stiffness!V106,0)),0)),0)+IF(Element_Stiffness!$C$111,IF(Element_Stiffness!$C$110=7,IF(4=Element_Stiffness!$C$110,Element_Stiffness!P135,IF(4=Element_Stiffness!$E$110,Element_Stiffness!V135,0)),IF(Element_Stiffness!$E$110=7,IF(4=Element_Stiffness!$C$110,Element_Stiffness!P141,IF(4=Element_Stiffness!$E$110,Element_Stiffness!V141,0)),0)),0)+IF(Element_Stiffness!$C$146,IF(Element_Stiffness!$C$145=7,IF(4=Element_Stiffness!$C$145,Element_Stiffness!P170,IF(4=Element_Stiffness!$E$145,Element_Stiffness!V170,0)),IF(Element_Stiffness!$E$145=7,IF(4=Element_Stiffness!$C$145,Element_Stiffness!P176,IF(4=Element_Stiffness!$E$145,Element_Stiffness!V176,0)),0)),0)+IF(Element_Stiffness!$C$181,IF(Element_Stiffness!$C$180=7,IF(4=Element_Stiffness!$C$180,Element_Stiffness!P205,IF(4=Element_Stiffness!$E$180,Element_Stiffness!V205,0)),IF(Element_Stiffness!$E$180=7,IF(4=Element_Stiffness!$C$180,Element_Stiffness!P211,IF(4=Element_Stiffness!$E$180,Element_Stiffness!V211,0)),0)),0)+IF(Element_Stiffness!$C$216,IF(Element_Stiffness!$C$215=7,IF(4=Element_Stiffness!$C$215,Element_Stiffness!P240,IF(4=Element_Stiffness!$E$215,Element_Stiffness!V240,0)),IF(Element_Stiffness!$E$215=7,IF(4=Element_Stiffness!$C$215,Element_Stiffness!P246,IF(4=Element_Stiffness!$E$215,Element_Stiffness!V246,0)),0)),0)</f>
        <v/>
      </c>
      <c r="AB51" s="21">
        <f>IF(Element_Stiffness!$C$6,IF(Element_Stiffness!$C$5=7,IF(4=Element_Stiffness!$C$5,Element_Stiffness!Q30,IF(4=Element_Stiffness!$E$5,Element_Stiffness!W30,0)),IF(Element_Stiffness!$E$5=7,IF(4=Element_Stiffness!$C$5,Element_Stiffness!Q36,IF(4=Element_Stiffness!$E$5,Element_Stiffness!W36,0)),0)),0)+IF(Element_Stiffness!$C$41,IF(Element_Stiffness!$C$40=7,IF(4=Element_Stiffness!$C$40,Element_Stiffness!Q65,IF(4=Element_Stiffness!$E$40,Element_Stiffness!W65,0)),IF(Element_Stiffness!$E$40=7,IF(4=Element_Stiffness!$C$40,Element_Stiffness!Q71,IF(4=Element_Stiffness!$E$40,Element_Stiffness!W71,0)),0)),0)+IF(Element_Stiffness!$C$76,IF(Element_Stiffness!$C$75=7,IF(4=Element_Stiffness!$C$75,Element_Stiffness!Q100,IF(4=Element_Stiffness!$E$75,Element_Stiffness!W100,0)),IF(Element_Stiffness!$E$75=7,IF(4=Element_Stiffness!$C$75,Element_Stiffness!Q106,IF(4=Element_Stiffness!$E$75,Element_Stiffness!W106,0)),0)),0)+IF(Element_Stiffness!$C$111,IF(Element_Stiffness!$C$110=7,IF(4=Element_Stiffness!$C$110,Element_Stiffness!Q135,IF(4=Element_Stiffness!$E$110,Element_Stiffness!W135,0)),IF(Element_Stiffness!$E$110=7,IF(4=Element_Stiffness!$C$110,Element_Stiffness!Q141,IF(4=Element_Stiffness!$E$110,Element_Stiffness!W141,0)),0)),0)+IF(Element_Stiffness!$C$146,IF(Element_Stiffness!$C$145=7,IF(4=Element_Stiffness!$C$145,Element_Stiffness!Q170,IF(4=Element_Stiffness!$E$145,Element_Stiffness!W170,0)),IF(Element_Stiffness!$E$145=7,IF(4=Element_Stiffness!$C$145,Element_Stiffness!Q176,IF(4=Element_Stiffness!$E$145,Element_Stiffness!W176,0)),0)),0)+IF(Element_Stiffness!$C$181,IF(Element_Stiffness!$C$180=7,IF(4=Element_Stiffness!$C$180,Element_Stiffness!Q205,IF(4=Element_Stiffness!$E$180,Element_Stiffness!W205,0)),IF(Element_Stiffness!$E$180=7,IF(4=Element_Stiffness!$C$180,Element_Stiffness!Q211,IF(4=Element_Stiffness!$E$180,Element_Stiffness!W211,0)),0)),0)+IF(Element_Stiffness!$C$216,IF(Element_Stiffness!$C$215=7,IF(4=Element_Stiffness!$C$215,Element_Stiffness!Q240,IF(4=Element_Stiffness!$E$215,Element_Stiffness!W240,0)),IF(Element_Stiffness!$E$215=7,IF(4=Element_Stiffness!$C$215,Element_Stiffness!Q246,IF(4=Element_Stiffness!$E$215,Element_Stiffness!W246,0)),0)),0)</f>
        <v/>
      </c>
      <c r="AC51" s="21">
        <f>IF(Element_Stiffness!$C$6,IF(Element_Stiffness!$C$5=7,IF(4=Element_Stiffness!$C$5,Element_Stiffness!R30,IF(4=Element_Stiffness!$E$5,Element_Stiffness!X30,0)),IF(Element_Stiffness!$E$5=7,IF(4=Element_Stiffness!$C$5,Element_Stiffness!R36,IF(4=Element_Stiffness!$E$5,Element_Stiffness!X36,0)),0)),0)+IF(Element_Stiffness!$C$41,IF(Element_Stiffness!$C$40=7,IF(4=Element_Stiffness!$C$40,Element_Stiffness!R65,IF(4=Element_Stiffness!$E$40,Element_Stiffness!X65,0)),IF(Element_Stiffness!$E$40=7,IF(4=Element_Stiffness!$C$40,Element_Stiffness!R71,IF(4=Element_Stiffness!$E$40,Element_Stiffness!X71,0)),0)),0)+IF(Element_Stiffness!$C$76,IF(Element_Stiffness!$C$75=7,IF(4=Element_Stiffness!$C$75,Element_Stiffness!R100,IF(4=Element_Stiffness!$E$75,Element_Stiffness!X100,0)),IF(Element_Stiffness!$E$75=7,IF(4=Element_Stiffness!$C$75,Element_Stiffness!R106,IF(4=Element_Stiffness!$E$75,Element_Stiffness!X106,0)),0)),0)+IF(Element_Stiffness!$C$111,IF(Element_Stiffness!$C$110=7,IF(4=Element_Stiffness!$C$110,Element_Stiffness!R135,IF(4=Element_Stiffness!$E$110,Element_Stiffness!X135,0)),IF(Element_Stiffness!$E$110=7,IF(4=Element_Stiffness!$C$110,Element_Stiffness!R141,IF(4=Element_Stiffness!$E$110,Element_Stiffness!X141,0)),0)),0)+IF(Element_Stiffness!$C$146,IF(Element_Stiffness!$C$145=7,IF(4=Element_Stiffness!$C$145,Element_Stiffness!R170,IF(4=Element_Stiffness!$E$145,Element_Stiffness!X170,0)),IF(Element_Stiffness!$E$145=7,IF(4=Element_Stiffness!$C$145,Element_Stiffness!R176,IF(4=Element_Stiffness!$E$145,Element_Stiffness!X176,0)),0)),0)+IF(Element_Stiffness!$C$181,IF(Element_Stiffness!$C$180=7,IF(4=Element_Stiffness!$C$180,Element_Stiffness!R205,IF(4=Element_Stiffness!$E$180,Element_Stiffness!X205,0)),IF(Element_Stiffness!$E$180=7,IF(4=Element_Stiffness!$C$180,Element_Stiffness!R211,IF(4=Element_Stiffness!$E$180,Element_Stiffness!X211,0)),0)),0)+IF(Element_Stiffness!$C$216,IF(Element_Stiffness!$C$215=7,IF(4=Element_Stiffness!$C$215,Element_Stiffness!R240,IF(4=Element_Stiffness!$E$215,Element_Stiffness!X240,0)),IF(Element_Stiffness!$E$215=7,IF(4=Element_Stiffness!$C$215,Element_Stiffness!R246,IF(4=Element_Stiffness!$E$215,Element_Stiffness!X246,0)),0)),0)</f>
        <v/>
      </c>
      <c r="AD51" s="21">
        <f>IF(Element_Stiffness!$C$6,IF(Element_Stiffness!$C$5=7,IF(4=Element_Stiffness!$C$5,Element_Stiffness!S30,IF(4=Element_Stiffness!$E$5,Element_Stiffness!Y30,0)),IF(Element_Stiffness!$E$5=7,IF(4=Element_Stiffness!$C$5,Element_Stiffness!S36,IF(4=Element_Stiffness!$E$5,Element_Stiffness!Y36,0)),0)),0)+IF(Element_Stiffness!$C$41,IF(Element_Stiffness!$C$40=7,IF(4=Element_Stiffness!$C$40,Element_Stiffness!S65,IF(4=Element_Stiffness!$E$40,Element_Stiffness!Y65,0)),IF(Element_Stiffness!$E$40=7,IF(4=Element_Stiffness!$C$40,Element_Stiffness!S71,IF(4=Element_Stiffness!$E$40,Element_Stiffness!Y71,0)),0)),0)+IF(Element_Stiffness!$C$76,IF(Element_Stiffness!$C$75=7,IF(4=Element_Stiffness!$C$75,Element_Stiffness!S100,IF(4=Element_Stiffness!$E$75,Element_Stiffness!Y100,0)),IF(Element_Stiffness!$E$75=7,IF(4=Element_Stiffness!$C$75,Element_Stiffness!S106,IF(4=Element_Stiffness!$E$75,Element_Stiffness!Y106,0)),0)),0)+IF(Element_Stiffness!$C$111,IF(Element_Stiffness!$C$110=7,IF(4=Element_Stiffness!$C$110,Element_Stiffness!S135,IF(4=Element_Stiffness!$E$110,Element_Stiffness!Y135,0)),IF(Element_Stiffness!$E$110=7,IF(4=Element_Stiffness!$C$110,Element_Stiffness!S141,IF(4=Element_Stiffness!$E$110,Element_Stiffness!Y141,0)),0)),0)+IF(Element_Stiffness!$C$146,IF(Element_Stiffness!$C$145=7,IF(4=Element_Stiffness!$C$145,Element_Stiffness!S170,IF(4=Element_Stiffness!$E$145,Element_Stiffness!Y170,0)),IF(Element_Stiffness!$E$145=7,IF(4=Element_Stiffness!$C$145,Element_Stiffness!S176,IF(4=Element_Stiffness!$E$145,Element_Stiffness!Y176,0)),0)),0)+IF(Element_Stiffness!$C$181,IF(Element_Stiffness!$C$180=7,IF(4=Element_Stiffness!$C$180,Element_Stiffness!S205,IF(4=Element_Stiffness!$E$180,Element_Stiffness!Y205,0)),IF(Element_Stiffness!$E$180=7,IF(4=Element_Stiffness!$C$180,Element_Stiffness!S211,IF(4=Element_Stiffness!$E$180,Element_Stiffness!Y211,0)),0)),0)+IF(Element_Stiffness!$C$216,IF(Element_Stiffness!$C$215=7,IF(4=Element_Stiffness!$C$215,Element_Stiffness!S240,IF(4=Element_Stiffness!$E$215,Element_Stiffness!Y240,0)),IF(Element_Stiffness!$E$215=7,IF(4=Element_Stiffness!$C$215,Element_Stiffness!S246,IF(4=Element_Stiffness!$E$215,Element_Stiffness!Y246,0)),0)),0)</f>
        <v/>
      </c>
      <c r="AE51" s="21">
        <f>IF(Element_Stiffness!$C$6,IF(Element_Stiffness!$C$5=7,IF(4=Element_Stiffness!$C$5,Element_Stiffness!T30,IF(4=Element_Stiffness!$E$5,Element_Stiffness!Z30,0)),IF(Element_Stiffness!$E$5=7,IF(4=Element_Stiffness!$C$5,Element_Stiffness!T36,IF(4=Element_Stiffness!$E$5,Element_Stiffness!Z36,0)),0)),0)+IF(Element_Stiffness!$C$41,IF(Element_Stiffness!$C$40=7,IF(4=Element_Stiffness!$C$40,Element_Stiffness!T65,IF(4=Element_Stiffness!$E$40,Element_Stiffness!Z65,0)),IF(Element_Stiffness!$E$40=7,IF(4=Element_Stiffness!$C$40,Element_Stiffness!T71,IF(4=Element_Stiffness!$E$40,Element_Stiffness!Z71,0)),0)),0)+IF(Element_Stiffness!$C$76,IF(Element_Stiffness!$C$75=7,IF(4=Element_Stiffness!$C$75,Element_Stiffness!T100,IF(4=Element_Stiffness!$E$75,Element_Stiffness!Z100,0)),IF(Element_Stiffness!$E$75=7,IF(4=Element_Stiffness!$C$75,Element_Stiffness!T106,IF(4=Element_Stiffness!$E$75,Element_Stiffness!Z106,0)),0)),0)+IF(Element_Stiffness!$C$111,IF(Element_Stiffness!$C$110=7,IF(4=Element_Stiffness!$C$110,Element_Stiffness!T135,IF(4=Element_Stiffness!$E$110,Element_Stiffness!Z135,0)),IF(Element_Stiffness!$E$110=7,IF(4=Element_Stiffness!$C$110,Element_Stiffness!T141,IF(4=Element_Stiffness!$E$110,Element_Stiffness!Z141,0)),0)),0)+IF(Element_Stiffness!$C$146,IF(Element_Stiffness!$C$145=7,IF(4=Element_Stiffness!$C$145,Element_Stiffness!T170,IF(4=Element_Stiffness!$E$145,Element_Stiffness!Z170,0)),IF(Element_Stiffness!$E$145=7,IF(4=Element_Stiffness!$C$145,Element_Stiffness!T176,IF(4=Element_Stiffness!$E$145,Element_Stiffness!Z176,0)),0)),0)+IF(Element_Stiffness!$C$181,IF(Element_Stiffness!$C$180=7,IF(4=Element_Stiffness!$C$180,Element_Stiffness!T205,IF(4=Element_Stiffness!$E$180,Element_Stiffness!Z205,0)),IF(Element_Stiffness!$E$180=7,IF(4=Element_Stiffness!$C$180,Element_Stiffness!T211,IF(4=Element_Stiffness!$E$180,Element_Stiffness!Z211,0)),0)),0)+IF(Element_Stiffness!$C$216,IF(Element_Stiffness!$C$215=7,IF(4=Element_Stiffness!$C$215,Element_Stiffness!T240,IF(4=Element_Stiffness!$E$215,Element_Stiffness!Z240,0)),IF(Element_Stiffness!$E$215=7,IF(4=Element_Stiffness!$C$215,Element_Stiffness!T246,IF(4=Element_Stiffness!$E$215,Element_Stiffness!Z246,0)),0)),0)</f>
        <v/>
      </c>
      <c r="AF51" s="21">
        <f>IF(Element_Stiffness!$C$6,IF(Element_Stiffness!$C$5=7,IF(4=Element_Stiffness!$C$5,Element_Stiffness!U30,IF(4=Element_Stiffness!$E$5,Element_Stiffness!AA30,0)),IF(Element_Stiffness!$E$5=7,IF(4=Element_Stiffness!$C$5,Element_Stiffness!U36,IF(4=Element_Stiffness!$E$5,Element_Stiffness!AA36,0)),0)),0)+IF(Element_Stiffness!$C$41,IF(Element_Stiffness!$C$40=7,IF(4=Element_Stiffness!$C$40,Element_Stiffness!U65,IF(4=Element_Stiffness!$E$40,Element_Stiffness!AA65,0)),IF(Element_Stiffness!$E$40=7,IF(4=Element_Stiffness!$C$40,Element_Stiffness!U71,IF(4=Element_Stiffness!$E$40,Element_Stiffness!AA71,0)),0)),0)+IF(Element_Stiffness!$C$76,IF(Element_Stiffness!$C$75=7,IF(4=Element_Stiffness!$C$75,Element_Stiffness!U100,IF(4=Element_Stiffness!$E$75,Element_Stiffness!AA100,0)),IF(Element_Stiffness!$E$75=7,IF(4=Element_Stiffness!$C$75,Element_Stiffness!U106,IF(4=Element_Stiffness!$E$75,Element_Stiffness!AA106,0)),0)),0)+IF(Element_Stiffness!$C$111,IF(Element_Stiffness!$C$110=7,IF(4=Element_Stiffness!$C$110,Element_Stiffness!U135,IF(4=Element_Stiffness!$E$110,Element_Stiffness!AA135,0)),IF(Element_Stiffness!$E$110=7,IF(4=Element_Stiffness!$C$110,Element_Stiffness!U141,IF(4=Element_Stiffness!$E$110,Element_Stiffness!AA141,0)),0)),0)+IF(Element_Stiffness!$C$146,IF(Element_Stiffness!$C$145=7,IF(4=Element_Stiffness!$C$145,Element_Stiffness!U170,IF(4=Element_Stiffness!$E$145,Element_Stiffness!AA170,0)),IF(Element_Stiffness!$E$145=7,IF(4=Element_Stiffness!$C$145,Element_Stiffness!U176,IF(4=Element_Stiffness!$E$145,Element_Stiffness!AA176,0)),0)),0)+IF(Element_Stiffness!$C$181,IF(Element_Stiffness!$C$180=7,IF(4=Element_Stiffness!$C$180,Element_Stiffness!U205,IF(4=Element_Stiffness!$E$180,Element_Stiffness!AA205,0)),IF(Element_Stiffness!$E$180=7,IF(4=Element_Stiffness!$C$180,Element_Stiffness!U211,IF(4=Element_Stiffness!$E$180,Element_Stiffness!AA211,0)),0)),0)+IF(Element_Stiffness!$C$216,IF(Element_Stiffness!$C$215=7,IF(4=Element_Stiffness!$C$215,Element_Stiffness!U240,IF(4=Element_Stiffness!$E$215,Element_Stiffness!AA240,0)),IF(Element_Stiffness!$E$215=7,IF(4=Element_Stiffness!$C$215,Element_Stiffness!U246,IF(4=Element_Stiffness!$E$215,Element_Stiffness!AA246,0)),0)),0)</f>
        <v/>
      </c>
      <c r="AG51" s="21">
        <f>IF(Element_Stiffness!$C$6,IF(Element_Stiffness!$C$5=7,IF(5=Element_Stiffness!$C$5,Element_Stiffness!P30,IF(5=Element_Stiffness!$E$5,Element_Stiffness!V30,0)),IF(Element_Stiffness!$E$5=7,IF(5=Element_Stiffness!$C$5,Element_Stiffness!P36,IF(5=Element_Stiffness!$E$5,Element_Stiffness!V36,0)),0)),0)+IF(Element_Stiffness!$C$41,IF(Element_Stiffness!$C$40=7,IF(5=Element_Stiffness!$C$40,Element_Stiffness!P65,IF(5=Element_Stiffness!$E$40,Element_Stiffness!V65,0)),IF(Element_Stiffness!$E$40=7,IF(5=Element_Stiffness!$C$40,Element_Stiffness!P71,IF(5=Element_Stiffness!$E$40,Element_Stiffness!V71,0)),0)),0)+IF(Element_Stiffness!$C$76,IF(Element_Stiffness!$C$75=7,IF(5=Element_Stiffness!$C$75,Element_Stiffness!P100,IF(5=Element_Stiffness!$E$75,Element_Stiffness!V100,0)),IF(Element_Stiffness!$E$75=7,IF(5=Element_Stiffness!$C$75,Element_Stiffness!P106,IF(5=Element_Stiffness!$E$75,Element_Stiffness!V106,0)),0)),0)+IF(Element_Stiffness!$C$111,IF(Element_Stiffness!$C$110=7,IF(5=Element_Stiffness!$C$110,Element_Stiffness!P135,IF(5=Element_Stiffness!$E$110,Element_Stiffness!V135,0)),IF(Element_Stiffness!$E$110=7,IF(5=Element_Stiffness!$C$110,Element_Stiffness!P141,IF(5=Element_Stiffness!$E$110,Element_Stiffness!V141,0)),0)),0)+IF(Element_Stiffness!$C$146,IF(Element_Stiffness!$C$145=7,IF(5=Element_Stiffness!$C$145,Element_Stiffness!P170,IF(5=Element_Stiffness!$E$145,Element_Stiffness!V170,0)),IF(Element_Stiffness!$E$145=7,IF(5=Element_Stiffness!$C$145,Element_Stiffness!P176,IF(5=Element_Stiffness!$E$145,Element_Stiffness!V176,0)),0)),0)+IF(Element_Stiffness!$C$181,IF(Element_Stiffness!$C$180=7,IF(5=Element_Stiffness!$C$180,Element_Stiffness!P205,IF(5=Element_Stiffness!$E$180,Element_Stiffness!V205,0)),IF(Element_Stiffness!$E$180=7,IF(5=Element_Stiffness!$C$180,Element_Stiffness!P211,IF(5=Element_Stiffness!$E$180,Element_Stiffness!V211,0)),0)),0)+IF(Element_Stiffness!$C$216,IF(Element_Stiffness!$C$215=7,IF(5=Element_Stiffness!$C$215,Element_Stiffness!P240,IF(5=Element_Stiffness!$E$215,Element_Stiffness!V240,0)),IF(Element_Stiffness!$E$215=7,IF(5=Element_Stiffness!$C$215,Element_Stiffness!P246,IF(5=Element_Stiffness!$E$215,Element_Stiffness!V246,0)),0)),0)</f>
        <v/>
      </c>
      <c r="AH51" s="21">
        <f>IF(Element_Stiffness!$C$6,IF(Element_Stiffness!$C$5=7,IF(5=Element_Stiffness!$C$5,Element_Stiffness!Q30,IF(5=Element_Stiffness!$E$5,Element_Stiffness!W30,0)),IF(Element_Stiffness!$E$5=7,IF(5=Element_Stiffness!$C$5,Element_Stiffness!Q36,IF(5=Element_Stiffness!$E$5,Element_Stiffness!W36,0)),0)),0)+IF(Element_Stiffness!$C$41,IF(Element_Stiffness!$C$40=7,IF(5=Element_Stiffness!$C$40,Element_Stiffness!Q65,IF(5=Element_Stiffness!$E$40,Element_Stiffness!W65,0)),IF(Element_Stiffness!$E$40=7,IF(5=Element_Stiffness!$C$40,Element_Stiffness!Q71,IF(5=Element_Stiffness!$E$40,Element_Stiffness!W71,0)),0)),0)+IF(Element_Stiffness!$C$76,IF(Element_Stiffness!$C$75=7,IF(5=Element_Stiffness!$C$75,Element_Stiffness!Q100,IF(5=Element_Stiffness!$E$75,Element_Stiffness!W100,0)),IF(Element_Stiffness!$E$75=7,IF(5=Element_Stiffness!$C$75,Element_Stiffness!Q106,IF(5=Element_Stiffness!$E$75,Element_Stiffness!W106,0)),0)),0)+IF(Element_Stiffness!$C$111,IF(Element_Stiffness!$C$110=7,IF(5=Element_Stiffness!$C$110,Element_Stiffness!Q135,IF(5=Element_Stiffness!$E$110,Element_Stiffness!W135,0)),IF(Element_Stiffness!$E$110=7,IF(5=Element_Stiffness!$C$110,Element_Stiffness!Q141,IF(5=Element_Stiffness!$E$110,Element_Stiffness!W141,0)),0)),0)+IF(Element_Stiffness!$C$146,IF(Element_Stiffness!$C$145=7,IF(5=Element_Stiffness!$C$145,Element_Stiffness!Q170,IF(5=Element_Stiffness!$E$145,Element_Stiffness!W170,0)),IF(Element_Stiffness!$E$145=7,IF(5=Element_Stiffness!$C$145,Element_Stiffness!Q176,IF(5=Element_Stiffness!$E$145,Element_Stiffness!W176,0)),0)),0)+IF(Element_Stiffness!$C$181,IF(Element_Stiffness!$C$180=7,IF(5=Element_Stiffness!$C$180,Element_Stiffness!Q205,IF(5=Element_Stiffness!$E$180,Element_Stiffness!W205,0)),IF(Element_Stiffness!$E$180=7,IF(5=Element_Stiffness!$C$180,Element_Stiffness!Q211,IF(5=Element_Stiffness!$E$180,Element_Stiffness!W211,0)),0)),0)+IF(Element_Stiffness!$C$216,IF(Element_Stiffness!$C$215=7,IF(5=Element_Stiffness!$C$215,Element_Stiffness!Q240,IF(5=Element_Stiffness!$E$215,Element_Stiffness!W240,0)),IF(Element_Stiffness!$E$215=7,IF(5=Element_Stiffness!$C$215,Element_Stiffness!Q246,IF(5=Element_Stiffness!$E$215,Element_Stiffness!W246,0)),0)),0)</f>
        <v/>
      </c>
      <c r="AI51" s="21">
        <f>IF(Element_Stiffness!$C$6,IF(Element_Stiffness!$C$5=7,IF(5=Element_Stiffness!$C$5,Element_Stiffness!R30,IF(5=Element_Stiffness!$E$5,Element_Stiffness!X30,0)),IF(Element_Stiffness!$E$5=7,IF(5=Element_Stiffness!$C$5,Element_Stiffness!R36,IF(5=Element_Stiffness!$E$5,Element_Stiffness!X36,0)),0)),0)+IF(Element_Stiffness!$C$41,IF(Element_Stiffness!$C$40=7,IF(5=Element_Stiffness!$C$40,Element_Stiffness!R65,IF(5=Element_Stiffness!$E$40,Element_Stiffness!X65,0)),IF(Element_Stiffness!$E$40=7,IF(5=Element_Stiffness!$C$40,Element_Stiffness!R71,IF(5=Element_Stiffness!$E$40,Element_Stiffness!X71,0)),0)),0)+IF(Element_Stiffness!$C$76,IF(Element_Stiffness!$C$75=7,IF(5=Element_Stiffness!$C$75,Element_Stiffness!R100,IF(5=Element_Stiffness!$E$75,Element_Stiffness!X100,0)),IF(Element_Stiffness!$E$75=7,IF(5=Element_Stiffness!$C$75,Element_Stiffness!R106,IF(5=Element_Stiffness!$E$75,Element_Stiffness!X106,0)),0)),0)+IF(Element_Stiffness!$C$111,IF(Element_Stiffness!$C$110=7,IF(5=Element_Stiffness!$C$110,Element_Stiffness!R135,IF(5=Element_Stiffness!$E$110,Element_Stiffness!X135,0)),IF(Element_Stiffness!$E$110=7,IF(5=Element_Stiffness!$C$110,Element_Stiffness!R141,IF(5=Element_Stiffness!$E$110,Element_Stiffness!X141,0)),0)),0)+IF(Element_Stiffness!$C$146,IF(Element_Stiffness!$C$145=7,IF(5=Element_Stiffness!$C$145,Element_Stiffness!R170,IF(5=Element_Stiffness!$E$145,Element_Stiffness!X170,0)),IF(Element_Stiffness!$E$145=7,IF(5=Element_Stiffness!$C$145,Element_Stiffness!R176,IF(5=Element_Stiffness!$E$145,Element_Stiffness!X176,0)),0)),0)+IF(Element_Stiffness!$C$181,IF(Element_Stiffness!$C$180=7,IF(5=Element_Stiffness!$C$180,Element_Stiffness!R205,IF(5=Element_Stiffness!$E$180,Element_Stiffness!X205,0)),IF(Element_Stiffness!$E$180=7,IF(5=Element_Stiffness!$C$180,Element_Stiffness!R211,IF(5=Element_Stiffness!$E$180,Element_Stiffness!X211,0)),0)),0)+IF(Element_Stiffness!$C$216,IF(Element_Stiffness!$C$215=7,IF(5=Element_Stiffness!$C$215,Element_Stiffness!R240,IF(5=Element_Stiffness!$E$215,Element_Stiffness!X240,0)),IF(Element_Stiffness!$E$215=7,IF(5=Element_Stiffness!$C$215,Element_Stiffness!R246,IF(5=Element_Stiffness!$E$215,Element_Stiffness!X246,0)),0)),0)</f>
        <v/>
      </c>
      <c r="AJ51" s="21">
        <f>IF(Element_Stiffness!$C$6,IF(Element_Stiffness!$C$5=7,IF(5=Element_Stiffness!$C$5,Element_Stiffness!S30,IF(5=Element_Stiffness!$E$5,Element_Stiffness!Y30,0)),IF(Element_Stiffness!$E$5=7,IF(5=Element_Stiffness!$C$5,Element_Stiffness!S36,IF(5=Element_Stiffness!$E$5,Element_Stiffness!Y36,0)),0)),0)+IF(Element_Stiffness!$C$41,IF(Element_Stiffness!$C$40=7,IF(5=Element_Stiffness!$C$40,Element_Stiffness!S65,IF(5=Element_Stiffness!$E$40,Element_Stiffness!Y65,0)),IF(Element_Stiffness!$E$40=7,IF(5=Element_Stiffness!$C$40,Element_Stiffness!S71,IF(5=Element_Stiffness!$E$40,Element_Stiffness!Y71,0)),0)),0)+IF(Element_Stiffness!$C$76,IF(Element_Stiffness!$C$75=7,IF(5=Element_Stiffness!$C$75,Element_Stiffness!S100,IF(5=Element_Stiffness!$E$75,Element_Stiffness!Y100,0)),IF(Element_Stiffness!$E$75=7,IF(5=Element_Stiffness!$C$75,Element_Stiffness!S106,IF(5=Element_Stiffness!$E$75,Element_Stiffness!Y106,0)),0)),0)+IF(Element_Stiffness!$C$111,IF(Element_Stiffness!$C$110=7,IF(5=Element_Stiffness!$C$110,Element_Stiffness!S135,IF(5=Element_Stiffness!$E$110,Element_Stiffness!Y135,0)),IF(Element_Stiffness!$E$110=7,IF(5=Element_Stiffness!$C$110,Element_Stiffness!S141,IF(5=Element_Stiffness!$E$110,Element_Stiffness!Y141,0)),0)),0)+IF(Element_Stiffness!$C$146,IF(Element_Stiffness!$C$145=7,IF(5=Element_Stiffness!$C$145,Element_Stiffness!S170,IF(5=Element_Stiffness!$E$145,Element_Stiffness!Y170,0)),IF(Element_Stiffness!$E$145=7,IF(5=Element_Stiffness!$C$145,Element_Stiffness!S176,IF(5=Element_Stiffness!$E$145,Element_Stiffness!Y176,0)),0)),0)+IF(Element_Stiffness!$C$181,IF(Element_Stiffness!$C$180=7,IF(5=Element_Stiffness!$C$180,Element_Stiffness!S205,IF(5=Element_Stiffness!$E$180,Element_Stiffness!Y205,0)),IF(Element_Stiffness!$E$180=7,IF(5=Element_Stiffness!$C$180,Element_Stiffness!S211,IF(5=Element_Stiffness!$E$180,Element_Stiffness!Y211,0)),0)),0)+IF(Element_Stiffness!$C$216,IF(Element_Stiffness!$C$215=7,IF(5=Element_Stiffness!$C$215,Element_Stiffness!S240,IF(5=Element_Stiffness!$E$215,Element_Stiffness!Y240,0)),IF(Element_Stiffness!$E$215=7,IF(5=Element_Stiffness!$C$215,Element_Stiffness!S246,IF(5=Element_Stiffness!$E$215,Element_Stiffness!Y246,0)),0)),0)</f>
        <v/>
      </c>
      <c r="AK51" s="21">
        <f>IF(Element_Stiffness!$C$6,IF(Element_Stiffness!$C$5=7,IF(5=Element_Stiffness!$C$5,Element_Stiffness!T30,IF(5=Element_Stiffness!$E$5,Element_Stiffness!Z30,0)),IF(Element_Stiffness!$E$5=7,IF(5=Element_Stiffness!$C$5,Element_Stiffness!T36,IF(5=Element_Stiffness!$E$5,Element_Stiffness!Z36,0)),0)),0)+IF(Element_Stiffness!$C$41,IF(Element_Stiffness!$C$40=7,IF(5=Element_Stiffness!$C$40,Element_Stiffness!T65,IF(5=Element_Stiffness!$E$40,Element_Stiffness!Z65,0)),IF(Element_Stiffness!$E$40=7,IF(5=Element_Stiffness!$C$40,Element_Stiffness!T71,IF(5=Element_Stiffness!$E$40,Element_Stiffness!Z71,0)),0)),0)+IF(Element_Stiffness!$C$76,IF(Element_Stiffness!$C$75=7,IF(5=Element_Stiffness!$C$75,Element_Stiffness!T100,IF(5=Element_Stiffness!$E$75,Element_Stiffness!Z100,0)),IF(Element_Stiffness!$E$75=7,IF(5=Element_Stiffness!$C$75,Element_Stiffness!T106,IF(5=Element_Stiffness!$E$75,Element_Stiffness!Z106,0)),0)),0)+IF(Element_Stiffness!$C$111,IF(Element_Stiffness!$C$110=7,IF(5=Element_Stiffness!$C$110,Element_Stiffness!T135,IF(5=Element_Stiffness!$E$110,Element_Stiffness!Z135,0)),IF(Element_Stiffness!$E$110=7,IF(5=Element_Stiffness!$C$110,Element_Stiffness!T141,IF(5=Element_Stiffness!$E$110,Element_Stiffness!Z141,0)),0)),0)+IF(Element_Stiffness!$C$146,IF(Element_Stiffness!$C$145=7,IF(5=Element_Stiffness!$C$145,Element_Stiffness!T170,IF(5=Element_Stiffness!$E$145,Element_Stiffness!Z170,0)),IF(Element_Stiffness!$E$145=7,IF(5=Element_Stiffness!$C$145,Element_Stiffness!T176,IF(5=Element_Stiffness!$E$145,Element_Stiffness!Z176,0)),0)),0)+IF(Element_Stiffness!$C$181,IF(Element_Stiffness!$C$180=7,IF(5=Element_Stiffness!$C$180,Element_Stiffness!T205,IF(5=Element_Stiffness!$E$180,Element_Stiffness!Z205,0)),IF(Element_Stiffness!$E$180=7,IF(5=Element_Stiffness!$C$180,Element_Stiffness!T211,IF(5=Element_Stiffness!$E$180,Element_Stiffness!Z211,0)),0)),0)+IF(Element_Stiffness!$C$216,IF(Element_Stiffness!$C$215=7,IF(5=Element_Stiffness!$C$215,Element_Stiffness!T240,IF(5=Element_Stiffness!$E$215,Element_Stiffness!Z240,0)),IF(Element_Stiffness!$E$215=7,IF(5=Element_Stiffness!$C$215,Element_Stiffness!T246,IF(5=Element_Stiffness!$E$215,Element_Stiffness!Z246,0)),0)),0)</f>
        <v/>
      </c>
      <c r="AL51" s="21">
        <f>IF(Element_Stiffness!$C$6,IF(Element_Stiffness!$C$5=7,IF(5=Element_Stiffness!$C$5,Element_Stiffness!U30,IF(5=Element_Stiffness!$E$5,Element_Stiffness!AA30,0)),IF(Element_Stiffness!$E$5=7,IF(5=Element_Stiffness!$C$5,Element_Stiffness!U36,IF(5=Element_Stiffness!$E$5,Element_Stiffness!AA36,0)),0)),0)+IF(Element_Stiffness!$C$41,IF(Element_Stiffness!$C$40=7,IF(5=Element_Stiffness!$C$40,Element_Stiffness!U65,IF(5=Element_Stiffness!$E$40,Element_Stiffness!AA65,0)),IF(Element_Stiffness!$E$40=7,IF(5=Element_Stiffness!$C$40,Element_Stiffness!U71,IF(5=Element_Stiffness!$E$40,Element_Stiffness!AA71,0)),0)),0)+IF(Element_Stiffness!$C$76,IF(Element_Stiffness!$C$75=7,IF(5=Element_Stiffness!$C$75,Element_Stiffness!U100,IF(5=Element_Stiffness!$E$75,Element_Stiffness!AA100,0)),IF(Element_Stiffness!$E$75=7,IF(5=Element_Stiffness!$C$75,Element_Stiffness!U106,IF(5=Element_Stiffness!$E$75,Element_Stiffness!AA106,0)),0)),0)+IF(Element_Stiffness!$C$111,IF(Element_Stiffness!$C$110=7,IF(5=Element_Stiffness!$C$110,Element_Stiffness!U135,IF(5=Element_Stiffness!$E$110,Element_Stiffness!AA135,0)),IF(Element_Stiffness!$E$110=7,IF(5=Element_Stiffness!$C$110,Element_Stiffness!U141,IF(5=Element_Stiffness!$E$110,Element_Stiffness!AA141,0)),0)),0)+IF(Element_Stiffness!$C$146,IF(Element_Stiffness!$C$145=7,IF(5=Element_Stiffness!$C$145,Element_Stiffness!U170,IF(5=Element_Stiffness!$E$145,Element_Stiffness!AA170,0)),IF(Element_Stiffness!$E$145=7,IF(5=Element_Stiffness!$C$145,Element_Stiffness!U176,IF(5=Element_Stiffness!$E$145,Element_Stiffness!AA176,0)),0)),0)+IF(Element_Stiffness!$C$181,IF(Element_Stiffness!$C$180=7,IF(5=Element_Stiffness!$C$180,Element_Stiffness!U205,IF(5=Element_Stiffness!$E$180,Element_Stiffness!AA205,0)),IF(Element_Stiffness!$E$180=7,IF(5=Element_Stiffness!$C$180,Element_Stiffness!U211,IF(5=Element_Stiffness!$E$180,Element_Stiffness!AA211,0)),0)),0)+IF(Element_Stiffness!$C$216,IF(Element_Stiffness!$C$215=7,IF(5=Element_Stiffness!$C$215,Element_Stiffness!U240,IF(5=Element_Stiffness!$E$215,Element_Stiffness!AA240,0)),IF(Element_Stiffness!$E$215=7,IF(5=Element_Stiffness!$C$215,Element_Stiffness!U246,IF(5=Element_Stiffness!$E$215,Element_Stiffness!AA246,0)),0)),0)</f>
        <v/>
      </c>
      <c r="AM51" s="21">
        <f>IF(Element_Stiffness!$C$6,IF(Element_Stiffness!$C$5=7,IF(6=Element_Stiffness!$C$5,Element_Stiffness!P30,IF(6=Element_Stiffness!$E$5,Element_Stiffness!V30,0)),IF(Element_Stiffness!$E$5=7,IF(6=Element_Stiffness!$C$5,Element_Stiffness!P36,IF(6=Element_Stiffness!$E$5,Element_Stiffness!V36,0)),0)),0)+IF(Element_Stiffness!$C$41,IF(Element_Stiffness!$C$40=7,IF(6=Element_Stiffness!$C$40,Element_Stiffness!P65,IF(6=Element_Stiffness!$E$40,Element_Stiffness!V65,0)),IF(Element_Stiffness!$E$40=7,IF(6=Element_Stiffness!$C$40,Element_Stiffness!P71,IF(6=Element_Stiffness!$E$40,Element_Stiffness!V71,0)),0)),0)+IF(Element_Stiffness!$C$76,IF(Element_Stiffness!$C$75=7,IF(6=Element_Stiffness!$C$75,Element_Stiffness!P100,IF(6=Element_Stiffness!$E$75,Element_Stiffness!V100,0)),IF(Element_Stiffness!$E$75=7,IF(6=Element_Stiffness!$C$75,Element_Stiffness!P106,IF(6=Element_Stiffness!$E$75,Element_Stiffness!V106,0)),0)),0)+IF(Element_Stiffness!$C$111,IF(Element_Stiffness!$C$110=7,IF(6=Element_Stiffness!$C$110,Element_Stiffness!P135,IF(6=Element_Stiffness!$E$110,Element_Stiffness!V135,0)),IF(Element_Stiffness!$E$110=7,IF(6=Element_Stiffness!$C$110,Element_Stiffness!P141,IF(6=Element_Stiffness!$E$110,Element_Stiffness!V141,0)),0)),0)+IF(Element_Stiffness!$C$146,IF(Element_Stiffness!$C$145=7,IF(6=Element_Stiffness!$C$145,Element_Stiffness!P170,IF(6=Element_Stiffness!$E$145,Element_Stiffness!V170,0)),IF(Element_Stiffness!$E$145=7,IF(6=Element_Stiffness!$C$145,Element_Stiffness!P176,IF(6=Element_Stiffness!$E$145,Element_Stiffness!V176,0)),0)),0)+IF(Element_Stiffness!$C$181,IF(Element_Stiffness!$C$180=7,IF(6=Element_Stiffness!$C$180,Element_Stiffness!P205,IF(6=Element_Stiffness!$E$180,Element_Stiffness!V205,0)),IF(Element_Stiffness!$E$180=7,IF(6=Element_Stiffness!$C$180,Element_Stiffness!P211,IF(6=Element_Stiffness!$E$180,Element_Stiffness!V211,0)),0)),0)+IF(Element_Stiffness!$C$216,IF(Element_Stiffness!$C$215=7,IF(6=Element_Stiffness!$C$215,Element_Stiffness!P240,IF(6=Element_Stiffness!$E$215,Element_Stiffness!V240,0)),IF(Element_Stiffness!$E$215=7,IF(6=Element_Stiffness!$C$215,Element_Stiffness!P246,IF(6=Element_Stiffness!$E$215,Element_Stiffness!V246,0)),0)),0)</f>
        <v/>
      </c>
      <c r="AN51" s="21">
        <f>IF(Element_Stiffness!$C$6,IF(Element_Stiffness!$C$5=7,IF(6=Element_Stiffness!$C$5,Element_Stiffness!Q30,IF(6=Element_Stiffness!$E$5,Element_Stiffness!W30,0)),IF(Element_Stiffness!$E$5=7,IF(6=Element_Stiffness!$C$5,Element_Stiffness!Q36,IF(6=Element_Stiffness!$E$5,Element_Stiffness!W36,0)),0)),0)+IF(Element_Stiffness!$C$41,IF(Element_Stiffness!$C$40=7,IF(6=Element_Stiffness!$C$40,Element_Stiffness!Q65,IF(6=Element_Stiffness!$E$40,Element_Stiffness!W65,0)),IF(Element_Stiffness!$E$40=7,IF(6=Element_Stiffness!$C$40,Element_Stiffness!Q71,IF(6=Element_Stiffness!$E$40,Element_Stiffness!W71,0)),0)),0)+IF(Element_Stiffness!$C$76,IF(Element_Stiffness!$C$75=7,IF(6=Element_Stiffness!$C$75,Element_Stiffness!Q100,IF(6=Element_Stiffness!$E$75,Element_Stiffness!W100,0)),IF(Element_Stiffness!$E$75=7,IF(6=Element_Stiffness!$C$75,Element_Stiffness!Q106,IF(6=Element_Stiffness!$E$75,Element_Stiffness!W106,0)),0)),0)+IF(Element_Stiffness!$C$111,IF(Element_Stiffness!$C$110=7,IF(6=Element_Stiffness!$C$110,Element_Stiffness!Q135,IF(6=Element_Stiffness!$E$110,Element_Stiffness!W135,0)),IF(Element_Stiffness!$E$110=7,IF(6=Element_Stiffness!$C$110,Element_Stiffness!Q141,IF(6=Element_Stiffness!$E$110,Element_Stiffness!W141,0)),0)),0)+IF(Element_Stiffness!$C$146,IF(Element_Stiffness!$C$145=7,IF(6=Element_Stiffness!$C$145,Element_Stiffness!Q170,IF(6=Element_Stiffness!$E$145,Element_Stiffness!W170,0)),IF(Element_Stiffness!$E$145=7,IF(6=Element_Stiffness!$C$145,Element_Stiffness!Q176,IF(6=Element_Stiffness!$E$145,Element_Stiffness!W176,0)),0)),0)+IF(Element_Stiffness!$C$181,IF(Element_Stiffness!$C$180=7,IF(6=Element_Stiffness!$C$180,Element_Stiffness!Q205,IF(6=Element_Stiffness!$E$180,Element_Stiffness!W205,0)),IF(Element_Stiffness!$E$180=7,IF(6=Element_Stiffness!$C$180,Element_Stiffness!Q211,IF(6=Element_Stiffness!$E$180,Element_Stiffness!W211,0)),0)),0)+IF(Element_Stiffness!$C$216,IF(Element_Stiffness!$C$215=7,IF(6=Element_Stiffness!$C$215,Element_Stiffness!Q240,IF(6=Element_Stiffness!$E$215,Element_Stiffness!W240,0)),IF(Element_Stiffness!$E$215=7,IF(6=Element_Stiffness!$C$215,Element_Stiffness!Q246,IF(6=Element_Stiffness!$E$215,Element_Stiffness!W246,0)),0)),0)</f>
        <v/>
      </c>
      <c r="AO51" s="21">
        <f>IF(Element_Stiffness!$C$6,IF(Element_Stiffness!$C$5=7,IF(6=Element_Stiffness!$C$5,Element_Stiffness!R30,IF(6=Element_Stiffness!$E$5,Element_Stiffness!X30,0)),IF(Element_Stiffness!$E$5=7,IF(6=Element_Stiffness!$C$5,Element_Stiffness!R36,IF(6=Element_Stiffness!$E$5,Element_Stiffness!X36,0)),0)),0)+IF(Element_Stiffness!$C$41,IF(Element_Stiffness!$C$40=7,IF(6=Element_Stiffness!$C$40,Element_Stiffness!R65,IF(6=Element_Stiffness!$E$40,Element_Stiffness!X65,0)),IF(Element_Stiffness!$E$40=7,IF(6=Element_Stiffness!$C$40,Element_Stiffness!R71,IF(6=Element_Stiffness!$E$40,Element_Stiffness!X71,0)),0)),0)+IF(Element_Stiffness!$C$76,IF(Element_Stiffness!$C$75=7,IF(6=Element_Stiffness!$C$75,Element_Stiffness!R100,IF(6=Element_Stiffness!$E$75,Element_Stiffness!X100,0)),IF(Element_Stiffness!$E$75=7,IF(6=Element_Stiffness!$C$75,Element_Stiffness!R106,IF(6=Element_Stiffness!$E$75,Element_Stiffness!X106,0)),0)),0)+IF(Element_Stiffness!$C$111,IF(Element_Stiffness!$C$110=7,IF(6=Element_Stiffness!$C$110,Element_Stiffness!R135,IF(6=Element_Stiffness!$E$110,Element_Stiffness!X135,0)),IF(Element_Stiffness!$E$110=7,IF(6=Element_Stiffness!$C$110,Element_Stiffness!R141,IF(6=Element_Stiffness!$E$110,Element_Stiffness!X141,0)),0)),0)+IF(Element_Stiffness!$C$146,IF(Element_Stiffness!$C$145=7,IF(6=Element_Stiffness!$C$145,Element_Stiffness!R170,IF(6=Element_Stiffness!$E$145,Element_Stiffness!X170,0)),IF(Element_Stiffness!$E$145=7,IF(6=Element_Stiffness!$C$145,Element_Stiffness!R176,IF(6=Element_Stiffness!$E$145,Element_Stiffness!X176,0)),0)),0)+IF(Element_Stiffness!$C$181,IF(Element_Stiffness!$C$180=7,IF(6=Element_Stiffness!$C$180,Element_Stiffness!R205,IF(6=Element_Stiffness!$E$180,Element_Stiffness!X205,0)),IF(Element_Stiffness!$E$180=7,IF(6=Element_Stiffness!$C$180,Element_Stiffness!R211,IF(6=Element_Stiffness!$E$180,Element_Stiffness!X211,0)),0)),0)+IF(Element_Stiffness!$C$216,IF(Element_Stiffness!$C$215=7,IF(6=Element_Stiffness!$C$215,Element_Stiffness!R240,IF(6=Element_Stiffness!$E$215,Element_Stiffness!X240,0)),IF(Element_Stiffness!$E$215=7,IF(6=Element_Stiffness!$C$215,Element_Stiffness!R246,IF(6=Element_Stiffness!$E$215,Element_Stiffness!X246,0)),0)),0)</f>
        <v/>
      </c>
      <c r="AP51" s="21">
        <f>IF(Element_Stiffness!$C$6,IF(Element_Stiffness!$C$5=7,IF(6=Element_Stiffness!$C$5,Element_Stiffness!S30,IF(6=Element_Stiffness!$E$5,Element_Stiffness!Y30,0)),IF(Element_Stiffness!$E$5=7,IF(6=Element_Stiffness!$C$5,Element_Stiffness!S36,IF(6=Element_Stiffness!$E$5,Element_Stiffness!Y36,0)),0)),0)+IF(Element_Stiffness!$C$41,IF(Element_Stiffness!$C$40=7,IF(6=Element_Stiffness!$C$40,Element_Stiffness!S65,IF(6=Element_Stiffness!$E$40,Element_Stiffness!Y65,0)),IF(Element_Stiffness!$E$40=7,IF(6=Element_Stiffness!$C$40,Element_Stiffness!S71,IF(6=Element_Stiffness!$E$40,Element_Stiffness!Y71,0)),0)),0)+IF(Element_Stiffness!$C$76,IF(Element_Stiffness!$C$75=7,IF(6=Element_Stiffness!$C$75,Element_Stiffness!S100,IF(6=Element_Stiffness!$E$75,Element_Stiffness!Y100,0)),IF(Element_Stiffness!$E$75=7,IF(6=Element_Stiffness!$C$75,Element_Stiffness!S106,IF(6=Element_Stiffness!$E$75,Element_Stiffness!Y106,0)),0)),0)+IF(Element_Stiffness!$C$111,IF(Element_Stiffness!$C$110=7,IF(6=Element_Stiffness!$C$110,Element_Stiffness!S135,IF(6=Element_Stiffness!$E$110,Element_Stiffness!Y135,0)),IF(Element_Stiffness!$E$110=7,IF(6=Element_Stiffness!$C$110,Element_Stiffness!S141,IF(6=Element_Stiffness!$E$110,Element_Stiffness!Y141,0)),0)),0)+IF(Element_Stiffness!$C$146,IF(Element_Stiffness!$C$145=7,IF(6=Element_Stiffness!$C$145,Element_Stiffness!S170,IF(6=Element_Stiffness!$E$145,Element_Stiffness!Y170,0)),IF(Element_Stiffness!$E$145=7,IF(6=Element_Stiffness!$C$145,Element_Stiffness!S176,IF(6=Element_Stiffness!$E$145,Element_Stiffness!Y176,0)),0)),0)+IF(Element_Stiffness!$C$181,IF(Element_Stiffness!$C$180=7,IF(6=Element_Stiffness!$C$180,Element_Stiffness!S205,IF(6=Element_Stiffness!$E$180,Element_Stiffness!Y205,0)),IF(Element_Stiffness!$E$180=7,IF(6=Element_Stiffness!$C$180,Element_Stiffness!S211,IF(6=Element_Stiffness!$E$180,Element_Stiffness!Y211,0)),0)),0)+IF(Element_Stiffness!$C$216,IF(Element_Stiffness!$C$215=7,IF(6=Element_Stiffness!$C$215,Element_Stiffness!S240,IF(6=Element_Stiffness!$E$215,Element_Stiffness!Y240,0)),IF(Element_Stiffness!$E$215=7,IF(6=Element_Stiffness!$C$215,Element_Stiffness!S246,IF(6=Element_Stiffness!$E$215,Element_Stiffness!Y246,0)),0)),0)</f>
        <v/>
      </c>
      <c r="AQ51" s="21">
        <f>IF(Element_Stiffness!$C$6,IF(Element_Stiffness!$C$5=7,IF(6=Element_Stiffness!$C$5,Element_Stiffness!T30,IF(6=Element_Stiffness!$E$5,Element_Stiffness!Z30,0)),IF(Element_Stiffness!$E$5=7,IF(6=Element_Stiffness!$C$5,Element_Stiffness!T36,IF(6=Element_Stiffness!$E$5,Element_Stiffness!Z36,0)),0)),0)+IF(Element_Stiffness!$C$41,IF(Element_Stiffness!$C$40=7,IF(6=Element_Stiffness!$C$40,Element_Stiffness!T65,IF(6=Element_Stiffness!$E$40,Element_Stiffness!Z65,0)),IF(Element_Stiffness!$E$40=7,IF(6=Element_Stiffness!$C$40,Element_Stiffness!T71,IF(6=Element_Stiffness!$E$40,Element_Stiffness!Z71,0)),0)),0)+IF(Element_Stiffness!$C$76,IF(Element_Stiffness!$C$75=7,IF(6=Element_Stiffness!$C$75,Element_Stiffness!T100,IF(6=Element_Stiffness!$E$75,Element_Stiffness!Z100,0)),IF(Element_Stiffness!$E$75=7,IF(6=Element_Stiffness!$C$75,Element_Stiffness!T106,IF(6=Element_Stiffness!$E$75,Element_Stiffness!Z106,0)),0)),0)+IF(Element_Stiffness!$C$111,IF(Element_Stiffness!$C$110=7,IF(6=Element_Stiffness!$C$110,Element_Stiffness!T135,IF(6=Element_Stiffness!$E$110,Element_Stiffness!Z135,0)),IF(Element_Stiffness!$E$110=7,IF(6=Element_Stiffness!$C$110,Element_Stiffness!T141,IF(6=Element_Stiffness!$E$110,Element_Stiffness!Z141,0)),0)),0)+IF(Element_Stiffness!$C$146,IF(Element_Stiffness!$C$145=7,IF(6=Element_Stiffness!$C$145,Element_Stiffness!T170,IF(6=Element_Stiffness!$E$145,Element_Stiffness!Z170,0)),IF(Element_Stiffness!$E$145=7,IF(6=Element_Stiffness!$C$145,Element_Stiffness!T176,IF(6=Element_Stiffness!$E$145,Element_Stiffness!Z176,0)),0)),0)+IF(Element_Stiffness!$C$181,IF(Element_Stiffness!$C$180=7,IF(6=Element_Stiffness!$C$180,Element_Stiffness!T205,IF(6=Element_Stiffness!$E$180,Element_Stiffness!Z205,0)),IF(Element_Stiffness!$E$180=7,IF(6=Element_Stiffness!$C$180,Element_Stiffness!T211,IF(6=Element_Stiffness!$E$180,Element_Stiffness!Z211,0)),0)),0)+IF(Element_Stiffness!$C$216,IF(Element_Stiffness!$C$215=7,IF(6=Element_Stiffness!$C$215,Element_Stiffness!T240,IF(6=Element_Stiffness!$E$215,Element_Stiffness!Z240,0)),IF(Element_Stiffness!$E$215=7,IF(6=Element_Stiffness!$C$215,Element_Stiffness!T246,IF(6=Element_Stiffness!$E$215,Element_Stiffness!Z246,0)),0)),0)</f>
        <v/>
      </c>
      <c r="AR51" s="21">
        <f>IF(Element_Stiffness!$C$6,IF(Element_Stiffness!$C$5=7,IF(6=Element_Stiffness!$C$5,Element_Stiffness!U30,IF(6=Element_Stiffness!$E$5,Element_Stiffness!AA30,0)),IF(Element_Stiffness!$E$5=7,IF(6=Element_Stiffness!$C$5,Element_Stiffness!U36,IF(6=Element_Stiffness!$E$5,Element_Stiffness!AA36,0)),0)),0)+IF(Element_Stiffness!$C$41,IF(Element_Stiffness!$C$40=7,IF(6=Element_Stiffness!$C$40,Element_Stiffness!U65,IF(6=Element_Stiffness!$E$40,Element_Stiffness!AA65,0)),IF(Element_Stiffness!$E$40=7,IF(6=Element_Stiffness!$C$40,Element_Stiffness!U71,IF(6=Element_Stiffness!$E$40,Element_Stiffness!AA71,0)),0)),0)+IF(Element_Stiffness!$C$76,IF(Element_Stiffness!$C$75=7,IF(6=Element_Stiffness!$C$75,Element_Stiffness!U100,IF(6=Element_Stiffness!$E$75,Element_Stiffness!AA100,0)),IF(Element_Stiffness!$E$75=7,IF(6=Element_Stiffness!$C$75,Element_Stiffness!U106,IF(6=Element_Stiffness!$E$75,Element_Stiffness!AA106,0)),0)),0)+IF(Element_Stiffness!$C$111,IF(Element_Stiffness!$C$110=7,IF(6=Element_Stiffness!$C$110,Element_Stiffness!U135,IF(6=Element_Stiffness!$E$110,Element_Stiffness!AA135,0)),IF(Element_Stiffness!$E$110=7,IF(6=Element_Stiffness!$C$110,Element_Stiffness!U141,IF(6=Element_Stiffness!$E$110,Element_Stiffness!AA141,0)),0)),0)+IF(Element_Stiffness!$C$146,IF(Element_Stiffness!$C$145=7,IF(6=Element_Stiffness!$C$145,Element_Stiffness!U170,IF(6=Element_Stiffness!$E$145,Element_Stiffness!AA170,0)),IF(Element_Stiffness!$E$145=7,IF(6=Element_Stiffness!$C$145,Element_Stiffness!U176,IF(6=Element_Stiffness!$E$145,Element_Stiffness!AA176,0)),0)),0)+IF(Element_Stiffness!$C$181,IF(Element_Stiffness!$C$180=7,IF(6=Element_Stiffness!$C$180,Element_Stiffness!U205,IF(6=Element_Stiffness!$E$180,Element_Stiffness!AA205,0)),IF(Element_Stiffness!$E$180=7,IF(6=Element_Stiffness!$C$180,Element_Stiffness!U211,IF(6=Element_Stiffness!$E$180,Element_Stiffness!AA211,0)),0)),0)+IF(Element_Stiffness!$C$216,IF(Element_Stiffness!$C$215=7,IF(6=Element_Stiffness!$C$215,Element_Stiffness!U240,IF(6=Element_Stiffness!$E$215,Element_Stiffness!AA240,0)),IF(Element_Stiffness!$E$215=7,IF(6=Element_Stiffness!$C$215,Element_Stiffness!U246,IF(6=Element_Stiffness!$E$215,Element_Stiffness!AA246,0)),0)),0)</f>
        <v/>
      </c>
      <c r="AS51" s="21">
        <f>IF(Element_Stiffness!$C$6,IF(Element_Stiffness!$C$5=7,IF(7=Element_Stiffness!$C$5,Element_Stiffness!P30,IF(7=Element_Stiffness!$E$5,Element_Stiffness!V30,0)),IF(Element_Stiffness!$E$5=7,IF(7=Element_Stiffness!$C$5,Element_Stiffness!P36,IF(7=Element_Stiffness!$E$5,Element_Stiffness!V36,0)),0)),0)+IF(Element_Stiffness!$C$41,IF(Element_Stiffness!$C$40=7,IF(7=Element_Stiffness!$C$40,Element_Stiffness!P65,IF(7=Element_Stiffness!$E$40,Element_Stiffness!V65,0)),IF(Element_Stiffness!$E$40=7,IF(7=Element_Stiffness!$C$40,Element_Stiffness!P71,IF(7=Element_Stiffness!$E$40,Element_Stiffness!V71,0)),0)),0)+IF(Element_Stiffness!$C$76,IF(Element_Stiffness!$C$75=7,IF(7=Element_Stiffness!$C$75,Element_Stiffness!P100,IF(7=Element_Stiffness!$E$75,Element_Stiffness!V100,0)),IF(Element_Stiffness!$E$75=7,IF(7=Element_Stiffness!$C$75,Element_Stiffness!P106,IF(7=Element_Stiffness!$E$75,Element_Stiffness!V106,0)),0)),0)+IF(Element_Stiffness!$C$111,IF(Element_Stiffness!$C$110=7,IF(7=Element_Stiffness!$C$110,Element_Stiffness!P135,IF(7=Element_Stiffness!$E$110,Element_Stiffness!V135,0)),IF(Element_Stiffness!$E$110=7,IF(7=Element_Stiffness!$C$110,Element_Stiffness!P141,IF(7=Element_Stiffness!$E$110,Element_Stiffness!V141,0)),0)),0)+IF(Element_Stiffness!$C$146,IF(Element_Stiffness!$C$145=7,IF(7=Element_Stiffness!$C$145,Element_Stiffness!P170,IF(7=Element_Stiffness!$E$145,Element_Stiffness!V170,0)),IF(Element_Stiffness!$E$145=7,IF(7=Element_Stiffness!$C$145,Element_Stiffness!P176,IF(7=Element_Stiffness!$E$145,Element_Stiffness!V176,0)),0)),0)+IF(Element_Stiffness!$C$181,IF(Element_Stiffness!$C$180=7,IF(7=Element_Stiffness!$C$180,Element_Stiffness!P205,IF(7=Element_Stiffness!$E$180,Element_Stiffness!V205,0)),IF(Element_Stiffness!$E$180=7,IF(7=Element_Stiffness!$C$180,Element_Stiffness!P211,IF(7=Element_Stiffness!$E$180,Element_Stiffness!V211,0)),0)),0)+IF(Element_Stiffness!$C$216,IF(Element_Stiffness!$C$215=7,IF(7=Element_Stiffness!$C$215,Element_Stiffness!P240,IF(7=Element_Stiffness!$E$215,Element_Stiffness!V240,0)),IF(Element_Stiffness!$E$215=7,IF(7=Element_Stiffness!$C$215,Element_Stiffness!P246,IF(7=Element_Stiffness!$E$215,Element_Stiffness!V246,0)),0)),0)</f>
        <v/>
      </c>
      <c r="AT51" s="21">
        <f>IF(Element_Stiffness!$C$6,IF(Element_Stiffness!$C$5=7,IF(7=Element_Stiffness!$C$5,Element_Stiffness!Q30,IF(7=Element_Stiffness!$E$5,Element_Stiffness!W30,0)),IF(Element_Stiffness!$E$5=7,IF(7=Element_Stiffness!$C$5,Element_Stiffness!Q36,IF(7=Element_Stiffness!$E$5,Element_Stiffness!W36,0)),0)),0)+IF(Element_Stiffness!$C$41,IF(Element_Stiffness!$C$40=7,IF(7=Element_Stiffness!$C$40,Element_Stiffness!Q65,IF(7=Element_Stiffness!$E$40,Element_Stiffness!W65,0)),IF(Element_Stiffness!$E$40=7,IF(7=Element_Stiffness!$C$40,Element_Stiffness!Q71,IF(7=Element_Stiffness!$E$40,Element_Stiffness!W71,0)),0)),0)+IF(Element_Stiffness!$C$76,IF(Element_Stiffness!$C$75=7,IF(7=Element_Stiffness!$C$75,Element_Stiffness!Q100,IF(7=Element_Stiffness!$E$75,Element_Stiffness!W100,0)),IF(Element_Stiffness!$E$75=7,IF(7=Element_Stiffness!$C$75,Element_Stiffness!Q106,IF(7=Element_Stiffness!$E$75,Element_Stiffness!W106,0)),0)),0)+IF(Element_Stiffness!$C$111,IF(Element_Stiffness!$C$110=7,IF(7=Element_Stiffness!$C$110,Element_Stiffness!Q135,IF(7=Element_Stiffness!$E$110,Element_Stiffness!W135,0)),IF(Element_Stiffness!$E$110=7,IF(7=Element_Stiffness!$C$110,Element_Stiffness!Q141,IF(7=Element_Stiffness!$E$110,Element_Stiffness!W141,0)),0)),0)+IF(Element_Stiffness!$C$146,IF(Element_Stiffness!$C$145=7,IF(7=Element_Stiffness!$C$145,Element_Stiffness!Q170,IF(7=Element_Stiffness!$E$145,Element_Stiffness!W170,0)),IF(Element_Stiffness!$E$145=7,IF(7=Element_Stiffness!$C$145,Element_Stiffness!Q176,IF(7=Element_Stiffness!$E$145,Element_Stiffness!W176,0)),0)),0)+IF(Element_Stiffness!$C$181,IF(Element_Stiffness!$C$180=7,IF(7=Element_Stiffness!$C$180,Element_Stiffness!Q205,IF(7=Element_Stiffness!$E$180,Element_Stiffness!W205,0)),IF(Element_Stiffness!$E$180=7,IF(7=Element_Stiffness!$C$180,Element_Stiffness!Q211,IF(7=Element_Stiffness!$E$180,Element_Stiffness!W211,0)),0)),0)+IF(Element_Stiffness!$C$216,IF(Element_Stiffness!$C$215=7,IF(7=Element_Stiffness!$C$215,Element_Stiffness!Q240,IF(7=Element_Stiffness!$E$215,Element_Stiffness!W240,0)),IF(Element_Stiffness!$E$215=7,IF(7=Element_Stiffness!$C$215,Element_Stiffness!Q246,IF(7=Element_Stiffness!$E$215,Element_Stiffness!W246,0)),0)),0)</f>
        <v/>
      </c>
      <c r="AU51" s="21">
        <f>IF(Element_Stiffness!$C$6,IF(Element_Stiffness!$C$5=7,IF(7=Element_Stiffness!$C$5,Element_Stiffness!R30,IF(7=Element_Stiffness!$E$5,Element_Stiffness!X30,0)),IF(Element_Stiffness!$E$5=7,IF(7=Element_Stiffness!$C$5,Element_Stiffness!R36,IF(7=Element_Stiffness!$E$5,Element_Stiffness!X36,0)),0)),0)+IF(Element_Stiffness!$C$41,IF(Element_Stiffness!$C$40=7,IF(7=Element_Stiffness!$C$40,Element_Stiffness!R65,IF(7=Element_Stiffness!$E$40,Element_Stiffness!X65,0)),IF(Element_Stiffness!$E$40=7,IF(7=Element_Stiffness!$C$40,Element_Stiffness!R71,IF(7=Element_Stiffness!$E$40,Element_Stiffness!X71,0)),0)),0)+IF(Element_Stiffness!$C$76,IF(Element_Stiffness!$C$75=7,IF(7=Element_Stiffness!$C$75,Element_Stiffness!R100,IF(7=Element_Stiffness!$E$75,Element_Stiffness!X100,0)),IF(Element_Stiffness!$E$75=7,IF(7=Element_Stiffness!$C$75,Element_Stiffness!R106,IF(7=Element_Stiffness!$E$75,Element_Stiffness!X106,0)),0)),0)+IF(Element_Stiffness!$C$111,IF(Element_Stiffness!$C$110=7,IF(7=Element_Stiffness!$C$110,Element_Stiffness!R135,IF(7=Element_Stiffness!$E$110,Element_Stiffness!X135,0)),IF(Element_Stiffness!$E$110=7,IF(7=Element_Stiffness!$C$110,Element_Stiffness!R141,IF(7=Element_Stiffness!$E$110,Element_Stiffness!X141,0)),0)),0)+IF(Element_Stiffness!$C$146,IF(Element_Stiffness!$C$145=7,IF(7=Element_Stiffness!$C$145,Element_Stiffness!R170,IF(7=Element_Stiffness!$E$145,Element_Stiffness!X170,0)),IF(Element_Stiffness!$E$145=7,IF(7=Element_Stiffness!$C$145,Element_Stiffness!R176,IF(7=Element_Stiffness!$E$145,Element_Stiffness!X176,0)),0)),0)+IF(Element_Stiffness!$C$181,IF(Element_Stiffness!$C$180=7,IF(7=Element_Stiffness!$C$180,Element_Stiffness!R205,IF(7=Element_Stiffness!$E$180,Element_Stiffness!X205,0)),IF(Element_Stiffness!$E$180=7,IF(7=Element_Stiffness!$C$180,Element_Stiffness!R211,IF(7=Element_Stiffness!$E$180,Element_Stiffness!X211,0)),0)),0)+IF(Element_Stiffness!$C$216,IF(Element_Stiffness!$C$215=7,IF(7=Element_Stiffness!$C$215,Element_Stiffness!R240,IF(7=Element_Stiffness!$E$215,Element_Stiffness!X240,0)),IF(Element_Stiffness!$E$215=7,IF(7=Element_Stiffness!$C$215,Element_Stiffness!R246,IF(7=Element_Stiffness!$E$215,Element_Stiffness!X246,0)),0)),0)</f>
        <v/>
      </c>
      <c r="AV51" s="21">
        <f>IF(Element_Stiffness!$C$6,IF(Element_Stiffness!$C$5=7,IF(7=Element_Stiffness!$C$5,Element_Stiffness!S30,IF(7=Element_Stiffness!$E$5,Element_Stiffness!Y30,0)),IF(Element_Stiffness!$E$5=7,IF(7=Element_Stiffness!$C$5,Element_Stiffness!S36,IF(7=Element_Stiffness!$E$5,Element_Stiffness!Y36,0)),0)),0)+IF(Element_Stiffness!$C$41,IF(Element_Stiffness!$C$40=7,IF(7=Element_Stiffness!$C$40,Element_Stiffness!S65,IF(7=Element_Stiffness!$E$40,Element_Stiffness!Y65,0)),IF(Element_Stiffness!$E$40=7,IF(7=Element_Stiffness!$C$40,Element_Stiffness!S71,IF(7=Element_Stiffness!$E$40,Element_Stiffness!Y71,0)),0)),0)+IF(Element_Stiffness!$C$76,IF(Element_Stiffness!$C$75=7,IF(7=Element_Stiffness!$C$75,Element_Stiffness!S100,IF(7=Element_Stiffness!$E$75,Element_Stiffness!Y100,0)),IF(Element_Stiffness!$E$75=7,IF(7=Element_Stiffness!$C$75,Element_Stiffness!S106,IF(7=Element_Stiffness!$E$75,Element_Stiffness!Y106,0)),0)),0)+IF(Element_Stiffness!$C$111,IF(Element_Stiffness!$C$110=7,IF(7=Element_Stiffness!$C$110,Element_Stiffness!S135,IF(7=Element_Stiffness!$E$110,Element_Stiffness!Y135,0)),IF(Element_Stiffness!$E$110=7,IF(7=Element_Stiffness!$C$110,Element_Stiffness!S141,IF(7=Element_Stiffness!$E$110,Element_Stiffness!Y141,0)),0)),0)+IF(Element_Stiffness!$C$146,IF(Element_Stiffness!$C$145=7,IF(7=Element_Stiffness!$C$145,Element_Stiffness!S170,IF(7=Element_Stiffness!$E$145,Element_Stiffness!Y170,0)),IF(Element_Stiffness!$E$145=7,IF(7=Element_Stiffness!$C$145,Element_Stiffness!S176,IF(7=Element_Stiffness!$E$145,Element_Stiffness!Y176,0)),0)),0)+IF(Element_Stiffness!$C$181,IF(Element_Stiffness!$C$180=7,IF(7=Element_Stiffness!$C$180,Element_Stiffness!S205,IF(7=Element_Stiffness!$E$180,Element_Stiffness!Y205,0)),IF(Element_Stiffness!$E$180=7,IF(7=Element_Stiffness!$C$180,Element_Stiffness!S211,IF(7=Element_Stiffness!$E$180,Element_Stiffness!Y211,0)),0)),0)+IF(Element_Stiffness!$C$216,IF(Element_Stiffness!$C$215=7,IF(7=Element_Stiffness!$C$215,Element_Stiffness!S240,IF(7=Element_Stiffness!$E$215,Element_Stiffness!Y240,0)),IF(Element_Stiffness!$E$215=7,IF(7=Element_Stiffness!$C$215,Element_Stiffness!S246,IF(7=Element_Stiffness!$E$215,Element_Stiffness!Y246,0)),0)),0)</f>
        <v/>
      </c>
      <c r="AW51" s="21">
        <f>IF(Element_Stiffness!$C$6,IF(Element_Stiffness!$C$5=7,IF(7=Element_Stiffness!$C$5,Element_Stiffness!T30,IF(7=Element_Stiffness!$E$5,Element_Stiffness!Z30,0)),IF(Element_Stiffness!$E$5=7,IF(7=Element_Stiffness!$C$5,Element_Stiffness!T36,IF(7=Element_Stiffness!$E$5,Element_Stiffness!Z36,0)),0)),0)+IF(Element_Stiffness!$C$41,IF(Element_Stiffness!$C$40=7,IF(7=Element_Stiffness!$C$40,Element_Stiffness!T65,IF(7=Element_Stiffness!$E$40,Element_Stiffness!Z65,0)),IF(Element_Stiffness!$E$40=7,IF(7=Element_Stiffness!$C$40,Element_Stiffness!T71,IF(7=Element_Stiffness!$E$40,Element_Stiffness!Z71,0)),0)),0)+IF(Element_Stiffness!$C$76,IF(Element_Stiffness!$C$75=7,IF(7=Element_Stiffness!$C$75,Element_Stiffness!T100,IF(7=Element_Stiffness!$E$75,Element_Stiffness!Z100,0)),IF(Element_Stiffness!$E$75=7,IF(7=Element_Stiffness!$C$75,Element_Stiffness!T106,IF(7=Element_Stiffness!$E$75,Element_Stiffness!Z106,0)),0)),0)+IF(Element_Stiffness!$C$111,IF(Element_Stiffness!$C$110=7,IF(7=Element_Stiffness!$C$110,Element_Stiffness!T135,IF(7=Element_Stiffness!$E$110,Element_Stiffness!Z135,0)),IF(Element_Stiffness!$E$110=7,IF(7=Element_Stiffness!$C$110,Element_Stiffness!T141,IF(7=Element_Stiffness!$E$110,Element_Stiffness!Z141,0)),0)),0)+IF(Element_Stiffness!$C$146,IF(Element_Stiffness!$C$145=7,IF(7=Element_Stiffness!$C$145,Element_Stiffness!T170,IF(7=Element_Stiffness!$E$145,Element_Stiffness!Z170,0)),IF(Element_Stiffness!$E$145=7,IF(7=Element_Stiffness!$C$145,Element_Stiffness!T176,IF(7=Element_Stiffness!$E$145,Element_Stiffness!Z176,0)),0)),0)+IF(Element_Stiffness!$C$181,IF(Element_Stiffness!$C$180=7,IF(7=Element_Stiffness!$C$180,Element_Stiffness!T205,IF(7=Element_Stiffness!$E$180,Element_Stiffness!Z205,0)),IF(Element_Stiffness!$E$180=7,IF(7=Element_Stiffness!$C$180,Element_Stiffness!T211,IF(7=Element_Stiffness!$E$180,Element_Stiffness!Z211,0)),0)),0)+IF(Element_Stiffness!$C$216,IF(Element_Stiffness!$C$215=7,IF(7=Element_Stiffness!$C$215,Element_Stiffness!T240,IF(7=Element_Stiffness!$E$215,Element_Stiffness!Z240,0)),IF(Element_Stiffness!$E$215=7,IF(7=Element_Stiffness!$C$215,Element_Stiffness!T246,IF(7=Element_Stiffness!$E$215,Element_Stiffness!Z246,0)),0)),0)+IF(Inputs!G47=TRUE,1E15,IF(ISNUMBER(Inputs!G47),Inputs!G47,0))</f>
        <v/>
      </c>
      <c r="AX51" s="21">
        <f>IF(Element_Stiffness!$C$6,IF(Element_Stiffness!$C$5=7,IF(7=Element_Stiffness!$C$5,Element_Stiffness!U30,IF(7=Element_Stiffness!$E$5,Element_Stiffness!AA30,0)),IF(Element_Stiffness!$E$5=7,IF(7=Element_Stiffness!$C$5,Element_Stiffness!U36,IF(7=Element_Stiffness!$E$5,Element_Stiffness!AA36,0)),0)),0)+IF(Element_Stiffness!$C$41,IF(Element_Stiffness!$C$40=7,IF(7=Element_Stiffness!$C$40,Element_Stiffness!U65,IF(7=Element_Stiffness!$E$40,Element_Stiffness!AA65,0)),IF(Element_Stiffness!$E$40=7,IF(7=Element_Stiffness!$C$40,Element_Stiffness!U71,IF(7=Element_Stiffness!$E$40,Element_Stiffness!AA71,0)),0)),0)+IF(Element_Stiffness!$C$76,IF(Element_Stiffness!$C$75=7,IF(7=Element_Stiffness!$C$75,Element_Stiffness!U100,IF(7=Element_Stiffness!$E$75,Element_Stiffness!AA100,0)),IF(Element_Stiffness!$E$75=7,IF(7=Element_Stiffness!$C$75,Element_Stiffness!U106,IF(7=Element_Stiffness!$E$75,Element_Stiffness!AA106,0)),0)),0)+IF(Element_Stiffness!$C$111,IF(Element_Stiffness!$C$110=7,IF(7=Element_Stiffness!$C$110,Element_Stiffness!U135,IF(7=Element_Stiffness!$E$110,Element_Stiffness!AA135,0)),IF(Element_Stiffness!$E$110=7,IF(7=Element_Stiffness!$C$110,Element_Stiffness!U141,IF(7=Element_Stiffness!$E$110,Element_Stiffness!AA141,0)),0)),0)+IF(Element_Stiffness!$C$146,IF(Element_Stiffness!$C$145=7,IF(7=Element_Stiffness!$C$145,Element_Stiffness!U170,IF(7=Element_Stiffness!$E$145,Element_Stiffness!AA170,0)),IF(Element_Stiffness!$E$145=7,IF(7=Element_Stiffness!$C$145,Element_Stiffness!U176,IF(7=Element_Stiffness!$E$145,Element_Stiffness!AA176,0)),0)),0)+IF(Element_Stiffness!$C$181,IF(Element_Stiffness!$C$180=7,IF(7=Element_Stiffness!$C$180,Element_Stiffness!U205,IF(7=Element_Stiffness!$E$180,Element_Stiffness!AA205,0)),IF(Element_Stiffness!$E$180=7,IF(7=Element_Stiffness!$C$180,Element_Stiffness!U211,IF(7=Element_Stiffness!$E$180,Element_Stiffness!AA211,0)),0)),0)+IF(Element_Stiffness!$C$216,IF(Element_Stiffness!$C$215=7,IF(7=Element_Stiffness!$C$215,Element_Stiffness!U240,IF(7=Element_Stiffness!$E$215,Element_Stiffness!AA240,0)),IF(Element_Stiffness!$E$215=7,IF(7=Element_Stiffness!$C$215,Element_Stiffness!U246,IF(7=Element_Stiffness!$E$215,Element_Stiffness!AA246,0)),0)),0)</f>
        <v/>
      </c>
      <c r="AY51" s="21" t="n">
        <v>0</v>
      </c>
      <c r="AZ51" s="21">
        <f>IF(Element_Stiffness!$C$6,IF(Element_Stiffness!$C$5=7,Element_Stiffness!C30,IF(Element_Stiffness!$E$5=7,Element_Stiffness!C36,0)),0)+IF(Element_Stiffness!$C$41,IF(Element_Stiffness!$C$40=7,Element_Stiffness!C65,IF(Element_Stiffness!$E$40=7,Element_Stiffness!C71,0)),0)+IF(Element_Stiffness!$C$76,IF(Element_Stiffness!$C$75=7,Element_Stiffness!C100,IF(Element_Stiffness!$E$75=7,Element_Stiffness!C106,0)),0)+IF(Element_Stiffness!$C$111,IF(Element_Stiffness!$C$110=7,Element_Stiffness!C135,IF(Element_Stiffness!$E$110=7,Element_Stiffness!C141,0)),0)+IF(Element_Stiffness!$C$146,IF(Element_Stiffness!$C$145=7,Element_Stiffness!C170,IF(Element_Stiffness!$E$145=7,Element_Stiffness!C176,0)),0)+IF(Element_Stiffness!$C$181,IF(Element_Stiffness!$C$180=7,Element_Stiffness!C205,IF(Element_Stiffness!$E$180=7,Element_Stiffness!C211,0)),0)+IF(Element_Stiffness!$C$216,IF(Element_Stiffness!$C$215=7,Element_Stiffness!C240,IF(Element_Stiffness!$E$215=7,Element_Stiffness!C246,0)),0)</f>
        <v/>
      </c>
      <c r="BB51" s="28">
        <f>INDEX(MMULT(MINVERSE(C5:AX52), AY5:AY52), 47, 1)</f>
        <v/>
      </c>
      <c r="BC51" s="28">
        <f>INDEX(MMULT(MINVERSE(C5:AX52), AZ5:AZ52), 47, 1)</f>
        <v/>
      </c>
    </row>
    <row r="52">
      <c r="B52" s="27" t="inlineStr">
        <is>
          <t>N7_rz</t>
        </is>
      </c>
      <c r="C52" s="21">
        <f>IF(Element_Stiffness!$C$6,IF(Element_Stiffness!$C$5=7,IF(0=Element_Stiffness!$C$5,Element_Stiffness!P31,IF(0=Element_Stiffness!$E$5,Element_Stiffness!V31,0)),IF(Element_Stiffness!$E$5=7,IF(0=Element_Stiffness!$C$5,Element_Stiffness!P37,IF(0=Element_Stiffness!$E$5,Element_Stiffness!V37,0)),0)),0)+IF(Element_Stiffness!$C$41,IF(Element_Stiffness!$C$40=7,IF(0=Element_Stiffness!$C$40,Element_Stiffness!P66,IF(0=Element_Stiffness!$E$40,Element_Stiffness!V66,0)),IF(Element_Stiffness!$E$40=7,IF(0=Element_Stiffness!$C$40,Element_Stiffness!P72,IF(0=Element_Stiffness!$E$40,Element_Stiffness!V72,0)),0)),0)+IF(Element_Stiffness!$C$76,IF(Element_Stiffness!$C$75=7,IF(0=Element_Stiffness!$C$75,Element_Stiffness!P101,IF(0=Element_Stiffness!$E$75,Element_Stiffness!V101,0)),IF(Element_Stiffness!$E$75=7,IF(0=Element_Stiffness!$C$75,Element_Stiffness!P107,IF(0=Element_Stiffness!$E$75,Element_Stiffness!V107,0)),0)),0)+IF(Element_Stiffness!$C$111,IF(Element_Stiffness!$C$110=7,IF(0=Element_Stiffness!$C$110,Element_Stiffness!P136,IF(0=Element_Stiffness!$E$110,Element_Stiffness!V136,0)),IF(Element_Stiffness!$E$110=7,IF(0=Element_Stiffness!$C$110,Element_Stiffness!P142,IF(0=Element_Stiffness!$E$110,Element_Stiffness!V142,0)),0)),0)+IF(Element_Stiffness!$C$146,IF(Element_Stiffness!$C$145=7,IF(0=Element_Stiffness!$C$145,Element_Stiffness!P171,IF(0=Element_Stiffness!$E$145,Element_Stiffness!V171,0)),IF(Element_Stiffness!$E$145=7,IF(0=Element_Stiffness!$C$145,Element_Stiffness!P177,IF(0=Element_Stiffness!$E$145,Element_Stiffness!V177,0)),0)),0)+IF(Element_Stiffness!$C$181,IF(Element_Stiffness!$C$180=7,IF(0=Element_Stiffness!$C$180,Element_Stiffness!P206,IF(0=Element_Stiffness!$E$180,Element_Stiffness!V206,0)),IF(Element_Stiffness!$E$180=7,IF(0=Element_Stiffness!$C$180,Element_Stiffness!P212,IF(0=Element_Stiffness!$E$180,Element_Stiffness!V212,0)),0)),0)+IF(Element_Stiffness!$C$216,IF(Element_Stiffness!$C$215=7,IF(0=Element_Stiffness!$C$215,Element_Stiffness!P241,IF(0=Element_Stiffness!$E$215,Element_Stiffness!V241,0)),IF(Element_Stiffness!$E$215=7,IF(0=Element_Stiffness!$C$215,Element_Stiffness!P247,IF(0=Element_Stiffness!$E$215,Element_Stiffness!V247,0)),0)),0)</f>
        <v/>
      </c>
      <c r="D52" s="21">
        <f>IF(Element_Stiffness!$C$6,IF(Element_Stiffness!$C$5=7,IF(0=Element_Stiffness!$C$5,Element_Stiffness!Q31,IF(0=Element_Stiffness!$E$5,Element_Stiffness!W31,0)),IF(Element_Stiffness!$E$5=7,IF(0=Element_Stiffness!$C$5,Element_Stiffness!Q37,IF(0=Element_Stiffness!$E$5,Element_Stiffness!W37,0)),0)),0)+IF(Element_Stiffness!$C$41,IF(Element_Stiffness!$C$40=7,IF(0=Element_Stiffness!$C$40,Element_Stiffness!Q66,IF(0=Element_Stiffness!$E$40,Element_Stiffness!W66,0)),IF(Element_Stiffness!$E$40=7,IF(0=Element_Stiffness!$C$40,Element_Stiffness!Q72,IF(0=Element_Stiffness!$E$40,Element_Stiffness!W72,0)),0)),0)+IF(Element_Stiffness!$C$76,IF(Element_Stiffness!$C$75=7,IF(0=Element_Stiffness!$C$75,Element_Stiffness!Q101,IF(0=Element_Stiffness!$E$75,Element_Stiffness!W101,0)),IF(Element_Stiffness!$E$75=7,IF(0=Element_Stiffness!$C$75,Element_Stiffness!Q107,IF(0=Element_Stiffness!$E$75,Element_Stiffness!W107,0)),0)),0)+IF(Element_Stiffness!$C$111,IF(Element_Stiffness!$C$110=7,IF(0=Element_Stiffness!$C$110,Element_Stiffness!Q136,IF(0=Element_Stiffness!$E$110,Element_Stiffness!W136,0)),IF(Element_Stiffness!$E$110=7,IF(0=Element_Stiffness!$C$110,Element_Stiffness!Q142,IF(0=Element_Stiffness!$E$110,Element_Stiffness!W142,0)),0)),0)+IF(Element_Stiffness!$C$146,IF(Element_Stiffness!$C$145=7,IF(0=Element_Stiffness!$C$145,Element_Stiffness!Q171,IF(0=Element_Stiffness!$E$145,Element_Stiffness!W171,0)),IF(Element_Stiffness!$E$145=7,IF(0=Element_Stiffness!$C$145,Element_Stiffness!Q177,IF(0=Element_Stiffness!$E$145,Element_Stiffness!W177,0)),0)),0)+IF(Element_Stiffness!$C$181,IF(Element_Stiffness!$C$180=7,IF(0=Element_Stiffness!$C$180,Element_Stiffness!Q206,IF(0=Element_Stiffness!$E$180,Element_Stiffness!W206,0)),IF(Element_Stiffness!$E$180=7,IF(0=Element_Stiffness!$C$180,Element_Stiffness!Q212,IF(0=Element_Stiffness!$E$180,Element_Stiffness!W212,0)),0)),0)+IF(Element_Stiffness!$C$216,IF(Element_Stiffness!$C$215=7,IF(0=Element_Stiffness!$C$215,Element_Stiffness!Q241,IF(0=Element_Stiffness!$E$215,Element_Stiffness!W241,0)),IF(Element_Stiffness!$E$215=7,IF(0=Element_Stiffness!$C$215,Element_Stiffness!Q247,IF(0=Element_Stiffness!$E$215,Element_Stiffness!W247,0)),0)),0)</f>
        <v/>
      </c>
      <c r="E52" s="21">
        <f>IF(Element_Stiffness!$C$6,IF(Element_Stiffness!$C$5=7,IF(0=Element_Stiffness!$C$5,Element_Stiffness!R31,IF(0=Element_Stiffness!$E$5,Element_Stiffness!X31,0)),IF(Element_Stiffness!$E$5=7,IF(0=Element_Stiffness!$C$5,Element_Stiffness!R37,IF(0=Element_Stiffness!$E$5,Element_Stiffness!X37,0)),0)),0)+IF(Element_Stiffness!$C$41,IF(Element_Stiffness!$C$40=7,IF(0=Element_Stiffness!$C$40,Element_Stiffness!R66,IF(0=Element_Stiffness!$E$40,Element_Stiffness!X66,0)),IF(Element_Stiffness!$E$40=7,IF(0=Element_Stiffness!$C$40,Element_Stiffness!R72,IF(0=Element_Stiffness!$E$40,Element_Stiffness!X72,0)),0)),0)+IF(Element_Stiffness!$C$76,IF(Element_Stiffness!$C$75=7,IF(0=Element_Stiffness!$C$75,Element_Stiffness!R101,IF(0=Element_Stiffness!$E$75,Element_Stiffness!X101,0)),IF(Element_Stiffness!$E$75=7,IF(0=Element_Stiffness!$C$75,Element_Stiffness!R107,IF(0=Element_Stiffness!$E$75,Element_Stiffness!X107,0)),0)),0)+IF(Element_Stiffness!$C$111,IF(Element_Stiffness!$C$110=7,IF(0=Element_Stiffness!$C$110,Element_Stiffness!R136,IF(0=Element_Stiffness!$E$110,Element_Stiffness!X136,0)),IF(Element_Stiffness!$E$110=7,IF(0=Element_Stiffness!$C$110,Element_Stiffness!R142,IF(0=Element_Stiffness!$E$110,Element_Stiffness!X142,0)),0)),0)+IF(Element_Stiffness!$C$146,IF(Element_Stiffness!$C$145=7,IF(0=Element_Stiffness!$C$145,Element_Stiffness!R171,IF(0=Element_Stiffness!$E$145,Element_Stiffness!X171,0)),IF(Element_Stiffness!$E$145=7,IF(0=Element_Stiffness!$C$145,Element_Stiffness!R177,IF(0=Element_Stiffness!$E$145,Element_Stiffness!X177,0)),0)),0)+IF(Element_Stiffness!$C$181,IF(Element_Stiffness!$C$180=7,IF(0=Element_Stiffness!$C$180,Element_Stiffness!R206,IF(0=Element_Stiffness!$E$180,Element_Stiffness!X206,0)),IF(Element_Stiffness!$E$180=7,IF(0=Element_Stiffness!$C$180,Element_Stiffness!R212,IF(0=Element_Stiffness!$E$180,Element_Stiffness!X212,0)),0)),0)+IF(Element_Stiffness!$C$216,IF(Element_Stiffness!$C$215=7,IF(0=Element_Stiffness!$C$215,Element_Stiffness!R241,IF(0=Element_Stiffness!$E$215,Element_Stiffness!X241,0)),IF(Element_Stiffness!$E$215=7,IF(0=Element_Stiffness!$C$215,Element_Stiffness!R247,IF(0=Element_Stiffness!$E$215,Element_Stiffness!X247,0)),0)),0)</f>
        <v/>
      </c>
      <c r="F52" s="21">
        <f>IF(Element_Stiffness!$C$6,IF(Element_Stiffness!$C$5=7,IF(0=Element_Stiffness!$C$5,Element_Stiffness!S31,IF(0=Element_Stiffness!$E$5,Element_Stiffness!Y31,0)),IF(Element_Stiffness!$E$5=7,IF(0=Element_Stiffness!$C$5,Element_Stiffness!S37,IF(0=Element_Stiffness!$E$5,Element_Stiffness!Y37,0)),0)),0)+IF(Element_Stiffness!$C$41,IF(Element_Stiffness!$C$40=7,IF(0=Element_Stiffness!$C$40,Element_Stiffness!S66,IF(0=Element_Stiffness!$E$40,Element_Stiffness!Y66,0)),IF(Element_Stiffness!$E$40=7,IF(0=Element_Stiffness!$C$40,Element_Stiffness!S72,IF(0=Element_Stiffness!$E$40,Element_Stiffness!Y72,0)),0)),0)+IF(Element_Stiffness!$C$76,IF(Element_Stiffness!$C$75=7,IF(0=Element_Stiffness!$C$75,Element_Stiffness!S101,IF(0=Element_Stiffness!$E$75,Element_Stiffness!Y101,0)),IF(Element_Stiffness!$E$75=7,IF(0=Element_Stiffness!$C$75,Element_Stiffness!S107,IF(0=Element_Stiffness!$E$75,Element_Stiffness!Y107,0)),0)),0)+IF(Element_Stiffness!$C$111,IF(Element_Stiffness!$C$110=7,IF(0=Element_Stiffness!$C$110,Element_Stiffness!S136,IF(0=Element_Stiffness!$E$110,Element_Stiffness!Y136,0)),IF(Element_Stiffness!$E$110=7,IF(0=Element_Stiffness!$C$110,Element_Stiffness!S142,IF(0=Element_Stiffness!$E$110,Element_Stiffness!Y142,0)),0)),0)+IF(Element_Stiffness!$C$146,IF(Element_Stiffness!$C$145=7,IF(0=Element_Stiffness!$C$145,Element_Stiffness!S171,IF(0=Element_Stiffness!$E$145,Element_Stiffness!Y171,0)),IF(Element_Stiffness!$E$145=7,IF(0=Element_Stiffness!$C$145,Element_Stiffness!S177,IF(0=Element_Stiffness!$E$145,Element_Stiffness!Y177,0)),0)),0)+IF(Element_Stiffness!$C$181,IF(Element_Stiffness!$C$180=7,IF(0=Element_Stiffness!$C$180,Element_Stiffness!S206,IF(0=Element_Stiffness!$E$180,Element_Stiffness!Y206,0)),IF(Element_Stiffness!$E$180=7,IF(0=Element_Stiffness!$C$180,Element_Stiffness!S212,IF(0=Element_Stiffness!$E$180,Element_Stiffness!Y212,0)),0)),0)+IF(Element_Stiffness!$C$216,IF(Element_Stiffness!$C$215=7,IF(0=Element_Stiffness!$C$215,Element_Stiffness!S241,IF(0=Element_Stiffness!$E$215,Element_Stiffness!Y241,0)),IF(Element_Stiffness!$E$215=7,IF(0=Element_Stiffness!$C$215,Element_Stiffness!S247,IF(0=Element_Stiffness!$E$215,Element_Stiffness!Y247,0)),0)),0)</f>
        <v/>
      </c>
      <c r="G52" s="21">
        <f>IF(Element_Stiffness!$C$6,IF(Element_Stiffness!$C$5=7,IF(0=Element_Stiffness!$C$5,Element_Stiffness!T31,IF(0=Element_Stiffness!$E$5,Element_Stiffness!Z31,0)),IF(Element_Stiffness!$E$5=7,IF(0=Element_Stiffness!$C$5,Element_Stiffness!T37,IF(0=Element_Stiffness!$E$5,Element_Stiffness!Z37,0)),0)),0)+IF(Element_Stiffness!$C$41,IF(Element_Stiffness!$C$40=7,IF(0=Element_Stiffness!$C$40,Element_Stiffness!T66,IF(0=Element_Stiffness!$E$40,Element_Stiffness!Z66,0)),IF(Element_Stiffness!$E$40=7,IF(0=Element_Stiffness!$C$40,Element_Stiffness!T72,IF(0=Element_Stiffness!$E$40,Element_Stiffness!Z72,0)),0)),0)+IF(Element_Stiffness!$C$76,IF(Element_Stiffness!$C$75=7,IF(0=Element_Stiffness!$C$75,Element_Stiffness!T101,IF(0=Element_Stiffness!$E$75,Element_Stiffness!Z101,0)),IF(Element_Stiffness!$E$75=7,IF(0=Element_Stiffness!$C$75,Element_Stiffness!T107,IF(0=Element_Stiffness!$E$75,Element_Stiffness!Z107,0)),0)),0)+IF(Element_Stiffness!$C$111,IF(Element_Stiffness!$C$110=7,IF(0=Element_Stiffness!$C$110,Element_Stiffness!T136,IF(0=Element_Stiffness!$E$110,Element_Stiffness!Z136,0)),IF(Element_Stiffness!$E$110=7,IF(0=Element_Stiffness!$C$110,Element_Stiffness!T142,IF(0=Element_Stiffness!$E$110,Element_Stiffness!Z142,0)),0)),0)+IF(Element_Stiffness!$C$146,IF(Element_Stiffness!$C$145=7,IF(0=Element_Stiffness!$C$145,Element_Stiffness!T171,IF(0=Element_Stiffness!$E$145,Element_Stiffness!Z171,0)),IF(Element_Stiffness!$E$145=7,IF(0=Element_Stiffness!$C$145,Element_Stiffness!T177,IF(0=Element_Stiffness!$E$145,Element_Stiffness!Z177,0)),0)),0)+IF(Element_Stiffness!$C$181,IF(Element_Stiffness!$C$180=7,IF(0=Element_Stiffness!$C$180,Element_Stiffness!T206,IF(0=Element_Stiffness!$E$180,Element_Stiffness!Z206,0)),IF(Element_Stiffness!$E$180=7,IF(0=Element_Stiffness!$C$180,Element_Stiffness!T212,IF(0=Element_Stiffness!$E$180,Element_Stiffness!Z212,0)),0)),0)+IF(Element_Stiffness!$C$216,IF(Element_Stiffness!$C$215=7,IF(0=Element_Stiffness!$C$215,Element_Stiffness!T241,IF(0=Element_Stiffness!$E$215,Element_Stiffness!Z241,0)),IF(Element_Stiffness!$E$215=7,IF(0=Element_Stiffness!$C$215,Element_Stiffness!T247,IF(0=Element_Stiffness!$E$215,Element_Stiffness!Z247,0)),0)),0)</f>
        <v/>
      </c>
      <c r="H52" s="21">
        <f>IF(Element_Stiffness!$C$6,IF(Element_Stiffness!$C$5=7,IF(0=Element_Stiffness!$C$5,Element_Stiffness!U31,IF(0=Element_Stiffness!$E$5,Element_Stiffness!AA31,0)),IF(Element_Stiffness!$E$5=7,IF(0=Element_Stiffness!$C$5,Element_Stiffness!U37,IF(0=Element_Stiffness!$E$5,Element_Stiffness!AA37,0)),0)),0)+IF(Element_Stiffness!$C$41,IF(Element_Stiffness!$C$40=7,IF(0=Element_Stiffness!$C$40,Element_Stiffness!U66,IF(0=Element_Stiffness!$E$40,Element_Stiffness!AA66,0)),IF(Element_Stiffness!$E$40=7,IF(0=Element_Stiffness!$C$40,Element_Stiffness!U72,IF(0=Element_Stiffness!$E$40,Element_Stiffness!AA72,0)),0)),0)+IF(Element_Stiffness!$C$76,IF(Element_Stiffness!$C$75=7,IF(0=Element_Stiffness!$C$75,Element_Stiffness!U101,IF(0=Element_Stiffness!$E$75,Element_Stiffness!AA101,0)),IF(Element_Stiffness!$E$75=7,IF(0=Element_Stiffness!$C$75,Element_Stiffness!U107,IF(0=Element_Stiffness!$E$75,Element_Stiffness!AA107,0)),0)),0)+IF(Element_Stiffness!$C$111,IF(Element_Stiffness!$C$110=7,IF(0=Element_Stiffness!$C$110,Element_Stiffness!U136,IF(0=Element_Stiffness!$E$110,Element_Stiffness!AA136,0)),IF(Element_Stiffness!$E$110=7,IF(0=Element_Stiffness!$C$110,Element_Stiffness!U142,IF(0=Element_Stiffness!$E$110,Element_Stiffness!AA142,0)),0)),0)+IF(Element_Stiffness!$C$146,IF(Element_Stiffness!$C$145=7,IF(0=Element_Stiffness!$C$145,Element_Stiffness!U171,IF(0=Element_Stiffness!$E$145,Element_Stiffness!AA171,0)),IF(Element_Stiffness!$E$145=7,IF(0=Element_Stiffness!$C$145,Element_Stiffness!U177,IF(0=Element_Stiffness!$E$145,Element_Stiffness!AA177,0)),0)),0)+IF(Element_Stiffness!$C$181,IF(Element_Stiffness!$C$180=7,IF(0=Element_Stiffness!$C$180,Element_Stiffness!U206,IF(0=Element_Stiffness!$E$180,Element_Stiffness!AA206,0)),IF(Element_Stiffness!$E$180=7,IF(0=Element_Stiffness!$C$180,Element_Stiffness!U212,IF(0=Element_Stiffness!$E$180,Element_Stiffness!AA212,0)),0)),0)+IF(Element_Stiffness!$C$216,IF(Element_Stiffness!$C$215=7,IF(0=Element_Stiffness!$C$215,Element_Stiffness!U241,IF(0=Element_Stiffness!$E$215,Element_Stiffness!AA241,0)),IF(Element_Stiffness!$E$215=7,IF(0=Element_Stiffness!$C$215,Element_Stiffness!U247,IF(0=Element_Stiffness!$E$215,Element_Stiffness!AA247,0)),0)),0)</f>
        <v/>
      </c>
      <c r="I52" s="21">
        <f>IF(Element_Stiffness!$C$6,IF(Element_Stiffness!$C$5=7,IF(1=Element_Stiffness!$C$5,Element_Stiffness!P31,IF(1=Element_Stiffness!$E$5,Element_Stiffness!V31,0)),IF(Element_Stiffness!$E$5=7,IF(1=Element_Stiffness!$C$5,Element_Stiffness!P37,IF(1=Element_Stiffness!$E$5,Element_Stiffness!V37,0)),0)),0)+IF(Element_Stiffness!$C$41,IF(Element_Stiffness!$C$40=7,IF(1=Element_Stiffness!$C$40,Element_Stiffness!P66,IF(1=Element_Stiffness!$E$40,Element_Stiffness!V66,0)),IF(Element_Stiffness!$E$40=7,IF(1=Element_Stiffness!$C$40,Element_Stiffness!P72,IF(1=Element_Stiffness!$E$40,Element_Stiffness!V72,0)),0)),0)+IF(Element_Stiffness!$C$76,IF(Element_Stiffness!$C$75=7,IF(1=Element_Stiffness!$C$75,Element_Stiffness!P101,IF(1=Element_Stiffness!$E$75,Element_Stiffness!V101,0)),IF(Element_Stiffness!$E$75=7,IF(1=Element_Stiffness!$C$75,Element_Stiffness!P107,IF(1=Element_Stiffness!$E$75,Element_Stiffness!V107,0)),0)),0)+IF(Element_Stiffness!$C$111,IF(Element_Stiffness!$C$110=7,IF(1=Element_Stiffness!$C$110,Element_Stiffness!P136,IF(1=Element_Stiffness!$E$110,Element_Stiffness!V136,0)),IF(Element_Stiffness!$E$110=7,IF(1=Element_Stiffness!$C$110,Element_Stiffness!P142,IF(1=Element_Stiffness!$E$110,Element_Stiffness!V142,0)),0)),0)+IF(Element_Stiffness!$C$146,IF(Element_Stiffness!$C$145=7,IF(1=Element_Stiffness!$C$145,Element_Stiffness!P171,IF(1=Element_Stiffness!$E$145,Element_Stiffness!V171,0)),IF(Element_Stiffness!$E$145=7,IF(1=Element_Stiffness!$C$145,Element_Stiffness!P177,IF(1=Element_Stiffness!$E$145,Element_Stiffness!V177,0)),0)),0)+IF(Element_Stiffness!$C$181,IF(Element_Stiffness!$C$180=7,IF(1=Element_Stiffness!$C$180,Element_Stiffness!P206,IF(1=Element_Stiffness!$E$180,Element_Stiffness!V206,0)),IF(Element_Stiffness!$E$180=7,IF(1=Element_Stiffness!$C$180,Element_Stiffness!P212,IF(1=Element_Stiffness!$E$180,Element_Stiffness!V212,0)),0)),0)+IF(Element_Stiffness!$C$216,IF(Element_Stiffness!$C$215=7,IF(1=Element_Stiffness!$C$215,Element_Stiffness!P241,IF(1=Element_Stiffness!$E$215,Element_Stiffness!V241,0)),IF(Element_Stiffness!$E$215=7,IF(1=Element_Stiffness!$C$215,Element_Stiffness!P247,IF(1=Element_Stiffness!$E$215,Element_Stiffness!V247,0)),0)),0)</f>
        <v/>
      </c>
      <c r="J52" s="21">
        <f>IF(Element_Stiffness!$C$6,IF(Element_Stiffness!$C$5=7,IF(1=Element_Stiffness!$C$5,Element_Stiffness!Q31,IF(1=Element_Stiffness!$E$5,Element_Stiffness!W31,0)),IF(Element_Stiffness!$E$5=7,IF(1=Element_Stiffness!$C$5,Element_Stiffness!Q37,IF(1=Element_Stiffness!$E$5,Element_Stiffness!W37,0)),0)),0)+IF(Element_Stiffness!$C$41,IF(Element_Stiffness!$C$40=7,IF(1=Element_Stiffness!$C$40,Element_Stiffness!Q66,IF(1=Element_Stiffness!$E$40,Element_Stiffness!W66,0)),IF(Element_Stiffness!$E$40=7,IF(1=Element_Stiffness!$C$40,Element_Stiffness!Q72,IF(1=Element_Stiffness!$E$40,Element_Stiffness!W72,0)),0)),0)+IF(Element_Stiffness!$C$76,IF(Element_Stiffness!$C$75=7,IF(1=Element_Stiffness!$C$75,Element_Stiffness!Q101,IF(1=Element_Stiffness!$E$75,Element_Stiffness!W101,0)),IF(Element_Stiffness!$E$75=7,IF(1=Element_Stiffness!$C$75,Element_Stiffness!Q107,IF(1=Element_Stiffness!$E$75,Element_Stiffness!W107,0)),0)),0)+IF(Element_Stiffness!$C$111,IF(Element_Stiffness!$C$110=7,IF(1=Element_Stiffness!$C$110,Element_Stiffness!Q136,IF(1=Element_Stiffness!$E$110,Element_Stiffness!W136,0)),IF(Element_Stiffness!$E$110=7,IF(1=Element_Stiffness!$C$110,Element_Stiffness!Q142,IF(1=Element_Stiffness!$E$110,Element_Stiffness!W142,0)),0)),0)+IF(Element_Stiffness!$C$146,IF(Element_Stiffness!$C$145=7,IF(1=Element_Stiffness!$C$145,Element_Stiffness!Q171,IF(1=Element_Stiffness!$E$145,Element_Stiffness!W171,0)),IF(Element_Stiffness!$E$145=7,IF(1=Element_Stiffness!$C$145,Element_Stiffness!Q177,IF(1=Element_Stiffness!$E$145,Element_Stiffness!W177,0)),0)),0)+IF(Element_Stiffness!$C$181,IF(Element_Stiffness!$C$180=7,IF(1=Element_Stiffness!$C$180,Element_Stiffness!Q206,IF(1=Element_Stiffness!$E$180,Element_Stiffness!W206,0)),IF(Element_Stiffness!$E$180=7,IF(1=Element_Stiffness!$C$180,Element_Stiffness!Q212,IF(1=Element_Stiffness!$E$180,Element_Stiffness!W212,0)),0)),0)+IF(Element_Stiffness!$C$216,IF(Element_Stiffness!$C$215=7,IF(1=Element_Stiffness!$C$215,Element_Stiffness!Q241,IF(1=Element_Stiffness!$E$215,Element_Stiffness!W241,0)),IF(Element_Stiffness!$E$215=7,IF(1=Element_Stiffness!$C$215,Element_Stiffness!Q247,IF(1=Element_Stiffness!$E$215,Element_Stiffness!W247,0)),0)),0)</f>
        <v/>
      </c>
      <c r="K52" s="21">
        <f>IF(Element_Stiffness!$C$6,IF(Element_Stiffness!$C$5=7,IF(1=Element_Stiffness!$C$5,Element_Stiffness!R31,IF(1=Element_Stiffness!$E$5,Element_Stiffness!X31,0)),IF(Element_Stiffness!$E$5=7,IF(1=Element_Stiffness!$C$5,Element_Stiffness!R37,IF(1=Element_Stiffness!$E$5,Element_Stiffness!X37,0)),0)),0)+IF(Element_Stiffness!$C$41,IF(Element_Stiffness!$C$40=7,IF(1=Element_Stiffness!$C$40,Element_Stiffness!R66,IF(1=Element_Stiffness!$E$40,Element_Stiffness!X66,0)),IF(Element_Stiffness!$E$40=7,IF(1=Element_Stiffness!$C$40,Element_Stiffness!R72,IF(1=Element_Stiffness!$E$40,Element_Stiffness!X72,0)),0)),0)+IF(Element_Stiffness!$C$76,IF(Element_Stiffness!$C$75=7,IF(1=Element_Stiffness!$C$75,Element_Stiffness!R101,IF(1=Element_Stiffness!$E$75,Element_Stiffness!X101,0)),IF(Element_Stiffness!$E$75=7,IF(1=Element_Stiffness!$C$75,Element_Stiffness!R107,IF(1=Element_Stiffness!$E$75,Element_Stiffness!X107,0)),0)),0)+IF(Element_Stiffness!$C$111,IF(Element_Stiffness!$C$110=7,IF(1=Element_Stiffness!$C$110,Element_Stiffness!R136,IF(1=Element_Stiffness!$E$110,Element_Stiffness!X136,0)),IF(Element_Stiffness!$E$110=7,IF(1=Element_Stiffness!$C$110,Element_Stiffness!R142,IF(1=Element_Stiffness!$E$110,Element_Stiffness!X142,0)),0)),0)+IF(Element_Stiffness!$C$146,IF(Element_Stiffness!$C$145=7,IF(1=Element_Stiffness!$C$145,Element_Stiffness!R171,IF(1=Element_Stiffness!$E$145,Element_Stiffness!X171,0)),IF(Element_Stiffness!$E$145=7,IF(1=Element_Stiffness!$C$145,Element_Stiffness!R177,IF(1=Element_Stiffness!$E$145,Element_Stiffness!X177,0)),0)),0)+IF(Element_Stiffness!$C$181,IF(Element_Stiffness!$C$180=7,IF(1=Element_Stiffness!$C$180,Element_Stiffness!R206,IF(1=Element_Stiffness!$E$180,Element_Stiffness!X206,0)),IF(Element_Stiffness!$E$180=7,IF(1=Element_Stiffness!$C$180,Element_Stiffness!R212,IF(1=Element_Stiffness!$E$180,Element_Stiffness!X212,0)),0)),0)+IF(Element_Stiffness!$C$216,IF(Element_Stiffness!$C$215=7,IF(1=Element_Stiffness!$C$215,Element_Stiffness!R241,IF(1=Element_Stiffness!$E$215,Element_Stiffness!X241,0)),IF(Element_Stiffness!$E$215=7,IF(1=Element_Stiffness!$C$215,Element_Stiffness!R247,IF(1=Element_Stiffness!$E$215,Element_Stiffness!X247,0)),0)),0)</f>
        <v/>
      </c>
      <c r="L52" s="21">
        <f>IF(Element_Stiffness!$C$6,IF(Element_Stiffness!$C$5=7,IF(1=Element_Stiffness!$C$5,Element_Stiffness!S31,IF(1=Element_Stiffness!$E$5,Element_Stiffness!Y31,0)),IF(Element_Stiffness!$E$5=7,IF(1=Element_Stiffness!$C$5,Element_Stiffness!S37,IF(1=Element_Stiffness!$E$5,Element_Stiffness!Y37,0)),0)),0)+IF(Element_Stiffness!$C$41,IF(Element_Stiffness!$C$40=7,IF(1=Element_Stiffness!$C$40,Element_Stiffness!S66,IF(1=Element_Stiffness!$E$40,Element_Stiffness!Y66,0)),IF(Element_Stiffness!$E$40=7,IF(1=Element_Stiffness!$C$40,Element_Stiffness!S72,IF(1=Element_Stiffness!$E$40,Element_Stiffness!Y72,0)),0)),0)+IF(Element_Stiffness!$C$76,IF(Element_Stiffness!$C$75=7,IF(1=Element_Stiffness!$C$75,Element_Stiffness!S101,IF(1=Element_Stiffness!$E$75,Element_Stiffness!Y101,0)),IF(Element_Stiffness!$E$75=7,IF(1=Element_Stiffness!$C$75,Element_Stiffness!S107,IF(1=Element_Stiffness!$E$75,Element_Stiffness!Y107,0)),0)),0)+IF(Element_Stiffness!$C$111,IF(Element_Stiffness!$C$110=7,IF(1=Element_Stiffness!$C$110,Element_Stiffness!S136,IF(1=Element_Stiffness!$E$110,Element_Stiffness!Y136,0)),IF(Element_Stiffness!$E$110=7,IF(1=Element_Stiffness!$C$110,Element_Stiffness!S142,IF(1=Element_Stiffness!$E$110,Element_Stiffness!Y142,0)),0)),0)+IF(Element_Stiffness!$C$146,IF(Element_Stiffness!$C$145=7,IF(1=Element_Stiffness!$C$145,Element_Stiffness!S171,IF(1=Element_Stiffness!$E$145,Element_Stiffness!Y171,0)),IF(Element_Stiffness!$E$145=7,IF(1=Element_Stiffness!$C$145,Element_Stiffness!S177,IF(1=Element_Stiffness!$E$145,Element_Stiffness!Y177,0)),0)),0)+IF(Element_Stiffness!$C$181,IF(Element_Stiffness!$C$180=7,IF(1=Element_Stiffness!$C$180,Element_Stiffness!S206,IF(1=Element_Stiffness!$E$180,Element_Stiffness!Y206,0)),IF(Element_Stiffness!$E$180=7,IF(1=Element_Stiffness!$C$180,Element_Stiffness!S212,IF(1=Element_Stiffness!$E$180,Element_Stiffness!Y212,0)),0)),0)+IF(Element_Stiffness!$C$216,IF(Element_Stiffness!$C$215=7,IF(1=Element_Stiffness!$C$215,Element_Stiffness!S241,IF(1=Element_Stiffness!$E$215,Element_Stiffness!Y241,0)),IF(Element_Stiffness!$E$215=7,IF(1=Element_Stiffness!$C$215,Element_Stiffness!S247,IF(1=Element_Stiffness!$E$215,Element_Stiffness!Y247,0)),0)),0)</f>
        <v/>
      </c>
      <c r="M52" s="21">
        <f>IF(Element_Stiffness!$C$6,IF(Element_Stiffness!$C$5=7,IF(1=Element_Stiffness!$C$5,Element_Stiffness!T31,IF(1=Element_Stiffness!$E$5,Element_Stiffness!Z31,0)),IF(Element_Stiffness!$E$5=7,IF(1=Element_Stiffness!$C$5,Element_Stiffness!T37,IF(1=Element_Stiffness!$E$5,Element_Stiffness!Z37,0)),0)),0)+IF(Element_Stiffness!$C$41,IF(Element_Stiffness!$C$40=7,IF(1=Element_Stiffness!$C$40,Element_Stiffness!T66,IF(1=Element_Stiffness!$E$40,Element_Stiffness!Z66,0)),IF(Element_Stiffness!$E$40=7,IF(1=Element_Stiffness!$C$40,Element_Stiffness!T72,IF(1=Element_Stiffness!$E$40,Element_Stiffness!Z72,0)),0)),0)+IF(Element_Stiffness!$C$76,IF(Element_Stiffness!$C$75=7,IF(1=Element_Stiffness!$C$75,Element_Stiffness!T101,IF(1=Element_Stiffness!$E$75,Element_Stiffness!Z101,0)),IF(Element_Stiffness!$E$75=7,IF(1=Element_Stiffness!$C$75,Element_Stiffness!T107,IF(1=Element_Stiffness!$E$75,Element_Stiffness!Z107,0)),0)),0)+IF(Element_Stiffness!$C$111,IF(Element_Stiffness!$C$110=7,IF(1=Element_Stiffness!$C$110,Element_Stiffness!T136,IF(1=Element_Stiffness!$E$110,Element_Stiffness!Z136,0)),IF(Element_Stiffness!$E$110=7,IF(1=Element_Stiffness!$C$110,Element_Stiffness!T142,IF(1=Element_Stiffness!$E$110,Element_Stiffness!Z142,0)),0)),0)+IF(Element_Stiffness!$C$146,IF(Element_Stiffness!$C$145=7,IF(1=Element_Stiffness!$C$145,Element_Stiffness!T171,IF(1=Element_Stiffness!$E$145,Element_Stiffness!Z171,0)),IF(Element_Stiffness!$E$145=7,IF(1=Element_Stiffness!$C$145,Element_Stiffness!T177,IF(1=Element_Stiffness!$E$145,Element_Stiffness!Z177,0)),0)),0)+IF(Element_Stiffness!$C$181,IF(Element_Stiffness!$C$180=7,IF(1=Element_Stiffness!$C$180,Element_Stiffness!T206,IF(1=Element_Stiffness!$E$180,Element_Stiffness!Z206,0)),IF(Element_Stiffness!$E$180=7,IF(1=Element_Stiffness!$C$180,Element_Stiffness!T212,IF(1=Element_Stiffness!$E$180,Element_Stiffness!Z212,0)),0)),0)+IF(Element_Stiffness!$C$216,IF(Element_Stiffness!$C$215=7,IF(1=Element_Stiffness!$C$215,Element_Stiffness!T241,IF(1=Element_Stiffness!$E$215,Element_Stiffness!Z241,0)),IF(Element_Stiffness!$E$215=7,IF(1=Element_Stiffness!$C$215,Element_Stiffness!T247,IF(1=Element_Stiffness!$E$215,Element_Stiffness!Z247,0)),0)),0)</f>
        <v/>
      </c>
      <c r="N52" s="21">
        <f>IF(Element_Stiffness!$C$6,IF(Element_Stiffness!$C$5=7,IF(1=Element_Stiffness!$C$5,Element_Stiffness!U31,IF(1=Element_Stiffness!$E$5,Element_Stiffness!AA31,0)),IF(Element_Stiffness!$E$5=7,IF(1=Element_Stiffness!$C$5,Element_Stiffness!U37,IF(1=Element_Stiffness!$E$5,Element_Stiffness!AA37,0)),0)),0)+IF(Element_Stiffness!$C$41,IF(Element_Stiffness!$C$40=7,IF(1=Element_Stiffness!$C$40,Element_Stiffness!U66,IF(1=Element_Stiffness!$E$40,Element_Stiffness!AA66,0)),IF(Element_Stiffness!$E$40=7,IF(1=Element_Stiffness!$C$40,Element_Stiffness!U72,IF(1=Element_Stiffness!$E$40,Element_Stiffness!AA72,0)),0)),0)+IF(Element_Stiffness!$C$76,IF(Element_Stiffness!$C$75=7,IF(1=Element_Stiffness!$C$75,Element_Stiffness!U101,IF(1=Element_Stiffness!$E$75,Element_Stiffness!AA101,0)),IF(Element_Stiffness!$E$75=7,IF(1=Element_Stiffness!$C$75,Element_Stiffness!U107,IF(1=Element_Stiffness!$E$75,Element_Stiffness!AA107,0)),0)),0)+IF(Element_Stiffness!$C$111,IF(Element_Stiffness!$C$110=7,IF(1=Element_Stiffness!$C$110,Element_Stiffness!U136,IF(1=Element_Stiffness!$E$110,Element_Stiffness!AA136,0)),IF(Element_Stiffness!$E$110=7,IF(1=Element_Stiffness!$C$110,Element_Stiffness!U142,IF(1=Element_Stiffness!$E$110,Element_Stiffness!AA142,0)),0)),0)+IF(Element_Stiffness!$C$146,IF(Element_Stiffness!$C$145=7,IF(1=Element_Stiffness!$C$145,Element_Stiffness!U171,IF(1=Element_Stiffness!$E$145,Element_Stiffness!AA171,0)),IF(Element_Stiffness!$E$145=7,IF(1=Element_Stiffness!$C$145,Element_Stiffness!U177,IF(1=Element_Stiffness!$E$145,Element_Stiffness!AA177,0)),0)),0)+IF(Element_Stiffness!$C$181,IF(Element_Stiffness!$C$180=7,IF(1=Element_Stiffness!$C$180,Element_Stiffness!U206,IF(1=Element_Stiffness!$E$180,Element_Stiffness!AA206,0)),IF(Element_Stiffness!$E$180=7,IF(1=Element_Stiffness!$C$180,Element_Stiffness!U212,IF(1=Element_Stiffness!$E$180,Element_Stiffness!AA212,0)),0)),0)+IF(Element_Stiffness!$C$216,IF(Element_Stiffness!$C$215=7,IF(1=Element_Stiffness!$C$215,Element_Stiffness!U241,IF(1=Element_Stiffness!$E$215,Element_Stiffness!AA241,0)),IF(Element_Stiffness!$E$215=7,IF(1=Element_Stiffness!$C$215,Element_Stiffness!U247,IF(1=Element_Stiffness!$E$215,Element_Stiffness!AA247,0)),0)),0)</f>
        <v/>
      </c>
      <c r="O52" s="21">
        <f>IF(Element_Stiffness!$C$6,IF(Element_Stiffness!$C$5=7,IF(2=Element_Stiffness!$C$5,Element_Stiffness!P31,IF(2=Element_Stiffness!$E$5,Element_Stiffness!V31,0)),IF(Element_Stiffness!$E$5=7,IF(2=Element_Stiffness!$C$5,Element_Stiffness!P37,IF(2=Element_Stiffness!$E$5,Element_Stiffness!V37,0)),0)),0)+IF(Element_Stiffness!$C$41,IF(Element_Stiffness!$C$40=7,IF(2=Element_Stiffness!$C$40,Element_Stiffness!P66,IF(2=Element_Stiffness!$E$40,Element_Stiffness!V66,0)),IF(Element_Stiffness!$E$40=7,IF(2=Element_Stiffness!$C$40,Element_Stiffness!P72,IF(2=Element_Stiffness!$E$40,Element_Stiffness!V72,0)),0)),0)+IF(Element_Stiffness!$C$76,IF(Element_Stiffness!$C$75=7,IF(2=Element_Stiffness!$C$75,Element_Stiffness!P101,IF(2=Element_Stiffness!$E$75,Element_Stiffness!V101,0)),IF(Element_Stiffness!$E$75=7,IF(2=Element_Stiffness!$C$75,Element_Stiffness!P107,IF(2=Element_Stiffness!$E$75,Element_Stiffness!V107,0)),0)),0)+IF(Element_Stiffness!$C$111,IF(Element_Stiffness!$C$110=7,IF(2=Element_Stiffness!$C$110,Element_Stiffness!P136,IF(2=Element_Stiffness!$E$110,Element_Stiffness!V136,0)),IF(Element_Stiffness!$E$110=7,IF(2=Element_Stiffness!$C$110,Element_Stiffness!P142,IF(2=Element_Stiffness!$E$110,Element_Stiffness!V142,0)),0)),0)+IF(Element_Stiffness!$C$146,IF(Element_Stiffness!$C$145=7,IF(2=Element_Stiffness!$C$145,Element_Stiffness!P171,IF(2=Element_Stiffness!$E$145,Element_Stiffness!V171,0)),IF(Element_Stiffness!$E$145=7,IF(2=Element_Stiffness!$C$145,Element_Stiffness!P177,IF(2=Element_Stiffness!$E$145,Element_Stiffness!V177,0)),0)),0)+IF(Element_Stiffness!$C$181,IF(Element_Stiffness!$C$180=7,IF(2=Element_Stiffness!$C$180,Element_Stiffness!P206,IF(2=Element_Stiffness!$E$180,Element_Stiffness!V206,0)),IF(Element_Stiffness!$E$180=7,IF(2=Element_Stiffness!$C$180,Element_Stiffness!P212,IF(2=Element_Stiffness!$E$180,Element_Stiffness!V212,0)),0)),0)+IF(Element_Stiffness!$C$216,IF(Element_Stiffness!$C$215=7,IF(2=Element_Stiffness!$C$215,Element_Stiffness!P241,IF(2=Element_Stiffness!$E$215,Element_Stiffness!V241,0)),IF(Element_Stiffness!$E$215=7,IF(2=Element_Stiffness!$C$215,Element_Stiffness!P247,IF(2=Element_Stiffness!$E$215,Element_Stiffness!V247,0)),0)),0)</f>
        <v/>
      </c>
      <c r="P52" s="21">
        <f>IF(Element_Stiffness!$C$6,IF(Element_Stiffness!$C$5=7,IF(2=Element_Stiffness!$C$5,Element_Stiffness!Q31,IF(2=Element_Stiffness!$E$5,Element_Stiffness!W31,0)),IF(Element_Stiffness!$E$5=7,IF(2=Element_Stiffness!$C$5,Element_Stiffness!Q37,IF(2=Element_Stiffness!$E$5,Element_Stiffness!W37,0)),0)),0)+IF(Element_Stiffness!$C$41,IF(Element_Stiffness!$C$40=7,IF(2=Element_Stiffness!$C$40,Element_Stiffness!Q66,IF(2=Element_Stiffness!$E$40,Element_Stiffness!W66,0)),IF(Element_Stiffness!$E$40=7,IF(2=Element_Stiffness!$C$40,Element_Stiffness!Q72,IF(2=Element_Stiffness!$E$40,Element_Stiffness!W72,0)),0)),0)+IF(Element_Stiffness!$C$76,IF(Element_Stiffness!$C$75=7,IF(2=Element_Stiffness!$C$75,Element_Stiffness!Q101,IF(2=Element_Stiffness!$E$75,Element_Stiffness!W101,0)),IF(Element_Stiffness!$E$75=7,IF(2=Element_Stiffness!$C$75,Element_Stiffness!Q107,IF(2=Element_Stiffness!$E$75,Element_Stiffness!W107,0)),0)),0)+IF(Element_Stiffness!$C$111,IF(Element_Stiffness!$C$110=7,IF(2=Element_Stiffness!$C$110,Element_Stiffness!Q136,IF(2=Element_Stiffness!$E$110,Element_Stiffness!W136,0)),IF(Element_Stiffness!$E$110=7,IF(2=Element_Stiffness!$C$110,Element_Stiffness!Q142,IF(2=Element_Stiffness!$E$110,Element_Stiffness!W142,0)),0)),0)+IF(Element_Stiffness!$C$146,IF(Element_Stiffness!$C$145=7,IF(2=Element_Stiffness!$C$145,Element_Stiffness!Q171,IF(2=Element_Stiffness!$E$145,Element_Stiffness!W171,0)),IF(Element_Stiffness!$E$145=7,IF(2=Element_Stiffness!$C$145,Element_Stiffness!Q177,IF(2=Element_Stiffness!$E$145,Element_Stiffness!W177,0)),0)),0)+IF(Element_Stiffness!$C$181,IF(Element_Stiffness!$C$180=7,IF(2=Element_Stiffness!$C$180,Element_Stiffness!Q206,IF(2=Element_Stiffness!$E$180,Element_Stiffness!W206,0)),IF(Element_Stiffness!$E$180=7,IF(2=Element_Stiffness!$C$180,Element_Stiffness!Q212,IF(2=Element_Stiffness!$E$180,Element_Stiffness!W212,0)),0)),0)+IF(Element_Stiffness!$C$216,IF(Element_Stiffness!$C$215=7,IF(2=Element_Stiffness!$C$215,Element_Stiffness!Q241,IF(2=Element_Stiffness!$E$215,Element_Stiffness!W241,0)),IF(Element_Stiffness!$E$215=7,IF(2=Element_Stiffness!$C$215,Element_Stiffness!Q247,IF(2=Element_Stiffness!$E$215,Element_Stiffness!W247,0)),0)),0)</f>
        <v/>
      </c>
      <c r="Q52" s="21">
        <f>IF(Element_Stiffness!$C$6,IF(Element_Stiffness!$C$5=7,IF(2=Element_Stiffness!$C$5,Element_Stiffness!R31,IF(2=Element_Stiffness!$E$5,Element_Stiffness!X31,0)),IF(Element_Stiffness!$E$5=7,IF(2=Element_Stiffness!$C$5,Element_Stiffness!R37,IF(2=Element_Stiffness!$E$5,Element_Stiffness!X37,0)),0)),0)+IF(Element_Stiffness!$C$41,IF(Element_Stiffness!$C$40=7,IF(2=Element_Stiffness!$C$40,Element_Stiffness!R66,IF(2=Element_Stiffness!$E$40,Element_Stiffness!X66,0)),IF(Element_Stiffness!$E$40=7,IF(2=Element_Stiffness!$C$40,Element_Stiffness!R72,IF(2=Element_Stiffness!$E$40,Element_Stiffness!X72,0)),0)),0)+IF(Element_Stiffness!$C$76,IF(Element_Stiffness!$C$75=7,IF(2=Element_Stiffness!$C$75,Element_Stiffness!R101,IF(2=Element_Stiffness!$E$75,Element_Stiffness!X101,0)),IF(Element_Stiffness!$E$75=7,IF(2=Element_Stiffness!$C$75,Element_Stiffness!R107,IF(2=Element_Stiffness!$E$75,Element_Stiffness!X107,0)),0)),0)+IF(Element_Stiffness!$C$111,IF(Element_Stiffness!$C$110=7,IF(2=Element_Stiffness!$C$110,Element_Stiffness!R136,IF(2=Element_Stiffness!$E$110,Element_Stiffness!X136,0)),IF(Element_Stiffness!$E$110=7,IF(2=Element_Stiffness!$C$110,Element_Stiffness!R142,IF(2=Element_Stiffness!$E$110,Element_Stiffness!X142,0)),0)),0)+IF(Element_Stiffness!$C$146,IF(Element_Stiffness!$C$145=7,IF(2=Element_Stiffness!$C$145,Element_Stiffness!R171,IF(2=Element_Stiffness!$E$145,Element_Stiffness!X171,0)),IF(Element_Stiffness!$E$145=7,IF(2=Element_Stiffness!$C$145,Element_Stiffness!R177,IF(2=Element_Stiffness!$E$145,Element_Stiffness!X177,0)),0)),0)+IF(Element_Stiffness!$C$181,IF(Element_Stiffness!$C$180=7,IF(2=Element_Stiffness!$C$180,Element_Stiffness!R206,IF(2=Element_Stiffness!$E$180,Element_Stiffness!X206,0)),IF(Element_Stiffness!$E$180=7,IF(2=Element_Stiffness!$C$180,Element_Stiffness!R212,IF(2=Element_Stiffness!$E$180,Element_Stiffness!X212,0)),0)),0)+IF(Element_Stiffness!$C$216,IF(Element_Stiffness!$C$215=7,IF(2=Element_Stiffness!$C$215,Element_Stiffness!R241,IF(2=Element_Stiffness!$E$215,Element_Stiffness!X241,0)),IF(Element_Stiffness!$E$215=7,IF(2=Element_Stiffness!$C$215,Element_Stiffness!R247,IF(2=Element_Stiffness!$E$215,Element_Stiffness!X247,0)),0)),0)</f>
        <v/>
      </c>
      <c r="R52" s="21">
        <f>IF(Element_Stiffness!$C$6,IF(Element_Stiffness!$C$5=7,IF(2=Element_Stiffness!$C$5,Element_Stiffness!S31,IF(2=Element_Stiffness!$E$5,Element_Stiffness!Y31,0)),IF(Element_Stiffness!$E$5=7,IF(2=Element_Stiffness!$C$5,Element_Stiffness!S37,IF(2=Element_Stiffness!$E$5,Element_Stiffness!Y37,0)),0)),0)+IF(Element_Stiffness!$C$41,IF(Element_Stiffness!$C$40=7,IF(2=Element_Stiffness!$C$40,Element_Stiffness!S66,IF(2=Element_Stiffness!$E$40,Element_Stiffness!Y66,0)),IF(Element_Stiffness!$E$40=7,IF(2=Element_Stiffness!$C$40,Element_Stiffness!S72,IF(2=Element_Stiffness!$E$40,Element_Stiffness!Y72,0)),0)),0)+IF(Element_Stiffness!$C$76,IF(Element_Stiffness!$C$75=7,IF(2=Element_Stiffness!$C$75,Element_Stiffness!S101,IF(2=Element_Stiffness!$E$75,Element_Stiffness!Y101,0)),IF(Element_Stiffness!$E$75=7,IF(2=Element_Stiffness!$C$75,Element_Stiffness!S107,IF(2=Element_Stiffness!$E$75,Element_Stiffness!Y107,0)),0)),0)+IF(Element_Stiffness!$C$111,IF(Element_Stiffness!$C$110=7,IF(2=Element_Stiffness!$C$110,Element_Stiffness!S136,IF(2=Element_Stiffness!$E$110,Element_Stiffness!Y136,0)),IF(Element_Stiffness!$E$110=7,IF(2=Element_Stiffness!$C$110,Element_Stiffness!S142,IF(2=Element_Stiffness!$E$110,Element_Stiffness!Y142,0)),0)),0)+IF(Element_Stiffness!$C$146,IF(Element_Stiffness!$C$145=7,IF(2=Element_Stiffness!$C$145,Element_Stiffness!S171,IF(2=Element_Stiffness!$E$145,Element_Stiffness!Y171,0)),IF(Element_Stiffness!$E$145=7,IF(2=Element_Stiffness!$C$145,Element_Stiffness!S177,IF(2=Element_Stiffness!$E$145,Element_Stiffness!Y177,0)),0)),0)+IF(Element_Stiffness!$C$181,IF(Element_Stiffness!$C$180=7,IF(2=Element_Stiffness!$C$180,Element_Stiffness!S206,IF(2=Element_Stiffness!$E$180,Element_Stiffness!Y206,0)),IF(Element_Stiffness!$E$180=7,IF(2=Element_Stiffness!$C$180,Element_Stiffness!S212,IF(2=Element_Stiffness!$E$180,Element_Stiffness!Y212,0)),0)),0)+IF(Element_Stiffness!$C$216,IF(Element_Stiffness!$C$215=7,IF(2=Element_Stiffness!$C$215,Element_Stiffness!S241,IF(2=Element_Stiffness!$E$215,Element_Stiffness!Y241,0)),IF(Element_Stiffness!$E$215=7,IF(2=Element_Stiffness!$C$215,Element_Stiffness!S247,IF(2=Element_Stiffness!$E$215,Element_Stiffness!Y247,0)),0)),0)</f>
        <v/>
      </c>
      <c r="S52" s="21">
        <f>IF(Element_Stiffness!$C$6,IF(Element_Stiffness!$C$5=7,IF(2=Element_Stiffness!$C$5,Element_Stiffness!T31,IF(2=Element_Stiffness!$E$5,Element_Stiffness!Z31,0)),IF(Element_Stiffness!$E$5=7,IF(2=Element_Stiffness!$C$5,Element_Stiffness!T37,IF(2=Element_Stiffness!$E$5,Element_Stiffness!Z37,0)),0)),0)+IF(Element_Stiffness!$C$41,IF(Element_Stiffness!$C$40=7,IF(2=Element_Stiffness!$C$40,Element_Stiffness!T66,IF(2=Element_Stiffness!$E$40,Element_Stiffness!Z66,0)),IF(Element_Stiffness!$E$40=7,IF(2=Element_Stiffness!$C$40,Element_Stiffness!T72,IF(2=Element_Stiffness!$E$40,Element_Stiffness!Z72,0)),0)),0)+IF(Element_Stiffness!$C$76,IF(Element_Stiffness!$C$75=7,IF(2=Element_Stiffness!$C$75,Element_Stiffness!T101,IF(2=Element_Stiffness!$E$75,Element_Stiffness!Z101,0)),IF(Element_Stiffness!$E$75=7,IF(2=Element_Stiffness!$C$75,Element_Stiffness!T107,IF(2=Element_Stiffness!$E$75,Element_Stiffness!Z107,0)),0)),0)+IF(Element_Stiffness!$C$111,IF(Element_Stiffness!$C$110=7,IF(2=Element_Stiffness!$C$110,Element_Stiffness!T136,IF(2=Element_Stiffness!$E$110,Element_Stiffness!Z136,0)),IF(Element_Stiffness!$E$110=7,IF(2=Element_Stiffness!$C$110,Element_Stiffness!T142,IF(2=Element_Stiffness!$E$110,Element_Stiffness!Z142,0)),0)),0)+IF(Element_Stiffness!$C$146,IF(Element_Stiffness!$C$145=7,IF(2=Element_Stiffness!$C$145,Element_Stiffness!T171,IF(2=Element_Stiffness!$E$145,Element_Stiffness!Z171,0)),IF(Element_Stiffness!$E$145=7,IF(2=Element_Stiffness!$C$145,Element_Stiffness!T177,IF(2=Element_Stiffness!$E$145,Element_Stiffness!Z177,0)),0)),0)+IF(Element_Stiffness!$C$181,IF(Element_Stiffness!$C$180=7,IF(2=Element_Stiffness!$C$180,Element_Stiffness!T206,IF(2=Element_Stiffness!$E$180,Element_Stiffness!Z206,0)),IF(Element_Stiffness!$E$180=7,IF(2=Element_Stiffness!$C$180,Element_Stiffness!T212,IF(2=Element_Stiffness!$E$180,Element_Stiffness!Z212,0)),0)),0)+IF(Element_Stiffness!$C$216,IF(Element_Stiffness!$C$215=7,IF(2=Element_Stiffness!$C$215,Element_Stiffness!T241,IF(2=Element_Stiffness!$E$215,Element_Stiffness!Z241,0)),IF(Element_Stiffness!$E$215=7,IF(2=Element_Stiffness!$C$215,Element_Stiffness!T247,IF(2=Element_Stiffness!$E$215,Element_Stiffness!Z247,0)),0)),0)</f>
        <v/>
      </c>
      <c r="T52" s="21">
        <f>IF(Element_Stiffness!$C$6,IF(Element_Stiffness!$C$5=7,IF(2=Element_Stiffness!$C$5,Element_Stiffness!U31,IF(2=Element_Stiffness!$E$5,Element_Stiffness!AA31,0)),IF(Element_Stiffness!$E$5=7,IF(2=Element_Stiffness!$C$5,Element_Stiffness!U37,IF(2=Element_Stiffness!$E$5,Element_Stiffness!AA37,0)),0)),0)+IF(Element_Stiffness!$C$41,IF(Element_Stiffness!$C$40=7,IF(2=Element_Stiffness!$C$40,Element_Stiffness!U66,IF(2=Element_Stiffness!$E$40,Element_Stiffness!AA66,0)),IF(Element_Stiffness!$E$40=7,IF(2=Element_Stiffness!$C$40,Element_Stiffness!U72,IF(2=Element_Stiffness!$E$40,Element_Stiffness!AA72,0)),0)),0)+IF(Element_Stiffness!$C$76,IF(Element_Stiffness!$C$75=7,IF(2=Element_Stiffness!$C$75,Element_Stiffness!U101,IF(2=Element_Stiffness!$E$75,Element_Stiffness!AA101,0)),IF(Element_Stiffness!$E$75=7,IF(2=Element_Stiffness!$C$75,Element_Stiffness!U107,IF(2=Element_Stiffness!$E$75,Element_Stiffness!AA107,0)),0)),0)+IF(Element_Stiffness!$C$111,IF(Element_Stiffness!$C$110=7,IF(2=Element_Stiffness!$C$110,Element_Stiffness!U136,IF(2=Element_Stiffness!$E$110,Element_Stiffness!AA136,0)),IF(Element_Stiffness!$E$110=7,IF(2=Element_Stiffness!$C$110,Element_Stiffness!U142,IF(2=Element_Stiffness!$E$110,Element_Stiffness!AA142,0)),0)),0)+IF(Element_Stiffness!$C$146,IF(Element_Stiffness!$C$145=7,IF(2=Element_Stiffness!$C$145,Element_Stiffness!U171,IF(2=Element_Stiffness!$E$145,Element_Stiffness!AA171,0)),IF(Element_Stiffness!$E$145=7,IF(2=Element_Stiffness!$C$145,Element_Stiffness!U177,IF(2=Element_Stiffness!$E$145,Element_Stiffness!AA177,0)),0)),0)+IF(Element_Stiffness!$C$181,IF(Element_Stiffness!$C$180=7,IF(2=Element_Stiffness!$C$180,Element_Stiffness!U206,IF(2=Element_Stiffness!$E$180,Element_Stiffness!AA206,0)),IF(Element_Stiffness!$E$180=7,IF(2=Element_Stiffness!$C$180,Element_Stiffness!U212,IF(2=Element_Stiffness!$E$180,Element_Stiffness!AA212,0)),0)),0)+IF(Element_Stiffness!$C$216,IF(Element_Stiffness!$C$215=7,IF(2=Element_Stiffness!$C$215,Element_Stiffness!U241,IF(2=Element_Stiffness!$E$215,Element_Stiffness!AA241,0)),IF(Element_Stiffness!$E$215=7,IF(2=Element_Stiffness!$C$215,Element_Stiffness!U247,IF(2=Element_Stiffness!$E$215,Element_Stiffness!AA247,0)),0)),0)</f>
        <v/>
      </c>
      <c r="U52" s="21">
        <f>IF(Element_Stiffness!$C$6,IF(Element_Stiffness!$C$5=7,IF(3=Element_Stiffness!$C$5,Element_Stiffness!P31,IF(3=Element_Stiffness!$E$5,Element_Stiffness!V31,0)),IF(Element_Stiffness!$E$5=7,IF(3=Element_Stiffness!$C$5,Element_Stiffness!P37,IF(3=Element_Stiffness!$E$5,Element_Stiffness!V37,0)),0)),0)+IF(Element_Stiffness!$C$41,IF(Element_Stiffness!$C$40=7,IF(3=Element_Stiffness!$C$40,Element_Stiffness!P66,IF(3=Element_Stiffness!$E$40,Element_Stiffness!V66,0)),IF(Element_Stiffness!$E$40=7,IF(3=Element_Stiffness!$C$40,Element_Stiffness!P72,IF(3=Element_Stiffness!$E$40,Element_Stiffness!V72,0)),0)),0)+IF(Element_Stiffness!$C$76,IF(Element_Stiffness!$C$75=7,IF(3=Element_Stiffness!$C$75,Element_Stiffness!P101,IF(3=Element_Stiffness!$E$75,Element_Stiffness!V101,0)),IF(Element_Stiffness!$E$75=7,IF(3=Element_Stiffness!$C$75,Element_Stiffness!P107,IF(3=Element_Stiffness!$E$75,Element_Stiffness!V107,0)),0)),0)+IF(Element_Stiffness!$C$111,IF(Element_Stiffness!$C$110=7,IF(3=Element_Stiffness!$C$110,Element_Stiffness!P136,IF(3=Element_Stiffness!$E$110,Element_Stiffness!V136,0)),IF(Element_Stiffness!$E$110=7,IF(3=Element_Stiffness!$C$110,Element_Stiffness!P142,IF(3=Element_Stiffness!$E$110,Element_Stiffness!V142,0)),0)),0)+IF(Element_Stiffness!$C$146,IF(Element_Stiffness!$C$145=7,IF(3=Element_Stiffness!$C$145,Element_Stiffness!P171,IF(3=Element_Stiffness!$E$145,Element_Stiffness!V171,0)),IF(Element_Stiffness!$E$145=7,IF(3=Element_Stiffness!$C$145,Element_Stiffness!P177,IF(3=Element_Stiffness!$E$145,Element_Stiffness!V177,0)),0)),0)+IF(Element_Stiffness!$C$181,IF(Element_Stiffness!$C$180=7,IF(3=Element_Stiffness!$C$180,Element_Stiffness!P206,IF(3=Element_Stiffness!$E$180,Element_Stiffness!V206,0)),IF(Element_Stiffness!$E$180=7,IF(3=Element_Stiffness!$C$180,Element_Stiffness!P212,IF(3=Element_Stiffness!$E$180,Element_Stiffness!V212,0)),0)),0)+IF(Element_Stiffness!$C$216,IF(Element_Stiffness!$C$215=7,IF(3=Element_Stiffness!$C$215,Element_Stiffness!P241,IF(3=Element_Stiffness!$E$215,Element_Stiffness!V241,0)),IF(Element_Stiffness!$E$215=7,IF(3=Element_Stiffness!$C$215,Element_Stiffness!P247,IF(3=Element_Stiffness!$E$215,Element_Stiffness!V247,0)),0)),0)</f>
        <v/>
      </c>
      <c r="V52" s="21">
        <f>IF(Element_Stiffness!$C$6,IF(Element_Stiffness!$C$5=7,IF(3=Element_Stiffness!$C$5,Element_Stiffness!Q31,IF(3=Element_Stiffness!$E$5,Element_Stiffness!W31,0)),IF(Element_Stiffness!$E$5=7,IF(3=Element_Stiffness!$C$5,Element_Stiffness!Q37,IF(3=Element_Stiffness!$E$5,Element_Stiffness!W37,0)),0)),0)+IF(Element_Stiffness!$C$41,IF(Element_Stiffness!$C$40=7,IF(3=Element_Stiffness!$C$40,Element_Stiffness!Q66,IF(3=Element_Stiffness!$E$40,Element_Stiffness!W66,0)),IF(Element_Stiffness!$E$40=7,IF(3=Element_Stiffness!$C$40,Element_Stiffness!Q72,IF(3=Element_Stiffness!$E$40,Element_Stiffness!W72,0)),0)),0)+IF(Element_Stiffness!$C$76,IF(Element_Stiffness!$C$75=7,IF(3=Element_Stiffness!$C$75,Element_Stiffness!Q101,IF(3=Element_Stiffness!$E$75,Element_Stiffness!W101,0)),IF(Element_Stiffness!$E$75=7,IF(3=Element_Stiffness!$C$75,Element_Stiffness!Q107,IF(3=Element_Stiffness!$E$75,Element_Stiffness!W107,0)),0)),0)+IF(Element_Stiffness!$C$111,IF(Element_Stiffness!$C$110=7,IF(3=Element_Stiffness!$C$110,Element_Stiffness!Q136,IF(3=Element_Stiffness!$E$110,Element_Stiffness!W136,0)),IF(Element_Stiffness!$E$110=7,IF(3=Element_Stiffness!$C$110,Element_Stiffness!Q142,IF(3=Element_Stiffness!$E$110,Element_Stiffness!W142,0)),0)),0)+IF(Element_Stiffness!$C$146,IF(Element_Stiffness!$C$145=7,IF(3=Element_Stiffness!$C$145,Element_Stiffness!Q171,IF(3=Element_Stiffness!$E$145,Element_Stiffness!W171,0)),IF(Element_Stiffness!$E$145=7,IF(3=Element_Stiffness!$C$145,Element_Stiffness!Q177,IF(3=Element_Stiffness!$E$145,Element_Stiffness!W177,0)),0)),0)+IF(Element_Stiffness!$C$181,IF(Element_Stiffness!$C$180=7,IF(3=Element_Stiffness!$C$180,Element_Stiffness!Q206,IF(3=Element_Stiffness!$E$180,Element_Stiffness!W206,0)),IF(Element_Stiffness!$E$180=7,IF(3=Element_Stiffness!$C$180,Element_Stiffness!Q212,IF(3=Element_Stiffness!$E$180,Element_Stiffness!W212,0)),0)),0)+IF(Element_Stiffness!$C$216,IF(Element_Stiffness!$C$215=7,IF(3=Element_Stiffness!$C$215,Element_Stiffness!Q241,IF(3=Element_Stiffness!$E$215,Element_Stiffness!W241,0)),IF(Element_Stiffness!$E$215=7,IF(3=Element_Stiffness!$C$215,Element_Stiffness!Q247,IF(3=Element_Stiffness!$E$215,Element_Stiffness!W247,0)),0)),0)</f>
        <v/>
      </c>
      <c r="W52" s="21">
        <f>IF(Element_Stiffness!$C$6,IF(Element_Stiffness!$C$5=7,IF(3=Element_Stiffness!$C$5,Element_Stiffness!R31,IF(3=Element_Stiffness!$E$5,Element_Stiffness!X31,0)),IF(Element_Stiffness!$E$5=7,IF(3=Element_Stiffness!$C$5,Element_Stiffness!R37,IF(3=Element_Stiffness!$E$5,Element_Stiffness!X37,0)),0)),0)+IF(Element_Stiffness!$C$41,IF(Element_Stiffness!$C$40=7,IF(3=Element_Stiffness!$C$40,Element_Stiffness!R66,IF(3=Element_Stiffness!$E$40,Element_Stiffness!X66,0)),IF(Element_Stiffness!$E$40=7,IF(3=Element_Stiffness!$C$40,Element_Stiffness!R72,IF(3=Element_Stiffness!$E$40,Element_Stiffness!X72,0)),0)),0)+IF(Element_Stiffness!$C$76,IF(Element_Stiffness!$C$75=7,IF(3=Element_Stiffness!$C$75,Element_Stiffness!R101,IF(3=Element_Stiffness!$E$75,Element_Stiffness!X101,0)),IF(Element_Stiffness!$E$75=7,IF(3=Element_Stiffness!$C$75,Element_Stiffness!R107,IF(3=Element_Stiffness!$E$75,Element_Stiffness!X107,0)),0)),0)+IF(Element_Stiffness!$C$111,IF(Element_Stiffness!$C$110=7,IF(3=Element_Stiffness!$C$110,Element_Stiffness!R136,IF(3=Element_Stiffness!$E$110,Element_Stiffness!X136,0)),IF(Element_Stiffness!$E$110=7,IF(3=Element_Stiffness!$C$110,Element_Stiffness!R142,IF(3=Element_Stiffness!$E$110,Element_Stiffness!X142,0)),0)),0)+IF(Element_Stiffness!$C$146,IF(Element_Stiffness!$C$145=7,IF(3=Element_Stiffness!$C$145,Element_Stiffness!R171,IF(3=Element_Stiffness!$E$145,Element_Stiffness!X171,0)),IF(Element_Stiffness!$E$145=7,IF(3=Element_Stiffness!$C$145,Element_Stiffness!R177,IF(3=Element_Stiffness!$E$145,Element_Stiffness!X177,0)),0)),0)+IF(Element_Stiffness!$C$181,IF(Element_Stiffness!$C$180=7,IF(3=Element_Stiffness!$C$180,Element_Stiffness!R206,IF(3=Element_Stiffness!$E$180,Element_Stiffness!X206,0)),IF(Element_Stiffness!$E$180=7,IF(3=Element_Stiffness!$C$180,Element_Stiffness!R212,IF(3=Element_Stiffness!$E$180,Element_Stiffness!X212,0)),0)),0)+IF(Element_Stiffness!$C$216,IF(Element_Stiffness!$C$215=7,IF(3=Element_Stiffness!$C$215,Element_Stiffness!R241,IF(3=Element_Stiffness!$E$215,Element_Stiffness!X241,0)),IF(Element_Stiffness!$E$215=7,IF(3=Element_Stiffness!$C$215,Element_Stiffness!R247,IF(3=Element_Stiffness!$E$215,Element_Stiffness!X247,0)),0)),0)</f>
        <v/>
      </c>
      <c r="X52" s="21">
        <f>IF(Element_Stiffness!$C$6,IF(Element_Stiffness!$C$5=7,IF(3=Element_Stiffness!$C$5,Element_Stiffness!S31,IF(3=Element_Stiffness!$E$5,Element_Stiffness!Y31,0)),IF(Element_Stiffness!$E$5=7,IF(3=Element_Stiffness!$C$5,Element_Stiffness!S37,IF(3=Element_Stiffness!$E$5,Element_Stiffness!Y37,0)),0)),0)+IF(Element_Stiffness!$C$41,IF(Element_Stiffness!$C$40=7,IF(3=Element_Stiffness!$C$40,Element_Stiffness!S66,IF(3=Element_Stiffness!$E$40,Element_Stiffness!Y66,0)),IF(Element_Stiffness!$E$40=7,IF(3=Element_Stiffness!$C$40,Element_Stiffness!S72,IF(3=Element_Stiffness!$E$40,Element_Stiffness!Y72,0)),0)),0)+IF(Element_Stiffness!$C$76,IF(Element_Stiffness!$C$75=7,IF(3=Element_Stiffness!$C$75,Element_Stiffness!S101,IF(3=Element_Stiffness!$E$75,Element_Stiffness!Y101,0)),IF(Element_Stiffness!$E$75=7,IF(3=Element_Stiffness!$C$75,Element_Stiffness!S107,IF(3=Element_Stiffness!$E$75,Element_Stiffness!Y107,0)),0)),0)+IF(Element_Stiffness!$C$111,IF(Element_Stiffness!$C$110=7,IF(3=Element_Stiffness!$C$110,Element_Stiffness!S136,IF(3=Element_Stiffness!$E$110,Element_Stiffness!Y136,0)),IF(Element_Stiffness!$E$110=7,IF(3=Element_Stiffness!$C$110,Element_Stiffness!S142,IF(3=Element_Stiffness!$E$110,Element_Stiffness!Y142,0)),0)),0)+IF(Element_Stiffness!$C$146,IF(Element_Stiffness!$C$145=7,IF(3=Element_Stiffness!$C$145,Element_Stiffness!S171,IF(3=Element_Stiffness!$E$145,Element_Stiffness!Y171,0)),IF(Element_Stiffness!$E$145=7,IF(3=Element_Stiffness!$C$145,Element_Stiffness!S177,IF(3=Element_Stiffness!$E$145,Element_Stiffness!Y177,0)),0)),0)+IF(Element_Stiffness!$C$181,IF(Element_Stiffness!$C$180=7,IF(3=Element_Stiffness!$C$180,Element_Stiffness!S206,IF(3=Element_Stiffness!$E$180,Element_Stiffness!Y206,0)),IF(Element_Stiffness!$E$180=7,IF(3=Element_Stiffness!$C$180,Element_Stiffness!S212,IF(3=Element_Stiffness!$E$180,Element_Stiffness!Y212,0)),0)),0)+IF(Element_Stiffness!$C$216,IF(Element_Stiffness!$C$215=7,IF(3=Element_Stiffness!$C$215,Element_Stiffness!S241,IF(3=Element_Stiffness!$E$215,Element_Stiffness!Y241,0)),IF(Element_Stiffness!$E$215=7,IF(3=Element_Stiffness!$C$215,Element_Stiffness!S247,IF(3=Element_Stiffness!$E$215,Element_Stiffness!Y247,0)),0)),0)</f>
        <v/>
      </c>
      <c r="Y52" s="21">
        <f>IF(Element_Stiffness!$C$6,IF(Element_Stiffness!$C$5=7,IF(3=Element_Stiffness!$C$5,Element_Stiffness!T31,IF(3=Element_Stiffness!$E$5,Element_Stiffness!Z31,0)),IF(Element_Stiffness!$E$5=7,IF(3=Element_Stiffness!$C$5,Element_Stiffness!T37,IF(3=Element_Stiffness!$E$5,Element_Stiffness!Z37,0)),0)),0)+IF(Element_Stiffness!$C$41,IF(Element_Stiffness!$C$40=7,IF(3=Element_Stiffness!$C$40,Element_Stiffness!T66,IF(3=Element_Stiffness!$E$40,Element_Stiffness!Z66,0)),IF(Element_Stiffness!$E$40=7,IF(3=Element_Stiffness!$C$40,Element_Stiffness!T72,IF(3=Element_Stiffness!$E$40,Element_Stiffness!Z72,0)),0)),0)+IF(Element_Stiffness!$C$76,IF(Element_Stiffness!$C$75=7,IF(3=Element_Stiffness!$C$75,Element_Stiffness!T101,IF(3=Element_Stiffness!$E$75,Element_Stiffness!Z101,0)),IF(Element_Stiffness!$E$75=7,IF(3=Element_Stiffness!$C$75,Element_Stiffness!T107,IF(3=Element_Stiffness!$E$75,Element_Stiffness!Z107,0)),0)),0)+IF(Element_Stiffness!$C$111,IF(Element_Stiffness!$C$110=7,IF(3=Element_Stiffness!$C$110,Element_Stiffness!T136,IF(3=Element_Stiffness!$E$110,Element_Stiffness!Z136,0)),IF(Element_Stiffness!$E$110=7,IF(3=Element_Stiffness!$C$110,Element_Stiffness!T142,IF(3=Element_Stiffness!$E$110,Element_Stiffness!Z142,0)),0)),0)+IF(Element_Stiffness!$C$146,IF(Element_Stiffness!$C$145=7,IF(3=Element_Stiffness!$C$145,Element_Stiffness!T171,IF(3=Element_Stiffness!$E$145,Element_Stiffness!Z171,0)),IF(Element_Stiffness!$E$145=7,IF(3=Element_Stiffness!$C$145,Element_Stiffness!T177,IF(3=Element_Stiffness!$E$145,Element_Stiffness!Z177,0)),0)),0)+IF(Element_Stiffness!$C$181,IF(Element_Stiffness!$C$180=7,IF(3=Element_Stiffness!$C$180,Element_Stiffness!T206,IF(3=Element_Stiffness!$E$180,Element_Stiffness!Z206,0)),IF(Element_Stiffness!$E$180=7,IF(3=Element_Stiffness!$C$180,Element_Stiffness!T212,IF(3=Element_Stiffness!$E$180,Element_Stiffness!Z212,0)),0)),0)+IF(Element_Stiffness!$C$216,IF(Element_Stiffness!$C$215=7,IF(3=Element_Stiffness!$C$215,Element_Stiffness!T241,IF(3=Element_Stiffness!$E$215,Element_Stiffness!Z241,0)),IF(Element_Stiffness!$E$215=7,IF(3=Element_Stiffness!$C$215,Element_Stiffness!T247,IF(3=Element_Stiffness!$E$215,Element_Stiffness!Z247,0)),0)),0)</f>
        <v/>
      </c>
      <c r="Z52" s="21">
        <f>IF(Element_Stiffness!$C$6,IF(Element_Stiffness!$C$5=7,IF(3=Element_Stiffness!$C$5,Element_Stiffness!U31,IF(3=Element_Stiffness!$E$5,Element_Stiffness!AA31,0)),IF(Element_Stiffness!$E$5=7,IF(3=Element_Stiffness!$C$5,Element_Stiffness!U37,IF(3=Element_Stiffness!$E$5,Element_Stiffness!AA37,0)),0)),0)+IF(Element_Stiffness!$C$41,IF(Element_Stiffness!$C$40=7,IF(3=Element_Stiffness!$C$40,Element_Stiffness!U66,IF(3=Element_Stiffness!$E$40,Element_Stiffness!AA66,0)),IF(Element_Stiffness!$E$40=7,IF(3=Element_Stiffness!$C$40,Element_Stiffness!U72,IF(3=Element_Stiffness!$E$40,Element_Stiffness!AA72,0)),0)),0)+IF(Element_Stiffness!$C$76,IF(Element_Stiffness!$C$75=7,IF(3=Element_Stiffness!$C$75,Element_Stiffness!U101,IF(3=Element_Stiffness!$E$75,Element_Stiffness!AA101,0)),IF(Element_Stiffness!$E$75=7,IF(3=Element_Stiffness!$C$75,Element_Stiffness!U107,IF(3=Element_Stiffness!$E$75,Element_Stiffness!AA107,0)),0)),0)+IF(Element_Stiffness!$C$111,IF(Element_Stiffness!$C$110=7,IF(3=Element_Stiffness!$C$110,Element_Stiffness!U136,IF(3=Element_Stiffness!$E$110,Element_Stiffness!AA136,0)),IF(Element_Stiffness!$E$110=7,IF(3=Element_Stiffness!$C$110,Element_Stiffness!U142,IF(3=Element_Stiffness!$E$110,Element_Stiffness!AA142,0)),0)),0)+IF(Element_Stiffness!$C$146,IF(Element_Stiffness!$C$145=7,IF(3=Element_Stiffness!$C$145,Element_Stiffness!U171,IF(3=Element_Stiffness!$E$145,Element_Stiffness!AA171,0)),IF(Element_Stiffness!$E$145=7,IF(3=Element_Stiffness!$C$145,Element_Stiffness!U177,IF(3=Element_Stiffness!$E$145,Element_Stiffness!AA177,0)),0)),0)+IF(Element_Stiffness!$C$181,IF(Element_Stiffness!$C$180=7,IF(3=Element_Stiffness!$C$180,Element_Stiffness!U206,IF(3=Element_Stiffness!$E$180,Element_Stiffness!AA206,0)),IF(Element_Stiffness!$E$180=7,IF(3=Element_Stiffness!$C$180,Element_Stiffness!U212,IF(3=Element_Stiffness!$E$180,Element_Stiffness!AA212,0)),0)),0)+IF(Element_Stiffness!$C$216,IF(Element_Stiffness!$C$215=7,IF(3=Element_Stiffness!$C$215,Element_Stiffness!U241,IF(3=Element_Stiffness!$E$215,Element_Stiffness!AA241,0)),IF(Element_Stiffness!$E$215=7,IF(3=Element_Stiffness!$C$215,Element_Stiffness!U247,IF(3=Element_Stiffness!$E$215,Element_Stiffness!AA247,0)),0)),0)</f>
        <v/>
      </c>
      <c r="AA52" s="21">
        <f>IF(Element_Stiffness!$C$6,IF(Element_Stiffness!$C$5=7,IF(4=Element_Stiffness!$C$5,Element_Stiffness!P31,IF(4=Element_Stiffness!$E$5,Element_Stiffness!V31,0)),IF(Element_Stiffness!$E$5=7,IF(4=Element_Stiffness!$C$5,Element_Stiffness!P37,IF(4=Element_Stiffness!$E$5,Element_Stiffness!V37,0)),0)),0)+IF(Element_Stiffness!$C$41,IF(Element_Stiffness!$C$40=7,IF(4=Element_Stiffness!$C$40,Element_Stiffness!P66,IF(4=Element_Stiffness!$E$40,Element_Stiffness!V66,0)),IF(Element_Stiffness!$E$40=7,IF(4=Element_Stiffness!$C$40,Element_Stiffness!P72,IF(4=Element_Stiffness!$E$40,Element_Stiffness!V72,0)),0)),0)+IF(Element_Stiffness!$C$76,IF(Element_Stiffness!$C$75=7,IF(4=Element_Stiffness!$C$75,Element_Stiffness!P101,IF(4=Element_Stiffness!$E$75,Element_Stiffness!V101,0)),IF(Element_Stiffness!$E$75=7,IF(4=Element_Stiffness!$C$75,Element_Stiffness!P107,IF(4=Element_Stiffness!$E$75,Element_Stiffness!V107,0)),0)),0)+IF(Element_Stiffness!$C$111,IF(Element_Stiffness!$C$110=7,IF(4=Element_Stiffness!$C$110,Element_Stiffness!P136,IF(4=Element_Stiffness!$E$110,Element_Stiffness!V136,0)),IF(Element_Stiffness!$E$110=7,IF(4=Element_Stiffness!$C$110,Element_Stiffness!P142,IF(4=Element_Stiffness!$E$110,Element_Stiffness!V142,0)),0)),0)+IF(Element_Stiffness!$C$146,IF(Element_Stiffness!$C$145=7,IF(4=Element_Stiffness!$C$145,Element_Stiffness!P171,IF(4=Element_Stiffness!$E$145,Element_Stiffness!V171,0)),IF(Element_Stiffness!$E$145=7,IF(4=Element_Stiffness!$C$145,Element_Stiffness!P177,IF(4=Element_Stiffness!$E$145,Element_Stiffness!V177,0)),0)),0)+IF(Element_Stiffness!$C$181,IF(Element_Stiffness!$C$180=7,IF(4=Element_Stiffness!$C$180,Element_Stiffness!P206,IF(4=Element_Stiffness!$E$180,Element_Stiffness!V206,0)),IF(Element_Stiffness!$E$180=7,IF(4=Element_Stiffness!$C$180,Element_Stiffness!P212,IF(4=Element_Stiffness!$E$180,Element_Stiffness!V212,0)),0)),0)+IF(Element_Stiffness!$C$216,IF(Element_Stiffness!$C$215=7,IF(4=Element_Stiffness!$C$215,Element_Stiffness!P241,IF(4=Element_Stiffness!$E$215,Element_Stiffness!V241,0)),IF(Element_Stiffness!$E$215=7,IF(4=Element_Stiffness!$C$215,Element_Stiffness!P247,IF(4=Element_Stiffness!$E$215,Element_Stiffness!V247,0)),0)),0)</f>
        <v/>
      </c>
      <c r="AB52" s="21">
        <f>IF(Element_Stiffness!$C$6,IF(Element_Stiffness!$C$5=7,IF(4=Element_Stiffness!$C$5,Element_Stiffness!Q31,IF(4=Element_Stiffness!$E$5,Element_Stiffness!W31,0)),IF(Element_Stiffness!$E$5=7,IF(4=Element_Stiffness!$C$5,Element_Stiffness!Q37,IF(4=Element_Stiffness!$E$5,Element_Stiffness!W37,0)),0)),0)+IF(Element_Stiffness!$C$41,IF(Element_Stiffness!$C$40=7,IF(4=Element_Stiffness!$C$40,Element_Stiffness!Q66,IF(4=Element_Stiffness!$E$40,Element_Stiffness!W66,0)),IF(Element_Stiffness!$E$40=7,IF(4=Element_Stiffness!$C$40,Element_Stiffness!Q72,IF(4=Element_Stiffness!$E$40,Element_Stiffness!W72,0)),0)),0)+IF(Element_Stiffness!$C$76,IF(Element_Stiffness!$C$75=7,IF(4=Element_Stiffness!$C$75,Element_Stiffness!Q101,IF(4=Element_Stiffness!$E$75,Element_Stiffness!W101,0)),IF(Element_Stiffness!$E$75=7,IF(4=Element_Stiffness!$C$75,Element_Stiffness!Q107,IF(4=Element_Stiffness!$E$75,Element_Stiffness!W107,0)),0)),0)+IF(Element_Stiffness!$C$111,IF(Element_Stiffness!$C$110=7,IF(4=Element_Stiffness!$C$110,Element_Stiffness!Q136,IF(4=Element_Stiffness!$E$110,Element_Stiffness!W136,0)),IF(Element_Stiffness!$E$110=7,IF(4=Element_Stiffness!$C$110,Element_Stiffness!Q142,IF(4=Element_Stiffness!$E$110,Element_Stiffness!W142,0)),0)),0)+IF(Element_Stiffness!$C$146,IF(Element_Stiffness!$C$145=7,IF(4=Element_Stiffness!$C$145,Element_Stiffness!Q171,IF(4=Element_Stiffness!$E$145,Element_Stiffness!W171,0)),IF(Element_Stiffness!$E$145=7,IF(4=Element_Stiffness!$C$145,Element_Stiffness!Q177,IF(4=Element_Stiffness!$E$145,Element_Stiffness!W177,0)),0)),0)+IF(Element_Stiffness!$C$181,IF(Element_Stiffness!$C$180=7,IF(4=Element_Stiffness!$C$180,Element_Stiffness!Q206,IF(4=Element_Stiffness!$E$180,Element_Stiffness!W206,0)),IF(Element_Stiffness!$E$180=7,IF(4=Element_Stiffness!$C$180,Element_Stiffness!Q212,IF(4=Element_Stiffness!$E$180,Element_Stiffness!W212,0)),0)),0)+IF(Element_Stiffness!$C$216,IF(Element_Stiffness!$C$215=7,IF(4=Element_Stiffness!$C$215,Element_Stiffness!Q241,IF(4=Element_Stiffness!$E$215,Element_Stiffness!W241,0)),IF(Element_Stiffness!$E$215=7,IF(4=Element_Stiffness!$C$215,Element_Stiffness!Q247,IF(4=Element_Stiffness!$E$215,Element_Stiffness!W247,0)),0)),0)</f>
        <v/>
      </c>
      <c r="AC52" s="21">
        <f>IF(Element_Stiffness!$C$6,IF(Element_Stiffness!$C$5=7,IF(4=Element_Stiffness!$C$5,Element_Stiffness!R31,IF(4=Element_Stiffness!$E$5,Element_Stiffness!X31,0)),IF(Element_Stiffness!$E$5=7,IF(4=Element_Stiffness!$C$5,Element_Stiffness!R37,IF(4=Element_Stiffness!$E$5,Element_Stiffness!X37,0)),0)),0)+IF(Element_Stiffness!$C$41,IF(Element_Stiffness!$C$40=7,IF(4=Element_Stiffness!$C$40,Element_Stiffness!R66,IF(4=Element_Stiffness!$E$40,Element_Stiffness!X66,0)),IF(Element_Stiffness!$E$40=7,IF(4=Element_Stiffness!$C$40,Element_Stiffness!R72,IF(4=Element_Stiffness!$E$40,Element_Stiffness!X72,0)),0)),0)+IF(Element_Stiffness!$C$76,IF(Element_Stiffness!$C$75=7,IF(4=Element_Stiffness!$C$75,Element_Stiffness!R101,IF(4=Element_Stiffness!$E$75,Element_Stiffness!X101,0)),IF(Element_Stiffness!$E$75=7,IF(4=Element_Stiffness!$C$75,Element_Stiffness!R107,IF(4=Element_Stiffness!$E$75,Element_Stiffness!X107,0)),0)),0)+IF(Element_Stiffness!$C$111,IF(Element_Stiffness!$C$110=7,IF(4=Element_Stiffness!$C$110,Element_Stiffness!R136,IF(4=Element_Stiffness!$E$110,Element_Stiffness!X136,0)),IF(Element_Stiffness!$E$110=7,IF(4=Element_Stiffness!$C$110,Element_Stiffness!R142,IF(4=Element_Stiffness!$E$110,Element_Stiffness!X142,0)),0)),0)+IF(Element_Stiffness!$C$146,IF(Element_Stiffness!$C$145=7,IF(4=Element_Stiffness!$C$145,Element_Stiffness!R171,IF(4=Element_Stiffness!$E$145,Element_Stiffness!X171,0)),IF(Element_Stiffness!$E$145=7,IF(4=Element_Stiffness!$C$145,Element_Stiffness!R177,IF(4=Element_Stiffness!$E$145,Element_Stiffness!X177,0)),0)),0)+IF(Element_Stiffness!$C$181,IF(Element_Stiffness!$C$180=7,IF(4=Element_Stiffness!$C$180,Element_Stiffness!R206,IF(4=Element_Stiffness!$E$180,Element_Stiffness!X206,0)),IF(Element_Stiffness!$E$180=7,IF(4=Element_Stiffness!$C$180,Element_Stiffness!R212,IF(4=Element_Stiffness!$E$180,Element_Stiffness!X212,0)),0)),0)+IF(Element_Stiffness!$C$216,IF(Element_Stiffness!$C$215=7,IF(4=Element_Stiffness!$C$215,Element_Stiffness!R241,IF(4=Element_Stiffness!$E$215,Element_Stiffness!X241,0)),IF(Element_Stiffness!$E$215=7,IF(4=Element_Stiffness!$C$215,Element_Stiffness!R247,IF(4=Element_Stiffness!$E$215,Element_Stiffness!X247,0)),0)),0)</f>
        <v/>
      </c>
      <c r="AD52" s="21">
        <f>IF(Element_Stiffness!$C$6,IF(Element_Stiffness!$C$5=7,IF(4=Element_Stiffness!$C$5,Element_Stiffness!S31,IF(4=Element_Stiffness!$E$5,Element_Stiffness!Y31,0)),IF(Element_Stiffness!$E$5=7,IF(4=Element_Stiffness!$C$5,Element_Stiffness!S37,IF(4=Element_Stiffness!$E$5,Element_Stiffness!Y37,0)),0)),0)+IF(Element_Stiffness!$C$41,IF(Element_Stiffness!$C$40=7,IF(4=Element_Stiffness!$C$40,Element_Stiffness!S66,IF(4=Element_Stiffness!$E$40,Element_Stiffness!Y66,0)),IF(Element_Stiffness!$E$40=7,IF(4=Element_Stiffness!$C$40,Element_Stiffness!S72,IF(4=Element_Stiffness!$E$40,Element_Stiffness!Y72,0)),0)),0)+IF(Element_Stiffness!$C$76,IF(Element_Stiffness!$C$75=7,IF(4=Element_Stiffness!$C$75,Element_Stiffness!S101,IF(4=Element_Stiffness!$E$75,Element_Stiffness!Y101,0)),IF(Element_Stiffness!$E$75=7,IF(4=Element_Stiffness!$C$75,Element_Stiffness!S107,IF(4=Element_Stiffness!$E$75,Element_Stiffness!Y107,0)),0)),0)+IF(Element_Stiffness!$C$111,IF(Element_Stiffness!$C$110=7,IF(4=Element_Stiffness!$C$110,Element_Stiffness!S136,IF(4=Element_Stiffness!$E$110,Element_Stiffness!Y136,0)),IF(Element_Stiffness!$E$110=7,IF(4=Element_Stiffness!$C$110,Element_Stiffness!S142,IF(4=Element_Stiffness!$E$110,Element_Stiffness!Y142,0)),0)),0)+IF(Element_Stiffness!$C$146,IF(Element_Stiffness!$C$145=7,IF(4=Element_Stiffness!$C$145,Element_Stiffness!S171,IF(4=Element_Stiffness!$E$145,Element_Stiffness!Y171,0)),IF(Element_Stiffness!$E$145=7,IF(4=Element_Stiffness!$C$145,Element_Stiffness!S177,IF(4=Element_Stiffness!$E$145,Element_Stiffness!Y177,0)),0)),0)+IF(Element_Stiffness!$C$181,IF(Element_Stiffness!$C$180=7,IF(4=Element_Stiffness!$C$180,Element_Stiffness!S206,IF(4=Element_Stiffness!$E$180,Element_Stiffness!Y206,0)),IF(Element_Stiffness!$E$180=7,IF(4=Element_Stiffness!$C$180,Element_Stiffness!S212,IF(4=Element_Stiffness!$E$180,Element_Stiffness!Y212,0)),0)),0)+IF(Element_Stiffness!$C$216,IF(Element_Stiffness!$C$215=7,IF(4=Element_Stiffness!$C$215,Element_Stiffness!S241,IF(4=Element_Stiffness!$E$215,Element_Stiffness!Y241,0)),IF(Element_Stiffness!$E$215=7,IF(4=Element_Stiffness!$C$215,Element_Stiffness!S247,IF(4=Element_Stiffness!$E$215,Element_Stiffness!Y247,0)),0)),0)</f>
        <v/>
      </c>
      <c r="AE52" s="21">
        <f>IF(Element_Stiffness!$C$6,IF(Element_Stiffness!$C$5=7,IF(4=Element_Stiffness!$C$5,Element_Stiffness!T31,IF(4=Element_Stiffness!$E$5,Element_Stiffness!Z31,0)),IF(Element_Stiffness!$E$5=7,IF(4=Element_Stiffness!$C$5,Element_Stiffness!T37,IF(4=Element_Stiffness!$E$5,Element_Stiffness!Z37,0)),0)),0)+IF(Element_Stiffness!$C$41,IF(Element_Stiffness!$C$40=7,IF(4=Element_Stiffness!$C$40,Element_Stiffness!T66,IF(4=Element_Stiffness!$E$40,Element_Stiffness!Z66,0)),IF(Element_Stiffness!$E$40=7,IF(4=Element_Stiffness!$C$40,Element_Stiffness!T72,IF(4=Element_Stiffness!$E$40,Element_Stiffness!Z72,0)),0)),0)+IF(Element_Stiffness!$C$76,IF(Element_Stiffness!$C$75=7,IF(4=Element_Stiffness!$C$75,Element_Stiffness!T101,IF(4=Element_Stiffness!$E$75,Element_Stiffness!Z101,0)),IF(Element_Stiffness!$E$75=7,IF(4=Element_Stiffness!$C$75,Element_Stiffness!T107,IF(4=Element_Stiffness!$E$75,Element_Stiffness!Z107,0)),0)),0)+IF(Element_Stiffness!$C$111,IF(Element_Stiffness!$C$110=7,IF(4=Element_Stiffness!$C$110,Element_Stiffness!T136,IF(4=Element_Stiffness!$E$110,Element_Stiffness!Z136,0)),IF(Element_Stiffness!$E$110=7,IF(4=Element_Stiffness!$C$110,Element_Stiffness!T142,IF(4=Element_Stiffness!$E$110,Element_Stiffness!Z142,0)),0)),0)+IF(Element_Stiffness!$C$146,IF(Element_Stiffness!$C$145=7,IF(4=Element_Stiffness!$C$145,Element_Stiffness!T171,IF(4=Element_Stiffness!$E$145,Element_Stiffness!Z171,0)),IF(Element_Stiffness!$E$145=7,IF(4=Element_Stiffness!$C$145,Element_Stiffness!T177,IF(4=Element_Stiffness!$E$145,Element_Stiffness!Z177,0)),0)),0)+IF(Element_Stiffness!$C$181,IF(Element_Stiffness!$C$180=7,IF(4=Element_Stiffness!$C$180,Element_Stiffness!T206,IF(4=Element_Stiffness!$E$180,Element_Stiffness!Z206,0)),IF(Element_Stiffness!$E$180=7,IF(4=Element_Stiffness!$C$180,Element_Stiffness!T212,IF(4=Element_Stiffness!$E$180,Element_Stiffness!Z212,0)),0)),0)+IF(Element_Stiffness!$C$216,IF(Element_Stiffness!$C$215=7,IF(4=Element_Stiffness!$C$215,Element_Stiffness!T241,IF(4=Element_Stiffness!$E$215,Element_Stiffness!Z241,0)),IF(Element_Stiffness!$E$215=7,IF(4=Element_Stiffness!$C$215,Element_Stiffness!T247,IF(4=Element_Stiffness!$E$215,Element_Stiffness!Z247,0)),0)),0)</f>
        <v/>
      </c>
      <c r="AF52" s="21">
        <f>IF(Element_Stiffness!$C$6,IF(Element_Stiffness!$C$5=7,IF(4=Element_Stiffness!$C$5,Element_Stiffness!U31,IF(4=Element_Stiffness!$E$5,Element_Stiffness!AA31,0)),IF(Element_Stiffness!$E$5=7,IF(4=Element_Stiffness!$C$5,Element_Stiffness!U37,IF(4=Element_Stiffness!$E$5,Element_Stiffness!AA37,0)),0)),0)+IF(Element_Stiffness!$C$41,IF(Element_Stiffness!$C$40=7,IF(4=Element_Stiffness!$C$40,Element_Stiffness!U66,IF(4=Element_Stiffness!$E$40,Element_Stiffness!AA66,0)),IF(Element_Stiffness!$E$40=7,IF(4=Element_Stiffness!$C$40,Element_Stiffness!U72,IF(4=Element_Stiffness!$E$40,Element_Stiffness!AA72,0)),0)),0)+IF(Element_Stiffness!$C$76,IF(Element_Stiffness!$C$75=7,IF(4=Element_Stiffness!$C$75,Element_Stiffness!U101,IF(4=Element_Stiffness!$E$75,Element_Stiffness!AA101,0)),IF(Element_Stiffness!$E$75=7,IF(4=Element_Stiffness!$C$75,Element_Stiffness!U107,IF(4=Element_Stiffness!$E$75,Element_Stiffness!AA107,0)),0)),0)+IF(Element_Stiffness!$C$111,IF(Element_Stiffness!$C$110=7,IF(4=Element_Stiffness!$C$110,Element_Stiffness!U136,IF(4=Element_Stiffness!$E$110,Element_Stiffness!AA136,0)),IF(Element_Stiffness!$E$110=7,IF(4=Element_Stiffness!$C$110,Element_Stiffness!U142,IF(4=Element_Stiffness!$E$110,Element_Stiffness!AA142,0)),0)),0)+IF(Element_Stiffness!$C$146,IF(Element_Stiffness!$C$145=7,IF(4=Element_Stiffness!$C$145,Element_Stiffness!U171,IF(4=Element_Stiffness!$E$145,Element_Stiffness!AA171,0)),IF(Element_Stiffness!$E$145=7,IF(4=Element_Stiffness!$C$145,Element_Stiffness!U177,IF(4=Element_Stiffness!$E$145,Element_Stiffness!AA177,0)),0)),0)+IF(Element_Stiffness!$C$181,IF(Element_Stiffness!$C$180=7,IF(4=Element_Stiffness!$C$180,Element_Stiffness!U206,IF(4=Element_Stiffness!$E$180,Element_Stiffness!AA206,0)),IF(Element_Stiffness!$E$180=7,IF(4=Element_Stiffness!$C$180,Element_Stiffness!U212,IF(4=Element_Stiffness!$E$180,Element_Stiffness!AA212,0)),0)),0)+IF(Element_Stiffness!$C$216,IF(Element_Stiffness!$C$215=7,IF(4=Element_Stiffness!$C$215,Element_Stiffness!U241,IF(4=Element_Stiffness!$E$215,Element_Stiffness!AA241,0)),IF(Element_Stiffness!$E$215=7,IF(4=Element_Stiffness!$C$215,Element_Stiffness!U247,IF(4=Element_Stiffness!$E$215,Element_Stiffness!AA247,0)),0)),0)</f>
        <v/>
      </c>
      <c r="AG52" s="21">
        <f>IF(Element_Stiffness!$C$6,IF(Element_Stiffness!$C$5=7,IF(5=Element_Stiffness!$C$5,Element_Stiffness!P31,IF(5=Element_Stiffness!$E$5,Element_Stiffness!V31,0)),IF(Element_Stiffness!$E$5=7,IF(5=Element_Stiffness!$C$5,Element_Stiffness!P37,IF(5=Element_Stiffness!$E$5,Element_Stiffness!V37,0)),0)),0)+IF(Element_Stiffness!$C$41,IF(Element_Stiffness!$C$40=7,IF(5=Element_Stiffness!$C$40,Element_Stiffness!P66,IF(5=Element_Stiffness!$E$40,Element_Stiffness!V66,0)),IF(Element_Stiffness!$E$40=7,IF(5=Element_Stiffness!$C$40,Element_Stiffness!P72,IF(5=Element_Stiffness!$E$40,Element_Stiffness!V72,0)),0)),0)+IF(Element_Stiffness!$C$76,IF(Element_Stiffness!$C$75=7,IF(5=Element_Stiffness!$C$75,Element_Stiffness!P101,IF(5=Element_Stiffness!$E$75,Element_Stiffness!V101,0)),IF(Element_Stiffness!$E$75=7,IF(5=Element_Stiffness!$C$75,Element_Stiffness!P107,IF(5=Element_Stiffness!$E$75,Element_Stiffness!V107,0)),0)),0)+IF(Element_Stiffness!$C$111,IF(Element_Stiffness!$C$110=7,IF(5=Element_Stiffness!$C$110,Element_Stiffness!P136,IF(5=Element_Stiffness!$E$110,Element_Stiffness!V136,0)),IF(Element_Stiffness!$E$110=7,IF(5=Element_Stiffness!$C$110,Element_Stiffness!P142,IF(5=Element_Stiffness!$E$110,Element_Stiffness!V142,0)),0)),0)+IF(Element_Stiffness!$C$146,IF(Element_Stiffness!$C$145=7,IF(5=Element_Stiffness!$C$145,Element_Stiffness!P171,IF(5=Element_Stiffness!$E$145,Element_Stiffness!V171,0)),IF(Element_Stiffness!$E$145=7,IF(5=Element_Stiffness!$C$145,Element_Stiffness!P177,IF(5=Element_Stiffness!$E$145,Element_Stiffness!V177,0)),0)),0)+IF(Element_Stiffness!$C$181,IF(Element_Stiffness!$C$180=7,IF(5=Element_Stiffness!$C$180,Element_Stiffness!P206,IF(5=Element_Stiffness!$E$180,Element_Stiffness!V206,0)),IF(Element_Stiffness!$E$180=7,IF(5=Element_Stiffness!$C$180,Element_Stiffness!P212,IF(5=Element_Stiffness!$E$180,Element_Stiffness!V212,0)),0)),0)+IF(Element_Stiffness!$C$216,IF(Element_Stiffness!$C$215=7,IF(5=Element_Stiffness!$C$215,Element_Stiffness!P241,IF(5=Element_Stiffness!$E$215,Element_Stiffness!V241,0)),IF(Element_Stiffness!$E$215=7,IF(5=Element_Stiffness!$C$215,Element_Stiffness!P247,IF(5=Element_Stiffness!$E$215,Element_Stiffness!V247,0)),0)),0)</f>
        <v/>
      </c>
      <c r="AH52" s="21">
        <f>IF(Element_Stiffness!$C$6,IF(Element_Stiffness!$C$5=7,IF(5=Element_Stiffness!$C$5,Element_Stiffness!Q31,IF(5=Element_Stiffness!$E$5,Element_Stiffness!W31,0)),IF(Element_Stiffness!$E$5=7,IF(5=Element_Stiffness!$C$5,Element_Stiffness!Q37,IF(5=Element_Stiffness!$E$5,Element_Stiffness!W37,0)),0)),0)+IF(Element_Stiffness!$C$41,IF(Element_Stiffness!$C$40=7,IF(5=Element_Stiffness!$C$40,Element_Stiffness!Q66,IF(5=Element_Stiffness!$E$40,Element_Stiffness!W66,0)),IF(Element_Stiffness!$E$40=7,IF(5=Element_Stiffness!$C$40,Element_Stiffness!Q72,IF(5=Element_Stiffness!$E$40,Element_Stiffness!W72,0)),0)),0)+IF(Element_Stiffness!$C$76,IF(Element_Stiffness!$C$75=7,IF(5=Element_Stiffness!$C$75,Element_Stiffness!Q101,IF(5=Element_Stiffness!$E$75,Element_Stiffness!W101,0)),IF(Element_Stiffness!$E$75=7,IF(5=Element_Stiffness!$C$75,Element_Stiffness!Q107,IF(5=Element_Stiffness!$E$75,Element_Stiffness!W107,0)),0)),0)+IF(Element_Stiffness!$C$111,IF(Element_Stiffness!$C$110=7,IF(5=Element_Stiffness!$C$110,Element_Stiffness!Q136,IF(5=Element_Stiffness!$E$110,Element_Stiffness!W136,0)),IF(Element_Stiffness!$E$110=7,IF(5=Element_Stiffness!$C$110,Element_Stiffness!Q142,IF(5=Element_Stiffness!$E$110,Element_Stiffness!W142,0)),0)),0)+IF(Element_Stiffness!$C$146,IF(Element_Stiffness!$C$145=7,IF(5=Element_Stiffness!$C$145,Element_Stiffness!Q171,IF(5=Element_Stiffness!$E$145,Element_Stiffness!W171,0)),IF(Element_Stiffness!$E$145=7,IF(5=Element_Stiffness!$C$145,Element_Stiffness!Q177,IF(5=Element_Stiffness!$E$145,Element_Stiffness!W177,0)),0)),0)+IF(Element_Stiffness!$C$181,IF(Element_Stiffness!$C$180=7,IF(5=Element_Stiffness!$C$180,Element_Stiffness!Q206,IF(5=Element_Stiffness!$E$180,Element_Stiffness!W206,0)),IF(Element_Stiffness!$E$180=7,IF(5=Element_Stiffness!$C$180,Element_Stiffness!Q212,IF(5=Element_Stiffness!$E$180,Element_Stiffness!W212,0)),0)),0)+IF(Element_Stiffness!$C$216,IF(Element_Stiffness!$C$215=7,IF(5=Element_Stiffness!$C$215,Element_Stiffness!Q241,IF(5=Element_Stiffness!$E$215,Element_Stiffness!W241,0)),IF(Element_Stiffness!$E$215=7,IF(5=Element_Stiffness!$C$215,Element_Stiffness!Q247,IF(5=Element_Stiffness!$E$215,Element_Stiffness!W247,0)),0)),0)</f>
        <v/>
      </c>
      <c r="AI52" s="21">
        <f>IF(Element_Stiffness!$C$6,IF(Element_Stiffness!$C$5=7,IF(5=Element_Stiffness!$C$5,Element_Stiffness!R31,IF(5=Element_Stiffness!$E$5,Element_Stiffness!X31,0)),IF(Element_Stiffness!$E$5=7,IF(5=Element_Stiffness!$C$5,Element_Stiffness!R37,IF(5=Element_Stiffness!$E$5,Element_Stiffness!X37,0)),0)),0)+IF(Element_Stiffness!$C$41,IF(Element_Stiffness!$C$40=7,IF(5=Element_Stiffness!$C$40,Element_Stiffness!R66,IF(5=Element_Stiffness!$E$40,Element_Stiffness!X66,0)),IF(Element_Stiffness!$E$40=7,IF(5=Element_Stiffness!$C$40,Element_Stiffness!R72,IF(5=Element_Stiffness!$E$40,Element_Stiffness!X72,0)),0)),0)+IF(Element_Stiffness!$C$76,IF(Element_Stiffness!$C$75=7,IF(5=Element_Stiffness!$C$75,Element_Stiffness!R101,IF(5=Element_Stiffness!$E$75,Element_Stiffness!X101,0)),IF(Element_Stiffness!$E$75=7,IF(5=Element_Stiffness!$C$75,Element_Stiffness!R107,IF(5=Element_Stiffness!$E$75,Element_Stiffness!X107,0)),0)),0)+IF(Element_Stiffness!$C$111,IF(Element_Stiffness!$C$110=7,IF(5=Element_Stiffness!$C$110,Element_Stiffness!R136,IF(5=Element_Stiffness!$E$110,Element_Stiffness!X136,0)),IF(Element_Stiffness!$E$110=7,IF(5=Element_Stiffness!$C$110,Element_Stiffness!R142,IF(5=Element_Stiffness!$E$110,Element_Stiffness!X142,0)),0)),0)+IF(Element_Stiffness!$C$146,IF(Element_Stiffness!$C$145=7,IF(5=Element_Stiffness!$C$145,Element_Stiffness!R171,IF(5=Element_Stiffness!$E$145,Element_Stiffness!X171,0)),IF(Element_Stiffness!$E$145=7,IF(5=Element_Stiffness!$C$145,Element_Stiffness!R177,IF(5=Element_Stiffness!$E$145,Element_Stiffness!X177,0)),0)),0)+IF(Element_Stiffness!$C$181,IF(Element_Stiffness!$C$180=7,IF(5=Element_Stiffness!$C$180,Element_Stiffness!R206,IF(5=Element_Stiffness!$E$180,Element_Stiffness!X206,0)),IF(Element_Stiffness!$E$180=7,IF(5=Element_Stiffness!$C$180,Element_Stiffness!R212,IF(5=Element_Stiffness!$E$180,Element_Stiffness!X212,0)),0)),0)+IF(Element_Stiffness!$C$216,IF(Element_Stiffness!$C$215=7,IF(5=Element_Stiffness!$C$215,Element_Stiffness!R241,IF(5=Element_Stiffness!$E$215,Element_Stiffness!X241,0)),IF(Element_Stiffness!$E$215=7,IF(5=Element_Stiffness!$C$215,Element_Stiffness!R247,IF(5=Element_Stiffness!$E$215,Element_Stiffness!X247,0)),0)),0)</f>
        <v/>
      </c>
      <c r="AJ52" s="21">
        <f>IF(Element_Stiffness!$C$6,IF(Element_Stiffness!$C$5=7,IF(5=Element_Stiffness!$C$5,Element_Stiffness!S31,IF(5=Element_Stiffness!$E$5,Element_Stiffness!Y31,0)),IF(Element_Stiffness!$E$5=7,IF(5=Element_Stiffness!$C$5,Element_Stiffness!S37,IF(5=Element_Stiffness!$E$5,Element_Stiffness!Y37,0)),0)),0)+IF(Element_Stiffness!$C$41,IF(Element_Stiffness!$C$40=7,IF(5=Element_Stiffness!$C$40,Element_Stiffness!S66,IF(5=Element_Stiffness!$E$40,Element_Stiffness!Y66,0)),IF(Element_Stiffness!$E$40=7,IF(5=Element_Stiffness!$C$40,Element_Stiffness!S72,IF(5=Element_Stiffness!$E$40,Element_Stiffness!Y72,0)),0)),0)+IF(Element_Stiffness!$C$76,IF(Element_Stiffness!$C$75=7,IF(5=Element_Stiffness!$C$75,Element_Stiffness!S101,IF(5=Element_Stiffness!$E$75,Element_Stiffness!Y101,0)),IF(Element_Stiffness!$E$75=7,IF(5=Element_Stiffness!$C$75,Element_Stiffness!S107,IF(5=Element_Stiffness!$E$75,Element_Stiffness!Y107,0)),0)),0)+IF(Element_Stiffness!$C$111,IF(Element_Stiffness!$C$110=7,IF(5=Element_Stiffness!$C$110,Element_Stiffness!S136,IF(5=Element_Stiffness!$E$110,Element_Stiffness!Y136,0)),IF(Element_Stiffness!$E$110=7,IF(5=Element_Stiffness!$C$110,Element_Stiffness!S142,IF(5=Element_Stiffness!$E$110,Element_Stiffness!Y142,0)),0)),0)+IF(Element_Stiffness!$C$146,IF(Element_Stiffness!$C$145=7,IF(5=Element_Stiffness!$C$145,Element_Stiffness!S171,IF(5=Element_Stiffness!$E$145,Element_Stiffness!Y171,0)),IF(Element_Stiffness!$E$145=7,IF(5=Element_Stiffness!$C$145,Element_Stiffness!S177,IF(5=Element_Stiffness!$E$145,Element_Stiffness!Y177,0)),0)),0)+IF(Element_Stiffness!$C$181,IF(Element_Stiffness!$C$180=7,IF(5=Element_Stiffness!$C$180,Element_Stiffness!S206,IF(5=Element_Stiffness!$E$180,Element_Stiffness!Y206,0)),IF(Element_Stiffness!$E$180=7,IF(5=Element_Stiffness!$C$180,Element_Stiffness!S212,IF(5=Element_Stiffness!$E$180,Element_Stiffness!Y212,0)),0)),0)+IF(Element_Stiffness!$C$216,IF(Element_Stiffness!$C$215=7,IF(5=Element_Stiffness!$C$215,Element_Stiffness!S241,IF(5=Element_Stiffness!$E$215,Element_Stiffness!Y241,0)),IF(Element_Stiffness!$E$215=7,IF(5=Element_Stiffness!$C$215,Element_Stiffness!S247,IF(5=Element_Stiffness!$E$215,Element_Stiffness!Y247,0)),0)),0)</f>
        <v/>
      </c>
      <c r="AK52" s="21">
        <f>IF(Element_Stiffness!$C$6,IF(Element_Stiffness!$C$5=7,IF(5=Element_Stiffness!$C$5,Element_Stiffness!T31,IF(5=Element_Stiffness!$E$5,Element_Stiffness!Z31,0)),IF(Element_Stiffness!$E$5=7,IF(5=Element_Stiffness!$C$5,Element_Stiffness!T37,IF(5=Element_Stiffness!$E$5,Element_Stiffness!Z37,0)),0)),0)+IF(Element_Stiffness!$C$41,IF(Element_Stiffness!$C$40=7,IF(5=Element_Stiffness!$C$40,Element_Stiffness!T66,IF(5=Element_Stiffness!$E$40,Element_Stiffness!Z66,0)),IF(Element_Stiffness!$E$40=7,IF(5=Element_Stiffness!$C$40,Element_Stiffness!T72,IF(5=Element_Stiffness!$E$40,Element_Stiffness!Z72,0)),0)),0)+IF(Element_Stiffness!$C$76,IF(Element_Stiffness!$C$75=7,IF(5=Element_Stiffness!$C$75,Element_Stiffness!T101,IF(5=Element_Stiffness!$E$75,Element_Stiffness!Z101,0)),IF(Element_Stiffness!$E$75=7,IF(5=Element_Stiffness!$C$75,Element_Stiffness!T107,IF(5=Element_Stiffness!$E$75,Element_Stiffness!Z107,0)),0)),0)+IF(Element_Stiffness!$C$111,IF(Element_Stiffness!$C$110=7,IF(5=Element_Stiffness!$C$110,Element_Stiffness!T136,IF(5=Element_Stiffness!$E$110,Element_Stiffness!Z136,0)),IF(Element_Stiffness!$E$110=7,IF(5=Element_Stiffness!$C$110,Element_Stiffness!T142,IF(5=Element_Stiffness!$E$110,Element_Stiffness!Z142,0)),0)),0)+IF(Element_Stiffness!$C$146,IF(Element_Stiffness!$C$145=7,IF(5=Element_Stiffness!$C$145,Element_Stiffness!T171,IF(5=Element_Stiffness!$E$145,Element_Stiffness!Z171,0)),IF(Element_Stiffness!$E$145=7,IF(5=Element_Stiffness!$C$145,Element_Stiffness!T177,IF(5=Element_Stiffness!$E$145,Element_Stiffness!Z177,0)),0)),0)+IF(Element_Stiffness!$C$181,IF(Element_Stiffness!$C$180=7,IF(5=Element_Stiffness!$C$180,Element_Stiffness!T206,IF(5=Element_Stiffness!$E$180,Element_Stiffness!Z206,0)),IF(Element_Stiffness!$E$180=7,IF(5=Element_Stiffness!$C$180,Element_Stiffness!T212,IF(5=Element_Stiffness!$E$180,Element_Stiffness!Z212,0)),0)),0)+IF(Element_Stiffness!$C$216,IF(Element_Stiffness!$C$215=7,IF(5=Element_Stiffness!$C$215,Element_Stiffness!T241,IF(5=Element_Stiffness!$E$215,Element_Stiffness!Z241,0)),IF(Element_Stiffness!$E$215=7,IF(5=Element_Stiffness!$C$215,Element_Stiffness!T247,IF(5=Element_Stiffness!$E$215,Element_Stiffness!Z247,0)),0)),0)</f>
        <v/>
      </c>
      <c r="AL52" s="21">
        <f>IF(Element_Stiffness!$C$6,IF(Element_Stiffness!$C$5=7,IF(5=Element_Stiffness!$C$5,Element_Stiffness!U31,IF(5=Element_Stiffness!$E$5,Element_Stiffness!AA31,0)),IF(Element_Stiffness!$E$5=7,IF(5=Element_Stiffness!$C$5,Element_Stiffness!U37,IF(5=Element_Stiffness!$E$5,Element_Stiffness!AA37,0)),0)),0)+IF(Element_Stiffness!$C$41,IF(Element_Stiffness!$C$40=7,IF(5=Element_Stiffness!$C$40,Element_Stiffness!U66,IF(5=Element_Stiffness!$E$40,Element_Stiffness!AA66,0)),IF(Element_Stiffness!$E$40=7,IF(5=Element_Stiffness!$C$40,Element_Stiffness!U72,IF(5=Element_Stiffness!$E$40,Element_Stiffness!AA72,0)),0)),0)+IF(Element_Stiffness!$C$76,IF(Element_Stiffness!$C$75=7,IF(5=Element_Stiffness!$C$75,Element_Stiffness!U101,IF(5=Element_Stiffness!$E$75,Element_Stiffness!AA101,0)),IF(Element_Stiffness!$E$75=7,IF(5=Element_Stiffness!$C$75,Element_Stiffness!U107,IF(5=Element_Stiffness!$E$75,Element_Stiffness!AA107,0)),0)),0)+IF(Element_Stiffness!$C$111,IF(Element_Stiffness!$C$110=7,IF(5=Element_Stiffness!$C$110,Element_Stiffness!U136,IF(5=Element_Stiffness!$E$110,Element_Stiffness!AA136,0)),IF(Element_Stiffness!$E$110=7,IF(5=Element_Stiffness!$C$110,Element_Stiffness!U142,IF(5=Element_Stiffness!$E$110,Element_Stiffness!AA142,0)),0)),0)+IF(Element_Stiffness!$C$146,IF(Element_Stiffness!$C$145=7,IF(5=Element_Stiffness!$C$145,Element_Stiffness!U171,IF(5=Element_Stiffness!$E$145,Element_Stiffness!AA171,0)),IF(Element_Stiffness!$E$145=7,IF(5=Element_Stiffness!$C$145,Element_Stiffness!U177,IF(5=Element_Stiffness!$E$145,Element_Stiffness!AA177,0)),0)),0)+IF(Element_Stiffness!$C$181,IF(Element_Stiffness!$C$180=7,IF(5=Element_Stiffness!$C$180,Element_Stiffness!U206,IF(5=Element_Stiffness!$E$180,Element_Stiffness!AA206,0)),IF(Element_Stiffness!$E$180=7,IF(5=Element_Stiffness!$C$180,Element_Stiffness!U212,IF(5=Element_Stiffness!$E$180,Element_Stiffness!AA212,0)),0)),0)+IF(Element_Stiffness!$C$216,IF(Element_Stiffness!$C$215=7,IF(5=Element_Stiffness!$C$215,Element_Stiffness!U241,IF(5=Element_Stiffness!$E$215,Element_Stiffness!AA241,0)),IF(Element_Stiffness!$E$215=7,IF(5=Element_Stiffness!$C$215,Element_Stiffness!U247,IF(5=Element_Stiffness!$E$215,Element_Stiffness!AA247,0)),0)),0)</f>
        <v/>
      </c>
      <c r="AM52" s="21">
        <f>IF(Element_Stiffness!$C$6,IF(Element_Stiffness!$C$5=7,IF(6=Element_Stiffness!$C$5,Element_Stiffness!P31,IF(6=Element_Stiffness!$E$5,Element_Stiffness!V31,0)),IF(Element_Stiffness!$E$5=7,IF(6=Element_Stiffness!$C$5,Element_Stiffness!P37,IF(6=Element_Stiffness!$E$5,Element_Stiffness!V37,0)),0)),0)+IF(Element_Stiffness!$C$41,IF(Element_Stiffness!$C$40=7,IF(6=Element_Stiffness!$C$40,Element_Stiffness!P66,IF(6=Element_Stiffness!$E$40,Element_Stiffness!V66,0)),IF(Element_Stiffness!$E$40=7,IF(6=Element_Stiffness!$C$40,Element_Stiffness!P72,IF(6=Element_Stiffness!$E$40,Element_Stiffness!V72,0)),0)),0)+IF(Element_Stiffness!$C$76,IF(Element_Stiffness!$C$75=7,IF(6=Element_Stiffness!$C$75,Element_Stiffness!P101,IF(6=Element_Stiffness!$E$75,Element_Stiffness!V101,0)),IF(Element_Stiffness!$E$75=7,IF(6=Element_Stiffness!$C$75,Element_Stiffness!P107,IF(6=Element_Stiffness!$E$75,Element_Stiffness!V107,0)),0)),0)+IF(Element_Stiffness!$C$111,IF(Element_Stiffness!$C$110=7,IF(6=Element_Stiffness!$C$110,Element_Stiffness!P136,IF(6=Element_Stiffness!$E$110,Element_Stiffness!V136,0)),IF(Element_Stiffness!$E$110=7,IF(6=Element_Stiffness!$C$110,Element_Stiffness!P142,IF(6=Element_Stiffness!$E$110,Element_Stiffness!V142,0)),0)),0)+IF(Element_Stiffness!$C$146,IF(Element_Stiffness!$C$145=7,IF(6=Element_Stiffness!$C$145,Element_Stiffness!P171,IF(6=Element_Stiffness!$E$145,Element_Stiffness!V171,0)),IF(Element_Stiffness!$E$145=7,IF(6=Element_Stiffness!$C$145,Element_Stiffness!P177,IF(6=Element_Stiffness!$E$145,Element_Stiffness!V177,0)),0)),0)+IF(Element_Stiffness!$C$181,IF(Element_Stiffness!$C$180=7,IF(6=Element_Stiffness!$C$180,Element_Stiffness!P206,IF(6=Element_Stiffness!$E$180,Element_Stiffness!V206,0)),IF(Element_Stiffness!$E$180=7,IF(6=Element_Stiffness!$C$180,Element_Stiffness!P212,IF(6=Element_Stiffness!$E$180,Element_Stiffness!V212,0)),0)),0)+IF(Element_Stiffness!$C$216,IF(Element_Stiffness!$C$215=7,IF(6=Element_Stiffness!$C$215,Element_Stiffness!P241,IF(6=Element_Stiffness!$E$215,Element_Stiffness!V241,0)),IF(Element_Stiffness!$E$215=7,IF(6=Element_Stiffness!$C$215,Element_Stiffness!P247,IF(6=Element_Stiffness!$E$215,Element_Stiffness!V247,0)),0)),0)</f>
        <v/>
      </c>
      <c r="AN52" s="21">
        <f>IF(Element_Stiffness!$C$6,IF(Element_Stiffness!$C$5=7,IF(6=Element_Stiffness!$C$5,Element_Stiffness!Q31,IF(6=Element_Stiffness!$E$5,Element_Stiffness!W31,0)),IF(Element_Stiffness!$E$5=7,IF(6=Element_Stiffness!$C$5,Element_Stiffness!Q37,IF(6=Element_Stiffness!$E$5,Element_Stiffness!W37,0)),0)),0)+IF(Element_Stiffness!$C$41,IF(Element_Stiffness!$C$40=7,IF(6=Element_Stiffness!$C$40,Element_Stiffness!Q66,IF(6=Element_Stiffness!$E$40,Element_Stiffness!W66,0)),IF(Element_Stiffness!$E$40=7,IF(6=Element_Stiffness!$C$40,Element_Stiffness!Q72,IF(6=Element_Stiffness!$E$40,Element_Stiffness!W72,0)),0)),0)+IF(Element_Stiffness!$C$76,IF(Element_Stiffness!$C$75=7,IF(6=Element_Stiffness!$C$75,Element_Stiffness!Q101,IF(6=Element_Stiffness!$E$75,Element_Stiffness!W101,0)),IF(Element_Stiffness!$E$75=7,IF(6=Element_Stiffness!$C$75,Element_Stiffness!Q107,IF(6=Element_Stiffness!$E$75,Element_Stiffness!W107,0)),0)),0)+IF(Element_Stiffness!$C$111,IF(Element_Stiffness!$C$110=7,IF(6=Element_Stiffness!$C$110,Element_Stiffness!Q136,IF(6=Element_Stiffness!$E$110,Element_Stiffness!W136,0)),IF(Element_Stiffness!$E$110=7,IF(6=Element_Stiffness!$C$110,Element_Stiffness!Q142,IF(6=Element_Stiffness!$E$110,Element_Stiffness!W142,0)),0)),0)+IF(Element_Stiffness!$C$146,IF(Element_Stiffness!$C$145=7,IF(6=Element_Stiffness!$C$145,Element_Stiffness!Q171,IF(6=Element_Stiffness!$E$145,Element_Stiffness!W171,0)),IF(Element_Stiffness!$E$145=7,IF(6=Element_Stiffness!$C$145,Element_Stiffness!Q177,IF(6=Element_Stiffness!$E$145,Element_Stiffness!W177,0)),0)),0)+IF(Element_Stiffness!$C$181,IF(Element_Stiffness!$C$180=7,IF(6=Element_Stiffness!$C$180,Element_Stiffness!Q206,IF(6=Element_Stiffness!$E$180,Element_Stiffness!W206,0)),IF(Element_Stiffness!$E$180=7,IF(6=Element_Stiffness!$C$180,Element_Stiffness!Q212,IF(6=Element_Stiffness!$E$180,Element_Stiffness!W212,0)),0)),0)+IF(Element_Stiffness!$C$216,IF(Element_Stiffness!$C$215=7,IF(6=Element_Stiffness!$C$215,Element_Stiffness!Q241,IF(6=Element_Stiffness!$E$215,Element_Stiffness!W241,0)),IF(Element_Stiffness!$E$215=7,IF(6=Element_Stiffness!$C$215,Element_Stiffness!Q247,IF(6=Element_Stiffness!$E$215,Element_Stiffness!W247,0)),0)),0)</f>
        <v/>
      </c>
      <c r="AO52" s="21">
        <f>IF(Element_Stiffness!$C$6,IF(Element_Stiffness!$C$5=7,IF(6=Element_Stiffness!$C$5,Element_Stiffness!R31,IF(6=Element_Stiffness!$E$5,Element_Stiffness!X31,0)),IF(Element_Stiffness!$E$5=7,IF(6=Element_Stiffness!$C$5,Element_Stiffness!R37,IF(6=Element_Stiffness!$E$5,Element_Stiffness!X37,0)),0)),0)+IF(Element_Stiffness!$C$41,IF(Element_Stiffness!$C$40=7,IF(6=Element_Stiffness!$C$40,Element_Stiffness!R66,IF(6=Element_Stiffness!$E$40,Element_Stiffness!X66,0)),IF(Element_Stiffness!$E$40=7,IF(6=Element_Stiffness!$C$40,Element_Stiffness!R72,IF(6=Element_Stiffness!$E$40,Element_Stiffness!X72,0)),0)),0)+IF(Element_Stiffness!$C$76,IF(Element_Stiffness!$C$75=7,IF(6=Element_Stiffness!$C$75,Element_Stiffness!R101,IF(6=Element_Stiffness!$E$75,Element_Stiffness!X101,0)),IF(Element_Stiffness!$E$75=7,IF(6=Element_Stiffness!$C$75,Element_Stiffness!R107,IF(6=Element_Stiffness!$E$75,Element_Stiffness!X107,0)),0)),0)+IF(Element_Stiffness!$C$111,IF(Element_Stiffness!$C$110=7,IF(6=Element_Stiffness!$C$110,Element_Stiffness!R136,IF(6=Element_Stiffness!$E$110,Element_Stiffness!X136,0)),IF(Element_Stiffness!$E$110=7,IF(6=Element_Stiffness!$C$110,Element_Stiffness!R142,IF(6=Element_Stiffness!$E$110,Element_Stiffness!X142,0)),0)),0)+IF(Element_Stiffness!$C$146,IF(Element_Stiffness!$C$145=7,IF(6=Element_Stiffness!$C$145,Element_Stiffness!R171,IF(6=Element_Stiffness!$E$145,Element_Stiffness!X171,0)),IF(Element_Stiffness!$E$145=7,IF(6=Element_Stiffness!$C$145,Element_Stiffness!R177,IF(6=Element_Stiffness!$E$145,Element_Stiffness!X177,0)),0)),0)+IF(Element_Stiffness!$C$181,IF(Element_Stiffness!$C$180=7,IF(6=Element_Stiffness!$C$180,Element_Stiffness!R206,IF(6=Element_Stiffness!$E$180,Element_Stiffness!X206,0)),IF(Element_Stiffness!$E$180=7,IF(6=Element_Stiffness!$C$180,Element_Stiffness!R212,IF(6=Element_Stiffness!$E$180,Element_Stiffness!X212,0)),0)),0)+IF(Element_Stiffness!$C$216,IF(Element_Stiffness!$C$215=7,IF(6=Element_Stiffness!$C$215,Element_Stiffness!R241,IF(6=Element_Stiffness!$E$215,Element_Stiffness!X241,0)),IF(Element_Stiffness!$E$215=7,IF(6=Element_Stiffness!$C$215,Element_Stiffness!R247,IF(6=Element_Stiffness!$E$215,Element_Stiffness!X247,0)),0)),0)</f>
        <v/>
      </c>
      <c r="AP52" s="21">
        <f>IF(Element_Stiffness!$C$6,IF(Element_Stiffness!$C$5=7,IF(6=Element_Stiffness!$C$5,Element_Stiffness!S31,IF(6=Element_Stiffness!$E$5,Element_Stiffness!Y31,0)),IF(Element_Stiffness!$E$5=7,IF(6=Element_Stiffness!$C$5,Element_Stiffness!S37,IF(6=Element_Stiffness!$E$5,Element_Stiffness!Y37,0)),0)),0)+IF(Element_Stiffness!$C$41,IF(Element_Stiffness!$C$40=7,IF(6=Element_Stiffness!$C$40,Element_Stiffness!S66,IF(6=Element_Stiffness!$E$40,Element_Stiffness!Y66,0)),IF(Element_Stiffness!$E$40=7,IF(6=Element_Stiffness!$C$40,Element_Stiffness!S72,IF(6=Element_Stiffness!$E$40,Element_Stiffness!Y72,0)),0)),0)+IF(Element_Stiffness!$C$76,IF(Element_Stiffness!$C$75=7,IF(6=Element_Stiffness!$C$75,Element_Stiffness!S101,IF(6=Element_Stiffness!$E$75,Element_Stiffness!Y101,0)),IF(Element_Stiffness!$E$75=7,IF(6=Element_Stiffness!$C$75,Element_Stiffness!S107,IF(6=Element_Stiffness!$E$75,Element_Stiffness!Y107,0)),0)),0)+IF(Element_Stiffness!$C$111,IF(Element_Stiffness!$C$110=7,IF(6=Element_Stiffness!$C$110,Element_Stiffness!S136,IF(6=Element_Stiffness!$E$110,Element_Stiffness!Y136,0)),IF(Element_Stiffness!$E$110=7,IF(6=Element_Stiffness!$C$110,Element_Stiffness!S142,IF(6=Element_Stiffness!$E$110,Element_Stiffness!Y142,0)),0)),0)+IF(Element_Stiffness!$C$146,IF(Element_Stiffness!$C$145=7,IF(6=Element_Stiffness!$C$145,Element_Stiffness!S171,IF(6=Element_Stiffness!$E$145,Element_Stiffness!Y171,0)),IF(Element_Stiffness!$E$145=7,IF(6=Element_Stiffness!$C$145,Element_Stiffness!S177,IF(6=Element_Stiffness!$E$145,Element_Stiffness!Y177,0)),0)),0)+IF(Element_Stiffness!$C$181,IF(Element_Stiffness!$C$180=7,IF(6=Element_Stiffness!$C$180,Element_Stiffness!S206,IF(6=Element_Stiffness!$E$180,Element_Stiffness!Y206,0)),IF(Element_Stiffness!$E$180=7,IF(6=Element_Stiffness!$C$180,Element_Stiffness!S212,IF(6=Element_Stiffness!$E$180,Element_Stiffness!Y212,0)),0)),0)+IF(Element_Stiffness!$C$216,IF(Element_Stiffness!$C$215=7,IF(6=Element_Stiffness!$C$215,Element_Stiffness!S241,IF(6=Element_Stiffness!$E$215,Element_Stiffness!Y241,0)),IF(Element_Stiffness!$E$215=7,IF(6=Element_Stiffness!$C$215,Element_Stiffness!S247,IF(6=Element_Stiffness!$E$215,Element_Stiffness!Y247,0)),0)),0)</f>
        <v/>
      </c>
      <c r="AQ52" s="21">
        <f>IF(Element_Stiffness!$C$6,IF(Element_Stiffness!$C$5=7,IF(6=Element_Stiffness!$C$5,Element_Stiffness!T31,IF(6=Element_Stiffness!$E$5,Element_Stiffness!Z31,0)),IF(Element_Stiffness!$E$5=7,IF(6=Element_Stiffness!$C$5,Element_Stiffness!T37,IF(6=Element_Stiffness!$E$5,Element_Stiffness!Z37,0)),0)),0)+IF(Element_Stiffness!$C$41,IF(Element_Stiffness!$C$40=7,IF(6=Element_Stiffness!$C$40,Element_Stiffness!T66,IF(6=Element_Stiffness!$E$40,Element_Stiffness!Z66,0)),IF(Element_Stiffness!$E$40=7,IF(6=Element_Stiffness!$C$40,Element_Stiffness!T72,IF(6=Element_Stiffness!$E$40,Element_Stiffness!Z72,0)),0)),0)+IF(Element_Stiffness!$C$76,IF(Element_Stiffness!$C$75=7,IF(6=Element_Stiffness!$C$75,Element_Stiffness!T101,IF(6=Element_Stiffness!$E$75,Element_Stiffness!Z101,0)),IF(Element_Stiffness!$E$75=7,IF(6=Element_Stiffness!$C$75,Element_Stiffness!T107,IF(6=Element_Stiffness!$E$75,Element_Stiffness!Z107,0)),0)),0)+IF(Element_Stiffness!$C$111,IF(Element_Stiffness!$C$110=7,IF(6=Element_Stiffness!$C$110,Element_Stiffness!T136,IF(6=Element_Stiffness!$E$110,Element_Stiffness!Z136,0)),IF(Element_Stiffness!$E$110=7,IF(6=Element_Stiffness!$C$110,Element_Stiffness!T142,IF(6=Element_Stiffness!$E$110,Element_Stiffness!Z142,0)),0)),0)+IF(Element_Stiffness!$C$146,IF(Element_Stiffness!$C$145=7,IF(6=Element_Stiffness!$C$145,Element_Stiffness!T171,IF(6=Element_Stiffness!$E$145,Element_Stiffness!Z171,0)),IF(Element_Stiffness!$E$145=7,IF(6=Element_Stiffness!$C$145,Element_Stiffness!T177,IF(6=Element_Stiffness!$E$145,Element_Stiffness!Z177,0)),0)),0)+IF(Element_Stiffness!$C$181,IF(Element_Stiffness!$C$180=7,IF(6=Element_Stiffness!$C$180,Element_Stiffness!T206,IF(6=Element_Stiffness!$E$180,Element_Stiffness!Z206,0)),IF(Element_Stiffness!$E$180=7,IF(6=Element_Stiffness!$C$180,Element_Stiffness!T212,IF(6=Element_Stiffness!$E$180,Element_Stiffness!Z212,0)),0)),0)+IF(Element_Stiffness!$C$216,IF(Element_Stiffness!$C$215=7,IF(6=Element_Stiffness!$C$215,Element_Stiffness!T241,IF(6=Element_Stiffness!$E$215,Element_Stiffness!Z241,0)),IF(Element_Stiffness!$E$215=7,IF(6=Element_Stiffness!$C$215,Element_Stiffness!T247,IF(6=Element_Stiffness!$E$215,Element_Stiffness!Z247,0)),0)),0)</f>
        <v/>
      </c>
      <c r="AR52" s="21">
        <f>IF(Element_Stiffness!$C$6,IF(Element_Stiffness!$C$5=7,IF(6=Element_Stiffness!$C$5,Element_Stiffness!U31,IF(6=Element_Stiffness!$E$5,Element_Stiffness!AA31,0)),IF(Element_Stiffness!$E$5=7,IF(6=Element_Stiffness!$C$5,Element_Stiffness!U37,IF(6=Element_Stiffness!$E$5,Element_Stiffness!AA37,0)),0)),0)+IF(Element_Stiffness!$C$41,IF(Element_Stiffness!$C$40=7,IF(6=Element_Stiffness!$C$40,Element_Stiffness!U66,IF(6=Element_Stiffness!$E$40,Element_Stiffness!AA66,0)),IF(Element_Stiffness!$E$40=7,IF(6=Element_Stiffness!$C$40,Element_Stiffness!U72,IF(6=Element_Stiffness!$E$40,Element_Stiffness!AA72,0)),0)),0)+IF(Element_Stiffness!$C$76,IF(Element_Stiffness!$C$75=7,IF(6=Element_Stiffness!$C$75,Element_Stiffness!U101,IF(6=Element_Stiffness!$E$75,Element_Stiffness!AA101,0)),IF(Element_Stiffness!$E$75=7,IF(6=Element_Stiffness!$C$75,Element_Stiffness!U107,IF(6=Element_Stiffness!$E$75,Element_Stiffness!AA107,0)),0)),0)+IF(Element_Stiffness!$C$111,IF(Element_Stiffness!$C$110=7,IF(6=Element_Stiffness!$C$110,Element_Stiffness!U136,IF(6=Element_Stiffness!$E$110,Element_Stiffness!AA136,0)),IF(Element_Stiffness!$E$110=7,IF(6=Element_Stiffness!$C$110,Element_Stiffness!U142,IF(6=Element_Stiffness!$E$110,Element_Stiffness!AA142,0)),0)),0)+IF(Element_Stiffness!$C$146,IF(Element_Stiffness!$C$145=7,IF(6=Element_Stiffness!$C$145,Element_Stiffness!U171,IF(6=Element_Stiffness!$E$145,Element_Stiffness!AA171,0)),IF(Element_Stiffness!$E$145=7,IF(6=Element_Stiffness!$C$145,Element_Stiffness!U177,IF(6=Element_Stiffness!$E$145,Element_Stiffness!AA177,0)),0)),0)+IF(Element_Stiffness!$C$181,IF(Element_Stiffness!$C$180=7,IF(6=Element_Stiffness!$C$180,Element_Stiffness!U206,IF(6=Element_Stiffness!$E$180,Element_Stiffness!AA206,0)),IF(Element_Stiffness!$E$180=7,IF(6=Element_Stiffness!$C$180,Element_Stiffness!U212,IF(6=Element_Stiffness!$E$180,Element_Stiffness!AA212,0)),0)),0)+IF(Element_Stiffness!$C$216,IF(Element_Stiffness!$C$215=7,IF(6=Element_Stiffness!$C$215,Element_Stiffness!U241,IF(6=Element_Stiffness!$E$215,Element_Stiffness!AA241,0)),IF(Element_Stiffness!$E$215=7,IF(6=Element_Stiffness!$C$215,Element_Stiffness!U247,IF(6=Element_Stiffness!$E$215,Element_Stiffness!AA247,0)),0)),0)</f>
        <v/>
      </c>
      <c r="AS52" s="21">
        <f>IF(Element_Stiffness!$C$6,IF(Element_Stiffness!$C$5=7,IF(7=Element_Stiffness!$C$5,Element_Stiffness!P31,IF(7=Element_Stiffness!$E$5,Element_Stiffness!V31,0)),IF(Element_Stiffness!$E$5=7,IF(7=Element_Stiffness!$C$5,Element_Stiffness!P37,IF(7=Element_Stiffness!$E$5,Element_Stiffness!V37,0)),0)),0)+IF(Element_Stiffness!$C$41,IF(Element_Stiffness!$C$40=7,IF(7=Element_Stiffness!$C$40,Element_Stiffness!P66,IF(7=Element_Stiffness!$E$40,Element_Stiffness!V66,0)),IF(Element_Stiffness!$E$40=7,IF(7=Element_Stiffness!$C$40,Element_Stiffness!P72,IF(7=Element_Stiffness!$E$40,Element_Stiffness!V72,0)),0)),0)+IF(Element_Stiffness!$C$76,IF(Element_Stiffness!$C$75=7,IF(7=Element_Stiffness!$C$75,Element_Stiffness!P101,IF(7=Element_Stiffness!$E$75,Element_Stiffness!V101,0)),IF(Element_Stiffness!$E$75=7,IF(7=Element_Stiffness!$C$75,Element_Stiffness!P107,IF(7=Element_Stiffness!$E$75,Element_Stiffness!V107,0)),0)),0)+IF(Element_Stiffness!$C$111,IF(Element_Stiffness!$C$110=7,IF(7=Element_Stiffness!$C$110,Element_Stiffness!P136,IF(7=Element_Stiffness!$E$110,Element_Stiffness!V136,0)),IF(Element_Stiffness!$E$110=7,IF(7=Element_Stiffness!$C$110,Element_Stiffness!P142,IF(7=Element_Stiffness!$E$110,Element_Stiffness!V142,0)),0)),0)+IF(Element_Stiffness!$C$146,IF(Element_Stiffness!$C$145=7,IF(7=Element_Stiffness!$C$145,Element_Stiffness!P171,IF(7=Element_Stiffness!$E$145,Element_Stiffness!V171,0)),IF(Element_Stiffness!$E$145=7,IF(7=Element_Stiffness!$C$145,Element_Stiffness!P177,IF(7=Element_Stiffness!$E$145,Element_Stiffness!V177,0)),0)),0)+IF(Element_Stiffness!$C$181,IF(Element_Stiffness!$C$180=7,IF(7=Element_Stiffness!$C$180,Element_Stiffness!P206,IF(7=Element_Stiffness!$E$180,Element_Stiffness!V206,0)),IF(Element_Stiffness!$E$180=7,IF(7=Element_Stiffness!$C$180,Element_Stiffness!P212,IF(7=Element_Stiffness!$E$180,Element_Stiffness!V212,0)),0)),0)+IF(Element_Stiffness!$C$216,IF(Element_Stiffness!$C$215=7,IF(7=Element_Stiffness!$C$215,Element_Stiffness!P241,IF(7=Element_Stiffness!$E$215,Element_Stiffness!V241,0)),IF(Element_Stiffness!$E$215=7,IF(7=Element_Stiffness!$C$215,Element_Stiffness!P247,IF(7=Element_Stiffness!$E$215,Element_Stiffness!V247,0)),0)),0)</f>
        <v/>
      </c>
      <c r="AT52" s="21">
        <f>IF(Element_Stiffness!$C$6,IF(Element_Stiffness!$C$5=7,IF(7=Element_Stiffness!$C$5,Element_Stiffness!Q31,IF(7=Element_Stiffness!$E$5,Element_Stiffness!W31,0)),IF(Element_Stiffness!$E$5=7,IF(7=Element_Stiffness!$C$5,Element_Stiffness!Q37,IF(7=Element_Stiffness!$E$5,Element_Stiffness!W37,0)),0)),0)+IF(Element_Stiffness!$C$41,IF(Element_Stiffness!$C$40=7,IF(7=Element_Stiffness!$C$40,Element_Stiffness!Q66,IF(7=Element_Stiffness!$E$40,Element_Stiffness!W66,0)),IF(Element_Stiffness!$E$40=7,IF(7=Element_Stiffness!$C$40,Element_Stiffness!Q72,IF(7=Element_Stiffness!$E$40,Element_Stiffness!W72,0)),0)),0)+IF(Element_Stiffness!$C$76,IF(Element_Stiffness!$C$75=7,IF(7=Element_Stiffness!$C$75,Element_Stiffness!Q101,IF(7=Element_Stiffness!$E$75,Element_Stiffness!W101,0)),IF(Element_Stiffness!$E$75=7,IF(7=Element_Stiffness!$C$75,Element_Stiffness!Q107,IF(7=Element_Stiffness!$E$75,Element_Stiffness!W107,0)),0)),0)+IF(Element_Stiffness!$C$111,IF(Element_Stiffness!$C$110=7,IF(7=Element_Stiffness!$C$110,Element_Stiffness!Q136,IF(7=Element_Stiffness!$E$110,Element_Stiffness!W136,0)),IF(Element_Stiffness!$E$110=7,IF(7=Element_Stiffness!$C$110,Element_Stiffness!Q142,IF(7=Element_Stiffness!$E$110,Element_Stiffness!W142,0)),0)),0)+IF(Element_Stiffness!$C$146,IF(Element_Stiffness!$C$145=7,IF(7=Element_Stiffness!$C$145,Element_Stiffness!Q171,IF(7=Element_Stiffness!$E$145,Element_Stiffness!W171,0)),IF(Element_Stiffness!$E$145=7,IF(7=Element_Stiffness!$C$145,Element_Stiffness!Q177,IF(7=Element_Stiffness!$E$145,Element_Stiffness!W177,0)),0)),0)+IF(Element_Stiffness!$C$181,IF(Element_Stiffness!$C$180=7,IF(7=Element_Stiffness!$C$180,Element_Stiffness!Q206,IF(7=Element_Stiffness!$E$180,Element_Stiffness!W206,0)),IF(Element_Stiffness!$E$180=7,IF(7=Element_Stiffness!$C$180,Element_Stiffness!Q212,IF(7=Element_Stiffness!$E$180,Element_Stiffness!W212,0)),0)),0)+IF(Element_Stiffness!$C$216,IF(Element_Stiffness!$C$215=7,IF(7=Element_Stiffness!$C$215,Element_Stiffness!Q241,IF(7=Element_Stiffness!$E$215,Element_Stiffness!W241,0)),IF(Element_Stiffness!$E$215=7,IF(7=Element_Stiffness!$C$215,Element_Stiffness!Q247,IF(7=Element_Stiffness!$E$215,Element_Stiffness!W247,0)),0)),0)</f>
        <v/>
      </c>
      <c r="AU52" s="21">
        <f>IF(Element_Stiffness!$C$6,IF(Element_Stiffness!$C$5=7,IF(7=Element_Stiffness!$C$5,Element_Stiffness!R31,IF(7=Element_Stiffness!$E$5,Element_Stiffness!X31,0)),IF(Element_Stiffness!$E$5=7,IF(7=Element_Stiffness!$C$5,Element_Stiffness!R37,IF(7=Element_Stiffness!$E$5,Element_Stiffness!X37,0)),0)),0)+IF(Element_Stiffness!$C$41,IF(Element_Stiffness!$C$40=7,IF(7=Element_Stiffness!$C$40,Element_Stiffness!R66,IF(7=Element_Stiffness!$E$40,Element_Stiffness!X66,0)),IF(Element_Stiffness!$E$40=7,IF(7=Element_Stiffness!$C$40,Element_Stiffness!R72,IF(7=Element_Stiffness!$E$40,Element_Stiffness!X72,0)),0)),0)+IF(Element_Stiffness!$C$76,IF(Element_Stiffness!$C$75=7,IF(7=Element_Stiffness!$C$75,Element_Stiffness!R101,IF(7=Element_Stiffness!$E$75,Element_Stiffness!X101,0)),IF(Element_Stiffness!$E$75=7,IF(7=Element_Stiffness!$C$75,Element_Stiffness!R107,IF(7=Element_Stiffness!$E$75,Element_Stiffness!X107,0)),0)),0)+IF(Element_Stiffness!$C$111,IF(Element_Stiffness!$C$110=7,IF(7=Element_Stiffness!$C$110,Element_Stiffness!R136,IF(7=Element_Stiffness!$E$110,Element_Stiffness!X136,0)),IF(Element_Stiffness!$E$110=7,IF(7=Element_Stiffness!$C$110,Element_Stiffness!R142,IF(7=Element_Stiffness!$E$110,Element_Stiffness!X142,0)),0)),0)+IF(Element_Stiffness!$C$146,IF(Element_Stiffness!$C$145=7,IF(7=Element_Stiffness!$C$145,Element_Stiffness!R171,IF(7=Element_Stiffness!$E$145,Element_Stiffness!X171,0)),IF(Element_Stiffness!$E$145=7,IF(7=Element_Stiffness!$C$145,Element_Stiffness!R177,IF(7=Element_Stiffness!$E$145,Element_Stiffness!X177,0)),0)),0)+IF(Element_Stiffness!$C$181,IF(Element_Stiffness!$C$180=7,IF(7=Element_Stiffness!$C$180,Element_Stiffness!R206,IF(7=Element_Stiffness!$E$180,Element_Stiffness!X206,0)),IF(Element_Stiffness!$E$180=7,IF(7=Element_Stiffness!$C$180,Element_Stiffness!R212,IF(7=Element_Stiffness!$E$180,Element_Stiffness!X212,0)),0)),0)+IF(Element_Stiffness!$C$216,IF(Element_Stiffness!$C$215=7,IF(7=Element_Stiffness!$C$215,Element_Stiffness!R241,IF(7=Element_Stiffness!$E$215,Element_Stiffness!X241,0)),IF(Element_Stiffness!$E$215=7,IF(7=Element_Stiffness!$C$215,Element_Stiffness!R247,IF(7=Element_Stiffness!$E$215,Element_Stiffness!X247,0)),0)),0)</f>
        <v/>
      </c>
      <c r="AV52" s="21">
        <f>IF(Element_Stiffness!$C$6,IF(Element_Stiffness!$C$5=7,IF(7=Element_Stiffness!$C$5,Element_Stiffness!S31,IF(7=Element_Stiffness!$E$5,Element_Stiffness!Y31,0)),IF(Element_Stiffness!$E$5=7,IF(7=Element_Stiffness!$C$5,Element_Stiffness!S37,IF(7=Element_Stiffness!$E$5,Element_Stiffness!Y37,0)),0)),0)+IF(Element_Stiffness!$C$41,IF(Element_Stiffness!$C$40=7,IF(7=Element_Stiffness!$C$40,Element_Stiffness!S66,IF(7=Element_Stiffness!$E$40,Element_Stiffness!Y66,0)),IF(Element_Stiffness!$E$40=7,IF(7=Element_Stiffness!$C$40,Element_Stiffness!S72,IF(7=Element_Stiffness!$E$40,Element_Stiffness!Y72,0)),0)),0)+IF(Element_Stiffness!$C$76,IF(Element_Stiffness!$C$75=7,IF(7=Element_Stiffness!$C$75,Element_Stiffness!S101,IF(7=Element_Stiffness!$E$75,Element_Stiffness!Y101,0)),IF(Element_Stiffness!$E$75=7,IF(7=Element_Stiffness!$C$75,Element_Stiffness!S107,IF(7=Element_Stiffness!$E$75,Element_Stiffness!Y107,0)),0)),0)+IF(Element_Stiffness!$C$111,IF(Element_Stiffness!$C$110=7,IF(7=Element_Stiffness!$C$110,Element_Stiffness!S136,IF(7=Element_Stiffness!$E$110,Element_Stiffness!Y136,0)),IF(Element_Stiffness!$E$110=7,IF(7=Element_Stiffness!$C$110,Element_Stiffness!S142,IF(7=Element_Stiffness!$E$110,Element_Stiffness!Y142,0)),0)),0)+IF(Element_Stiffness!$C$146,IF(Element_Stiffness!$C$145=7,IF(7=Element_Stiffness!$C$145,Element_Stiffness!S171,IF(7=Element_Stiffness!$E$145,Element_Stiffness!Y171,0)),IF(Element_Stiffness!$E$145=7,IF(7=Element_Stiffness!$C$145,Element_Stiffness!S177,IF(7=Element_Stiffness!$E$145,Element_Stiffness!Y177,0)),0)),0)+IF(Element_Stiffness!$C$181,IF(Element_Stiffness!$C$180=7,IF(7=Element_Stiffness!$C$180,Element_Stiffness!S206,IF(7=Element_Stiffness!$E$180,Element_Stiffness!Y206,0)),IF(Element_Stiffness!$E$180=7,IF(7=Element_Stiffness!$C$180,Element_Stiffness!S212,IF(7=Element_Stiffness!$E$180,Element_Stiffness!Y212,0)),0)),0)+IF(Element_Stiffness!$C$216,IF(Element_Stiffness!$C$215=7,IF(7=Element_Stiffness!$C$215,Element_Stiffness!S241,IF(7=Element_Stiffness!$E$215,Element_Stiffness!Y241,0)),IF(Element_Stiffness!$E$215=7,IF(7=Element_Stiffness!$C$215,Element_Stiffness!S247,IF(7=Element_Stiffness!$E$215,Element_Stiffness!Y247,0)),0)),0)</f>
        <v/>
      </c>
      <c r="AW52" s="21">
        <f>IF(Element_Stiffness!$C$6,IF(Element_Stiffness!$C$5=7,IF(7=Element_Stiffness!$C$5,Element_Stiffness!T31,IF(7=Element_Stiffness!$E$5,Element_Stiffness!Z31,0)),IF(Element_Stiffness!$E$5=7,IF(7=Element_Stiffness!$C$5,Element_Stiffness!T37,IF(7=Element_Stiffness!$E$5,Element_Stiffness!Z37,0)),0)),0)+IF(Element_Stiffness!$C$41,IF(Element_Stiffness!$C$40=7,IF(7=Element_Stiffness!$C$40,Element_Stiffness!T66,IF(7=Element_Stiffness!$E$40,Element_Stiffness!Z66,0)),IF(Element_Stiffness!$E$40=7,IF(7=Element_Stiffness!$C$40,Element_Stiffness!T72,IF(7=Element_Stiffness!$E$40,Element_Stiffness!Z72,0)),0)),0)+IF(Element_Stiffness!$C$76,IF(Element_Stiffness!$C$75=7,IF(7=Element_Stiffness!$C$75,Element_Stiffness!T101,IF(7=Element_Stiffness!$E$75,Element_Stiffness!Z101,0)),IF(Element_Stiffness!$E$75=7,IF(7=Element_Stiffness!$C$75,Element_Stiffness!T107,IF(7=Element_Stiffness!$E$75,Element_Stiffness!Z107,0)),0)),0)+IF(Element_Stiffness!$C$111,IF(Element_Stiffness!$C$110=7,IF(7=Element_Stiffness!$C$110,Element_Stiffness!T136,IF(7=Element_Stiffness!$E$110,Element_Stiffness!Z136,0)),IF(Element_Stiffness!$E$110=7,IF(7=Element_Stiffness!$C$110,Element_Stiffness!T142,IF(7=Element_Stiffness!$E$110,Element_Stiffness!Z142,0)),0)),0)+IF(Element_Stiffness!$C$146,IF(Element_Stiffness!$C$145=7,IF(7=Element_Stiffness!$C$145,Element_Stiffness!T171,IF(7=Element_Stiffness!$E$145,Element_Stiffness!Z171,0)),IF(Element_Stiffness!$E$145=7,IF(7=Element_Stiffness!$C$145,Element_Stiffness!T177,IF(7=Element_Stiffness!$E$145,Element_Stiffness!Z177,0)),0)),0)+IF(Element_Stiffness!$C$181,IF(Element_Stiffness!$C$180=7,IF(7=Element_Stiffness!$C$180,Element_Stiffness!T206,IF(7=Element_Stiffness!$E$180,Element_Stiffness!Z206,0)),IF(Element_Stiffness!$E$180=7,IF(7=Element_Stiffness!$C$180,Element_Stiffness!T212,IF(7=Element_Stiffness!$E$180,Element_Stiffness!Z212,0)),0)),0)+IF(Element_Stiffness!$C$216,IF(Element_Stiffness!$C$215=7,IF(7=Element_Stiffness!$C$215,Element_Stiffness!T241,IF(7=Element_Stiffness!$E$215,Element_Stiffness!Z241,0)),IF(Element_Stiffness!$E$215=7,IF(7=Element_Stiffness!$C$215,Element_Stiffness!T247,IF(7=Element_Stiffness!$E$215,Element_Stiffness!Z247,0)),0)),0)</f>
        <v/>
      </c>
      <c r="AX52" s="21">
        <f>IF(Element_Stiffness!$C$6,IF(Element_Stiffness!$C$5=7,IF(7=Element_Stiffness!$C$5,Element_Stiffness!U31,IF(7=Element_Stiffness!$E$5,Element_Stiffness!AA31,0)),IF(Element_Stiffness!$E$5=7,IF(7=Element_Stiffness!$C$5,Element_Stiffness!U37,IF(7=Element_Stiffness!$E$5,Element_Stiffness!AA37,0)),0)),0)+IF(Element_Stiffness!$C$41,IF(Element_Stiffness!$C$40=7,IF(7=Element_Stiffness!$C$40,Element_Stiffness!U66,IF(7=Element_Stiffness!$E$40,Element_Stiffness!AA66,0)),IF(Element_Stiffness!$E$40=7,IF(7=Element_Stiffness!$C$40,Element_Stiffness!U72,IF(7=Element_Stiffness!$E$40,Element_Stiffness!AA72,0)),0)),0)+IF(Element_Stiffness!$C$76,IF(Element_Stiffness!$C$75=7,IF(7=Element_Stiffness!$C$75,Element_Stiffness!U101,IF(7=Element_Stiffness!$E$75,Element_Stiffness!AA101,0)),IF(Element_Stiffness!$E$75=7,IF(7=Element_Stiffness!$C$75,Element_Stiffness!U107,IF(7=Element_Stiffness!$E$75,Element_Stiffness!AA107,0)),0)),0)+IF(Element_Stiffness!$C$111,IF(Element_Stiffness!$C$110=7,IF(7=Element_Stiffness!$C$110,Element_Stiffness!U136,IF(7=Element_Stiffness!$E$110,Element_Stiffness!AA136,0)),IF(Element_Stiffness!$E$110=7,IF(7=Element_Stiffness!$C$110,Element_Stiffness!U142,IF(7=Element_Stiffness!$E$110,Element_Stiffness!AA142,0)),0)),0)+IF(Element_Stiffness!$C$146,IF(Element_Stiffness!$C$145=7,IF(7=Element_Stiffness!$C$145,Element_Stiffness!U171,IF(7=Element_Stiffness!$E$145,Element_Stiffness!AA171,0)),IF(Element_Stiffness!$E$145=7,IF(7=Element_Stiffness!$C$145,Element_Stiffness!U177,IF(7=Element_Stiffness!$E$145,Element_Stiffness!AA177,0)),0)),0)+IF(Element_Stiffness!$C$181,IF(Element_Stiffness!$C$180=7,IF(7=Element_Stiffness!$C$180,Element_Stiffness!U206,IF(7=Element_Stiffness!$E$180,Element_Stiffness!AA206,0)),IF(Element_Stiffness!$E$180=7,IF(7=Element_Stiffness!$C$180,Element_Stiffness!U212,IF(7=Element_Stiffness!$E$180,Element_Stiffness!AA212,0)),0)),0)+IF(Element_Stiffness!$C$216,IF(Element_Stiffness!$C$215=7,IF(7=Element_Stiffness!$C$215,Element_Stiffness!U241,IF(7=Element_Stiffness!$E$215,Element_Stiffness!AA241,0)),IF(Element_Stiffness!$E$215=7,IF(7=Element_Stiffness!$C$215,Element_Stiffness!U247,IF(7=Element_Stiffness!$E$215,Element_Stiffness!AA247,0)),0)),0)+IF(Inputs!H47=TRUE,1E15,IF(ISNUMBER(Inputs!H47),Inputs!H47,0))</f>
        <v/>
      </c>
      <c r="AY52" s="21" t="n">
        <v>0</v>
      </c>
      <c r="AZ52" s="21">
        <f>IF(Element_Stiffness!$C$6,IF(Element_Stiffness!$C$5=7,Element_Stiffness!C31,IF(Element_Stiffness!$E$5=7,Element_Stiffness!C37,0)),0)+IF(Element_Stiffness!$C$41,IF(Element_Stiffness!$C$40=7,Element_Stiffness!C66,IF(Element_Stiffness!$E$40=7,Element_Stiffness!C72,0)),0)+IF(Element_Stiffness!$C$76,IF(Element_Stiffness!$C$75=7,Element_Stiffness!C101,IF(Element_Stiffness!$E$75=7,Element_Stiffness!C107,0)),0)+IF(Element_Stiffness!$C$111,IF(Element_Stiffness!$C$110=7,Element_Stiffness!C136,IF(Element_Stiffness!$E$110=7,Element_Stiffness!C142,0)),0)+IF(Element_Stiffness!$C$146,IF(Element_Stiffness!$C$145=7,Element_Stiffness!C171,IF(Element_Stiffness!$E$145=7,Element_Stiffness!C177,0)),0)+IF(Element_Stiffness!$C$181,IF(Element_Stiffness!$C$180=7,Element_Stiffness!C206,IF(Element_Stiffness!$E$180=7,Element_Stiffness!C212,0)),0)+IF(Element_Stiffness!$C$216,IF(Element_Stiffness!$C$215=7,Element_Stiffness!C241,IF(Element_Stiffness!$E$215=7,Element_Stiffness!C247,0)),0)</f>
        <v/>
      </c>
      <c r="BB52" s="28">
        <f>INDEX(MMULT(MINVERSE(C5:AX52), AY5:AY52), 48, 1)</f>
        <v/>
      </c>
      <c r="BC52" s="28">
        <f>INDEX(MMULT(MINVERSE(C5:AX52), AZ5:AZ52), 48, 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U12"/>
  <sheetViews>
    <sheetView showGridLines="1" workbookViewId="0">
      <selection activeCell="A1" sqref="A1"/>
    </sheetView>
  </sheetViews>
  <sheetFormatPr baseColWidth="8" defaultRowHeight="15"/>
  <cols>
    <col width="12" customWidth="1" min="2" max="2"/>
    <col width="16" customWidth="1" min="3" max="3"/>
    <col width="16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3" customWidth="1" min="20" max="20"/>
    <col width="13" customWidth="1" min="21" max="21"/>
  </cols>
  <sheetData>
    <row r="2">
      <c r="B2" s="1" t="inlineStr">
        <is>
          <t>ASME B31.3 Piping Stress &amp; Code Compliance Report</t>
        </is>
      </c>
    </row>
    <row r="5">
      <c r="B5" s="4" t="inlineStr">
        <is>
          <t>Element ID</t>
        </is>
      </c>
      <c r="C5" s="4" t="inlineStr">
        <is>
          <t>Node A</t>
        </is>
      </c>
      <c r="D5" s="4" t="inlineStr">
        <is>
          <t>Node B</t>
        </is>
      </c>
      <c r="E5" s="4" t="inlineStr">
        <is>
          <t>Type</t>
        </is>
      </c>
      <c r="F5" s="4" t="inlineStr">
        <is>
          <t>Flex Factor</t>
        </is>
      </c>
      <c r="G5" s="4" t="inlineStr">
        <is>
          <t>Sustained Stress (Pa)</t>
        </is>
      </c>
      <c r="H5" s="4" t="inlineStr">
        <is>
          <t>Sustained Allowable (Pa)</t>
        </is>
      </c>
      <c r="I5" s="4" t="inlineStr">
        <is>
          <t>Sustained Ratio</t>
        </is>
      </c>
      <c r="J5" s="4" t="inlineStr">
        <is>
          <t>Expansion Stress (Pa)</t>
        </is>
      </c>
      <c r="K5" s="4" t="inlineStr">
        <is>
          <t>Expansion Allowable (Pa)</t>
        </is>
      </c>
      <c r="L5" s="4" t="inlineStr">
        <is>
          <t>Expansion Ratio</t>
        </is>
      </c>
      <c r="M5" s="4" t="inlineStr">
        <is>
          <t>Max Ratio</t>
        </is>
      </c>
      <c r="N5" s="4" t="inlineStr">
        <is>
          <t>Status</t>
        </is>
      </c>
    </row>
    <row r="6">
      <c r="B6" s="9">
        <f>Inputs!B29</f>
        <v/>
      </c>
      <c r="C6" s="9">
        <f>Inputs!C29</f>
        <v/>
      </c>
      <c r="D6" s="9">
        <f>Inputs!D29</f>
        <v/>
      </c>
      <c r="E6" s="9">
        <f>Inputs!E29</f>
        <v/>
      </c>
      <c r="F6" s="29">
        <f>Element_Stiffness!F13</f>
        <v/>
      </c>
      <c r="G6" s="24">
        <f>IF(Inputs!C29&lt;&gt;"",MAX((SQRT((T6*Element_Stiffness!AI19)^2 + (U6*Element_Stiffness!AI18)^2)/Element_Stiffness!$C$23) + (ABS(Element_Stiffness!AI14)/Element_Stiffness!$F$12) + Element_Stiffness!$C$24,(SQRT((T6*Element_Stiffness!AI25)^2 + (U6*Element_Stiffness!AI24)^2)/Element_Stiffness!$C$23) + (ABS(Element_Stiffness!AI20)/Element_Stiffness!$F$12) + Element_Stiffness!$C$24),0.0)</f>
        <v/>
      </c>
      <c r="H6" s="24">
        <f>IF(Inputs!C29&lt;&gt;"",Inputs!$H$12,0.0)</f>
        <v/>
      </c>
      <c r="I6" s="30">
        <f>IF(H6&gt;0,G6/H6,0.0)</f>
        <v/>
      </c>
      <c r="J6" s="24">
        <f>IF(Inputs!C29&lt;&gt;"",MAX(SQRT((T6*Element_Stiffness!AI19)^2 + (U6*Element_Stiffness!AI18)^2 + 4*(0.5*Element_Stiffness!AI17)^2)/Element_Stiffness!$C$23,SQRT((T6*Element_Stiffness!AI25)^2 + (U6*Element_Stiffness!AI24)^2 + 4*(0.5*Element_Stiffness!AI23)^2)/Element_Stiffness!$C$23),0.0)</f>
        <v/>
      </c>
      <c r="K6" s="24">
        <f>IF(Inputs!C29&lt;&gt;"",Element_Stiffness!$C$25,0.0)</f>
        <v/>
      </c>
      <c r="L6" s="30">
        <f>IF(K6&gt;0,J6/K6,0.0)</f>
        <v/>
      </c>
      <c r="M6" s="30">
        <f>MAX(I6,L6)</f>
        <v/>
      </c>
      <c r="N6" s="31">
        <f>IF(Inputs!C29&lt;&gt;"",IF(M6&lt;=1.0,"PASS","FAIL"),"")</f>
        <v/>
      </c>
      <c r="T6">
        <f>IF(E6="bend",MAX(1.0,0.9/((Element_Stiffness!D11*IF(Inputs!F29&lt;&gt;"",Inputs!F29,1.5*Element_Stiffness!C11)) / (((Element_Stiffness!C11-Element_Stiffness!D11)/2)^2)^(2/3))),1.0)</f>
        <v/>
      </c>
      <c r="U6">
        <f>IF(E6="bend",MAX(1.0,0.75/((Element_Stiffness!D11*IF(Inputs!F29&lt;&gt;"",Inputs!F29,1.5*Element_Stiffness!C11)) / (((Element_Stiffness!C11-Element_Stiffness!D11)/2)^2)^(2/3))),1.0)</f>
        <v/>
      </c>
    </row>
    <row r="7">
      <c r="B7" s="32">
        <f>Inputs!B30</f>
        <v/>
      </c>
      <c r="C7" s="32">
        <f>Inputs!C30</f>
        <v/>
      </c>
      <c r="D7" s="32">
        <f>Inputs!D30</f>
        <v/>
      </c>
      <c r="E7" s="32">
        <f>Inputs!E30</f>
        <v/>
      </c>
      <c r="F7" s="33">
        <f>Element_Stiffness!F48</f>
        <v/>
      </c>
      <c r="G7" s="34">
        <f>IF(Inputs!C30&lt;&gt;"",MAX((SQRT((T7*Element_Stiffness!AI54)^2 + (U7*Element_Stiffness!AI53)^2)/Element_Stiffness!$C$58) + (ABS(Element_Stiffness!AI49)/Element_Stiffness!$F$47) + Element_Stiffness!$C$59,(SQRT((T7*Element_Stiffness!AI60)^2 + (U7*Element_Stiffness!AI59)^2)/Element_Stiffness!$C$58) + (ABS(Element_Stiffness!AI55)/Element_Stiffness!$F$47) + Element_Stiffness!$C$59),0.0)</f>
        <v/>
      </c>
      <c r="H7" s="34">
        <f>IF(Inputs!C30&lt;&gt;"",Inputs!$H$12,0.0)</f>
        <v/>
      </c>
      <c r="I7" s="35">
        <f>IF(H7&gt;0,G7/H7,0.0)</f>
        <v/>
      </c>
      <c r="J7" s="34">
        <f>IF(Inputs!C30&lt;&gt;"",MAX(SQRT((T7*Element_Stiffness!AI54)^2 + (U7*Element_Stiffness!AI53)^2 + 4*(0.5*Element_Stiffness!AI52)^2)/Element_Stiffness!$C$58,SQRT((T7*Element_Stiffness!AI60)^2 + (U7*Element_Stiffness!AI59)^2 + 4*(0.5*Element_Stiffness!AI58)^2)/Element_Stiffness!$C$58),0.0)</f>
        <v/>
      </c>
      <c r="K7" s="34">
        <f>IF(Inputs!C30&lt;&gt;"",Element_Stiffness!$C$60,0.0)</f>
        <v/>
      </c>
      <c r="L7" s="35">
        <f>IF(K7&gt;0,J7/K7,0.0)</f>
        <v/>
      </c>
      <c r="M7" s="35">
        <f>MAX(I7,L7)</f>
        <v/>
      </c>
      <c r="N7" s="31">
        <f>IF(Inputs!C30&lt;&gt;"",IF(M7&lt;=1.0,"PASS","FAIL"),"")</f>
        <v/>
      </c>
      <c r="T7">
        <f>IF(E7="bend",MAX(1.0,0.9/((Element_Stiffness!D46*IF(Inputs!F30&lt;&gt;"",Inputs!F30,1.5*Element_Stiffness!C46)) / (((Element_Stiffness!C46-Element_Stiffness!D46)/2)^2)^(2/3))),1.0)</f>
        <v/>
      </c>
      <c r="U7">
        <f>IF(E7="bend",MAX(1.0,0.75/((Element_Stiffness!D46*IF(Inputs!F30&lt;&gt;"",Inputs!F30,1.5*Element_Stiffness!C46)) / (((Element_Stiffness!C46-Element_Stiffness!D46)/2)^2)^(2/3))),1.0)</f>
        <v/>
      </c>
    </row>
    <row r="8">
      <c r="B8" s="9">
        <f>Inputs!B31</f>
        <v/>
      </c>
      <c r="C8" s="9">
        <f>Inputs!C31</f>
        <v/>
      </c>
      <c r="D8" s="9">
        <f>Inputs!D31</f>
        <v/>
      </c>
      <c r="E8" s="9">
        <f>Inputs!E31</f>
        <v/>
      </c>
      <c r="F8" s="29">
        <f>Element_Stiffness!F83</f>
        <v/>
      </c>
      <c r="G8" s="24">
        <f>IF(Inputs!C31&lt;&gt;"",MAX((SQRT((T8*Element_Stiffness!AI89)^2 + (U8*Element_Stiffness!AI88)^2)/Element_Stiffness!$C$93) + (ABS(Element_Stiffness!AI84)/Element_Stiffness!$F$82) + Element_Stiffness!$C$94,(SQRT((T8*Element_Stiffness!AI95)^2 + (U8*Element_Stiffness!AI94)^2)/Element_Stiffness!$C$93) + (ABS(Element_Stiffness!AI90)/Element_Stiffness!$F$82) + Element_Stiffness!$C$94),0.0)</f>
        <v/>
      </c>
      <c r="H8" s="24">
        <f>IF(Inputs!C31&lt;&gt;"",Inputs!$H$12,0.0)</f>
        <v/>
      </c>
      <c r="I8" s="30">
        <f>IF(H8&gt;0,G8/H8,0.0)</f>
        <v/>
      </c>
      <c r="J8" s="24">
        <f>IF(Inputs!C31&lt;&gt;"",MAX(SQRT((T8*Element_Stiffness!AI89)^2 + (U8*Element_Stiffness!AI88)^2 + 4*(0.5*Element_Stiffness!AI87)^2)/Element_Stiffness!$C$93,SQRT((T8*Element_Stiffness!AI95)^2 + (U8*Element_Stiffness!AI94)^2 + 4*(0.5*Element_Stiffness!AI93)^2)/Element_Stiffness!$C$93),0.0)</f>
        <v/>
      </c>
      <c r="K8" s="24">
        <f>IF(Inputs!C31&lt;&gt;"",Element_Stiffness!$C$95,0.0)</f>
        <v/>
      </c>
      <c r="L8" s="30">
        <f>IF(K8&gt;0,J8/K8,0.0)</f>
        <v/>
      </c>
      <c r="M8" s="30">
        <f>MAX(I8,L8)</f>
        <v/>
      </c>
      <c r="N8" s="31">
        <f>IF(Inputs!C31&lt;&gt;"",IF(M8&lt;=1.0,"PASS","FAIL"),"")</f>
        <v/>
      </c>
      <c r="T8">
        <f>IF(E8="bend",MAX(1.0,0.9/((Element_Stiffness!D81*IF(Inputs!F31&lt;&gt;"",Inputs!F31,1.5*Element_Stiffness!C81)) / (((Element_Stiffness!C81-Element_Stiffness!D81)/2)^2)^(2/3))),1.0)</f>
        <v/>
      </c>
      <c r="U8">
        <f>IF(E8="bend",MAX(1.0,0.75/((Element_Stiffness!D81*IF(Inputs!F31&lt;&gt;"",Inputs!F31,1.5*Element_Stiffness!C81)) / (((Element_Stiffness!C81-Element_Stiffness!D81)/2)^2)^(2/3))),1.0)</f>
        <v/>
      </c>
    </row>
    <row r="9">
      <c r="B9" s="32">
        <f>Inputs!B32</f>
        <v/>
      </c>
      <c r="C9" s="32">
        <f>Inputs!C32</f>
        <v/>
      </c>
      <c r="D9" s="32">
        <f>Inputs!D32</f>
        <v/>
      </c>
      <c r="E9" s="32">
        <f>Inputs!E32</f>
        <v/>
      </c>
      <c r="F9" s="33">
        <f>Element_Stiffness!F118</f>
        <v/>
      </c>
      <c r="G9" s="34">
        <f>IF(Inputs!C32&lt;&gt;"",MAX((SQRT((T9*Element_Stiffness!AI124)^2 + (U9*Element_Stiffness!AI123)^2)/Element_Stiffness!$C$128) + (ABS(Element_Stiffness!AI119)/Element_Stiffness!$F$117) + Element_Stiffness!$C$129,(SQRT((T9*Element_Stiffness!AI130)^2 + (U9*Element_Stiffness!AI129)^2)/Element_Stiffness!$C$128) + (ABS(Element_Stiffness!AI125)/Element_Stiffness!$F$117) + Element_Stiffness!$C$129),0.0)</f>
        <v/>
      </c>
      <c r="H9" s="34">
        <f>IF(Inputs!C32&lt;&gt;"",Inputs!$H$12,0.0)</f>
        <v/>
      </c>
      <c r="I9" s="35">
        <f>IF(H9&gt;0,G9/H9,0.0)</f>
        <v/>
      </c>
      <c r="J9" s="34">
        <f>IF(Inputs!C32&lt;&gt;"",MAX(SQRT((T9*Element_Stiffness!AI124)^2 + (U9*Element_Stiffness!AI123)^2 + 4*(0.5*Element_Stiffness!AI122)^2)/Element_Stiffness!$C$128,SQRT((T9*Element_Stiffness!AI130)^2 + (U9*Element_Stiffness!AI129)^2 + 4*(0.5*Element_Stiffness!AI128)^2)/Element_Stiffness!$C$128),0.0)</f>
        <v/>
      </c>
      <c r="K9" s="34">
        <f>IF(Inputs!C32&lt;&gt;"",Element_Stiffness!$C$130,0.0)</f>
        <v/>
      </c>
      <c r="L9" s="35">
        <f>IF(K9&gt;0,J9/K9,0.0)</f>
        <v/>
      </c>
      <c r="M9" s="35">
        <f>MAX(I9,L9)</f>
        <v/>
      </c>
      <c r="N9" s="31">
        <f>IF(Inputs!C32&lt;&gt;"",IF(M9&lt;=1.0,"PASS","FAIL"),"")</f>
        <v/>
      </c>
      <c r="T9">
        <f>IF(E9="bend",MAX(1.0,0.9/((Element_Stiffness!D116*IF(Inputs!F32&lt;&gt;"",Inputs!F32,1.5*Element_Stiffness!C116)) / (((Element_Stiffness!C116-Element_Stiffness!D116)/2)^2)^(2/3))),1.0)</f>
        <v/>
      </c>
      <c r="U9">
        <f>IF(E9="bend",MAX(1.0,0.75/((Element_Stiffness!D116*IF(Inputs!F32&lt;&gt;"",Inputs!F32,1.5*Element_Stiffness!C116)) / (((Element_Stiffness!C116-Element_Stiffness!D116)/2)^2)^(2/3))),1.0)</f>
        <v/>
      </c>
    </row>
    <row r="10">
      <c r="B10" s="9">
        <f>Inputs!B33</f>
        <v/>
      </c>
      <c r="C10" s="9">
        <f>Inputs!C33</f>
        <v/>
      </c>
      <c r="D10" s="9">
        <f>Inputs!D33</f>
        <v/>
      </c>
      <c r="E10" s="9">
        <f>Inputs!E33</f>
        <v/>
      </c>
      <c r="F10" s="29">
        <f>Element_Stiffness!F153</f>
        <v/>
      </c>
      <c r="G10" s="24">
        <f>IF(Inputs!C33&lt;&gt;"",MAX((SQRT((T10*Element_Stiffness!AI159)^2 + (U10*Element_Stiffness!AI158)^2)/Element_Stiffness!$C$163) + (ABS(Element_Stiffness!AI154)/Element_Stiffness!$F$152) + Element_Stiffness!$C$164,(SQRT((T10*Element_Stiffness!AI165)^2 + (U10*Element_Stiffness!AI164)^2)/Element_Stiffness!$C$163) + (ABS(Element_Stiffness!AI160)/Element_Stiffness!$F$152) + Element_Stiffness!$C$164),0.0)</f>
        <v/>
      </c>
      <c r="H10" s="24">
        <f>IF(Inputs!C33&lt;&gt;"",Inputs!$H$12,0.0)</f>
        <v/>
      </c>
      <c r="I10" s="30">
        <f>IF(H10&gt;0,G10/H10,0.0)</f>
        <v/>
      </c>
      <c r="J10" s="24">
        <f>IF(Inputs!C33&lt;&gt;"",MAX(SQRT((T10*Element_Stiffness!AI159)^2 + (U10*Element_Stiffness!AI158)^2 + 4*(0.5*Element_Stiffness!AI157)^2)/Element_Stiffness!$C$163,SQRT((T10*Element_Stiffness!AI165)^2 + (U10*Element_Stiffness!AI164)^2 + 4*(0.5*Element_Stiffness!AI163)^2)/Element_Stiffness!$C$163),0.0)</f>
        <v/>
      </c>
      <c r="K10" s="24">
        <f>IF(Inputs!C33&lt;&gt;"",Element_Stiffness!$C$165,0.0)</f>
        <v/>
      </c>
      <c r="L10" s="30">
        <f>IF(K10&gt;0,J10/K10,0.0)</f>
        <v/>
      </c>
      <c r="M10" s="30">
        <f>MAX(I10,L10)</f>
        <v/>
      </c>
      <c r="N10" s="31">
        <f>IF(Inputs!C33&lt;&gt;"",IF(M10&lt;=1.0,"PASS","FAIL"),"")</f>
        <v/>
      </c>
      <c r="T10">
        <f>IF(E10="bend",MAX(1.0,0.9/((Element_Stiffness!D151*IF(Inputs!F33&lt;&gt;"",Inputs!F33,1.5*Element_Stiffness!C151)) / (((Element_Stiffness!C151-Element_Stiffness!D151)/2)^2)^(2/3))),1.0)</f>
        <v/>
      </c>
      <c r="U10">
        <f>IF(E10="bend",MAX(1.0,0.75/((Element_Stiffness!D151*IF(Inputs!F33&lt;&gt;"",Inputs!F33,1.5*Element_Stiffness!C151)) / (((Element_Stiffness!C151-Element_Stiffness!D151)/2)^2)^(2/3))),1.0)</f>
        <v/>
      </c>
    </row>
    <row r="11">
      <c r="B11" s="32">
        <f>Inputs!B34</f>
        <v/>
      </c>
      <c r="C11" s="32">
        <f>Inputs!C34</f>
        <v/>
      </c>
      <c r="D11" s="32">
        <f>Inputs!D34</f>
        <v/>
      </c>
      <c r="E11" s="32">
        <f>Inputs!E34</f>
        <v/>
      </c>
      <c r="F11" s="33">
        <f>Element_Stiffness!F188</f>
        <v/>
      </c>
      <c r="G11" s="34">
        <f>IF(Inputs!C34&lt;&gt;"",MAX((SQRT((T11*Element_Stiffness!AI194)^2 + (U11*Element_Stiffness!AI193)^2)/Element_Stiffness!$C$198) + (ABS(Element_Stiffness!AI189)/Element_Stiffness!$F$187) + Element_Stiffness!$C$199,(SQRT((T11*Element_Stiffness!AI200)^2 + (U11*Element_Stiffness!AI199)^2)/Element_Stiffness!$C$198) + (ABS(Element_Stiffness!AI195)/Element_Stiffness!$F$187) + Element_Stiffness!$C$199),0.0)</f>
        <v/>
      </c>
      <c r="H11" s="34">
        <f>IF(Inputs!C34&lt;&gt;"",Inputs!$H$12,0.0)</f>
        <v/>
      </c>
      <c r="I11" s="35">
        <f>IF(H11&gt;0,G11/H11,0.0)</f>
        <v/>
      </c>
      <c r="J11" s="34">
        <f>IF(Inputs!C34&lt;&gt;"",MAX(SQRT((T11*Element_Stiffness!AI194)^2 + (U11*Element_Stiffness!AI193)^2 + 4*(0.5*Element_Stiffness!AI192)^2)/Element_Stiffness!$C$198,SQRT((T11*Element_Stiffness!AI200)^2 + (U11*Element_Stiffness!AI199)^2 + 4*(0.5*Element_Stiffness!AI198)^2)/Element_Stiffness!$C$198),0.0)</f>
        <v/>
      </c>
      <c r="K11" s="34">
        <f>IF(Inputs!C34&lt;&gt;"",Element_Stiffness!$C$200,0.0)</f>
        <v/>
      </c>
      <c r="L11" s="35">
        <f>IF(K11&gt;0,J11/K11,0.0)</f>
        <v/>
      </c>
      <c r="M11" s="35">
        <f>MAX(I11,L11)</f>
        <v/>
      </c>
      <c r="N11" s="31">
        <f>IF(Inputs!C34&lt;&gt;"",IF(M11&lt;=1.0,"PASS","FAIL"),"")</f>
        <v/>
      </c>
      <c r="T11">
        <f>IF(E11="bend",MAX(1.0,0.9/((Element_Stiffness!D186*IF(Inputs!F34&lt;&gt;"",Inputs!F34,1.5*Element_Stiffness!C186)) / (((Element_Stiffness!C186-Element_Stiffness!D186)/2)^2)^(2/3))),1.0)</f>
        <v/>
      </c>
      <c r="U11">
        <f>IF(E11="bend",MAX(1.0,0.75/((Element_Stiffness!D186*IF(Inputs!F34&lt;&gt;"",Inputs!F34,1.5*Element_Stiffness!C186)) / (((Element_Stiffness!C186-Element_Stiffness!D186)/2)^2)^(2/3))),1.0)</f>
        <v/>
      </c>
    </row>
    <row r="12">
      <c r="B12" s="36">
        <f>Inputs!B35</f>
        <v/>
      </c>
      <c r="C12" s="36">
        <f>Inputs!C35</f>
        <v/>
      </c>
      <c r="D12" s="36">
        <f>Inputs!D35</f>
        <v/>
      </c>
      <c r="E12" s="36">
        <f>Inputs!E35</f>
        <v/>
      </c>
      <c r="F12" s="37">
        <f>Element_Stiffness!F223</f>
        <v/>
      </c>
      <c r="G12" s="38">
        <f>IF(Inputs!C35&lt;&gt;"",MAX((SQRT((T12*Element_Stiffness!AI229)^2 + (U12*Element_Stiffness!AI228)^2)/Element_Stiffness!$C$233) + (ABS(Element_Stiffness!AI224)/Element_Stiffness!$F$222) + Element_Stiffness!$C$234,(SQRT((T12*Element_Stiffness!AI235)^2 + (U12*Element_Stiffness!AI234)^2)/Element_Stiffness!$C$233) + (ABS(Element_Stiffness!AI230)/Element_Stiffness!$F$222) + Element_Stiffness!$C$234),0.0)</f>
        <v/>
      </c>
      <c r="H12" s="38">
        <f>IF(Inputs!C35&lt;&gt;"",Inputs!$H$12,0.0)</f>
        <v/>
      </c>
      <c r="I12" s="39">
        <f>IF(H12&gt;0,G12/H12,0.0)</f>
        <v/>
      </c>
      <c r="J12" s="38">
        <f>IF(Inputs!C35&lt;&gt;"",MAX(SQRT((T12*Element_Stiffness!AI229)^2 + (U12*Element_Stiffness!AI228)^2 + 4*(0.5*Element_Stiffness!AI227)^2)/Element_Stiffness!$C$233,SQRT((T12*Element_Stiffness!AI235)^2 + (U12*Element_Stiffness!AI234)^2 + 4*(0.5*Element_Stiffness!AI233)^2)/Element_Stiffness!$C$233),0.0)</f>
        <v/>
      </c>
      <c r="K12" s="38">
        <f>IF(Inputs!C35&lt;&gt;"",Element_Stiffness!$C$235,0.0)</f>
        <v/>
      </c>
      <c r="L12" s="39">
        <f>IF(K12&gt;0,J12/K12,0.0)</f>
        <v/>
      </c>
      <c r="M12" s="39">
        <f>MAX(I12,L12)</f>
        <v/>
      </c>
      <c r="N12" s="40">
        <f>IF(Inputs!C35&lt;&gt;"",IF(M12&lt;=1.0,"PASS","FAIL"),"")</f>
        <v/>
      </c>
      <c r="T12">
        <f>IF(E12="bend",MAX(1.0,0.9/((Element_Stiffness!D221*IF(Inputs!F35&lt;&gt;"",Inputs!F35,1.5*Element_Stiffness!C221)) / (((Element_Stiffness!C221-Element_Stiffness!D221)/2)^2)^(2/3))),1.0)</f>
        <v/>
      </c>
      <c r="U12">
        <f>IF(E12="bend",MAX(1.0,0.75/((Element_Stiffness!D221*IF(Inputs!F35&lt;&gt;"",Inputs!F35,1.5*Element_Stiffness!C221)) / (((Element_Stiffness!C221-Element_Stiffness!D221)/2)^2)^(2/3))),1.0)</f>
        <v/>
      </c>
    </row>
  </sheetData>
  <conditionalFormatting sqref="N6:N12">
    <cfRule type="cellIs" priority="1" operator="equal" dxfId="0" stopIfTrue="1">
      <formula>"PASS"</formula>
    </cfRule>
    <cfRule type="cellIs" priority="2" operator="equal" dxfId="1" stopIfTrue="1">
      <formula>"FAIL"</formula>
    </cfRule>
  </conditionalFormatting>
  <conditionalFormatting sqref="I6:I12">
    <cfRule type="cellIs" priority="3" operator="greaterThan" dxfId="1" stopIfTrue="1">
      <formula>1.0</formula>
    </cfRule>
  </conditionalFormatting>
  <conditionalFormatting sqref="L6:L12">
    <cfRule type="cellIs" priority="3" operator="greaterThan" dxfId="1" stopIfTrue="1">
      <formula>1.0</formula>
    </cfRule>
  </conditionalFormatting>
  <conditionalFormatting sqref="M6:M12">
    <cfRule type="cellIs" priority="3" operator="greaterThan" dxfId="1" stopIfTrue="1">
      <formula>1.0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2026-07-09T18:48:09Z</dcterms:created>
  <dcterms:modified xsi:type="dcterms:W3CDTF">2026-07-09T18:48:09Z</dcterms:modified>
</cp:coreProperties>
</file>